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0febd9a57864ff7" /></Relationships>
</file>

<file path=xl/workbook.xml><?xml version="1.0" encoding="utf-8"?>
<x:workbook xmlns:x="http://schemas.openxmlformats.org/spreadsheetml/2006/main">
  <x:sheets>
    <x:sheet xmlns:r="http://schemas.openxmlformats.org/officeDocument/2006/relationships" name="Dashboard" sheetId="1" r:id="R76ae4a1466d74a37"/>
    <x:sheet xmlns:r="http://schemas.openxmlformats.org/officeDocument/2006/relationships" name="Personnages" sheetId="2" r:id="R062445ec2dfd42f8"/>
    <x:sheet xmlns:r="http://schemas.openxmlformats.org/officeDocument/2006/relationships" name="PNJ" sheetId="3" r:id="Ra277ef4a55de48c5"/>
    <x:sheet xmlns:r="http://schemas.openxmlformats.org/officeDocument/2006/relationships" name="Especes_factions" sheetId="4" r:id="R1168267f5cd44d42"/>
    <x:sheet xmlns:r="http://schemas.openxmlformats.org/officeDocument/2006/relationships" name="Mondes" sheetId="5" r:id="R19eddd2b1465464f"/>
    <x:sheet xmlns:r="http://schemas.openxmlformats.org/officeDocument/2006/relationships" name="Zones" sheetId="6" r:id="R68ab01687aed4eb1"/>
    <x:sheet xmlns:r="http://schemas.openxmlformats.org/officeDocument/2006/relationships" name="Liaisons" sheetId="7" r:id="R8ed22e8192834242"/>
    <x:sheet xmlns:r="http://schemas.openxmlformats.org/officeDocument/2006/relationships" name="Decors" sheetId="8" r:id="Re14bbbfe1127421c"/>
    <x:sheet xmlns:r="http://schemas.openxmlformats.org/officeDocument/2006/relationships" name="Props" sheetId="9" r:id="Rd1d5365f46e7455a"/>
    <x:sheet xmlns:r="http://schemas.openxmlformats.org/officeDocument/2006/relationships" name="Ennemis_boss" sheetId="10" r:id="Rb8b2008d39e442e9"/>
    <x:sheet xmlns:r="http://schemas.openxmlformats.org/officeDocument/2006/relationships" name="Missions" sheetId="11" r:id="R02ba1fac634047d3"/>
    <x:sheet xmlns:r="http://schemas.openxmlformats.org/officeDocument/2006/relationships" name="Secondaires_DLC" sheetId="12" r:id="R165a98adb5ae4113"/>
    <x:sheet xmlns:r="http://schemas.openxmlformats.org/officeDocument/2006/relationships" name="Choix_relations" sheetId="13" r:id="R72c81bc040824c59"/>
    <x:sheet xmlns:r="http://schemas.openxmlformats.org/officeDocument/2006/relationships" name="Dialogues" sheetId="14" r:id="R3e5ac63cdef74f69"/>
    <x:sheet xmlns:r="http://schemas.openxmlformats.org/officeDocument/2006/relationships" name="Cinematiques" sheetId="15" r:id="Re40289a37e7a4800"/>
    <x:sheet xmlns:r="http://schemas.openxmlformats.org/officeDocument/2006/relationships" name="Armes" sheetId="16" r:id="R5fe0d5a35f9a4dab"/>
    <x:sheet xmlns:r="http://schemas.openxmlformats.org/officeDocument/2006/relationships" name="Armures_equipement" sheetId="17" r:id="Rd0a97c12f982492a"/>
    <x:sheet xmlns:r="http://schemas.openxmlformats.org/officeDocument/2006/relationships" name="Pouvoirs" sheetId="18" r:id="R050ea9b83a754b6a"/>
    <x:sheet xmlns:r="http://schemas.openxmlformats.org/officeDocument/2006/relationships" name="Movesets_allies" sheetId="19" r:id="R1292d5eb59374c64"/>
    <x:sheet xmlns:r="http://schemas.openxmlformats.org/officeDocument/2006/relationships" name="Movesets_ennemis" sheetId="20" r:id="R0ae679d397394cfc"/>
    <x:sheet xmlns:r="http://schemas.openxmlformats.org/officeDocument/2006/relationships" name="Animations" sheetId="21" r:id="R2eeed525b5994e7f"/>
    <x:sheet xmlns:r="http://schemas.openxmlformats.org/officeDocument/2006/relationships" name="Sprites" sheetId="22" r:id="R22b23c71326349bb"/>
    <x:sheet xmlns:r="http://schemas.openxmlformats.org/officeDocument/2006/relationships" name="VFX" sheetId="23" r:id="Rce6ed7a8a74e462d"/>
    <x:sheet xmlns:r="http://schemas.openxmlformats.org/officeDocument/2006/relationships" name="Audio" sheetId="24" r:id="R591600026e3349b7"/>
    <x:sheet xmlns:r="http://schemas.openxmlformats.org/officeDocument/2006/relationships" name="UI_systemes" sheetId="25" r:id="R3d12e978250d4230"/>
    <x:sheet xmlns:r="http://schemas.openxmlformats.org/officeDocument/2006/relationships" name="QA" sheetId="26" r:id="R9b9036a2ce7b4cfb"/>
    <x:sheet xmlns:r="http://schemas.openxmlformats.org/officeDocument/2006/relationships" name="Trilogie" sheetId="27" r:id="R9d5c8303a42d4df9"/>
    <x:sheet xmlns:r="http://schemas.openxmlformats.org/officeDocument/2006/relationships" name="Guide" sheetId="28" r:id="Ra359c0daa9f84f7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15197bf786ff451e" /><Relationship Type="http://schemas.openxmlformats.org/officeDocument/2006/relationships/theme" Target="/xl/theme/theme1.xml" Id="R182b9f67f02646f0" /><Relationship Type="http://schemas.openxmlformats.org/officeDocument/2006/relationships/sharedStrings" Target="/xl/sharedStrings.xml" Id="Rdf41b55940ac4892" /><Relationship Type="http://schemas.openxmlformats.org/officeDocument/2006/relationships/worksheet" Target="/xl/worksheets/sheet1.xml" Id="R76ae4a1466d74a37" /><Relationship Type="http://schemas.openxmlformats.org/officeDocument/2006/relationships/worksheet" Target="/xl/worksheets/sheet2.xml" Id="R062445ec2dfd42f8" /><Relationship Type="http://schemas.openxmlformats.org/officeDocument/2006/relationships/worksheet" Target="/xl/worksheets/sheet3.xml" Id="Ra277ef4a55de48c5" /><Relationship Type="http://schemas.openxmlformats.org/officeDocument/2006/relationships/worksheet" Target="/xl/worksheets/sheet4.xml" Id="R1168267f5cd44d42" /><Relationship Type="http://schemas.openxmlformats.org/officeDocument/2006/relationships/worksheet" Target="/xl/worksheets/sheet5.xml" Id="R19eddd2b1465464f" /><Relationship Type="http://schemas.openxmlformats.org/officeDocument/2006/relationships/worksheet" Target="/xl/worksheets/sheet6.xml" Id="R68ab01687aed4eb1" /><Relationship Type="http://schemas.openxmlformats.org/officeDocument/2006/relationships/worksheet" Target="/xl/worksheets/sheet7.xml" Id="R8ed22e8192834242" /><Relationship Type="http://schemas.openxmlformats.org/officeDocument/2006/relationships/worksheet" Target="/xl/worksheets/sheet8.xml" Id="Re14bbbfe1127421c" /><Relationship Type="http://schemas.openxmlformats.org/officeDocument/2006/relationships/worksheet" Target="/xl/worksheets/sheet9.xml" Id="Rd1d5365f46e7455a" /><Relationship Type="http://schemas.openxmlformats.org/officeDocument/2006/relationships/worksheet" Target="/xl/worksheets/sheet10.xml" Id="Rb8b2008d39e442e9" /><Relationship Type="http://schemas.openxmlformats.org/officeDocument/2006/relationships/worksheet" Target="/xl/worksheets/sheet11.xml" Id="R02ba1fac634047d3" /><Relationship Type="http://schemas.openxmlformats.org/officeDocument/2006/relationships/worksheet" Target="/xl/worksheets/sheet12.xml" Id="R165a98adb5ae4113" /><Relationship Type="http://schemas.openxmlformats.org/officeDocument/2006/relationships/worksheet" Target="/xl/worksheets/sheet13.xml" Id="R72c81bc040824c59" /><Relationship Type="http://schemas.openxmlformats.org/officeDocument/2006/relationships/worksheet" Target="/xl/worksheets/sheet14.xml" Id="R3e5ac63cdef74f69" /><Relationship Type="http://schemas.openxmlformats.org/officeDocument/2006/relationships/worksheet" Target="/xl/worksheets/sheet15.xml" Id="Re40289a37e7a4800" /><Relationship Type="http://schemas.openxmlformats.org/officeDocument/2006/relationships/worksheet" Target="/xl/worksheets/sheet16.xml" Id="R5fe0d5a35f9a4dab" /><Relationship Type="http://schemas.openxmlformats.org/officeDocument/2006/relationships/worksheet" Target="/xl/worksheets/sheet17.xml" Id="Rd0a97c12f982492a" /><Relationship Type="http://schemas.openxmlformats.org/officeDocument/2006/relationships/worksheet" Target="/xl/worksheets/sheet18.xml" Id="R050ea9b83a754b6a" /><Relationship Type="http://schemas.openxmlformats.org/officeDocument/2006/relationships/worksheet" Target="/xl/worksheets/sheet19.xml" Id="R1292d5eb59374c64" /><Relationship Type="http://schemas.openxmlformats.org/officeDocument/2006/relationships/worksheet" Target="/xl/worksheets/sheet20.xml" Id="R0ae679d397394cfc" /><Relationship Type="http://schemas.openxmlformats.org/officeDocument/2006/relationships/worksheet" Target="/xl/worksheets/sheet21.xml" Id="R2eeed525b5994e7f" /><Relationship Type="http://schemas.openxmlformats.org/officeDocument/2006/relationships/worksheet" Target="/xl/worksheets/sheet22.xml" Id="R22b23c71326349bb" /><Relationship Type="http://schemas.openxmlformats.org/officeDocument/2006/relationships/worksheet" Target="/xl/worksheets/sheet23.xml" Id="Rce6ed7a8a74e462d" /><Relationship Type="http://schemas.openxmlformats.org/officeDocument/2006/relationships/worksheet" Target="/xl/worksheets/sheet24.xml" Id="R591600026e3349b7" /><Relationship Type="http://schemas.openxmlformats.org/officeDocument/2006/relationships/worksheet" Target="/xl/worksheets/sheet25.xml" Id="R3d12e978250d4230" /><Relationship Type="http://schemas.openxmlformats.org/officeDocument/2006/relationships/worksheet" Target="/xl/worksheets/sheet26.xml" Id="R9b9036a2ce7b4cfb" /><Relationship Type="http://schemas.openxmlformats.org/officeDocument/2006/relationships/worksheet" Target="/xl/worksheets/sheet27.xml" Id="R9d5c8303a42d4df9" /><Relationship Type="http://schemas.openxmlformats.org/officeDocument/2006/relationships/worksheet" Target="/xl/worksheets/sheet28.xml" Id="Ra359c0daa9f84f72"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0" headerRowCount="1" totalsRowCount="0" totalsRowShown="0">
  <x:autoFilter ref="A6:Q5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64" headerRowCount="1" totalsRowCount="0" totalsRowShown="0">
  <x:autoFilter ref="A6:Q6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6" headerRowCount="1" totalsRowCount="0" totalsRowShown="0">
  <x:autoFilter ref="A6:Q6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3" headerRowCount="1" totalsRowCount="0" totalsRowShown="0">
  <x:autoFilter ref="A6:Q8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46" headerRowCount="1" totalsRowCount="0" totalsRowShown="0">
  <x:autoFilter ref="A6:Q4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d223b62abdd4808" /></Relationships>
</file>

<file path=xl/worksheets/_rels/sheet3.xml.rels>&#65279;<?xml version="1.0" encoding="utf-8"?><Relationships xmlns="http://schemas.openxmlformats.org/package/2006/relationships"><Relationship Type="http://schemas.openxmlformats.org/officeDocument/2006/relationships/table" Target="/xl/tables/table2.xml" Id="Re10134b761434682" /></Relationships>
</file>

<file path=xl/worksheets/_rels/sheet4.xml.rels>&#65279;<?xml version="1.0" encoding="utf-8"?><Relationships xmlns="http://schemas.openxmlformats.org/package/2006/relationships"><Relationship Type="http://schemas.openxmlformats.org/officeDocument/2006/relationships/table" Target="/xl/tables/table3.xml" Id="R9d55de90c63844b0" /></Relationships>
</file>

<file path=xl/worksheets/_rels/sheet5.xml.rels>&#65279;<?xml version="1.0" encoding="utf-8"?><Relationships xmlns="http://schemas.openxmlformats.org/package/2006/relationships"><Relationship Type="http://schemas.openxmlformats.org/officeDocument/2006/relationships/table" Target="/xl/tables/table4.xml" Id="R6451510a67804521" /></Relationships>
</file>

<file path=xl/worksheets/_rels/sheet6.xml.rels>&#65279;<?xml version="1.0" encoding="utf-8"?><Relationships xmlns="http://schemas.openxmlformats.org/package/2006/relationships"><Relationship Type="http://schemas.openxmlformats.org/officeDocument/2006/relationships/table" Target="/xl/tables/table5.xml" Id="R1adcf2046f204c36" /></Relationships>
</file>

<file path=xl/worksheets/_rels/sheet7.xml.rels>&#65279;<?xml version="1.0" encoding="utf-8"?><Relationships xmlns="http://schemas.openxmlformats.org/package/2006/relationships"><Relationship Type="http://schemas.openxmlformats.org/officeDocument/2006/relationships/table" Target="/xl/tables/table6.xml" Id="R849af4c421f94157" /></Relationships>
</file>

<file path=xl/worksheets/_rels/sheet8.xml.rels>&#65279;<?xml version="1.0" encoding="utf-8"?><Relationships xmlns="http://schemas.openxmlformats.org/package/2006/relationships"><Relationship Type="http://schemas.openxmlformats.org/officeDocument/2006/relationships/table" Target="/xl/tables/table7.xml" Id="Re3d9596217494c57" /></Relationships>
</file>

<file path=xl/worksheets/_rels/sheet9.xml.rels>&#65279;<?xml version="1.0" encoding="utf-8"?><Relationships xmlns="http://schemas.openxmlformats.org/package/2006/relationships"><Relationship Type="http://schemas.openxmlformats.org/officeDocument/2006/relationships/table" Target="/xl/tables/table8.xml" Id="R42d0873f064d403d" /></Relationships>
</file>

<file path=xl/worksheets/_rels/sheet10.xml.rels>&#65279;<?xml version="1.0" encoding="utf-8"?><Relationships xmlns="http://schemas.openxmlformats.org/package/2006/relationships"><Relationship Type="http://schemas.openxmlformats.org/officeDocument/2006/relationships/table" Target="/xl/tables/table9.xml" Id="Racf32060ec064b79" /></Relationships>
</file>

<file path=xl/worksheets/_rels/sheet11.xml.rels>&#65279;<?xml version="1.0" encoding="utf-8"?><Relationships xmlns="http://schemas.openxmlformats.org/package/2006/relationships"><Relationship Type="http://schemas.openxmlformats.org/officeDocument/2006/relationships/table" Target="/xl/tables/table10.xml" Id="Rf2c7e569e47e4cbf" /></Relationships>
</file>

<file path=xl/worksheets/_rels/sheet12.xml.rels>&#65279;<?xml version="1.0" encoding="utf-8"?><Relationships xmlns="http://schemas.openxmlformats.org/package/2006/relationships"><Relationship Type="http://schemas.openxmlformats.org/officeDocument/2006/relationships/table" Target="/xl/tables/table11.xml" Id="Rc5d1987215ce486c" /></Relationships>
</file>

<file path=xl/worksheets/_rels/sheet13.xml.rels>&#65279;<?xml version="1.0" encoding="utf-8"?><Relationships xmlns="http://schemas.openxmlformats.org/package/2006/relationships"><Relationship Type="http://schemas.openxmlformats.org/officeDocument/2006/relationships/table" Target="/xl/tables/table12.xml" Id="R710687e8008845b1" /></Relationships>
</file>

<file path=xl/worksheets/_rels/sheet14.xml.rels>&#65279;<?xml version="1.0" encoding="utf-8"?><Relationships xmlns="http://schemas.openxmlformats.org/package/2006/relationships"><Relationship Type="http://schemas.openxmlformats.org/officeDocument/2006/relationships/table" Target="/xl/tables/table13.xml" Id="R0555232f4b0547ac" /></Relationships>
</file>

<file path=xl/worksheets/_rels/sheet15.xml.rels>&#65279;<?xml version="1.0" encoding="utf-8"?><Relationships xmlns="http://schemas.openxmlformats.org/package/2006/relationships"><Relationship Type="http://schemas.openxmlformats.org/officeDocument/2006/relationships/table" Target="/xl/tables/table14.xml" Id="R0b4210732415433f" /></Relationships>
</file>

<file path=xl/worksheets/_rels/sheet16.xml.rels>&#65279;<?xml version="1.0" encoding="utf-8"?><Relationships xmlns="http://schemas.openxmlformats.org/package/2006/relationships"><Relationship Type="http://schemas.openxmlformats.org/officeDocument/2006/relationships/table" Target="/xl/tables/table15.xml" Id="R2b39658ba635401d" /></Relationships>
</file>

<file path=xl/worksheets/_rels/sheet17.xml.rels>&#65279;<?xml version="1.0" encoding="utf-8"?><Relationships xmlns="http://schemas.openxmlformats.org/package/2006/relationships"><Relationship Type="http://schemas.openxmlformats.org/officeDocument/2006/relationships/table" Target="/xl/tables/table16.xml" Id="R0b42a921c5174760" /></Relationships>
</file>

<file path=xl/worksheets/_rels/sheet18.xml.rels>&#65279;<?xml version="1.0" encoding="utf-8"?><Relationships xmlns="http://schemas.openxmlformats.org/package/2006/relationships"><Relationship Type="http://schemas.openxmlformats.org/officeDocument/2006/relationships/table" Target="/xl/tables/table17.xml" Id="R8c326b36bd854bc8" /></Relationships>
</file>

<file path=xl/worksheets/_rels/sheet19.xml.rels>&#65279;<?xml version="1.0" encoding="utf-8"?><Relationships xmlns="http://schemas.openxmlformats.org/package/2006/relationships"><Relationship Type="http://schemas.openxmlformats.org/officeDocument/2006/relationships/table" Target="/xl/tables/table18.xml" Id="Rb1376f9ea2b1490b" /></Relationships>
</file>

<file path=xl/worksheets/_rels/sheet20.xml.rels>&#65279;<?xml version="1.0" encoding="utf-8"?><Relationships xmlns="http://schemas.openxmlformats.org/package/2006/relationships"><Relationship Type="http://schemas.openxmlformats.org/officeDocument/2006/relationships/table" Target="/xl/tables/table19.xml" Id="R42c6e87d96c044a7" /></Relationships>
</file>

<file path=xl/worksheets/_rels/sheet21.xml.rels>&#65279;<?xml version="1.0" encoding="utf-8"?><Relationships xmlns="http://schemas.openxmlformats.org/package/2006/relationships"><Relationship Type="http://schemas.openxmlformats.org/officeDocument/2006/relationships/table" Target="/xl/tables/table20.xml" Id="Ra8b85a8c09954ab5" /></Relationships>
</file>

<file path=xl/worksheets/_rels/sheet22.xml.rels>&#65279;<?xml version="1.0" encoding="utf-8"?><Relationships xmlns="http://schemas.openxmlformats.org/package/2006/relationships"><Relationship Type="http://schemas.openxmlformats.org/officeDocument/2006/relationships/table" Target="/xl/tables/table21.xml" Id="Ra1f12cbf6ab8409a" /></Relationships>
</file>

<file path=xl/worksheets/_rels/sheet23.xml.rels>&#65279;<?xml version="1.0" encoding="utf-8"?><Relationships xmlns="http://schemas.openxmlformats.org/package/2006/relationships"><Relationship Type="http://schemas.openxmlformats.org/officeDocument/2006/relationships/table" Target="/xl/tables/table22.xml" Id="R1d146f80e9da4e22" /></Relationships>
</file>

<file path=xl/worksheets/_rels/sheet24.xml.rels>&#65279;<?xml version="1.0" encoding="utf-8"?><Relationships xmlns="http://schemas.openxmlformats.org/package/2006/relationships"><Relationship Type="http://schemas.openxmlformats.org/officeDocument/2006/relationships/table" Target="/xl/tables/table23.xml" Id="Ra89854fc94dc4071" /></Relationships>
</file>

<file path=xl/worksheets/_rels/sheet25.xml.rels>&#65279;<?xml version="1.0" encoding="utf-8"?><Relationships xmlns="http://schemas.openxmlformats.org/package/2006/relationships"><Relationship Type="http://schemas.openxmlformats.org/officeDocument/2006/relationships/table" Target="/xl/tables/table24.xml" Id="R96f0402e96754028" /></Relationships>
</file>

<file path=xl/worksheets/_rels/sheet26.xml.rels>&#65279;<?xml version="1.0" encoding="utf-8"?><Relationships xmlns="http://schemas.openxmlformats.org/package/2006/relationships"><Relationship Type="http://schemas.openxmlformats.org/officeDocument/2006/relationships/table" Target="/xl/tables/table25.xml" Id="R51eb4673e0944679" /></Relationships>
</file>

<file path=xl/worksheets/_rels/sheet27.xml.rels>&#65279;<?xml version="1.0" encoding="utf-8"?><Relationships xmlns="http://schemas.openxmlformats.org/package/2006/relationships"><Relationship Type="http://schemas.openxmlformats.org/officeDocument/2006/relationships/table" Target="/xl/tables/table26.xml" Id="Rd9005d7cc5ba440b"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1325</x:v>
      </x:c>
      <x:c r="C5" s="2"/>
      <x:c r="D5" s="2" t="str">
        <x:v>Intégrés</x:v>
      </x:c>
      <x:c r="E5" s="21" t="n">
        <x:f>SUM(E10:F35)</x:f>
        <x:v>6</x:v>
      </x:c>
      <x:c r="F5" s="2"/>
      <x:c r="G5" s="2" t="str">
        <x:v>Références à vérifier</x:v>
      </x:c>
      <x:c r="H5" s="21" t="n">
        <x:f>SUM(H10:H35)</x:f>
        <x:v>522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COUNTA('Armes'!$A$7:$A$50)</x:f>
        <x:v>44</x:v>
      </x:c>
      <x:c r="C24" s="26" t="n">
        <x:f>COUNTIFS('Armes'!$C$7:$C$50,"Défini")</x:f>
        <x:v>24</x:v>
      </x:c>
      <x:c r="D24" s="26" t="n">
        <x:f>COUNTIFS('Armes'!$C$7:$C$50,"Prototype")</x:f>
        <x:v>20</x:v>
      </x:c>
      <x:c r="E24" s="26" t="n">
        <x:f>COUNTIFS('Armes'!$C$7:$C$50,"Intégré")</x:f>
        <x:v>0</x:v>
      </x:c>
      <x:c r="F24" s="26" t="n">
        <x:f>COUNTIFS('Armes'!$C$7:$C$50,"Validé")</x:f>
        <x:v>0</x:v>
      </x:c>
      <x:c r="G24" s="26" t="n">
        <x:f>COUNTIFS('Armes'!$G$7:$G$50,"Confirmé")</x:f>
        <x:v>0</x:v>
      </x:c>
      <x:c r="H24" s="26" t="n">
        <x:f>COUNTIFS('Armes'!$G$7:$G$50,"Référence à vérifier")</x:f>
        <x:v>24</x:v>
      </x:c>
      <x:c r="I24" s="26" t="n">
        <x:f>COUNTIFS('Armes'!$G$7:$G$50,"Adaptation")</x:f>
        <x:v>20</x:v>
      </x:c>
      <x:c r="J24" s="26" t="n">
        <x:f>COUNTIFS('Armes'!$F$7:$F$50,"ME1")</x:f>
        <x:v>44</x:v>
      </x:c>
      <x:c r="K24" s="26" t="n">
        <x:f>COUNTIFS('Armes'!$P$7:$P$50,"Extension future")</x:f>
        <x:v>0</x:v>
      </x:c>
    </x:row>
    <x:row r="25" ht="22" customHeight="1">
      <x:c r="A25" s="2" t="str">
        <x:v>Armures et équipement</x:v>
      </x:c>
      <x:c r="B25" s="27" t="n">
        <x:f>COUNTA('Armures_equipement'!$A$7:$A$64)</x:f>
        <x:v>58</x:v>
      </x:c>
      <x:c r="C25" s="27" t="n">
        <x:f>COUNTIFS('Armures_equipement'!$C$7:$C$64,"Défini")</x:f>
        <x:v>24</x:v>
      </x:c>
      <x:c r="D25" s="27" t="n">
        <x:f>COUNTIFS('Armures_equipement'!$C$7:$C$64,"Prototype")</x:f>
        <x:v>34</x:v>
      </x:c>
      <x:c r="E25" s="27" t="n">
        <x:f>COUNTIFS('Armures_equipement'!$C$7:$C$64,"Intégré")</x:f>
        <x:v>0</x:v>
      </x:c>
      <x:c r="F25" s="27" t="n">
        <x:f>COUNTIFS('Armures_equipement'!$C$7:$C$64,"Validé")</x:f>
        <x:v>0</x:v>
      </x:c>
      <x:c r="G25" s="27" t="n">
        <x:f>COUNTIFS('Armures_equipement'!$G$7:$G$64,"Confirmé")</x:f>
        <x:v>2</x:v>
      </x:c>
      <x:c r="H25" s="27" t="n">
        <x:f>COUNTIFS('Armures_equipement'!$G$7:$G$64,"Référence à vérifier")</x:f>
        <x:v>24</x:v>
      </x:c>
      <x:c r="I25" s="27" t="n">
        <x:f>COUNTIFS('Armures_equipement'!$G$7:$G$64,"Adaptation")</x:f>
        <x:v>32</x:v>
      </x:c>
      <x:c r="J25" s="27" t="n">
        <x:f>COUNTIFS('Armures_equipement'!$F$7:$F$64,"ME1")</x:f>
        <x:v>58</x:v>
      </x:c>
      <x:c r="K25" s="27" t="n">
        <x:f>COUNTIFS('Armures_equipement'!$P$7:$P$64,"Extension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COUNTA('Animations'!$A$7:$A$66)</x:f>
        <x:v>60</x:v>
      </x:c>
      <x:c r="C29" s="27" t="n">
        <x:f>COUNTIFS('Animations'!$C$7:$C$66,"Défini")</x:f>
        <x:v>39</x:v>
      </x:c>
      <x:c r="D29" s="27" t="n">
        <x:f>COUNTIFS('Animations'!$C$7:$C$66,"Prototype")</x:f>
        <x:v>21</x:v>
      </x:c>
      <x:c r="E29" s="27" t="n">
        <x:f>COUNTIFS('Animations'!$C$7:$C$66,"Intégré")</x:f>
        <x:v>0</x:v>
      </x:c>
      <x:c r="F29" s="27" t="n">
        <x:f>COUNTIFS('Animations'!$C$7:$C$66,"Validé")</x:f>
        <x:v>0</x:v>
      </x:c>
      <x:c r="G29" s="27" t="n">
        <x:f>COUNTIFS('Animations'!$G$7:$G$66,"Confirmé")</x:f>
        <x:v>0</x:v>
      </x:c>
      <x:c r="H29" s="27" t="n">
        <x:f>COUNTIFS('Animations'!$G$7:$G$66,"Référence à vérifier")</x:f>
        <x:v>0</x:v>
      </x:c>
      <x:c r="I29" s="27" t="n">
        <x:f>COUNTIFS('Animations'!$G$7:$G$66,"Adaptation")</x:f>
        <x:v>60</x:v>
      </x:c>
      <x:c r="J29" s="27" t="n">
        <x:f>COUNTIFS('Animations'!$F$7:$F$66,"ME1")</x:f>
        <x:v>60</x:v>
      </x:c>
      <x:c r="K29" s="27" t="n">
        <x:f>COUNTIFS('Animations'!$P$7:$P$66,"Extension future")</x:f>
        <x:v>0</x:v>
      </x:c>
    </x:row>
    <x:row r="30" ht="22" customHeight="1">
      <x:c r="A30" s="22" t="str">
        <x:v>Sprites</x:v>
      </x:c>
      <x:c r="B30" s="26" t="n">
        <x:f>COUNTA('Sprites'!$A$7:$A$83)</x:f>
        <x:v>77</x:v>
      </x:c>
      <x:c r="C30" s="26" t="n">
        <x:f>COUNTIFS('Sprites'!$C$7:$C$83,"Défini")</x:f>
        <x:v>42</x:v>
      </x:c>
      <x:c r="D30" s="26" t="n">
        <x:f>COUNTIFS('Sprites'!$C$7:$C$83,"Prototype")</x:f>
        <x:v>35</x:v>
      </x:c>
      <x:c r="E30" s="26" t="n">
        <x:f>COUNTIFS('Sprites'!$C$7:$C$83,"Intégré")</x:f>
        <x:v>0</x:v>
      </x:c>
      <x:c r="F30" s="26" t="n">
        <x:f>COUNTIFS('Sprites'!$C$7:$C$83,"Validé")</x:f>
        <x:v>0</x:v>
      </x:c>
      <x:c r="G30" s="26" t="n">
        <x:f>COUNTIFS('Sprites'!$G$7:$G$83,"Confirmé")</x:f>
        <x:v>0</x:v>
      </x:c>
      <x:c r="H30" s="26" t="n">
        <x:f>COUNTIFS('Sprites'!$G$7:$G$83,"Référence à vérifier")</x:f>
        <x:v>0</x:v>
      </x:c>
      <x:c r="I30" s="26" t="n">
        <x:f>COUNTIFS('Sprites'!$G$7:$G$83,"Adaptation")</x:f>
        <x:v>77</x:v>
      </x:c>
      <x:c r="J30" s="26" t="n">
        <x:f>COUNTIFS('Sprites'!$F$7:$F$83,"ME1")</x:f>
        <x:v>77</x:v>
      </x:c>
      <x:c r="K30" s="26" t="n">
        <x:f>COUNTIFS('Sprites'!$P$7:$P$83,"Extension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COUNTA('UI_systemes'!$A$7:$A$46)</x:f>
        <x:v>40</x:v>
      </x:c>
      <x:c r="C33" s="27" t="n">
        <x:f>COUNTIFS('UI_systemes'!$C$7:$C$46,"Défini")</x:f>
        <x:v>8</x:v>
      </x:c>
      <x:c r="D33" s="27" t="n">
        <x:f>COUNTIFS('UI_systemes'!$C$7:$C$46,"Prototype")</x:f>
        <x:v>29</x:v>
      </x:c>
      <x:c r="E33" s="27" t="n">
        <x:f>COUNTIFS('UI_systemes'!$C$7:$C$46,"Intégré")</x:f>
        <x:v>0</x:v>
      </x:c>
      <x:c r="F33" s="27" t="n">
        <x:f>COUNTIFS('UI_systemes'!$C$7:$C$46,"Validé")</x:f>
        <x:v>3</x:v>
      </x:c>
      <x:c r="G33" s="27" t="n">
        <x:f>COUNTIFS('UI_systemes'!$G$7:$G$46,"Confirmé")</x:f>
        <x:v>0</x:v>
      </x:c>
      <x:c r="H33" s="27" t="n">
        <x:f>COUNTIFS('UI_systemes'!$G$7:$G$46,"Référence à vérifier")</x:f>
        <x:v>0</x:v>
      </x:c>
      <x:c r="I33" s="27" t="n">
        <x:f>COUNTIFS('UI_systemes'!$G$7:$G$46,"Adaptation")</x:f>
        <x:v>40</x:v>
      </x:c>
      <x:c r="J33" s="27" t="n">
        <x:f>COUNTIFS('UI_systemes'!$F$7:$F$46,"ME1")</x:f>
        <x:v>40</x:v>
      </x:c>
      <x:c r="K33" s="27" t="n">
        <x:f>COUNTIFS('UI_systemes'!$P$7:$P$46,"Extension future")</x:f>
        <x:v>0</x:v>
      </x:c>
    </x:row>
    <x:row r="34" ht="22" customHeight="1">
      <x:c r="A34" s="22" t="str">
        <x:v>QA</x:v>
      </x:c>
      <x:c r="B34" s="26" t="n">
        <x:f>COUNTA('QA'!$A$7:$A$58)</x:f>
        <x:v>52</x:v>
      </x:c>
      <x:c r="C34" s="26" t="n">
        <x:f>COUNTIFS('QA'!$C$7:$C$58,"Défini")</x:f>
        <x:v>52</x:v>
      </x:c>
      <x:c r="D34" s="26" t="n">
        <x:f>COUNTIFS('QA'!$C$7:$C$58,"Prototype")</x:f>
        <x:v>0</x:v>
      </x:c>
      <x:c r="E34" s="26" t="n">
        <x:f>COUNTIFS('QA'!$C$7:$C$58,"Intégré")</x:f>
        <x:v>0</x:v>
      </x:c>
      <x:c r="F34" s="26" t="n">
        <x:f>COUNTIFS('QA'!$C$7:$C$58,"Validé")</x:f>
        <x:v>0</x:v>
      </x:c>
      <x:c r="G34" s="26" t="n">
        <x:f>COUNTIFS('QA'!$G$7:$G$58,"Confirmé")</x:f>
        <x:v>0</x:v>
      </x:c>
      <x:c r="H34" s="26" t="n">
        <x:f>COUNTIFS('QA'!$G$7:$G$58,"Référence à vérifier")</x:f>
        <x:v>0</x:v>
      </x:c>
      <x:c r="I34" s="26" t="n">
        <x:f>COUNTIFS('QA'!$G$7:$G$58,"Adaptation")</x:f>
        <x:v>52</x:v>
      </x:c>
      <x:c r="J34" s="26" t="n">
        <x:f>COUNTIFS('QA'!$F$7:$F$58,"ME1")</x:f>
        <x:v>52</x:v>
      </x:c>
      <x:c r="K34" s="26" t="n">
        <x:f>COUNTIFS('QA'!$P$7:$P$58,"Extension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1325</x:v>
      </x:c>
      <x:c r="C37" s="28" t="n">
        <x:f>SUM(C10:C35)</x:f>
        <x:v>1035</x:v>
      </x:c>
      <x:c r="D37" s="28" t="n">
        <x:f>SUM(D10:D35)</x:f>
        <x:v>284</x:v>
      </x:c>
      <x:c r="E37" s="28" t="n">
        <x:f>SUM(E10:E35)</x:f>
        <x:v>3</x:v>
      </x:c>
      <x:c r="F37" s="28" t="n">
        <x:f>SUM(F10:F35)</x:f>
        <x:v>3</x:v>
      </x:c>
      <x:c r="G37" s="28" t="n">
        <x:f>SUM(G10:G35)</x:f>
        <x:v>17</x:v>
      </x:c>
      <x:c r="H37" s="28" t="n">
        <x:f>SUM(H10:H35)</x:f>
        <x:v>522</x:v>
      </x:c>
      <x:c r="I37" s="28" t="n">
        <x:f>SUM(I10:I35)</x:f>
        <x:v>786</x:v>
      </x:c>
      <x:c r="J37" s="28" t="n">
        <x:f>SUM(J10:J35)</x:f>
        <x:v>1268</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27"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 Profil d’équipement dans src/character-data.js, compatibilités et formations explicites dans src/loadout.js ; pouvoirs et arbres de talents complets non reproduits. Aucun nouveau costume d’équipement.</x:v>
      </x:c>
    </x:row>
    <x:row r="8" ht="88"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9" ht="88"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0" ht="88"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1" ht="88"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2" ht="88"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3" ht="88"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4" ht="88"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2d223b62abdd4808"/>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e10134b761434682"/>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9d55de90c63844b0"/>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6451510a67804521"/>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1adcf2046f204c36"/>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849af4c421f94157"/>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e3d9596217494c57"/>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58">
    <x:cfRule type="cellIs" dxfId="38" priority="4" operator="equal">
      <x:formula>"Référence à vérifier"</x:formula>
    </x:cfRule>
  </x:conditionalFormatting>
  <x:conditionalFormatting sqref="E7:E58">
    <x:cfRule type="cellIs" dxfId="3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42d0873f064d403d"/>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5">
    <x:cfRule type="cellIs" dxfId="43" priority="4" operator="equal">
      <x:formula>"Référence à vérifier"</x:formula>
    </x:cfRule>
  </x:conditionalFormatting>
  <x:conditionalFormatting sqref="E7:E45">
    <x:cfRule type="cellIs" dxfId="4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acf32060ec064b79"/>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f2c7e569e47e4cbf"/>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114">
    <x:cfRule type="cellIs" dxfId="53" priority="4" operator="equal">
      <x:formula>"Référence à vérifier"</x:formula>
    </x:cfRule>
  </x:conditionalFormatting>
  <x:conditionalFormatting sqref="E7:E114">
    <x:cfRule type="cellIs" dxfId="5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c5d1987215ce486c"/>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710687e8008845b1"/>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0555232f4b0547ac"/>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0b4210732415433f"/>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sheetData>
  <x:conditionalFormatting sqref="C7:C50">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50">
    <x:cfRule type="cellIs" dxfId="73" priority="4" operator="equal">
      <x:formula>"Référence à vérifier"</x:formula>
    </x:cfRule>
  </x:conditionalFormatting>
  <x:conditionalFormatting sqref="E7:E50">
    <x:cfRule type="cellIs" dxfId="74" priority="5" operator="equal">
      <x:formula>"P0"</x:formula>
    </x:cfRule>
  </x:conditionalFormatting>
  <x:dataValidations count="5">
    <x:dataValidation type="list" sqref="C7:C50">
      <x:formula1>"Défini,Prototype,Intégré,Validé"</x:formula1>
    </x:dataValidation>
    <x:dataValidation type="list" sqref="D7:D50">
      <x:formula1>"À produire,Prototype,Disponible,Validé,Sans objet,Non planifié"</x:formula1>
    </x:dataValidation>
    <x:dataValidation type="list" sqref="E7:E50">
      <x:formula1>"P0,P1,P2"</x:formula1>
    </x:dataValidation>
    <x:dataValidation type="list" sqref="F7:F50">
      <x:formula1>"ME1,ME2,ME3"</x:formula1>
    </x:dataValidation>
    <x:dataValidation type="list" sqref="G7:G50">
      <x:formula1>"Confirmé,Référence à vérifier,Adaptation"</x:formula1>
    </x:dataValidation>
  </x:dataValidations>
  <x:pageMargins left="0.7" right="0.7" top="0.75" bottom="0.75" header="0.3" footer="0.3"/>
  <x:tableParts count="1">
    <x:tablePart xmlns:r="http://schemas.openxmlformats.org/officeDocument/2006/relationships" r:id="R2b39658ba635401d"/>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88" customHeight="1">
      <x:c r="A21" s="13" t="str">
        <x:v>EQP-omni-outil</x:v>
      </x:c>
      <x:c r="B21" s="14" t="str">
        <x:v>Omni-outil</x:v>
      </x:c>
      <x:c r="C21" s="10" t="str">
        <x:v>Prototype</x:v>
      </x:c>
      <x:c r="D21" s="11" t="str">
        <x:v>À produire</x:v>
      </x:c>
      <x:c r="E21" s="15" t="str">
        <x:v>P1</x:v>
      </x:c>
      <x:c r="F21" s="15" t="str">
        <x:v>ME1</x:v>
      </x:c>
      <x:c r="G21" s="15" t="str">
        <x:v>Confirmé</x:v>
      </x:c>
      <x:c r="H21" s="14" t="str">
        <x:v>Interface technologique de l’équipier.</x:v>
      </x:c>
      <x:c r="I21" s="14" t="str">
        <x:v>Effets et modèles compatibles avec sa classe.</x:v>
      </x:c>
      <x:c r="J21" s="14" t="str"/>
      <x:c r="K21" s="14" t="str">
        <x:v>content/equipment/EQP-omni-outil.json</x:v>
      </x:c>
      <x:c r="L21" s="14" t="str">
        <x:v>src/tool-data.js</x:v>
      </x:c>
      <x:c r="M21" s="14" t="str">
        <x:v>omniTool</x:v>
      </x:c>
      <x:c r="N21" s="14" t="str">
        <x:v>Manuel PC FR p.24 (PDF14), existence et rôle général de l’outil. Aucun fabricant, rang, prix ou chiffre original certifié.</x:v>
      </x:c>
      <x:c r="O21" s="14" t="str">
        <x:v>https://eaassets-a.akamaihd.net/eahelp/manuals/mass-effect-manuals_PC_fr.pdf</x:v>
      </x:c>
      <x:c r="P21" s="14" t="str">
        <x:v>Production ME1</x:v>
      </x:c>
      <x:c r="Q21" s="14"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2" ht="88" customHeight="1">
      <x:c r="A22" s="12" t="str">
        <x:v>EQP-amplificateur-biotique</x:v>
      </x:c>
      <x:c r="B22" s="7" t="str">
        <x:v>Amplificateur biotique</x:v>
      </x:c>
      <x:c r="C22" s="10" t="str">
        <x:v>Prototype</x:v>
      </x:c>
      <x:c r="D22" s="11" t="str">
        <x:v>À produire</x:v>
      </x:c>
      <x:c r="E22" s="9" t="str">
        <x:v>P1</x:v>
      </x:c>
      <x:c r="F22" s="9" t="str">
        <x:v>ME1</x:v>
      </x:c>
      <x:c r="G22" s="9" t="str">
        <x:v>Confirmé</x:v>
      </x:c>
      <x:c r="H22" s="7" t="str">
        <x:v>Équipement réservé aux utilisateurs biotiques.</x:v>
      </x:c>
      <x:c r="I22" s="7" t="str">
        <x:v>N’accorde pas la biotique à un personnage non biotique.</x:v>
      </x:c>
      <x:c r="J22" s="7" t="str"/>
      <x:c r="K22" s="7" t="str">
        <x:v>content/equipment/EQP-amplificateur-biotique.json</x:v>
      </x:c>
      <x:c r="L22" s="7" t="str">
        <x:v>src/tool-data.js</x:v>
      </x:c>
      <x:c r="M22" s="7" t="str">
        <x:v>bioticAmp</x:v>
      </x:c>
      <x:c r="N22" s="7" t="str">
        <x:v>Manuel PC FR p.24 (PDF14), existence et rôle général de l’outil. Aucun fabricant, rang, prix ou chiffre original certifié.</x:v>
      </x:c>
      <x:c r="O22" s="7" t="str">
        <x:v>https://eaassets-a.akamaihd.net/eahelp/manuals/mass-effect-manuals_PC_fr.pdf</x:v>
      </x:c>
      <x:c r="P22" s="7" t="str">
        <x:v>Production ME1</x:v>
      </x:c>
      <x:c r="Q22" s="7"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62" customHeight="1">
      <x:c r="A61" s="13" t="str">
        <x:v>GEAR-omni-tool-standard</x:v>
      </x:c>
      <x:c r="B61" s="14" t="str">
        <x:v>OmniTech standard</x:v>
      </x:c>
      <x:c r="C61" s="10" t="str">
        <x:v>Prototype</x:v>
      </x:c>
      <x:c r="D61" s="11" t="str">
        <x:v>À produire</x:v>
      </x:c>
      <x:c r="E61" s="15" t="str">
        <x:v>P1</x:v>
      </x:c>
      <x:c r="F61" s="15" t="str">
        <x:v>ME1</x:v>
      </x:c>
      <x:c r="G61" s="15" t="str">
        <x:v>Adaptation</x:v>
      </x:c>
      <x:c r="H61" s="14" t="str">
        <x:v>Outil générique pour capacités technologiques ; achat 80 CR, vente 32 CR, stock initial 3. Bonus ATB : {"techMultiplier":1}.</x:v>
      </x:c>
      <x:c r="I61" s="14" t="str">
        <x:v>Contrôler éligibilité, quantité, stock et transaction avant mutation. Renforcer uniquement les pouvoirs existants du domaine, sans double bonus ni nouveau pouvoir. Conserver après reprise et import.</x:v>
      </x:c>
      <x:c r="J61" s="14" t="str">
        <x:v>SYS-inventaire, SYS-commerce, EQP-omni-outil</x:v>
      </x:c>
      <x:c r="K61" s="14" t="str">
        <x:v>src/tool-data.js</x:v>
      </x:c>
      <x:c r="L61" s="14" t="str">
        <x:v>src/tool-data.js</x:v>
      </x:c>
      <x:c r="M61" s="14" t="str">
        <x:v>ITEMS.omni-tool-standard</x:v>
      </x:c>
      <x:c r="N61" s="14" t="str">
        <x:v>Manuel PC FR p.24 : rôle général. Version générique ; prix et bonus propres à Relay Chronicles.</x:v>
      </x:c>
      <x:c r="O61" s="14" t="str">
        <x:v>https://eaassets-a.akamaihd.net/eahelp/manuals/mass-effect-manuals_PC_fr.pdf</x:v>
      </x:c>
      <x:c r="P61" s="14" t="str">
        <x:v>Production ME1</x:v>
      </x:c>
      <x:c r="Q61" s="14" t="str">
        <x:v>Aucun fabricant, rang original ni modèle visuel dédié. Coûts et multiplicateurs ATB, à comparer aux tables de l’édition retenue.</x:v>
      </x:c>
    </x:row>
    <x:row r="62" ht="62" customHeight="1">
      <x:c r="A62" s="12" t="str">
        <x:v>GEAR-biotic-amp-standard</x:v>
      </x:c>
      <x:c r="B62" s="7" t="str">
        <x:v>Amplificateur biotique standard</x:v>
      </x:c>
      <x:c r="C62" s="10" t="str">
        <x:v>Prototype</x:v>
      </x:c>
      <x:c r="D62" s="11" t="str">
        <x:v>À produire</x:v>
      </x:c>
      <x:c r="E62" s="9" t="str">
        <x:v>P1</x:v>
      </x:c>
      <x:c r="F62" s="9" t="str">
        <x:v>ME1</x:v>
      </x:c>
      <x:c r="G62" s="9" t="str">
        <x:v>Adaptation</x:v>
      </x:c>
      <x:c r="H62" s="7" t="str">
        <x:v>Outil générique pour capacités biotiques ; achat 80 CR, vente 32 CR, stock initial 3. Bonus ATB : {"bioticMultiplier":1}.</x:v>
      </x:c>
      <x:c r="I62" s="7" t="str">
        <x:v>Contrôler éligibilité, quantité, stock et transaction avant mutation. Renforcer uniquement les pouvoirs existants du domaine, sans double bonus ni nouveau pouvoir. Conserver après reprise et import.</x:v>
      </x:c>
      <x:c r="J62" s="7" t="str">
        <x:v>SYS-inventaire, SYS-commerce, EQP-amplificateur-biotique</x:v>
      </x:c>
      <x:c r="K62" s="7" t="str">
        <x:v>src/tool-data.js</x:v>
      </x:c>
      <x:c r="L62" s="7" t="str">
        <x:v>src/tool-data.js</x:v>
      </x:c>
      <x:c r="M62" s="7" t="str">
        <x:v>ITEMS.biotic-amp-standard</x:v>
      </x:c>
      <x:c r="N62" s="7" t="str">
        <x:v>Manuel PC FR p.24 : rôle général. Version générique ; prix et bonus propres à Relay Chronicles.</x:v>
      </x:c>
      <x:c r="O62" s="7" t="str">
        <x:v>https://eaassets-a.akamaihd.net/eahelp/manuals/mass-effect-manuals_PC_fr.pdf</x:v>
      </x:c>
      <x:c r="P62" s="7" t="str">
        <x:v>Production ME1</x:v>
      </x:c>
      <x:c r="Q62" s="7" t="str">
        <x:v>Aucun fabricant, rang original ni modèle visuel dédié. Coûts et multiplicateurs ATB, à comparer aux tables de l’édition retenue.</x:v>
      </x:c>
    </x:row>
    <x:row r="63" ht="62" customHeight="1">
      <x:c r="A63" s="13" t="str">
        <x:v>GEAR-omni-tool-upgraded</x:v>
      </x:c>
      <x:c r="B63" s="14" t="str">
        <x:v>OmniTech amélioré</x:v>
      </x:c>
      <x:c r="C63" s="10" t="str">
        <x:v>Prototype</x:v>
      </x:c>
      <x:c r="D63" s="11" t="str">
        <x:v>À produire</x:v>
      </x:c>
      <x:c r="E63" s="15" t="str">
        <x:v>P1</x:v>
      </x:c>
      <x:c r="F63" s="15" t="str">
        <x:v>ME1</x:v>
      </x:c>
      <x:c r="G63" s="15" t="str">
        <x:v>Adaptation</x:v>
      </x:c>
      <x:c r="H63" s="14" t="str">
        <x:v>Outil générique pour capacités technologiques ; achat 240 CR, vente 96 CR, stock initial 3. Bonus ATB : {"techMultiplier":1.15}.</x:v>
      </x:c>
      <x:c r="I63" s="14" t="str">
        <x:v>Contrôler éligibilité, quantité, stock et transaction avant mutation. Renforcer uniquement les pouvoirs existants du domaine, sans double bonus ni nouveau pouvoir. Conserver après reprise et import.</x:v>
      </x:c>
      <x:c r="J63" s="14" t="str">
        <x:v>SYS-inventaire, SYS-commerce, EQP-omni-outil</x:v>
      </x:c>
      <x:c r="K63" s="14" t="str">
        <x:v>src/tool-data.js</x:v>
      </x:c>
      <x:c r="L63" s="14" t="str">
        <x:v>src/tool-data.js</x:v>
      </x:c>
      <x:c r="M63" s="14" t="str">
        <x:v>ITEMS.omni-tool-upgraded</x:v>
      </x:c>
      <x:c r="N63" s="14" t="str">
        <x:v>Manuel PC FR p.24 : rôle général. Version générique ; prix et bonus propres à Relay Chronicles.</x:v>
      </x:c>
      <x:c r="O63" s="14" t="str">
        <x:v>https://eaassets-a.akamaihd.net/eahelp/manuals/mass-effect-manuals_PC_fr.pdf</x:v>
      </x:c>
      <x:c r="P63" s="14" t="str">
        <x:v>Production ME1</x:v>
      </x:c>
      <x:c r="Q63" s="14" t="str">
        <x:v>Aucun fabricant, rang original ni modèle visuel dédié. Coûts et multiplicateurs ATB, à comparer aux tables de l’édition retenue.</x:v>
      </x:c>
    </x:row>
    <x:row r="64" ht="62" customHeight="1">
      <x:c r="A64" s="12" t="str">
        <x:v>GEAR-biotic-amp-upgraded</x:v>
      </x:c>
      <x:c r="B64" s="7" t="str">
        <x:v>Amplificateur biotique amélioré</x:v>
      </x:c>
      <x:c r="C64" s="10" t="str">
        <x:v>Prototype</x:v>
      </x:c>
      <x:c r="D64" s="11" t="str">
        <x:v>À produire</x:v>
      </x:c>
      <x:c r="E64" s="9" t="str">
        <x:v>P1</x:v>
      </x:c>
      <x:c r="F64" s="9" t="str">
        <x:v>ME1</x:v>
      </x:c>
      <x:c r="G64" s="9" t="str">
        <x:v>Adaptation</x:v>
      </x:c>
      <x:c r="H64" s="7" t="str">
        <x:v>Outil générique pour capacités biotiques ; achat 240 CR, vente 96 CR, stock initial 3. Bonus ATB : {"bioticMultiplier":1.15}.</x:v>
      </x:c>
      <x:c r="I64" s="7" t="str">
        <x:v>Contrôler éligibilité, quantité, stock et transaction avant mutation. Renforcer uniquement les pouvoirs existants du domaine, sans double bonus ni nouveau pouvoir. Conserver après reprise et import.</x:v>
      </x:c>
      <x:c r="J64" s="7" t="str">
        <x:v>SYS-inventaire, SYS-commerce, EQP-amplificateur-biotique</x:v>
      </x:c>
      <x:c r="K64" s="7" t="str">
        <x:v>src/tool-data.js</x:v>
      </x:c>
      <x:c r="L64" s="7" t="str">
        <x:v>src/tool-data.js</x:v>
      </x:c>
      <x:c r="M64" s="7" t="str">
        <x:v>ITEMS.biotic-amp-upgraded</x:v>
      </x:c>
      <x:c r="N64" s="7" t="str">
        <x:v>Manuel PC FR p.24 : rôle général. Version générique ; prix et bonus propres à Relay Chronicles.</x:v>
      </x:c>
      <x:c r="O64" s="7" t="str">
        <x:v>https://eaassets-a.akamaihd.net/eahelp/manuals/mass-effect-manuals_PC_fr.pdf</x:v>
      </x:c>
      <x:c r="P64" s="7" t="str">
        <x:v>Production ME1</x:v>
      </x:c>
      <x:c r="Q64" s="7" t="str">
        <x:v>Aucun fabricant, rang original ni modèle visuel dédié. Coûts et multiplicateurs ATB, à comparer aux tables de l’édition retenue.</x:v>
      </x:c>
    </x:row>
  </x:sheetData>
  <x:conditionalFormatting sqref="C7:C64">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64">
    <x:cfRule type="cellIs" dxfId="78" priority="4" operator="equal">
      <x:formula>"Référence à vérifier"</x:formula>
    </x:cfRule>
  </x:conditionalFormatting>
  <x:conditionalFormatting sqref="E7:E64">
    <x:cfRule type="cellIs" dxfId="79" priority="5" operator="equal">
      <x:formula>"P0"</x:formula>
    </x:cfRule>
  </x:conditionalFormatting>
  <x:dataValidations count="5">
    <x:dataValidation type="list" sqref="C7:C64">
      <x:formula1>"Défini,Prototype,Intégré,Validé"</x:formula1>
    </x:dataValidation>
    <x:dataValidation type="list" sqref="D7:D64">
      <x:formula1>"À produire,Prototype,Disponible,Validé,Sans objet,Non planifié"</x:formula1>
    </x:dataValidation>
    <x:dataValidation type="list" sqref="E7:E64">
      <x:formula1>"P0,P1,P2"</x:formula1>
    </x:dataValidation>
    <x:dataValidation type="list" sqref="F7:F64">
      <x:formula1>"ME1,ME2,ME3"</x:formula1>
    </x:dataValidation>
    <x:dataValidation type="list" sqref="G7:G64">
      <x:formula1>"Confirmé,Référence à vérifier,Adaptation"</x:formula1>
    </x:dataValidation>
  </x:dataValidations>
  <x:pageMargins left="0.7" right="0.7" top="0.75" bottom="0.75" header="0.3" footer="0.3"/>
  <x:tableParts count="1">
    <x:tablePart xmlns:r="http://schemas.openxmlformats.org/officeDocument/2006/relationships" r:id="R0b42a921c5174760"/>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8c326b36bd854bc8"/>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b1376f9ea2b1490b"/>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42c6e87d96c044a7"/>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sheetData>
  <x:conditionalFormatting sqref="C7:C66">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66">
    <x:cfRule type="cellIs" dxfId="98" priority="4" operator="equal">
      <x:formula>"Référence à vérifier"</x:formula>
    </x:cfRule>
  </x:conditionalFormatting>
  <x:conditionalFormatting sqref="E7:E66">
    <x:cfRule type="cellIs" dxfId="99" priority="5" operator="equal">
      <x:formula>"P0"</x:formula>
    </x:cfRule>
  </x:conditionalFormatting>
  <x:dataValidations count="5">
    <x:dataValidation type="list" sqref="C7:C66">
      <x:formula1>"Défini,Prototype,Intégré,Validé"</x:formula1>
    </x:dataValidation>
    <x:dataValidation type="list" sqref="D7:D66">
      <x:formula1>"À produire,Prototype,Disponible,Validé,Sans objet,Non planifié"</x:formula1>
    </x:dataValidation>
    <x:dataValidation type="list" sqref="E7:E66">
      <x:formula1>"P0,P1,P2"</x:formula1>
    </x:dataValidation>
    <x:dataValidation type="list" sqref="F7:F66">
      <x:formula1>"ME1,ME2,ME3"</x:formula1>
    </x:dataValidation>
    <x:dataValidation type="list" sqref="G7:G66">
      <x:formula1>"Confirmé,Référence à vérifier,Adaptation"</x:formula1>
    </x:dataValidation>
  </x:dataValidations>
  <x:pageMargins left="0.7" right="0.7" top="0.75" bottom="0.75" header="0.3" footer="0.3"/>
  <x:tableParts count="1">
    <x:tablePart xmlns:r="http://schemas.openxmlformats.org/officeDocument/2006/relationships" r:id="Ra8b85a8c09954ab5"/>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sheetData>
  <x:conditionalFormatting sqref="C7:C83">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3">
    <x:cfRule type="cellIs" dxfId="103" priority="4" operator="equal">
      <x:formula>"Référence à vérifier"</x:formula>
    </x:cfRule>
  </x:conditionalFormatting>
  <x:conditionalFormatting sqref="E7:E83">
    <x:cfRule type="cellIs" dxfId="104" priority="5" operator="equal">
      <x:formula>"P0"</x:formula>
    </x:cfRule>
  </x:conditionalFormatting>
  <x:dataValidations count="5">
    <x:dataValidation type="list" sqref="C7:C83">
      <x:formula1>"Défini,Prototype,Intégré,Validé"</x:formula1>
    </x:dataValidation>
    <x:dataValidation type="list" sqref="D7:D83">
      <x:formula1>"À produire,Prototype,Disponible,Validé,Sans objet,Non planifié"</x:formula1>
    </x:dataValidation>
    <x:dataValidation type="list" sqref="E7:E83">
      <x:formula1>"P0,P1,P2"</x:formula1>
    </x:dataValidation>
    <x:dataValidation type="list" sqref="F7:F83">
      <x:formula1>"ME1,ME2,ME3"</x:formula1>
    </x:dataValidation>
    <x:dataValidation type="list" sqref="G7:G83">
      <x:formula1>"Confirmé,Référence à vérifier,Adaptation"</x:formula1>
    </x:dataValidation>
  </x:dataValidations>
  <x:pageMargins left="0.7" right="0.7" top="0.75" bottom="0.75" header="0.3" footer="0.3"/>
  <x:tableParts count="1">
    <x:tablePart xmlns:r="http://schemas.openxmlformats.org/officeDocument/2006/relationships" r:id="Ra1f12cbf6ab8409a"/>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1d146f80e9da4e22"/>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a89854fc94dc4071"/>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101"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20 exemplaires par référence, 52 articles et neuf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 Complément : inventaire interne v2, migration stricte des stocks et ports v1, restitution des modules au retrait/remplacement de leur pièce, quatre outils et comparaison des effets bio/tech. Preuve docs/qa/equipment-extension-report.json.</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100" customHeight="1">
      <x:c r="A20" s="12" t="str">
        <x:v>SYS-talents</x:v>
      </x:c>
      <x:c r="B20" s="7" t="str">
        <x:v>Talents</x:v>
      </x:c>
      <x:c r="C20" s="10" t="str">
        <x:v>Prototype</x:v>
      </x:c>
      <x:c r="D20" s="11" t="str">
        <x:v>Prototype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v>src/loadout.js</x:v>
      </x:c>
      <x:c r="M20" s="7" t="str">
        <x:v>trainArmor</x:v>
      </x:c>
      <x:c r="N20" s="7" t="str">
        <x:v>Décisions du fan game ; aucune prétention de canon officiel</x:v>
      </x:c>
      <x:c r="O20" s="7" t="str"/>
      <x:c r="P20" s="7" t="str">
        <x:v>Production ME1</x:v>
      </x:c>
      <x:c r="Q20" s="7" t="str">
        <x:v>Formations d’armure explicites seulement, classe/personnage éligible et budget contrôlé. Un point par niveau ATB gagné, coût un point. Ancienne armure portée conservée par exception limitée à cette pièce ; changer de pièce exige une formation. Arbres complets, rangs originaux, Electronics et bonus de maîtrise restent à reproduire. Voir docs/research/loadout-extension-sources.md.</x:v>
      </x:c>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sheetData>
  <x:conditionalFormatting sqref="C7:C46">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46">
    <x:cfRule type="cellIs" dxfId="118" priority="4" operator="equal">
      <x:formula>"Référence à vérifier"</x:formula>
    </x:cfRule>
  </x:conditionalFormatting>
  <x:conditionalFormatting sqref="E7:E46">
    <x:cfRule type="cellIs" dxfId="119" priority="5" operator="equal">
      <x:formula>"P0"</x:formula>
    </x:cfRule>
  </x:conditionalFormatting>
  <x:dataValidations count="5">
    <x:dataValidation type="list" sqref="C7:C46">
      <x:formula1>"Défini,Prototype,Intégré,Validé"</x:formula1>
    </x:dataValidation>
    <x:dataValidation type="list" sqref="D7:D46">
      <x:formula1>"À produire,Prototype,Disponible,Validé,Sans objet,Non planifié"</x:formula1>
    </x:dataValidation>
    <x:dataValidation type="list" sqref="E7:E46">
      <x:formula1>"P0,P1,P2"</x:formula1>
    </x:dataValidation>
    <x:dataValidation type="list" sqref="F7:F46">
      <x:formula1>"ME1,ME2,ME3"</x:formula1>
    </x:dataValidation>
    <x:dataValidation type="list" sqref="G7:G46">
      <x:formula1>"Confirmé,Référence à vérifier,Adaptation"</x:formula1>
    </x:dataValidation>
  </x:dataValidations>
  <x:pageMargins left="0.7" right="0.7" top="0.75" bottom="0.75" header="0.3" footer="0.3"/>
  <x:tableParts count="1">
    <x:tablePart xmlns:r="http://schemas.openxmlformats.org/officeDocument/2006/relationships" r:id="R96f0402e96754028"/>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sheetData>
  <x:conditionalFormatting sqref="C7:C58">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58">
    <x:cfRule type="cellIs" dxfId="123" priority="4" operator="equal">
      <x:formula>"Référence à vérifier"</x:formula>
    </x:cfRule>
  </x:conditionalFormatting>
  <x:conditionalFormatting sqref="E7:E58">
    <x:cfRule type="cellIs" dxfId="124"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51eb4673e0944679"/>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d9005d7cc5ba440b"/>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88" customHeight="1">
      <x:c r="A30" s="7" t="str">
        <x:v>ME1-MANUAL</x:v>
      </x:c>
      <x:c r="B30" s="7" t="str">
        <x:v>Manuel officiel Mass Effect PC FR</x:v>
      </x:c>
      <x:c r="C30" s="7" t="str">
        <x:v>Manuel PC FR réellement consulté : familles, formations d’armures et ports/outils pp.20–24 ; existence et règles seulement, pas les chiffres de chaque modèle. Preuve docs/qa/equipment-primary-reference-report.json.</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75" customHeight="1">
      <x:c r="A32" s="7" t="str">
        <x:v>EA-GAMEPLAY</x:v>
      </x:c>
      <x:c r="B32" s="7" t="str">
        <x:v>EA Gameplay Calibrations</x:v>
      </x:c>
      <x:c r="C32" s="7" t="str">
        <x:v>Article officiel réellement consulté : différences de visée, chauffe et spécialisations original/Legendary Edition, sans certification des valeurs des objets.</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62" customHeight="1">
      <x:c r="A37" s="7" t="str">
        <x:v>PRIMA-PROLOGUE</x:v>
      </x:c>
      <x:c r="B37" s="7" t="str">
        <x:v>Guide officiel Prima, prologue</x:v>
      </x:c>
      <x:c r="C37" s="7" t="str">
        <x:v>Extrait officiel consulté de 23 pages : prologue/Normandy, chauffe p.64 et port/maîtrise p.65. Ne contient pas les tables de tous les objets.</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42" customHeight="1">
      <x:c r="A69" s="7"/>
      <x:c r="B69" s="7"/>
      <x:c r="C69" s="7"/>
      <x:c r="D69" s="7"/>
    </x:row>
    <x:row r="70" ht="42" customHeight="1">
      <x:c r="A70" s="7"/>
      <x:c r="B70" s="7"/>
      <x:c r="C70" s="7"/>
      <x:c r="D70" s="7"/>
    </x:row>
    <x:row r="71" ht="68" customHeight="1">
      <x:c r="A71" s="7" t="str">
        <x:v>Périmètre</x:v>
      </x:c>
      <x:c r="B71" s="7" t="str">
        <x:v>Plan de couverture du premier Mass Effect avec extensions ME2 et ME3 séparées. Le prototype jouable condense les lieux et ne constitue pas une reproduction complète.</x:v>
      </x:c>
      <x:c r="C71" s="7"/>
      <x:c r="D71" s="7"/>
    </x:row>
    <x:row r="72" ht="68" customHeight="1">
      <x:c r="A72" s="7" t="str">
        <x:v>Fidélité</x:v>
      </x:c>
      <x:c r="B72" s="7" t="str">
        <x:v>Aucun asset ni aucune mission n’est déclaré fidèle 1:1 ou terminé sans contrôle explicite.</x:v>
      </x:c>
      <x:c r="C72" s="7"/>
      <x:c r="D72" s="7"/>
    </x:row>
    <x:row r="73" ht="42" customHeight="1">
      <x:c r="A73" s="7" t="str">
        <x:v>Version</x:v>
      </x:c>
      <x:c r="B73" s="7" t="str">
        <x:v>0.2.0</x:v>
      </x:c>
      <x:c r="C73" s="7"/>
      <x:c r="D73" s="7"/>
    </x:row>
    <x:row r="74" ht="42" customHeight="1">
      <x:c r="A74" s="7" t="str">
        <x:v>Date de référence</x:v>
      </x:c>
      <x:c r="B74" s="32" t="d">
        <x:v>2026-10-23T12:00:00.000Z</x:v>
      </x:c>
      <x:c r="C74" s="7"/>
      <x:c r="D74" s="7"/>
    </x:row>
    <x:row r="75" ht="22" customHeight="1">
      <x:c r="A75" s="2"/>
      <x:c r="B75" s="2"/>
      <x:c r="C75" s="2"/>
      <x:c r="D75" s="2"/>
    </x:row>
    <x:row r="76" ht="22" customHeight="1">
      <x:c r="A76" s="2"/>
      <x:c r="B76" s="2"/>
      <x:c r="C76" s="2"/>
      <x:c r="D76" s="2"/>
    </x:row>
    <x:row r="77" ht="22" customHeight="1">
      <x:c r="A77" s="2"/>
      <x:c r="B77" s="2"/>
      <x:c r="C77" s="2"/>
      <x:c r="D77" s="2"/>
    </x:row>
  </x:sheetData>
  <x:pageMargins left="0.7" right="0.7" top="0.75" bottom="0.75" header="0.3" footer="0.3"/>
</x:worksheet>
</file>