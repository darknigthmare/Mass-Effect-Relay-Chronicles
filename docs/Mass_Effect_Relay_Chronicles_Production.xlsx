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52248cc41a465f" /></Relationships>
</file>

<file path=xl/workbook.xml><?xml version="1.0" encoding="utf-8"?>
<x:workbook xmlns:x="http://schemas.openxmlformats.org/spreadsheetml/2006/main">
  <x:sheets>
    <x:sheet xmlns:r="http://schemas.openxmlformats.org/officeDocument/2006/relationships" name="Dashboard" sheetId="1" r:id="R9e1bc25ba22c4a7d"/>
    <x:sheet xmlns:r="http://schemas.openxmlformats.org/officeDocument/2006/relationships" name="Personnages" sheetId="2" r:id="Reba2459d9907466c"/>
    <x:sheet xmlns:r="http://schemas.openxmlformats.org/officeDocument/2006/relationships" name="PNJ" sheetId="3" r:id="R354700cc79714a2e"/>
    <x:sheet xmlns:r="http://schemas.openxmlformats.org/officeDocument/2006/relationships" name="Especes_factions" sheetId="4" r:id="Rd0623a51c5374b34"/>
    <x:sheet xmlns:r="http://schemas.openxmlformats.org/officeDocument/2006/relationships" name="Mondes" sheetId="5" r:id="R48d45bac41e74226"/>
    <x:sheet xmlns:r="http://schemas.openxmlformats.org/officeDocument/2006/relationships" name="Zones" sheetId="6" r:id="R2521934c921041b9"/>
    <x:sheet xmlns:r="http://schemas.openxmlformats.org/officeDocument/2006/relationships" name="Liaisons" sheetId="7" r:id="R2ab3d55bf7884ff2"/>
    <x:sheet xmlns:r="http://schemas.openxmlformats.org/officeDocument/2006/relationships" name="Decors" sheetId="8" r:id="R2c2d223fa0c4401e"/>
    <x:sheet xmlns:r="http://schemas.openxmlformats.org/officeDocument/2006/relationships" name="Props" sheetId="9" r:id="R558e69d7841143f3"/>
    <x:sheet xmlns:r="http://schemas.openxmlformats.org/officeDocument/2006/relationships" name="Ennemis_boss" sheetId="10" r:id="Rd3fd78713aca4477"/>
    <x:sheet xmlns:r="http://schemas.openxmlformats.org/officeDocument/2006/relationships" name="Missions" sheetId="11" r:id="R3433e076a9964b5d"/>
    <x:sheet xmlns:r="http://schemas.openxmlformats.org/officeDocument/2006/relationships" name="Secondaires_DLC" sheetId="12" r:id="R926b86db39494223"/>
    <x:sheet xmlns:r="http://schemas.openxmlformats.org/officeDocument/2006/relationships" name="Choix_relations" sheetId="13" r:id="R8adb00c3d7f04487"/>
    <x:sheet xmlns:r="http://schemas.openxmlformats.org/officeDocument/2006/relationships" name="Dialogues" sheetId="14" r:id="R5f41027043b3415f"/>
    <x:sheet xmlns:r="http://schemas.openxmlformats.org/officeDocument/2006/relationships" name="Cinematiques" sheetId="15" r:id="Rfde71fe810184051"/>
    <x:sheet xmlns:r="http://schemas.openxmlformats.org/officeDocument/2006/relationships" name="Armes" sheetId="16" r:id="R5326fd8aabf3405a"/>
    <x:sheet xmlns:r="http://schemas.openxmlformats.org/officeDocument/2006/relationships" name="Armures_equipement" sheetId="17" r:id="Ra552bc5961f042bc"/>
    <x:sheet xmlns:r="http://schemas.openxmlformats.org/officeDocument/2006/relationships" name="Pouvoirs" sheetId="18" r:id="Rcd21160c2e9a4e0e"/>
    <x:sheet xmlns:r="http://schemas.openxmlformats.org/officeDocument/2006/relationships" name="Movesets_allies" sheetId="19" r:id="Rdfd800d50a964230"/>
    <x:sheet xmlns:r="http://schemas.openxmlformats.org/officeDocument/2006/relationships" name="Movesets_ennemis" sheetId="20" r:id="R768e9f397c1748c6"/>
    <x:sheet xmlns:r="http://schemas.openxmlformats.org/officeDocument/2006/relationships" name="Animations" sheetId="21" r:id="R6b12518297ba4d99"/>
    <x:sheet xmlns:r="http://schemas.openxmlformats.org/officeDocument/2006/relationships" name="Sprites" sheetId="22" r:id="R5fa857dc68dd4c87"/>
    <x:sheet xmlns:r="http://schemas.openxmlformats.org/officeDocument/2006/relationships" name="VFX" sheetId="23" r:id="Ree60d54ecc914078"/>
    <x:sheet xmlns:r="http://schemas.openxmlformats.org/officeDocument/2006/relationships" name="Audio" sheetId="24" r:id="R1845c03f15134447"/>
    <x:sheet xmlns:r="http://schemas.openxmlformats.org/officeDocument/2006/relationships" name="UI_systemes" sheetId="25" r:id="Rcdc93b3d698843df"/>
    <x:sheet xmlns:r="http://schemas.openxmlformats.org/officeDocument/2006/relationships" name="QA" sheetId="26" r:id="Rd1d6105c79e54849"/>
    <x:sheet xmlns:r="http://schemas.openxmlformats.org/officeDocument/2006/relationships" name="Trilogie" sheetId="27" r:id="R4a765db7c3e14b54"/>
    <x:sheet xmlns:r="http://schemas.openxmlformats.org/officeDocument/2006/relationships" name="Guide" sheetId="28" r:id="R15e688a80726497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1bdb1510938e48bf" /><Relationship Type="http://schemas.openxmlformats.org/officeDocument/2006/relationships/theme" Target="/xl/theme/theme1.xml" Id="R540856b2282a4da9" /><Relationship Type="http://schemas.openxmlformats.org/officeDocument/2006/relationships/sharedStrings" Target="/xl/sharedStrings.xml" Id="R46a4f3d3eff7463b" /><Relationship Type="http://schemas.openxmlformats.org/officeDocument/2006/relationships/worksheet" Target="/xl/worksheets/sheet1.xml" Id="R9e1bc25ba22c4a7d" /><Relationship Type="http://schemas.openxmlformats.org/officeDocument/2006/relationships/worksheet" Target="/xl/worksheets/sheet2.xml" Id="Reba2459d9907466c" /><Relationship Type="http://schemas.openxmlformats.org/officeDocument/2006/relationships/worksheet" Target="/xl/worksheets/sheet3.xml" Id="R354700cc79714a2e" /><Relationship Type="http://schemas.openxmlformats.org/officeDocument/2006/relationships/worksheet" Target="/xl/worksheets/sheet4.xml" Id="Rd0623a51c5374b34" /><Relationship Type="http://schemas.openxmlformats.org/officeDocument/2006/relationships/worksheet" Target="/xl/worksheets/sheet5.xml" Id="R48d45bac41e74226" /><Relationship Type="http://schemas.openxmlformats.org/officeDocument/2006/relationships/worksheet" Target="/xl/worksheets/sheet6.xml" Id="R2521934c921041b9" /><Relationship Type="http://schemas.openxmlformats.org/officeDocument/2006/relationships/worksheet" Target="/xl/worksheets/sheet7.xml" Id="R2ab3d55bf7884ff2" /><Relationship Type="http://schemas.openxmlformats.org/officeDocument/2006/relationships/worksheet" Target="/xl/worksheets/sheet8.xml" Id="R2c2d223fa0c4401e" /><Relationship Type="http://schemas.openxmlformats.org/officeDocument/2006/relationships/worksheet" Target="/xl/worksheets/sheet9.xml" Id="R558e69d7841143f3" /><Relationship Type="http://schemas.openxmlformats.org/officeDocument/2006/relationships/worksheet" Target="/xl/worksheets/sheet10.xml" Id="Rd3fd78713aca4477" /><Relationship Type="http://schemas.openxmlformats.org/officeDocument/2006/relationships/worksheet" Target="/xl/worksheets/sheet11.xml" Id="R3433e076a9964b5d" /><Relationship Type="http://schemas.openxmlformats.org/officeDocument/2006/relationships/worksheet" Target="/xl/worksheets/sheet12.xml" Id="R926b86db39494223" /><Relationship Type="http://schemas.openxmlformats.org/officeDocument/2006/relationships/worksheet" Target="/xl/worksheets/sheet13.xml" Id="R8adb00c3d7f04487" /><Relationship Type="http://schemas.openxmlformats.org/officeDocument/2006/relationships/worksheet" Target="/xl/worksheets/sheet14.xml" Id="R5f41027043b3415f" /><Relationship Type="http://schemas.openxmlformats.org/officeDocument/2006/relationships/worksheet" Target="/xl/worksheets/sheet15.xml" Id="Rfde71fe810184051" /><Relationship Type="http://schemas.openxmlformats.org/officeDocument/2006/relationships/worksheet" Target="/xl/worksheets/sheet16.xml" Id="R5326fd8aabf3405a" /><Relationship Type="http://schemas.openxmlformats.org/officeDocument/2006/relationships/worksheet" Target="/xl/worksheets/sheet17.xml" Id="Ra552bc5961f042bc" /><Relationship Type="http://schemas.openxmlformats.org/officeDocument/2006/relationships/worksheet" Target="/xl/worksheets/sheet18.xml" Id="Rcd21160c2e9a4e0e" /><Relationship Type="http://schemas.openxmlformats.org/officeDocument/2006/relationships/worksheet" Target="/xl/worksheets/sheet19.xml" Id="Rdfd800d50a964230" /><Relationship Type="http://schemas.openxmlformats.org/officeDocument/2006/relationships/worksheet" Target="/xl/worksheets/sheet20.xml" Id="R768e9f397c1748c6" /><Relationship Type="http://schemas.openxmlformats.org/officeDocument/2006/relationships/worksheet" Target="/xl/worksheets/sheet21.xml" Id="R6b12518297ba4d99" /><Relationship Type="http://schemas.openxmlformats.org/officeDocument/2006/relationships/worksheet" Target="/xl/worksheets/sheet22.xml" Id="R5fa857dc68dd4c87" /><Relationship Type="http://schemas.openxmlformats.org/officeDocument/2006/relationships/worksheet" Target="/xl/worksheets/sheet23.xml" Id="Ree60d54ecc914078" /><Relationship Type="http://schemas.openxmlformats.org/officeDocument/2006/relationships/worksheet" Target="/xl/worksheets/sheet24.xml" Id="R1845c03f15134447" /><Relationship Type="http://schemas.openxmlformats.org/officeDocument/2006/relationships/worksheet" Target="/xl/worksheets/sheet25.xml" Id="Rcdc93b3d698843df" /><Relationship Type="http://schemas.openxmlformats.org/officeDocument/2006/relationships/worksheet" Target="/xl/worksheets/sheet26.xml" Id="Rd1d6105c79e54849" /><Relationship Type="http://schemas.openxmlformats.org/officeDocument/2006/relationships/worksheet" Target="/xl/worksheets/sheet27.xml" Id="R4a765db7c3e14b54" /><Relationship Type="http://schemas.openxmlformats.org/officeDocument/2006/relationships/worksheet" Target="/xl/worksheets/sheet28.xml" Id="R15e688a80726497a"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0" headerRowCount="1" totalsRowCount="0" totalsRowShown="0">
  <x:autoFilter ref="A6:Q5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64" headerRowCount="1" totalsRowCount="0" totalsRowShown="0">
  <x:autoFilter ref="A6:Q6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51" headerRowCount="1" totalsRowCount="0" totalsRowShown="0">
  <x:autoFilter ref="A6:Q5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bc675acc5b34d3c" /></Relationships>
</file>

<file path=xl/worksheets/_rels/sheet3.xml.rels>&#65279;<?xml version="1.0" encoding="utf-8"?><Relationships xmlns="http://schemas.openxmlformats.org/package/2006/relationships"><Relationship Type="http://schemas.openxmlformats.org/officeDocument/2006/relationships/table" Target="/xl/tables/table2.xml" Id="R4d295e3ab9d54bbf" /></Relationships>
</file>

<file path=xl/worksheets/_rels/sheet4.xml.rels>&#65279;<?xml version="1.0" encoding="utf-8"?><Relationships xmlns="http://schemas.openxmlformats.org/package/2006/relationships"><Relationship Type="http://schemas.openxmlformats.org/officeDocument/2006/relationships/table" Target="/xl/tables/table3.xml" Id="Rca41aa5fb074406f" /></Relationships>
</file>

<file path=xl/worksheets/_rels/sheet5.xml.rels>&#65279;<?xml version="1.0" encoding="utf-8"?><Relationships xmlns="http://schemas.openxmlformats.org/package/2006/relationships"><Relationship Type="http://schemas.openxmlformats.org/officeDocument/2006/relationships/table" Target="/xl/tables/table4.xml" Id="R2b22b8d54d9a4eb0" /></Relationships>
</file>

<file path=xl/worksheets/_rels/sheet6.xml.rels>&#65279;<?xml version="1.0" encoding="utf-8"?><Relationships xmlns="http://schemas.openxmlformats.org/package/2006/relationships"><Relationship Type="http://schemas.openxmlformats.org/officeDocument/2006/relationships/table" Target="/xl/tables/table5.xml" Id="R9553ba7666ef4d46" /></Relationships>
</file>

<file path=xl/worksheets/_rels/sheet7.xml.rels>&#65279;<?xml version="1.0" encoding="utf-8"?><Relationships xmlns="http://schemas.openxmlformats.org/package/2006/relationships"><Relationship Type="http://schemas.openxmlformats.org/officeDocument/2006/relationships/table" Target="/xl/tables/table6.xml" Id="R80a528a89e624de0" /></Relationships>
</file>

<file path=xl/worksheets/_rels/sheet8.xml.rels>&#65279;<?xml version="1.0" encoding="utf-8"?><Relationships xmlns="http://schemas.openxmlformats.org/package/2006/relationships"><Relationship Type="http://schemas.openxmlformats.org/officeDocument/2006/relationships/table" Target="/xl/tables/table7.xml" Id="R9d83231ba42c4ce2" /></Relationships>
</file>

<file path=xl/worksheets/_rels/sheet9.xml.rels>&#65279;<?xml version="1.0" encoding="utf-8"?><Relationships xmlns="http://schemas.openxmlformats.org/package/2006/relationships"><Relationship Type="http://schemas.openxmlformats.org/officeDocument/2006/relationships/table" Target="/xl/tables/table8.xml" Id="Ra2c588f93dfa49e1" /></Relationships>
</file>

<file path=xl/worksheets/_rels/sheet10.xml.rels>&#65279;<?xml version="1.0" encoding="utf-8"?><Relationships xmlns="http://schemas.openxmlformats.org/package/2006/relationships"><Relationship Type="http://schemas.openxmlformats.org/officeDocument/2006/relationships/table" Target="/xl/tables/table9.xml" Id="R47c4026cabe94203" /></Relationships>
</file>

<file path=xl/worksheets/_rels/sheet11.xml.rels>&#65279;<?xml version="1.0" encoding="utf-8"?><Relationships xmlns="http://schemas.openxmlformats.org/package/2006/relationships"><Relationship Type="http://schemas.openxmlformats.org/officeDocument/2006/relationships/table" Target="/xl/tables/table10.xml" Id="Ra4fe0ad1bf314b86" /></Relationships>
</file>

<file path=xl/worksheets/_rels/sheet12.xml.rels>&#65279;<?xml version="1.0" encoding="utf-8"?><Relationships xmlns="http://schemas.openxmlformats.org/package/2006/relationships"><Relationship Type="http://schemas.openxmlformats.org/officeDocument/2006/relationships/table" Target="/xl/tables/table11.xml" Id="R7f78327376ec440b" /></Relationships>
</file>

<file path=xl/worksheets/_rels/sheet13.xml.rels>&#65279;<?xml version="1.0" encoding="utf-8"?><Relationships xmlns="http://schemas.openxmlformats.org/package/2006/relationships"><Relationship Type="http://schemas.openxmlformats.org/officeDocument/2006/relationships/table" Target="/xl/tables/table12.xml" Id="R5732c36c3f4245d8" /></Relationships>
</file>

<file path=xl/worksheets/_rels/sheet14.xml.rels>&#65279;<?xml version="1.0" encoding="utf-8"?><Relationships xmlns="http://schemas.openxmlformats.org/package/2006/relationships"><Relationship Type="http://schemas.openxmlformats.org/officeDocument/2006/relationships/table" Target="/xl/tables/table13.xml" Id="Rfa27dad91d8f4b4d" /></Relationships>
</file>

<file path=xl/worksheets/_rels/sheet15.xml.rels>&#65279;<?xml version="1.0" encoding="utf-8"?><Relationships xmlns="http://schemas.openxmlformats.org/package/2006/relationships"><Relationship Type="http://schemas.openxmlformats.org/officeDocument/2006/relationships/table" Target="/xl/tables/table14.xml" Id="R4b554244e402422d" /></Relationships>
</file>

<file path=xl/worksheets/_rels/sheet16.xml.rels>&#65279;<?xml version="1.0" encoding="utf-8"?><Relationships xmlns="http://schemas.openxmlformats.org/package/2006/relationships"><Relationship Type="http://schemas.openxmlformats.org/officeDocument/2006/relationships/table" Target="/xl/tables/table15.xml" Id="R1e060a228d754339" /></Relationships>
</file>

<file path=xl/worksheets/_rels/sheet17.xml.rels>&#65279;<?xml version="1.0" encoding="utf-8"?><Relationships xmlns="http://schemas.openxmlformats.org/package/2006/relationships"><Relationship Type="http://schemas.openxmlformats.org/officeDocument/2006/relationships/table" Target="/xl/tables/table16.xml" Id="R7891cf1e2eca48ad" /></Relationships>
</file>

<file path=xl/worksheets/_rels/sheet18.xml.rels>&#65279;<?xml version="1.0" encoding="utf-8"?><Relationships xmlns="http://schemas.openxmlformats.org/package/2006/relationships"><Relationship Type="http://schemas.openxmlformats.org/officeDocument/2006/relationships/table" Target="/xl/tables/table17.xml" Id="R591d258c67e34ba4" /></Relationships>
</file>

<file path=xl/worksheets/_rels/sheet19.xml.rels>&#65279;<?xml version="1.0" encoding="utf-8"?><Relationships xmlns="http://schemas.openxmlformats.org/package/2006/relationships"><Relationship Type="http://schemas.openxmlformats.org/officeDocument/2006/relationships/table" Target="/xl/tables/table18.xml" Id="Raa8b0f6a244a4fd2" /></Relationships>
</file>

<file path=xl/worksheets/_rels/sheet20.xml.rels>&#65279;<?xml version="1.0" encoding="utf-8"?><Relationships xmlns="http://schemas.openxmlformats.org/package/2006/relationships"><Relationship Type="http://schemas.openxmlformats.org/officeDocument/2006/relationships/table" Target="/xl/tables/table19.xml" Id="R46e8f0ee55684501" /></Relationships>
</file>

<file path=xl/worksheets/_rels/sheet21.xml.rels>&#65279;<?xml version="1.0" encoding="utf-8"?><Relationships xmlns="http://schemas.openxmlformats.org/package/2006/relationships"><Relationship Type="http://schemas.openxmlformats.org/officeDocument/2006/relationships/table" Target="/xl/tables/table20.xml" Id="R03a0913fd39e467e" /></Relationships>
</file>

<file path=xl/worksheets/_rels/sheet22.xml.rels>&#65279;<?xml version="1.0" encoding="utf-8"?><Relationships xmlns="http://schemas.openxmlformats.org/package/2006/relationships"><Relationship Type="http://schemas.openxmlformats.org/officeDocument/2006/relationships/table" Target="/xl/tables/table21.xml" Id="Rba8a12c0931d47b6" /></Relationships>
</file>

<file path=xl/worksheets/_rels/sheet23.xml.rels>&#65279;<?xml version="1.0" encoding="utf-8"?><Relationships xmlns="http://schemas.openxmlformats.org/package/2006/relationships"><Relationship Type="http://schemas.openxmlformats.org/officeDocument/2006/relationships/table" Target="/xl/tables/table22.xml" Id="R392e34a3adab4400" /></Relationships>
</file>

<file path=xl/worksheets/_rels/sheet24.xml.rels>&#65279;<?xml version="1.0" encoding="utf-8"?><Relationships xmlns="http://schemas.openxmlformats.org/package/2006/relationships"><Relationship Type="http://schemas.openxmlformats.org/officeDocument/2006/relationships/table" Target="/xl/tables/table23.xml" Id="R2e14a257c37e47f1" /></Relationships>
</file>

<file path=xl/worksheets/_rels/sheet25.xml.rels>&#65279;<?xml version="1.0" encoding="utf-8"?><Relationships xmlns="http://schemas.openxmlformats.org/package/2006/relationships"><Relationship Type="http://schemas.openxmlformats.org/officeDocument/2006/relationships/table" Target="/xl/tables/table24.xml" Id="R1b67c489c4e44056" /></Relationships>
</file>

<file path=xl/worksheets/_rels/sheet26.xml.rels>&#65279;<?xml version="1.0" encoding="utf-8"?><Relationships xmlns="http://schemas.openxmlformats.org/package/2006/relationships"><Relationship Type="http://schemas.openxmlformats.org/officeDocument/2006/relationships/table" Target="/xl/tables/table25.xml" Id="R17bb529500e043c8" /></Relationships>
</file>

<file path=xl/worksheets/_rels/sheet27.xml.rels>&#65279;<?xml version="1.0" encoding="utf-8"?><Relationships xmlns="http://schemas.openxmlformats.org/package/2006/relationships"><Relationship Type="http://schemas.openxmlformats.org/officeDocument/2006/relationships/table" Target="/xl/tables/table26.xml" Id="R4ebcee9adf6b4c9e"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1330</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COUNTA('Armes'!$A$7:$A$50)</x:f>
        <x:v>44</x:v>
      </x:c>
      <x:c r="C24" s="26" t="n">
        <x:f>COUNTIFS('Armes'!$C$7:$C$50,"Défini")</x:f>
        <x:v>24</x:v>
      </x:c>
      <x:c r="D24" s="26" t="n">
        <x:f>COUNTIFS('Armes'!$C$7:$C$50,"Prototype")</x:f>
        <x:v>20</x:v>
      </x:c>
      <x:c r="E24" s="26" t="n">
        <x:f>COUNTIFS('Armes'!$C$7:$C$50,"Intégré")</x:f>
        <x:v>0</x:v>
      </x:c>
      <x:c r="F24" s="26" t="n">
        <x:f>COUNTIFS('Armes'!$C$7:$C$50,"Validé")</x:f>
        <x:v>0</x:v>
      </x:c>
      <x:c r="G24" s="26" t="n">
        <x:f>COUNTIFS('Armes'!$G$7:$G$50,"Confirmé")</x:f>
        <x:v>0</x:v>
      </x:c>
      <x:c r="H24" s="26" t="n">
        <x:f>COUNTIFS('Armes'!$G$7:$G$50,"Référence à vérifier")</x:f>
        <x:v>24</x:v>
      </x:c>
      <x:c r="I24" s="26" t="n">
        <x:f>COUNTIFS('Armes'!$G$7:$G$50,"Adaptation")</x:f>
        <x:v>20</x:v>
      </x:c>
      <x:c r="J24" s="26" t="n">
        <x:f>COUNTIFS('Armes'!$F$7:$F$50,"ME1")</x:f>
        <x:v>44</x:v>
      </x:c>
      <x:c r="K24" s="26" t="n">
        <x:f>COUNTIFS('Armes'!$P$7:$P$50,"Extension future")</x:f>
        <x:v>0</x:v>
      </x:c>
    </x:row>
    <x:row r="25" ht="22" customHeight="1">
      <x:c r="A25" s="2" t="str">
        <x:v>Armures et équipement</x:v>
      </x:c>
      <x:c r="B25" s="27" t="n">
        <x:f>COUNTA('Armures_equipement'!$A$7:$A$64)</x:f>
        <x:v>58</x:v>
      </x:c>
      <x:c r="C25" s="27" t="n">
        <x:f>COUNTIFS('Armures_equipement'!$C$7:$C$64,"Défini")</x:f>
        <x:v>24</x:v>
      </x:c>
      <x:c r="D25" s="27" t="n">
        <x:f>COUNTIFS('Armures_equipement'!$C$7:$C$64,"Prototype")</x:f>
        <x:v>34</x:v>
      </x:c>
      <x:c r="E25" s="27" t="n">
        <x:f>COUNTIFS('Armures_equipement'!$C$7:$C$64,"Intégré")</x:f>
        <x:v>0</x:v>
      </x:c>
      <x:c r="F25" s="27" t="n">
        <x:f>COUNTIFS('Armures_equipement'!$C$7:$C$64,"Validé")</x:f>
        <x:v>0</x:v>
      </x:c>
      <x:c r="G25" s="27" t="n">
        <x:f>COUNTIFS('Armures_equipement'!$G$7:$G$64,"Confirmé")</x:f>
        <x:v>2</x:v>
      </x:c>
      <x:c r="H25" s="27" t="n">
        <x:f>COUNTIFS('Armures_equipement'!$G$7:$G$64,"Référence à vérifier")</x:f>
        <x:v>24</x:v>
      </x:c>
      <x:c r="I25" s="27" t="n">
        <x:f>COUNTIFS('Armures_equipement'!$G$7:$G$64,"Adaptation")</x:f>
        <x:v>32</x:v>
      </x:c>
      <x:c r="J25" s="27" t="n">
        <x:f>COUNTIFS('Armures_equipement'!$F$7:$F$64,"ME1")</x:f>
        <x:v>58</x:v>
      </x:c>
      <x:c r="K25" s="27" t="n">
        <x:f>COUNTIFS('Armures_equipement'!$P$7:$P$64,"Extension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COUNTA('Animations'!$A$7:$A$66)</x:f>
        <x:v>60</x:v>
      </x:c>
      <x:c r="C29" s="27" t="n">
        <x:f>COUNTIFS('Animations'!$C$7:$C$66,"Défini")</x:f>
        <x:v>39</x:v>
      </x:c>
      <x:c r="D29" s="27" t="n">
        <x:f>COUNTIFS('Animations'!$C$7:$C$66,"Prototype")</x:f>
        <x:v>21</x:v>
      </x:c>
      <x:c r="E29" s="27" t="n">
        <x:f>COUNTIFS('Animations'!$C$7:$C$66,"Intégré")</x:f>
        <x:v>0</x:v>
      </x:c>
      <x:c r="F29" s="27" t="n">
        <x:f>COUNTIFS('Animations'!$C$7:$C$66,"Validé")</x:f>
        <x:v>0</x:v>
      </x:c>
      <x:c r="G29" s="27" t="n">
        <x:f>COUNTIFS('Animations'!$G$7:$G$66,"Confirmé")</x:f>
        <x:v>0</x:v>
      </x:c>
      <x:c r="H29" s="27" t="n">
        <x:f>COUNTIFS('Animations'!$G$7:$G$66,"Référence à vérifier")</x:f>
        <x:v>0</x:v>
      </x:c>
      <x:c r="I29" s="27" t="n">
        <x:f>COUNTIFS('Animations'!$G$7:$G$66,"Adaptation")</x:f>
        <x:v>60</x:v>
      </x:c>
      <x:c r="J29" s="27" t="n">
        <x:f>COUNTIFS('Animations'!$F$7:$F$66,"ME1")</x:f>
        <x:v>60</x:v>
      </x:c>
      <x:c r="K29" s="27" t="n">
        <x:f>COUNTIFS('Animations'!$P$7:$P$66,"Extension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COUNTA('UI_systemes'!$A$7:$A$51)</x:f>
        <x:v>45</x:v>
      </x:c>
      <x:c r="C33" s="27" t="n">
        <x:f>COUNTIFS('UI_systemes'!$C$7:$C$51,"Défini")</x:f>
        <x:v>8</x:v>
      </x:c>
      <x:c r="D33" s="27" t="n">
        <x:f>COUNTIFS('UI_systemes'!$C$7:$C$51,"Prototype")</x:f>
        <x:v>34</x:v>
      </x:c>
      <x:c r="E33" s="27" t="n">
        <x:f>COUNTIFS('UI_systemes'!$C$7:$C$51,"Intégré")</x:f>
        <x:v>0</x:v>
      </x:c>
      <x:c r="F33" s="27" t="n">
        <x:f>COUNTIFS('UI_systemes'!$C$7:$C$51,"Validé")</x:f>
        <x:v>3</x:v>
      </x:c>
      <x:c r="G33" s="27" t="n">
        <x:f>COUNTIFS('UI_systemes'!$G$7:$G$51,"Confirmé")</x:f>
        <x:v>0</x:v>
      </x:c>
      <x:c r="H33" s="27" t="n">
        <x:f>COUNTIFS('UI_systemes'!$G$7:$G$51,"Référence à vérifier")</x:f>
        <x:v>0</x:v>
      </x:c>
      <x:c r="I33" s="27" t="n">
        <x:f>COUNTIFS('UI_systemes'!$G$7:$G$51,"Adaptation")</x:f>
        <x:v>45</x:v>
      </x:c>
      <x:c r="J33" s="27" t="n">
        <x:f>COUNTIFS('UI_systemes'!$F$7:$F$51,"ME1")</x:f>
        <x:v>40</x:v>
      </x:c>
      <x:c r="K33" s="27" t="n">
        <x:f>COUNTIFS('UI_systemes'!$P$7:$P$51,"Extension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1330</x:v>
      </x:c>
      <x:c r="C37" s="28" t="n">
        <x:f>SUM(C10:C35)</x:f>
        <x:v>1035</x:v>
      </x:c>
      <x:c r="D37" s="28" t="n">
        <x:f>SUM(D10:D35)</x:f>
        <x:v>289</x:v>
      </x:c>
      <x:c r="E37" s="28" t="n">
        <x:f>SUM(E10:E35)</x:f>
        <x:v>3</x:v>
      </x:c>
      <x:c r="F37" s="28" t="n">
        <x:f>SUM(F10:F35)</x:f>
        <x:v>3</x:v>
      </x:c>
      <x:c r="G37" s="28" t="n">
        <x:f>SUM(G10:G35)</x:f>
        <x:v>17</x:v>
      </x:c>
      <x:c r="H37" s="28" t="n">
        <x:f>SUM(H10:H35)</x:f>
        <x:v>522</x:v>
      </x:c>
      <x:c r="I37" s="28" t="n">
        <x:f>SUM(I10:I35)</x:f>
        <x:v>791</x:v>
      </x:c>
      <x:c r="J37" s="28" t="n">
        <x:f>SUM(J10:J35)</x:f>
        <x:v>1268</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3bc675acc5b34d3c"/>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4d295e3ab9d54bbf"/>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ca41aa5fb074406f"/>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2b22b8d54d9a4eb0"/>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9553ba7666ef4d46"/>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80a528a89e624de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9d83231ba42c4ce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a2c588f93dfa49e1"/>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47c4026cabe94203"/>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a4fe0ad1bf314b8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7f78327376ec440b"/>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5732c36c3f4245d8"/>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fa27dad91d8f4b4d"/>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4b554244e402422d"/>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sheetData>
  <x:conditionalFormatting sqref="C7:C5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0">
    <x:cfRule type="cellIs" dxfId="73" priority="4" operator="equal">
      <x:formula>"Référence à vérifier"</x:formula>
    </x:cfRule>
  </x:conditionalFormatting>
  <x:conditionalFormatting sqref="E7:E50">
    <x:cfRule type="cellIs" dxfId="74" priority="5" operator="equal">
      <x:formula>"P0"</x:formula>
    </x:cfRule>
  </x:conditionalFormatting>
  <x:dataValidations count="5">
    <x:dataValidation type="list" sqref="C7:C50">
      <x:formula1>"Défini,Prototype,Intégré,Validé"</x:formula1>
    </x:dataValidation>
    <x:dataValidation type="list" sqref="D7:D50">
      <x:formula1>"À produire,Prototype,Disponible,Validé,Sans objet,Non planifié"</x:formula1>
    </x:dataValidation>
    <x:dataValidation type="list" sqref="E7:E50">
      <x:formula1>"P0,P1,P2"</x:formula1>
    </x:dataValidation>
    <x:dataValidation type="list" sqref="F7:F50">
      <x:formula1>"ME1,ME2,ME3,TRANSVERSE"</x:formula1>
    </x:dataValidation>
    <x:dataValidation type="list" sqref="G7:G50">
      <x:formula1>"Confirmé,Référence à vérifier,Adaptation"</x:formula1>
    </x:dataValidation>
  </x:dataValidations>
  <x:pageMargins left="0.7" right="0.7" top="0.75" bottom="0.75" header="0.3" footer="0.3"/>
  <x:tableParts count="1">
    <x:tablePart xmlns:r="http://schemas.openxmlformats.org/officeDocument/2006/relationships" r:id="R1e060a228d754339"/>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sheetData>
  <x:conditionalFormatting sqref="C7:C64">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64">
    <x:cfRule type="cellIs" dxfId="78" priority="4" operator="equal">
      <x:formula>"Référence à vérifier"</x:formula>
    </x:cfRule>
  </x:conditionalFormatting>
  <x:conditionalFormatting sqref="E7:E64">
    <x:cfRule type="cellIs" dxfId="79" priority="5" operator="equal">
      <x:formula>"P0"</x:formula>
    </x:cfRule>
  </x:conditionalFormatting>
  <x:dataValidations count="5">
    <x:dataValidation type="list" sqref="C7:C64">
      <x:formula1>"Défini,Prototype,Intégré,Validé"</x:formula1>
    </x:dataValidation>
    <x:dataValidation type="list" sqref="D7:D64">
      <x:formula1>"À produire,Prototype,Disponible,Validé,Sans objet,Non planifié"</x:formula1>
    </x:dataValidation>
    <x:dataValidation type="list" sqref="E7:E64">
      <x:formula1>"P0,P1,P2"</x:formula1>
    </x:dataValidation>
    <x:dataValidation type="list" sqref="F7:F64">
      <x:formula1>"ME1,ME2,ME3,TRANSVERSE"</x:formula1>
    </x:dataValidation>
    <x:dataValidation type="list" sqref="G7:G64">
      <x:formula1>"Confirmé,Référence à vérifier,Adaptation"</x:formula1>
    </x:dataValidation>
  </x:dataValidations>
  <x:pageMargins left="0.7" right="0.7" top="0.75" bottom="0.75" header="0.3" footer="0.3"/>
  <x:tableParts count="1">
    <x:tablePart xmlns:r="http://schemas.openxmlformats.org/officeDocument/2006/relationships" r:id="R7891cf1e2eca48ad"/>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591d258c67e34ba4"/>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aa8b0f6a244a4fd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46e8f0ee55684501"/>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sheetData>
  <x:conditionalFormatting sqref="C7:C6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6">
    <x:cfRule type="cellIs" dxfId="98" priority="4" operator="equal">
      <x:formula>"Référence à vérifier"</x:formula>
    </x:cfRule>
  </x:conditionalFormatting>
  <x:conditionalFormatting sqref="E7:E66">
    <x:cfRule type="cellIs" dxfId="99" priority="5" operator="equal">
      <x:formula>"P0"</x:formula>
    </x:cfRule>
  </x:conditionalFormatting>
  <x:dataValidations count="5">
    <x:dataValidation type="list" sqref="C7:C66">
      <x:formula1>"Défini,Prototype,Intégré,Validé"</x:formula1>
    </x:dataValidation>
    <x:dataValidation type="list" sqref="D7:D66">
      <x:formula1>"À produire,Prototype,Disponible,Validé,Sans objet,Non planifié"</x:formula1>
    </x:dataValidation>
    <x:dataValidation type="list" sqref="E7:E66">
      <x:formula1>"P0,P1,P2"</x:formula1>
    </x:dataValidation>
    <x:dataValidation type="list" sqref="F7:F66">
      <x:formula1>"ME1,ME2,ME3,TRANSVERSE"</x:formula1>
    </x:dataValidation>
    <x:dataValidation type="list" sqref="G7:G66">
      <x:formula1>"Confirmé,Référence à vérifier,Adaptation"</x:formula1>
    </x:dataValidation>
  </x:dataValidations>
  <x:pageMargins left="0.7" right="0.7" top="0.75" bottom="0.75" header="0.3" footer="0.3"/>
  <x:tableParts count="1">
    <x:tablePart xmlns:r="http://schemas.openxmlformats.org/officeDocument/2006/relationships" r:id="R03a0913fd39e467e"/>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"ME1,ME2,ME3,TRANSVERSE"</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ba8a12c0931d47b6"/>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392e34a3adab4400"/>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2e14a257c37e47f1"/>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75"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Voir docs/CHRONICLES.md et tests/chronicles.test.js, tests/universe-combat.test.js, scripts/universe-browser.mjs. Aucun nouveau personnage ou équipement futur dans la campagne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75"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Changer de classe retire atomiquement une arme incompatible et ses modules ; loyautés et compétences de prologue restent bornées aux scènes autorisées.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vérifié : tests/chronicle-expansion.test.js et scripts/chronicle-expansion-browser.mjs. Voir docs/CHRONICLES.md ; aucune validation globale 1:1.</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Seize parcours de lecture et 52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 tests/chronicle-story.test.js et tests/chronicle-specialists.test.js ; compléments des parcours couverts par scripts/chronicle-specialists-browser.mjs. Voir docs/CHRONICLES.md ; aucune validation globale 1:1.</x:v>
      </x:c>
    </x:row>
  </x:sheetData>
  <x:conditionalFormatting sqref="C7:C51">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51">
    <x:cfRule type="cellIs" dxfId="118" priority="4" operator="equal">
      <x:formula>"Référence à vérifier"</x:formula>
    </x:cfRule>
  </x:conditionalFormatting>
  <x:conditionalFormatting sqref="E7:E51">
    <x:cfRule type="cellIs" dxfId="119" priority="5" operator="equal">
      <x:formula>"P0"</x:formula>
    </x:cfRule>
  </x:conditionalFormatting>
  <x:dataValidations count="5">
    <x:dataValidation type="list" sqref="C7:C51">
      <x:formula1>"Défini,Prototype,Intégré,Validé"</x:formula1>
    </x:dataValidation>
    <x:dataValidation type="list" sqref="D7:D51">
      <x:formula1>"À produire,Prototype,Disponible,Validé,Sans objet,Non planifié"</x:formula1>
    </x:dataValidation>
    <x:dataValidation type="list" sqref="E7:E51">
      <x:formula1>"P0,P1,P2"</x:formula1>
    </x:dataValidation>
    <x:dataValidation type="list" sqref="F7:F51">
      <x:formula1>"ME1,ME2,ME3,TRANSVERSE"</x:formula1>
    </x:dataValidation>
    <x:dataValidation type="list" sqref="G7:G51">
      <x:formula1>"Confirmé,Référence à vérifier,Adaptation"</x:formula1>
    </x:dataValidation>
  </x:dataValidations>
  <x:pageMargins left="0.7" right="0.7" top="0.75" bottom="0.75" header="0.3" footer="0.3"/>
  <x:tableParts count="1">
    <x:tablePart xmlns:r="http://schemas.openxmlformats.org/officeDocument/2006/relationships" r:id="R1b67c489c4e44056"/>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17bb529500e043c8"/>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4ebcee9adf6b4c9e"/>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2" customHeight="1">
      <x:c r="A69" s="7"/>
      <x:c r="B69" s="7"/>
      <x:c r="C69" s="7"/>
      <x:c r="D69" s="7"/>
    </x:row>
    <x:row r="70" ht="42" customHeight="1">
      <x:c r="A70" s="7"/>
      <x:c r="B70" s="7"/>
      <x:c r="C70" s="7"/>
      <x:c r="D70" s="7"/>
    </x:row>
    <x:row r="71" ht="68" customHeight="1">
      <x:c r="A71" s="7" t="str">
        <x:v>Périmètre</x:v>
      </x:c>
      <x:c r="B71"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1" s="7"/>
      <x:c r="D71" s="7"/>
    </x:row>
    <x:row r="72" ht="68" customHeight="1">
      <x:c r="A72" s="7" t="str">
        <x:v>Fidélité</x:v>
      </x:c>
      <x:c r="B72" s="7" t="str">
        <x:v>Aucun asset ni aucune mission n’est déclaré fidèle 1:1 ou terminé sans contrôle explicite.</x:v>
      </x:c>
      <x:c r="C72" s="7"/>
      <x:c r="D72" s="7"/>
    </x:row>
    <x:row r="73" ht="42" customHeight="1">
      <x:c r="A73" s="7" t="str">
        <x:v>Version</x:v>
      </x:c>
      <x:c r="B73" s="7" t="str">
        <x:v>0.2.0</x:v>
      </x:c>
      <x:c r="C73" s="7"/>
      <x:c r="D73" s="7"/>
    </x:row>
    <x:row r="74" ht="42" customHeight="1">
      <x:c r="A74" s="7" t="str">
        <x:v>Date de référence</x:v>
      </x:c>
      <x:c r="B74" s="32" t="d">
        <x:v>2026-10-25T12:00:00.000Z</x:v>
      </x:c>
      <x:c r="C74" s="7"/>
      <x:c r="D74" s="7"/>
    </x:row>
    <x:row r="75" ht="22" customHeight="1">
      <x:c r="A75" s="2"/>
      <x:c r="B75" s="2"/>
      <x:c r="C75" s="2"/>
      <x:c r="D75" s="2"/>
    </x:row>
    <x:row r="76" ht="22" customHeight="1">
      <x:c r="A76" s="2"/>
      <x:c r="B76" s="2"/>
      <x:c r="C76" s="2"/>
      <x:c r="D76" s="2"/>
    </x:row>
    <x:row r="77" ht="22" customHeight="1">
      <x:c r="A77" s="2"/>
      <x:c r="B77" s="2"/>
      <x:c r="C77" s="2"/>
      <x:c r="D77" s="2"/>
    </x:row>
  </x:sheetData>
  <x:pageMargins left="0.7" right="0.7" top="0.75" bottom="0.75" header="0.3" footer="0.3"/>
</x:worksheet>
</file>