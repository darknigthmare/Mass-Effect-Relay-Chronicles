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e64aa92e604a0d" /></Relationships>
</file>

<file path=xl/workbook.xml><?xml version="1.0" encoding="utf-8"?>
<x:workbook xmlns:x="http://schemas.openxmlformats.org/spreadsheetml/2006/main">
  <x:sheets>
    <x:sheet xmlns:r="http://schemas.openxmlformats.org/officeDocument/2006/relationships" name="Dashboard" sheetId="1" r:id="R91688f9841034550"/>
    <x:sheet xmlns:r="http://schemas.openxmlformats.org/officeDocument/2006/relationships" name="Personnages" sheetId="2" r:id="Rb2c60b3ecebe4dbd"/>
    <x:sheet xmlns:r="http://schemas.openxmlformats.org/officeDocument/2006/relationships" name="PNJ" sheetId="3" r:id="Red116cf7dc4b4d05"/>
    <x:sheet xmlns:r="http://schemas.openxmlformats.org/officeDocument/2006/relationships" name="Especes_factions" sheetId="4" r:id="Ra6ee1cbb0fc84e08"/>
    <x:sheet xmlns:r="http://schemas.openxmlformats.org/officeDocument/2006/relationships" name="Mondes" sheetId="5" r:id="Ra909f366cfec49f5"/>
    <x:sheet xmlns:r="http://schemas.openxmlformats.org/officeDocument/2006/relationships" name="Zones" sheetId="6" r:id="R8a41a03a5ca343d7"/>
    <x:sheet xmlns:r="http://schemas.openxmlformats.org/officeDocument/2006/relationships" name="Liaisons" sheetId="7" r:id="Rb6eb98f200fc4fa1"/>
    <x:sheet xmlns:r="http://schemas.openxmlformats.org/officeDocument/2006/relationships" name="Decors" sheetId="8" r:id="Ra095fefe81ab4fae"/>
    <x:sheet xmlns:r="http://schemas.openxmlformats.org/officeDocument/2006/relationships" name="Props" sheetId="9" r:id="R5266569d7d884668"/>
    <x:sheet xmlns:r="http://schemas.openxmlformats.org/officeDocument/2006/relationships" name="Ennemis_boss" sheetId="10" r:id="Rc6da6490f5424ab2"/>
    <x:sheet xmlns:r="http://schemas.openxmlformats.org/officeDocument/2006/relationships" name="Missions" sheetId="11" r:id="Rd131b70e299b4487"/>
    <x:sheet xmlns:r="http://schemas.openxmlformats.org/officeDocument/2006/relationships" name="Secondaires_DLC" sheetId="12" r:id="R88e547a3270148a2"/>
    <x:sheet xmlns:r="http://schemas.openxmlformats.org/officeDocument/2006/relationships" name="Choix_relations" sheetId="13" r:id="R38f441f7c5674285"/>
    <x:sheet xmlns:r="http://schemas.openxmlformats.org/officeDocument/2006/relationships" name="Dialogues" sheetId="14" r:id="Ree91dd4f479348c5"/>
    <x:sheet xmlns:r="http://schemas.openxmlformats.org/officeDocument/2006/relationships" name="Cinematiques" sheetId="15" r:id="Rd86371dc66c7453f"/>
    <x:sheet xmlns:r="http://schemas.openxmlformats.org/officeDocument/2006/relationships" name="Armes" sheetId="16" r:id="R2f665f2a833c4011"/>
    <x:sheet xmlns:r="http://schemas.openxmlformats.org/officeDocument/2006/relationships" name="Armures_equipement" sheetId="17" r:id="Rf274fbe26b0b45c4"/>
    <x:sheet xmlns:r="http://schemas.openxmlformats.org/officeDocument/2006/relationships" name="Pouvoirs" sheetId="18" r:id="Rd68e2c257a834fb5"/>
    <x:sheet xmlns:r="http://schemas.openxmlformats.org/officeDocument/2006/relationships" name="Movesets_allies" sheetId="19" r:id="R5f6814a7d5ba49c3"/>
    <x:sheet xmlns:r="http://schemas.openxmlformats.org/officeDocument/2006/relationships" name="Movesets_ennemis" sheetId="20" r:id="Rfc6e027577214924"/>
    <x:sheet xmlns:r="http://schemas.openxmlformats.org/officeDocument/2006/relationships" name="Animations" sheetId="21" r:id="R706deceac28c4fcd"/>
    <x:sheet xmlns:r="http://schemas.openxmlformats.org/officeDocument/2006/relationships" name="Sprites" sheetId="22" r:id="R41d1a3d817af4733"/>
    <x:sheet xmlns:r="http://schemas.openxmlformats.org/officeDocument/2006/relationships" name="VFX" sheetId="23" r:id="Ra94e7333349c447a"/>
    <x:sheet xmlns:r="http://schemas.openxmlformats.org/officeDocument/2006/relationships" name="Audio" sheetId="24" r:id="R8c03baa4bda6405b"/>
    <x:sheet xmlns:r="http://schemas.openxmlformats.org/officeDocument/2006/relationships" name="UI_systemes" sheetId="25" r:id="R7be309f6f4074006"/>
    <x:sheet xmlns:r="http://schemas.openxmlformats.org/officeDocument/2006/relationships" name="QA" sheetId="26" r:id="R07e7ec04bd624ae4"/>
    <x:sheet xmlns:r="http://schemas.openxmlformats.org/officeDocument/2006/relationships" name="Trilogie" sheetId="27" r:id="Rb305412674db463f"/>
    <x:sheet xmlns:r="http://schemas.openxmlformats.org/officeDocument/2006/relationships" name="Guide" sheetId="28" r:id="R3aa5c17204974fd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7">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s>
  <x:fills count="7">
    <x:fill>
      <x:patternFill patternType="none"/>
    </x:fill>
    <x:fill>
      <x:patternFill patternType="gray125"/>
    </x:fill>
    <x:fill>
      <x:patternFill patternType="solid">
        <x:fgColor rgb="FFFFF0C7"/>
      </x:patternFill>
    </x:fill>
    <x:fill>
      <x:patternFill patternType="solid">
        <x:fgColor rgb="FFFFF7E1"/>
      </x:patternFill>
    </x:fill>
    <x:fill>
      <x:patternFill patternType="solid">
        <x:fgColor rgb="FFF8FBFC"/>
      </x:patternFill>
    </x:fill>
    <x:fill>
      <x:patternFill patternType="solid">
        <x:fgColor rgb="FF102438"/>
      </x:patternFill>
    </x:fill>
    <x:fill>
      <x:patternFill patternType="solid">
        <x:fgColor rgb="FFEDF5F7"/>
      </x:patternFill>
    </x:fill>
  </x:fills>
  <x:borders count="2">
    <x:border>
      <x:left/>
      <x:right/>
      <x:top/>
      <x:bottom/>
      <x:diagonal/>
    </x:border>
    <x:border>
      <x:left/>
      <x:right/>
      <x:top/>
      <x:bottom style="thin">
        <x:color rgb="FF087F8C"/>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horizontal="center" vertical="center" wrapText="1"/>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5" fillId="5" borderId="1" xfId="0" applyNumberFormat="1" applyFont="1" applyFill="1" applyBorder="1" applyAlignment="1">
      <x:alignment vertical="center"/>
    </x:xf>
    <x:xf numFmtId="0" fontId="5" fillId="5" borderId="1" xfId="0" applyNumberFormat="1" applyFont="1" applyFill="1" applyBorder="1" applyAlignment="1">
      <x:alignment vertical="center" wrapText="1"/>
    </x:xf>
    <x:xf numFmtId="0" fontId="5" fillId="5" borderId="1"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1" fillId="6" borderId="0" xfId="0" applyNumberFormat="1" applyFont="1" applyFill="1" applyBorder="1" applyAlignment="1">
      <x:alignment vertical="center"/>
    </x:xf>
    <x:xf numFmtId="200" fontId="1" fillId="6"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5" borderId="0" xfId="0" applyNumberFormat="1" applyFont="1" applyFill="1" applyBorder="1" applyAlignment="1">
      <x:alignment vertical="center"/>
    </x:xf>
    <x:xf numFmtId="200" fontId="1" fillId="6"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5"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0" fontId="5" fillId="5" borderId="1" xfId="0" applyNumberFormat="1" applyFont="1" applyFill="1" applyBorder="1" applyAlignment="1">
      <x:alignment horizontal="center" vertical="top" wrapText="1"/>
    </x:xf>
    <x:xf numFmtId="201" fontId="1" fillId="0" borderId="0" xfId="0" applyNumberFormat="1" applyFont="1" applyFill="1" applyBorder="1" applyAlignment="1">
      <x:alignment vertical="top" wrapText="1"/>
    </x:xf>
  </x:cellXfs>
  <x:cellStyles count="1">
    <x:cellStyle name="Normal" xfId="0"/>
  </x:cellStyles>
  <x:dxfs count="390">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x:bgColor rgb="FFFFF1D0"/>
        </x:patternFill>
      </x:fill>
    </x:dxf>
    <x:dxf>
      <x:font>
        <x:b/>
        <x:color rgb="FF0C5966"/>
      </x:font>
      <x:fill>
        <x:patternFill>
          <x:bgColor rgb="FFD9EEF2"/>
        </x:patternFill>
      </x:fill>
    </x:dxf>
    <x:dxf>
      <x:font>
        <x:b/>
        <x:color rgb="FF176A4D"/>
      </x:font>
      <x:fill>
        <x:patternFill>
          <x:bgColor rgb="FFDDF1E8"/>
        </x:patternFill>
      </x:fill>
    </x:dxf>
    <x:dxf>
      <x:font>
        <x:color rgb="FF79520A"/>
      </x:font>
      <x:fill>
        <x:patternFill>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
      <x:font>
        <x:b/>
        <x:color rgb="FF865000"/>
      </x:font>
      <x:fill>
        <x:patternFill patternType="solid">
          <x:bgColor rgb="FFFFF1D0"/>
        </x:patternFill>
      </x:fill>
    </x:dxf>
    <x:dxf>
      <x:font>
        <x:b/>
        <x:color rgb="FF0C5966"/>
      </x:font>
      <x:fill>
        <x:patternFill patternType="solid">
          <x:bgColor rgb="FFD9EEF2"/>
        </x:patternFill>
      </x:fill>
    </x:dxf>
    <x:dxf>
      <x:font>
        <x:b/>
        <x:color rgb="FF176A4D"/>
      </x:font>
      <x:fill>
        <x:patternFill patternType="solid">
          <x:bgColor rgb="FFDDF1E8"/>
        </x:patternFill>
      </x:fill>
    </x:dxf>
    <x:dxf>
      <x:font>
        <x:color rgb="FF79520A"/>
      </x:font>
      <x:fill>
        <x:patternFill patternType="solid">
          <x:bgColor rgb="FFFFF2DC"/>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27a76e2040d54aa3" /><Relationship Type="http://schemas.openxmlformats.org/officeDocument/2006/relationships/theme" Target="/xl/theme/theme1.xml" Id="Re1e5ba030af0409a" /><Relationship Type="http://schemas.openxmlformats.org/officeDocument/2006/relationships/sharedStrings" Target="/xl/sharedStrings.xml" Id="R8a83beb1fd514569" /><Relationship Type="http://schemas.openxmlformats.org/officeDocument/2006/relationships/worksheet" Target="/xl/worksheets/sheet1.xml" Id="R91688f9841034550" /><Relationship Type="http://schemas.openxmlformats.org/officeDocument/2006/relationships/worksheet" Target="/xl/worksheets/sheet2.xml" Id="Rb2c60b3ecebe4dbd" /><Relationship Type="http://schemas.openxmlformats.org/officeDocument/2006/relationships/worksheet" Target="/xl/worksheets/sheet3.xml" Id="Red116cf7dc4b4d05" /><Relationship Type="http://schemas.openxmlformats.org/officeDocument/2006/relationships/worksheet" Target="/xl/worksheets/sheet4.xml" Id="Ra6ee1cbb0fc84e08" /><Relationship Type="http://schemas.openxmlformats.org/officeDocument/2006/relationships/worksheet" Target="/xl/worksheets/sheet5.xml" Id="Ra909f366cfec49f5" /><Relationship Type="http://schemas.openxmlformats.org/officeDocument/2006/relationships/worksheet" Target="/xl/worksheets/sheet6.xml" Id="R8a41a03a5ca343d7" /><Relationship Type="http://schemas.openxmlformats.org/officeDocument/2006/relationships/worksheet" Target="/xl/worksheets/sheet7.xml" Id="Rb6eb98f200fc4fa1" /><Relationship Type="http://schemas.openxmlformats.org/officeDocument/2006/relationships/worksheet" Target="/xl/worksheets/sheet8.xml" Id="Ra095fefe81ab4fae" /><Relationship Type="http://schemas.openxmlformats.org/officeDocument/2006/relationships/worksheet" Target="/xl/worksheets/sheet9.xml" Id="R5266569d7d884668" /><Relationship Type="http://schemas.openxmlformats.org/officeDocument/2006/relationships/worksheet" Target="/xl/worksheets/sheet10.xml" Id="Rc6da6490f5424ab2" /><Relationship Type="http://schemas.openxmlformats.org/officeDocument/2006/relationships/worksheet" Target="/xl/worksheets/sheet11.xml" Id="Rd131b70e299b4487" /><Relationship Type="http://schemas.openxmlformats.org/officeDocument/2006/relationships/worksheet" Target="/xl/worksheets/sheet12.xml" Id="R88e547a3270148a2" /><Relationship Type="http://schemas.openxmlformats.org/officeDocument/2006/relationships/worksheet" Target="/xl/worksheets/sheet13.xml" Id="R38f441f7c5674285" /><Relationship Type="http://schemas.openxmlformats.org/officeDocument/2006/relationships/worksheet" Target="/xl/worksheets/sheet14.xml" Id="Ree91dd4f479348c5" /><Relationship Type="http://schemas.openxmlformats.org/officeDocument/2006/relationships/worksheet" Target="/xl/worksheets/sheet15.xml" Id="Rd86371dc66c7453f" /><Relationship Type="http://schemas.openxmlformats.org/officeDocument/2006/relationships/worksheet" Target="/xl/worksheets/sheet16.xml" Id="R2f665f2a833c4011" /><Relationship Type="http://schemas.openxmlformats.org/officeDocument/2006/relationships/worksheet" Target="/xl/worksheets/sheet17.xml" Id="Rf274fbe26b0b45c4" /><Relationship Type="http://schemas.openxmlformats.org/officeDocument/2006/relationships/worksheet" Target="/xl/worksheets/sheet18.xml" Id="Rd68e2c257a834fb5" /><Relationship Type="http://schemas.openxmlformats.org/officeDocument/2006/relationships/worksheet" Target="/xl/worksheets/sheet19.xml" Id="R5f6814a7d5ba49c3" /><Relationship Type="http://schemas.openxmlformats.org/officeDocument/2006/relationships/worksheet" Target="/xl/worksheets/sheet20.xml" Id="Rfc6e027577214924" /><Relationship Type="http://schemas.openxmlformats.org/officeDocument/2006/relationships/worksheet" Target="/xl/worksheets/sheet21.xml" Id="R706deceac28c4fcd" /><Relationship Type="http://schemas.openxmlformats.org/officeDocument/2006/relationships/worksheet" Target="/xl/worksheets/sheet22.xml" Id="R41d1a3d817af4733" /><Relationship Type="http://schemas.openxmlformats.org/officeDocument/2006/relationships/worksheet" Target="/xl/worksheets/sheet23.xml" Id="Ra94e7333349c447a" /><Relationship Type="http://schemas.openxmlformats.org/officeDocument/2006/relationships/worksheet" Target="/xl/worksheets/sheet24.xml" Id="R8c03baa4bda6405b" /><Relationship Type="http://schemas.openxmlformats.org/officeDocument/2006/relationships/worksheet" Target="/xl/worksheets/sheet25.xml" Id="R7be309f6f4074006" /><Relationship Type="http://schemas.openxmlformats.org/officeDocument/2006/relationships/worksheet" Target="/xl/worksheets/sheet26.xml" Id="R07e7ec04bd624ae4" /><Relationship Type="http://schemas.openxmlformats.org/officeDocument/2006/relationships/worksheet" Target="/xl/worksheets/sheet27.xml" Id="Rb305412674db463f" /><Relationship Type="http://schemas.openxmlformats.org/officeDocument/2006/relationships/worksheet" Target="/xl/worksheets/sheet28.xml" Id="R3aa5c17204974fd0" /></Relationships>
</file>

<file path=xl/tables/table1.xml><?xml version="1.0" encoding="utf-8"?>
<x:table xmlns:x="http://schemas.openxmlformats.org/spreadsheetml/2006/main" id="1" name="Catalog_characters" displayName="Catalog_characters" ref="A6:Q14" headerRowCount="1" totalsRowCount="0" totalsRowShown="0">
  <x:autoFilter ref="A6:Q14"/>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2.xml><?xml version="1.0" encoding="utf-8"?>
<x:table xmlns:x="http://schemas.openxmlformats.org/spreadsheetml/2006/main" id="2" name="Catalog_npcs" displayName="Catalog_npcs" ref="A6:Q72" headerRowCount="1" totalsRowCount="0" totalsRowShown="0">
  <x:autoFilter ref="A6:Q72"/>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3.xml><?xml version="1.0" encoding="utf-8"?>
<x:table xmlns:x="http://schemas.openxmlformats.org/spreadsheetml/2006/main" id="3" name="Catalog_lore" displayName="Catalog_lore" ref="A6:Q42" headerRowCount="1" totalsRowCount="0" totalsRowShown="0">
  <x:autoFilter ref="A6:Q42"/>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4.xml><?xml version="1.0" encoding="utf-8"?>
<x:table xmlns:x="http://schemas.openxmlformats.org/spreadsheetml/2006/main" id="4" name="Catalog_worlds" displayName="Catalog_worlds" ref="A6:Q38" headerRowCount="1" totalsRowCount="0" totalsRowShown="0">
  <x:autoFilter ref="A6:Q38"/>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5.xml><?xml version="1.0" encoding="utf-8"?>
<x:table xmlns:x="http://schemas.openxmlformats.org/spreadsheetml/2006/main" id="5" name="Catalog_zones" displayName="Catalog_zones" ref="A6:Q106" headerRowCount="1" totalsRowCount="0" totalsRowShown="0">
  <x:autoFilter ref="A6:Q106"/>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6.xml><?xml version="1.0" encoding="utf-8"?>
<x:table xmlns:x="http://schemas.openxmlformats.org/spreadsheetml/2006/main" id="6" name="Catalog_links" displayName="Catalog_links" ref="A6:Q97" headerRowCount="1" totalsRowCount="0" totalsRowShown="0">
  <x:autoFilter ref="A6:Q97"/>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7.xml><?xml version="1.0" encoding="utf-8"?>
<x:table xmlns:x="http://schemas.openxmlformats.org/spreadsheetml/2006/main" id="7" name="Catalog_scenery" displayName="Catalog_scenery" ref="A6:Q41" headerRowCount="1" totalsRowCount="0" totalsRowShown="0">
  <x:autoFilter ref="A6:Q41"/>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8.xml><?xml version="1.0" encoding="utf-8"?>
<x:table xmlns:x="http://schemas.openxmlformats.org/spreadsheetml/2006/main" id="8" name="Catalog_props" displayName="Catalog_props" ref="A6:Q60" headerRowCount="1" totalsRowCount="0" totalsRowShown="0">
  <x:autoFilter ref="A6:Q60"/>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9.xml><?xml version="1.0" encoding="utf-8"?>
<x:table xmlns:x="http://schemas.openxmlformats.org/spreadsheetml/2006/main" id="9" name="Catalog_enemies" displayName="Catalog_enemies" ref="A6:Q45" headerRowCount="1" totalsRowCount="0" totalsRowShown="0">
  <x:autoFilter ref="A6:Q45"/>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10.xml><?xml version="1.0" encoding="utf-8"?>
<x:table xmlns:x="http://schemas.openxmlformats.org/spreadsheetml/2006/main" id="10" name="Catalog_main_quests" displayName="Catalog_main_quests" ref="A6:Q69" headerRowCount="1" totalsRowCount="0" totalsRowShown="0">
  <x:autoFilter ref="A6:Q69"/>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11.xml><?xml version="1.0" encoding="utf-8"?>
<x:table xmlns:x="http://schemas.openxmlformats.org/spreadsheetml/2006/main" id="11" name="Catalog_side_quests" displayName="Catalog_side_quests" ref="A6:Q114" headerRowCount="1" totalsRowCount="0" totalsRowShown="0">
  <x:autoFilter ref="A6:Q114"/>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12.xml><?xml version="1.0" encoding="utf-8"?>
<x:table xmlns:x="http://schemas.openxmlformats.org/spreadsheetml/2006/main" id="12" name="Catalog_choices" displayName="Catalog_choices" ref="A6:Q40" headerRowCount="1" totalsRowCount="0" totalsRowShown="0">
  <x:autoFilter ref="A6:Q40"/>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13.xml><?xml version="1.0" encoding="utf-8"?>
<x:table xmlns:x="http://schemas.openxmlformats.org/spreadsheetml/2006/main" id="13" name="Catalog_dialogues" displayName="Catalog_dialogues" ref="A6:Q42" headerRowCount="1" totalsRowCount="0" totalsRowShown="0">
  <x:autoFilter ref="A6:Q42"/>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14.xml><?xml version="1.0" encoding="utf-8"?>
<x:table xmlns:x="http://schemas.openxmlformats.org/spreadsheetml/2006/main" id="14" name="Catalog_cinematics" displayName="Catalog_cinematics" ref="A6:Q32" headerRowCount="1" totalsRowCount="0" totalsRowShown="0">
  <x:autoFilter ref="A6:Q32"/>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15.xml><?xml version="1.0" encoding="utf-8"?>
<x:table xmlns:x="http://schemas.openxmlformats.org/spreadsheetml/2006/main" id="15" name="Catalog_weapons" displayName="Catalog_weapons" ref="A6:Q54" headerRowCount="1" totalsRowCount="0" totalsRowShown="0">
  <x:autoFilter ref="A6:Q54"/>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16.xml><?xml version="1.0" encoding="utf-8"?>
<x:table xmlns:x="http://schemas.openxmlformats.org/spreadsheetml/2006/main" id="16" name="Catalog_equipment" displayName="Catalog_equipment" ref="A6:Q70" headerRowCount="1" totalsRowCount="0" totalsRowShown="0">
  <x:autoFilter ref="A6:Q70"/>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17.xml><?xml version="1.0" encoding="utf-8"?>
<x:table xmlns:x="http://schemas.openxmlformats.org/spreadsheetml/2006/main" id="17" name="Catalog_powers" displayName="Catalog_powers" ref="A6:Q36" headerRowCount="1" totalsRowCount="0" totalsRowShown="0">
  <x:autoFilter ref="A6:Q36"/>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18.xml><?xml version="1.0" encoding="utf-8"?>
<x:table xmlns:x="http://schemas.openxmlformats.org/spreadsheetml/2006/main" id="18" name="Catalog_ally_moves" displayName="Catalog_ally_moves" ref="A6:Q56" headerRowCount="1" totalsRowCount="0" totalsRowShown="0">
  <x:autoFilter ref="A6:Q56"/>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19.xml><?xml version="1.0" encoding="utf-8"?>
<x:table xmlns:x="http://schemas.openxmlformats.org/spreadsheetml/2006/main" id="19" name="Catalog_enemy_moves" displayName="Catalog_enemy_moves" ref="A6:Q81" headerRowCount="1" totalsRowCount="0" totalsRowShown="0">
  <x:autoFilter ref="A6:Q81"/>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20.xml><?xml version="1.0" encoding="utf-8"?>
<x:table xmlns:x="http://schemas.openxmlformats.org/spreadsheetml/2006/main" id="20" name="Catalog_animations" displayName="Catalog_animations" ref="A6:Q69" headerRowCount="1" totalsRowCount="0" totalsRowShown="0">
  <x:autoFilter ref="A6:Q69"/>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21.xml><?xml version="1.0" encoding="utf-8"?>
<x:table xmlns:x="http://schemas.openxmlformats.org/spreadsheetml/2006/main" id="21" name="Catalog_sprites" displayName="Catalog_sprites" ref="A6:Q88" headerRowCount="1" totalsRowCount="0" totalsRowShown="0">
  <x:autoFilter ref="A6:Q88"/>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22.xml><?xml version="1.0" encoding="utf-8"?>
<x:table xmlns:x="http://schemas.openxmlformats.org/spreadsheetml/2006/main" id="22" name="Catalog_vfx" displayName="Catalog_vfx" ref="A6:Q32" headerRowCount="1" totalsRowCount="0" totalsRowShown="0">
  <x:autoFilter ref="A6:Q32"/>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23.xml><?xml version="1.0" encoding="utf-8"?>
<x:table xmlns:x="http://schemas.openxmlformats.org/spreadsheetml/2006/main" id="23" name="Catalog_audio" displayName="Catalog_audio" ref="A6:Q36" headerRowCount="1" totalsRowCount="0" totalsRowShown="0">
  <x:autoFilter ref="A6:Q36"/>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24.xml><?xml version="1.0" encoding="utf-8"?>
<x:table xmlns:x="http://schemas.openxmlformats.org/spreadsheetml/2006/main" id="24" name="Catalog_systems" displayName="Catalog_systems" ref="A6:Q71" headerRowCount="1" totalsRowCount="0" totalsRowShown="0">
  <x:autoFilter ref="A6:Q71"/>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25.xml><?xml version="1.0" encoding="utf-8"?>
<x:table xmlns:x="http://schemas.openxmlformats.org/spreadsheetml/2006/main" id="25" name="Catalog_qa" displayName="Catalog_qa" ref="A6:Q70" headerRowCount="1" totalsRowCount="0" totalsRowShown="0">
  <x:autoFilter ref="A6:Q70"/>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ables/table26.xml><?xml version="1.0" encoding="utf-8"?>
<x:table xmlns:x="http://schemas.openxmlformats.org/spreadsheetml/2006/main" id="26" name="Catalog_trilogy" displayName="Catalog_trilogy" ref="A6:Q63" headerRowCount="1" totalsRowCount="0" totalsRowShown="0">
  <x:autoFilter ref="A6:Q63"/>
  <x:tableColumns count="17">
    <x:tableColumn id="1" name="Identifiant"/>
    <x:tableColumn id="2" name="Élément"/>
    <x:tableColumn id="3" name="Contenu"/>
    <x:tableColumn id="4" name="Asset"/>
    <x:tableColumn id="5" name="Priorité"/>
    <x:tableColumn id="6" name="Épisode"/>
    <x:tableColumn id="7" name="Canon"/>
    <x:tableColumn id="8" name="Description"/>
    <x:tableColumn id="9" name="Critère d’acceptation"/>
    <x:tableColumn id="10" name="Dépendances"/>
    <x:tableColumn id="11" name="Destination prévue"/>
    <x:tableColumn id="12" name="Fichier existant"/>
    <x:tableColumn id="13" name="Clé dans le jeu"/>
    <x:tableColumn id="14" name="Référence à contrôler"/>
    <x:tableColumn id="15" name="Source URL"/>
    <x:tableColumn id="16" name="Périmètre"/>
    <x:tableColumn id="1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e8acb3dd8641db" /></Relationships>
</file>

<file path=xl/worksheets/_rels/sheet3.xml.rels>&#65279;<?xml version="1.0" encoding="utf-8"?><Relationships xmlns="http://schemas.openxmlformats.org/package/2006/relationships"><Relationship Type="http://schemas.openxmlformats.org/officeDocument/2006/relationships/table" Target="/xl/tables/table2.xml" Id="R625d22ad39b44eda" /></Relationships>
</file>

<file path=xl/worksheets/_rels/sheet4.xml.rels>&#65279;<?xml version="1.0" encoding="utf-8"?><Relationships xmlns="http://schemas.openxmlformats.org/package/2006/relationships"><Relationship Type="http://schemas.openxmlformats.org/officeDocument/2006/relationships/table" Target="/xl/tables/table3.xml" Id="Rc41389860816455f" /></Relationships>
</file>

<file path=xl/worksheets/_rels/sheet5.xml.rels>&#65279;<?xml version="1.0" encoding="utf-8"?><Relationships xmlns="http://schemas.openxmlformats.org/package/2006/relationships"><Relationship Type="http://schemas.openxmlformats.org/officeDocument/2006/relationships/table" Target="/xl/tables/table4.xml" Id="Rea96ace24630437e" /></Relationships>
</file>

<file path=xl/worksheets/_rels/sheet6.xml.rels>&#65279;<?xml version="1.0" encoding="utf-8"?><Relationships xmlns="http://schemas.openxmlformats.org/package/2006/relationships"><Relationship Type="http://schemas.openxmlformats.org/officeDocument/2006/relationships/table" Target="/xl/tables/table5.xml" Id="R96ae3abb61b24a7b" /></Relationships>
</file>

<file path=xl/worksheets/_rels/sheet7.xml.rels>&#65279;<?xml version="1.0" encoding="utf-8"?><Relationships xmlns="http://schemas.openxmlformats.org/package/2006/relationships"><Relationship Type="http://schemas.openxmlformats.org/officeDocument/2006/relationships/table" Target="/xl/tables/table6.xml" Id="R97dbda74604e410d" /></Relationships>
</file>

<file path=xl/worksheets/_rels/sheet8.xml.rels>&#65279;<?xml version="1.0" encoding="utf-8"?><Relationships xmlns="http://schemas.openxmlformats.org/package/2006/relationships"><Relationship Type="http://schemas.openxmlformats.org/officeDocument/2006/relationships/table" Target="/xl/tables/table7.xml" Id="Rd5a935f57209451d" /></Relationships>
</file>

<file path=xl/worksheets/_rels/sheet9.xml.rels>&#65279;<?xml version="1.0" encoding="utf-8"?><Relationships xmlns="http://schemas.openxmlformats.org/package/2006/relationships"><Relationship Type="http://schemas.openxmlformats.org/officeDocument/2006/relationships/table" Target="/xl/tables/table8.xml" Id="Rfc370bf9a9ef4a79" /></Relationships>
</file>

<file path=xl/worksheets/_rels/sheet10.xml.rels>&#65279;<?xml version="1.0" encoding="utf-8"?><Relationships xmlns="http://schemas.openxmlformats.org/package/2006/relationships"><Relationship Type="http://schemas.openxmlformats.org/officeDocument/2006/relationships/table" Target="/xl/tables/table9.xml" Id="Rcd62d37d60e34d19" /></Relationships>
</file>

<file path=xl/worksheets/_rels/sheet11.xml.rels>&#65279;<?xml version="1.0" encoding="utf-8"?><Relationships xmlns="http://schemas.openxmlformats.org/package/2006/relationships"><Relationship Type="http://schemas.openxmlformats.org/officeDocument/2006/relationships/table" Target="/xl/tables/table10.xml" Id="Rb8c1a177744d43b9" /></Relationships>
</file>

<file path=xl/worksheets/_rels/sheet12.xml.rels>&#65279;<?xml version="1.0" encoding="utf-8"?><Relationships xmlns="http://schemas.openxmlformats.org/package/2006/relationships"><Relationship Type="http://schemas.openxmlformats.org/officeDocument/2006/relationships/table" Target="/xl/tables/table11.xml" Id="R653e8119ed814d29" /></Relationships>
</file>

<file path=xl/worksheets/_rels/sheet13.xml.rels>&#65279;<?xml version="1.0" encoding="utf-8"?><Relationships xmlns="http://schemas.openxmlformats.org/package/2006/relationships"><Relationship Type="http://schemas.openxmlformats.org/officeDocument/2006/relationships/table" Target="/xl/tables/table12.xml" Id="R2cbcb94f46664a5e" /></Relationships>
</file>

<file path=xl/worksheets/_rels/sheet14.xml.rels>&#65279;<?xml version="1.0" encoding="utf-8"?><Relationships xmlns="http://schemas.openxmlformats.org/package/2006/relationships"><Relationship Type="http://schemas.openxmlformats.org/officeDocument/2006/relationships/table" Target="/xl/tables/table13.xml" Id="R76dd7a46d1b94967" /></Relationships>
</file>

<file path=xl/worksheets/_rels/sheet15.xml.rels>&#65279;<?xml version="1.0" encoding="utf-8"?><Relationships xmlns="http://schemas.openxmlformats.org/package/2006/relationships"><Relationship Type="http://schemas.openxmlformats.org/officeDocument/2006/relationships/table" Target="/xl/tables/table14.xml" Id="R641e4a1ed80f4ce9" /></Relationships>
</file>

<file path=xl/worksheets/_rels/sheet16.xml.rels>&#65279;<?xml version="1.0" encoding="utf-8"?><Relationships xmlns="http://schemas.openxmlformats.org/package/2006/relationships"><Relationship Type="http://schemas.openxmlformats.org/officeDocument/2006/relationships/table" Target="/xl/tables/table15.xml" Id="R29592b0832994588" /></Relationships>
</file>

<file path=xl/worksheets/_rels/sheet17.xml.rels>&#65279;<?xml version="1.0" encoding="utf-8"?><Relationships xmlns="http://schemas.openxmlformats.org/package/2006/relationships"><Relationship Type="http://schemas.openxmlformats.org/officeDocument/2006/relationships/table" Target="/xl/tables/table16.xml" Id="R53370b8926d04f90" /></Relationships>
</file>

<file path=xl/worksheets/_rels/sheet18.xml.rels>&#65279;<?xml version="1.0" encoding="utf-8"?><Relationships xmlns="http://schemas.openxmlformats.org/package/2006/relationships"><Relationship Type="http://schemas.openxmlformats.org/officeDocument/2006/relationships/table" Target="/xl/tables/table17.xml" Id="Raba323fcfff0423e" /></Relationships>
</file>

<file path=xl/worksheets/_rels/sheet19.xml.rels>&#65279;<?xml version="1.0" encoding="utf-8"?><Relationships xmlns="http://schemas.openxmlformats.org/package/2006/relationships"><Relationship Type="http://schemas.openxmlformats.org/officeDocument/2006/relationships/table" Target="/xl/tables/table18.xml" Id="R2647dff9f1224c62" /></Relationships>
</file>

<file path=xl/worksheets/_rels/sheet20.xml.rels>&#65279;<?xml version="1.0" encoding="utf-8"?><Relationships xmlns="http://schemas.openxmlformats.org/package/2006/relationships"><Relationship Type="http://schemas.openxmlformats.org/officeDocument/2006/relationships/table" Target="/xl/tables/table19.xml" Id="Rc77ffcb2553840c4" /></Relationships>
</file>

<file path=xl/worksheets/_rels/sheet21.xml.rels>&#65279;<?xml version="1.0" encoding="utf-8"?><Relationships xmlns="http://schemas.openxmlformats.org/package/2006/relationships"><Relationship Type="http://schemas.openxmlformats.org/officeDocument/2006/relationships/table" Target="/xl/tables/table20.xml" Id="R38b77bb1d08048c9" /></Relationships>
</file>

<file path=xl/worksheets/_rels/sheet22.xml.rels>&#65279;<?xml version="1.0" encoding="utf-8"?><Relationships xmlns="http://schemas.openxmlformats.org/package/2006/relationships"><Relationship Type="http://schemas.openxmlformats.org/officeDocument/2006/relationships/table" Target="/xl/tables/table21.xml" Id="Ra715c9fb80db449c" /></Relationships>
</file>

<file path=xl/worksheets/_rels/sheet23.xml.rels>&#65279;<?xml version="1.0" encoding="utf-8"?><Relationships xmlns="http://schemas.openxmlformats.org/package/2006/relationships"><Relationship Type="http://schemas.openxmlformats.org/officeDocument/2006/relationships/table" Target="/xl/tables/table22.xml" Id="R1587f8f968424ab7" /></Relationships>
</file>

<file path=xl/worksheets/_rels/sheet24.xml.rels>&#65279;<?xml version="1.0" encoding="utf-8"?><Relationships xmlns="http://schemas.openxmlformats.org/package/2006/relationships"><Relationship Type="http://schemas.openxmlformats.org/officeDocument/2006/relationships/table" Target="/xl/tables/table23.xml" Id="Ra94939f524ca4a26" /></Relationships>
</file>

<file path=xl/worksheets/_rels/sheet25.xml.rels>&#65279;<?xml version="1.0" encoding="utf-8"?><Relationships xmlns="http://schemas.openxmlformats.org/package/2006/relationships"><Relationship Type="http://schemas.openxmlformats.org/officeDocument/2006/relationships/table" Target="/xl/tables/table24.xml" Id="R9e309c0fbbe145cd" /></Relationships>
</file>

<file path=xl/worksheets/_rels/sheet26.xml.rels>&#65279;<?xml version="1.0" encoding="utf-8"?><Relationships xmlns="http://schemas.openxmlformats.org/package/2006/relationships"><Relationship Type="http://schemas.openxmlformats.org/officeDocument/2006/relationships/table" Target="/xl/tables/table25.xml" Id="R4afd5bf762a6433b" /></Relationships>
</file>

<file path=xl/worksheets/_rels/sheet27.xml.rels>&#65279;<?xml version="1.0" encoding="utf-8"?><Relationships xmlns="http://schemas.openxmlformats.org/package/2006/relationships"><Relationship Type="http://schemas.openxmlformats.org/officeDocument/2006/relationships/table" Target="/xl/tables/table26.xml" Id="Re7139ec8a9ae4fd8" /></Relationships>
</file>

<file path=xl/worksheets/sheet1.xml><?xml version="1.0" encoding="utf-8"?>
<x:worksheet xmlns:x="http://schemas.openxmlformats.org/spreadsheetml/2006/main">
  <x:sheetPr>
    <x:tabColor rgb="FF102438"/>
  </x:sheetPr>
  <x:sheetViews>
    <x:sheetView showGridLines="0" workbookViewId="0">
      <x:pane ySplit="9" topLeftCell="A10" activePane="bottomLeft" state="frozen"/>
    </x:sheetView>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7" hidden="0" customWidth="1"/>
    <x:col min="8" max="8" width="21" hidden="0" customWidth="1"/>
    <x:col min="9" max="9" width="16" hidden="0" customWidth="1"/>
    <x:col min="10" max="10" width="12" hidden="0" customWidth="1"/>
    <x:col min="11" max="11" width="16" hidden="0" customWidth="1"/>
  </x:cols>
  <x:sheetData>
    <x:row r="1" ht="22" customHeight="1">
      <x:c r="A1" s="2"/>
      <x:c r="B1" s="2"/>
      <x:c r="C1" s="2"/>
      <x:c r="D1" s="2"/>
      <x:c r="E1" s="2"/>
      <x:c r="F1" s="2"/>
      <x:c r="G1" s="2"/>
      <x:c r="H1" s="2"/>
      <x:c r="I1" s="2"/>
      <x:c r="J1" s="2"/>
      <x:c r="K1" s="2"/>
    </x:row>
    <x:row r="2" ht="22" customHeight="1">
      <x:c r="A2" s="3" t="str">
        <x:v>Mass Effect Relay Chronicles — Production</x:v>
      </x:c>
      <x:c r="B2" s="2"/>
      <x:c r="C2" s="2"/>
      <x:c r="D2" s="2"/>
      <x:c r="E2" s="2"/>
      <x:c r="F2" s="2"/>
      <x:c r="G2" s="2"/>
      <x:c r="H2" s="2"/>
      <x:c r="I2" s="2"/>
      <x:c r="J2" s="2"/>
      <x:c r="K2" s="2"/>
    </x:row>
    <x:row r="3" ht="22" customHeight="1">
      <x:c r="A3" s="4" t="str">
        <x:v>ME1 prioritaire. Extensions ME2 et ME3 séparées. Statuts liés aux feuilles de contenu.</x:v>
      </x:c>
      <x:c r="B3" s="2"/>
      <x:c r="C3" s="2"/>
      <x:c r="D3" s="2"/>
      <x:c r="E3" s="2"/>
      <x:c r="F3" s="2"/>
      <x:c r="G3" s="2"/>
      <x:c r="H3" s="2"/>
      <x:c r="I3" s="2"/>
      <x:c r="J3" s="2"/>
      <x:c r="K3" s="2"/>
    </x:row>
    <x:row r="4" ht="22" customHeight="1">
      <x:c r="A4" s="5"/>
      <x:c r="B4" s="5"/>
      <x:c r="C4" s="5"/>
      <x:c r="D4" s="5"/>
      <x:c r="E4" s="5"/>
      <x:c r="F4" s="5"/>
      <x:c r="G4" s="5"/>
      <x:c r="H4" s="5"/>
      <x:c r="I4" s="5"/>
      <x:c r="J4" s="5"/>
      <x:c r="K4" s="5"/>
    </x:row>
    <x:row r="5" ht="22" customHeight="1">
      <x:c r="A5" s="2" t="str">
        <x:v>Éléments suivis</x:v>
      </x:c>
      <x:c r="B5" s="21" t="n">
        <x:f>SUM(B10:B35)</x:f>
        <x:v>1382</x:v>
      </x:c>
      <x:c r="C5" s="2"/>
      <x:c r="D5" s="2" t="str">
        <x:v>Intégrés</x:v>
      </x:c>
      <x:c r="E5" s="21" t="n">
        <x:f>SUM(E10:F35)</x:f>
        <x:v>6</x:v>
      </x:c>
      <x:c r="F5" s="2"/>
      <x:c r="G5" s="2" t="str">
        <x:v>Références à vérifier</x:v>
      </x:c>
      <x:c r="H5" s="21" t="n">
        <x:f>SUM(H10:H35)</x:f>
        <x:v>522</x:v>
      </x:c>
      <x:c r="I5" s="2"/>
      <x:c r="J5" s="2" t="str">
        <x:v>Validés</x:v>
      </x:c>
      <x:c r="K5" s="21" t="n">
        <x:f>SUM(F10:F35)</x:f>
        <x:v>3</x:v>
      </x:c>
    </x:row>
    <x:row r="6" ht="22" customHeight="1">
      <x:c r="A6" s="2"/>
      <x:c r="B6" s="2"/>
      <x:c r="C6" s="2"/>
      <x:c r="D6" s="2"/>
      <x:c r="E6" s="2"/>
      <x:c r="F6" s="2"/>
      <x:c r="G6" s="2"/>
      <x:c r="H6" s="2"/>
      <x:c r="I6" s="2"/>
      <x:c r="J6" s="2"/>
      <x:c r="K6" s="2"/>
    </x:row>
    <x:row r="7" ht="22" customHeight="1">
      <x:c r="A7" s="4" t="str">
        <x:v>Une ligne décrit un élément à produire ou à vérifier. Un statut Défini ne signifie pas jouable.</x:v>
      </x:c>
      <x:c r="B7" s="2"/>
      <x:c r="C7" s="2"/>
      <x:c r="D7" s="2"/>
      <x:c r="E7" s="2"/>
      <x:c r="F7" s="2"/>
      <x:c r="G7" s="2"/>
      <x:c r="H7" s="2"/>
      <x:c r="I7" s="2"/>
      <x:c r="J7" s="2"/>
      <x:c r="K7" s="2"/>
    </x:row>
    <x:row r="8" ht="22" customHeight="1">
      <x:c r="A8" s="2"/>
      <x:c r="B8" s="2"/>
      <x:c r="C8" s="2"/>
      <x:c r="D8" s="2"/>
      <x:c r="E8" s="2"/>
      <x:c r="F8" s="2"/>
      <x:c r="G8" s="2"/>
      <x:c r="H8" s="2"/>
      <x:c r="I8" s="2"/>
      <x:c r="J8" s="2"/>
      <x:c r="K8" s="2"/>
    </x:row>
    <x:row r="9" ht="34" customHeight="1">
      <x:c r="A9" s="20" t="str">
        <x:v>Catégorie</x:v>
      </x:c>
      <x:c r="B9" s="20" t="str">
        <x:v>Total</x:v>
      </x:c>
      <x:c r="C9" s="20" t="str">
        <x:v>Défini</x:v>
      </x:c>
      <x:c r="D9" s="20" t="str">
        <x:v>Prototype</x:v>
      </x:c>
      <x:c r="E9" s="20" t="str">
        <x:v>Intégré</x:v>
      </x:c>
      <x:c r="F9" s="20" t="str">
        <x:v>Validé</x:v>
      </x:c>
      <x:c r="G9" s="20" t="str">
        <x:v>Canon confirmé</x:v>
      </x:c>
      <x:c r="H9" s="20" t="str">
        <x:v>Réf. à vérifier</x:v>
      </x:c>
      <x:c r="I9" s="20" t="str">
        <x:v>Adaptation</x:v>
      </x:c>
      <x:c r="J9" s="20" t="str">
        <x:v>ME1</x:v>
      </x:c>
      <x:c r="K9" s="20" t="str">
        <x:v>Extension future</x:v>
      </x:c>
    </x:row>
    <x:row r="10" ht="22" customHeight="1">
      <x:c r="A10" s="22" t="str">
        <x:v>Personnages</x:v>
      </x:c>
      <x:c r="B10" s="26" t="n">
        <x:f>COUNTA('Personnages'!$A$7:$A$14)</x:f>
        <x:v>8</x:v>
      </x:c>
      <x:c r="C10" s="26" t="n">
        <x:f>COUNTIFS('Personnages'!$C$7:$C$14,"Défini")</x:f>
        <x:v>0</x:v>
      </x:c>
      <x:c r="D10" s="26" t="n">
        <x:f>COUNTIFS('Personnages'!$C$7:$C$14,"Prototype")</x:f>
        <x:v>8</x:v>
      </x:c>
      <x:c r="E10" s="26" t="n">
        <x:f>COUNTIFS('Personnages'!$C$7:$C$14,"Intégré")</x:f>
        <x:v>0</x:v>
      </x:c>
      <x:c r="F10" s="26" t="n">
        <x:f>COUNTIFS('Personnages'!$C$7:$C$14,"Validé")</x:f>
        <x:v>0</x:v>
      </x:c>
      <x:c r="G10" s="26" t="n">
        <x:f>COUNTIFS('Personnages'!$G$7:$G$14,"Confirmé")</x:f>
        <x:v>0</x:v>
      </x:c>
      <x:c r="H10" s="26" t="n">
        <x:f>COUNTIFS('Personnages'!$G$7:$G$14,"Référence à vérifier")</x:f>
        <x:v>8</x:v>
      </x:c>
      <x:c r="I10" s="26" t="n">
        <x:f>COUNTIFS('Personnages'!$G$7:$G$14,"Adaptation")</x:f>
        <x:v>0</x:v>
      </x:c>
      <x:c r="J10" s="26" t="n">
        <x:f>COUNTIFS('Personnages'!$F$7:$F$14,"ME1")</x:f>
        <x:v>8</x:v>
      </x:c>
      <x:c r="K10" s="26" t="n">
        <x:f>COUNTIFS('Personnages'!$P$7:$P$14,"Extension future")</x:f>
        <x:v>0</x:v>
      </x:c>
    </x:row>
    <x:row r="11" ht="22" customHeight="1">
      <x:c r="A11" s="2" t="str">
        <x:v>PNJ</x:v>
      </x:c>
      <x:c r="B11" s="27" t="n">
        <x:f>COUNTA('PNJ'!$A$7:$A$72)</x:f>
        <x:v>66</x:v>
      </x:c>
      <x:c r="C11" s="27" t="n">
        <x:f>COUNTIFS('PNJ'!$C$7:$C$72,"Défini")</x:f>
        <x:v>56</x:v>
      </x:c>
      <x:c r="D11" s="27" t="n">
        <x:f>COUNTIFS('PNJ'!$C$7:$C$72,"Prototype")</x:f>
        <x:v>10</x:v>
      </x:c>
      <x:c r="E11" s="27" t="n">
        <x:f>COUNTIFS('PNJ'!$C$7:$C$72,"Intégré")</x:f>
        <x:v>0</x:v>
      </x:c>
      <x:c r="F11" s="27" t="n">
        <x:f>COUNTIFS('PNJ'!$C$7:$C$72,"Validé")</x:f>
        <x:v>0</x:v>
      </x:c>
      <x:c r="G11" s="27" t="n">
        <x:f>COUNTIFS('PNJ'!$G$7:$G$72,"Confirmé")</x:f>
        <x:v>0</x:v>
      </x:c>
      <x:c r="H11" s="27" t="n">
        <x:f>COUNTIFS('PNJ'!$G$7:$G$72,"Référence à vérifier")</x:f>
        <x:v>66</x:v>
      </x:c>
      <x:c r="I11" s="27" t="n">
        <x:f>COUNTIFS('PNJ'!$G$7:$G$72,"Adaptation")</x:f>
        <x:v>0</x:v>
      </x:c>
      <x:c r="J11" s="27" t="n">
        <x:f>COUNTIFS('PNJ'!$F$7:$F$72,"ME1")</x:f>
        <x:v>66</x:v>
      </x:c>
      <x:c r="K11" s="27" t="n">
        <x:f>COUNTIFS('PNJ'!$P$7:$P$72,"Extension future")</x:f>
        <x:v>0</x:v>
      </x:c>
    </x:row>
    <x:row r="12" ht="22" customHeight="1">
      <x:c r="A12" s="22" t="str">
        <x:v>Espèces et factions</x:v>
      </x:c>
      <x:c r="B12" s="26" t="n">
        <x:f>COUNTA('Especes_factions'!$A$7:$A$42)</x:f>
        <x:v>36</x:v>
      </x:c>
      <x:c r="C12" s="26" t="n">
        <x:f>COUNTIFS('Especes_factions'!$C$7:$C$42,"Défini")</x:f>
        <x:v>29</x:v>
      </x:c>
      <x:c r="D12" s="26" t="n">
        <x:f>COUNTIFS('Especes_factions'!$C$7:$C$42,"Prototype")</x:f>
        <x:v>7</x:v>
      </x:c>
      <x:c r="E12" s="26" t="n">
        <x:f>COUNTIFS('Especes_factions'!$C$7:$C$42,"Intégré")</x:f>
        <x:v>0</x:v>
      </x:c>
      <x:c r="F12" s="26" t="n">
        <x:f>COUNTIFS('Especes_factions'!$C$7:$C$42,"Validé")</x:f>
        <x:v>0</x:v>
      </x:c>
      <x:c r="G12" s="26" t="n">
        <x:f>COUNTIFS('Especes_factions'!$G$7:$G$42,"Confirmé")</x:f>
        <x:v>0</x:v>
      </x:c>
      <x:c r="H12" s="26" t="n">
        <x:f>COUNTIFS('Especes_factions'!$G$7:$G$42,"Référence à vérifier")</x:f>
        <x:v>36</x:v>
      </x:c>
      <x:c r="I12" s="26" t="n">
        <x:f>COUNTIFS('Especes_factions'!$G$7:$G$42,"Adaptation")</x:f>
        <x:v>0</x:v>
      </x:c>
      <x:c r="J12" s="26" t="n">
        <x:f>COUNTIFS('Especes_factions'!$F$7:$F$42,"ME1")</x:f>
        <x:v>36</x:v>
      </x:c>
      <x:c r="K12" s="26" t="n">
        <x:f>COUNTIFS('Especes_factions'!$P$7:$P$42,"Extension future")</x:f>
        <x:v>0</x:v>
      </x:c>
    </x:row>
    <x:row r="13" ht="22" customHeight="1">
      <x:c r="A13" s="2" t="str">
        <x:v>Mondes</x:v>
      </x:c>
      <x:c r="B13" s="27" t="n">
        <x:f>COUNTA('Mondes'!$A$7:$A$38)</x:f>
        <x:v>32</x:v>
      </x:c>
      <x:c r="C13" s="27" t="n">
        <x:f>COUNTIFS('Mondes'!$C$7:$C$38,"Défini")</x:f>
        <x:v>24</x:v>
      </x:c>
      <x:c r="D13" s="27" t="n">
        <x:f>COUNTIFS('Mondes'!$C$7:$C$38,"Prototype")</x:f>
        <x:v>8</x:v>
      </x:c>
      <x:c r="E13" s="27" t="n">
        <x:f>COUNTIFS('Mondes'!$C$7:$C$38,"Intégré")</x:f>
        <x:v>0</x:v>
      </x:c>
      <x:c r="F13" s="27" t="n">
        <x:f>COUNTIFS('Mondes'!$C$7:$C$38,"Validé")</x:f>
        <x:v>0</x:v>
      </x:c>
      <x:c r="G13" s="27" t="n">
        <x:f>COUNTIFS('Mondes'!$G$7:$G$38,"Confirmé")</x:f>
        <x:v>0</x:v>
      </x:c>
      <x:c r="H13" s="27" t="n">
        <x:f>COUNTIFS('Mondes'!$G$7:$G$38,"Référence à vérifier")</x:f>
        <x:v>32</x:v>
      </x:c>
      <x:c r="I13" s="27" t="n">
        <x:f>COUNTIFS('Mondes'!$G$7:$G$38,"Adaptation")</x:f>
        <x:v>0</x:v>
      </x:c>
      <x:c r="J13" s="27" t="n">
        <x:f>COUNTIFS('Mondes'!$F$7:$F$38,"ME1")</x:f>
        <x:v>32</x:v>
      </x:c>
      <x:c r="K13" s="27" t="n">
        <x:f>COUNTIFS('Mondes'!$P$7:$P$38,"Extension future")</x:f>
        <x:v>0</x:v>
      </x:c>
    </x:row>
    <x:row r="14" ht="22" customHeight="1">
      <x:c r="A14" s="22" t="str">
        <x:v>Zones</x:v>
      </x:c>
      <x:c r="B14" s="26" t="n">
        <x:f>COUNTA('Zones'!$A$7:$A$106)</x:f>
        <x:v>100</x:v>
      </x:c>
      <x:c r="C14" s="26" t="n">
        <x:f>COUNTIFS('Zones'!$C$7:$C$106,"Défini")</x:f>
        <x:v>100</x:v>
      </x:c>
      <x:c r="D14" s="26" t="n">
        <x:f>COUNTIFS('Zones'!$C$7:$C$106,"Prototype")</x:f>
        <x:v>0</x:v>
      </x:c>
      <x:c r="E14" s="26" t="n">
        <x:f>COUNTIFS('Zones'!$C$7:$C$106,"Intégré")</x:f>
        <x:v>0</x:v>
      </x:c>
      <x:c r="F14" s="26" t="n">
        <x:f>COUNTIFS('Zones'!$C$7:$C$106,"Validé")</x:f>
        <x:v>0</x:v>
      </x:c>
      <x:c r="G14" s="26" t="n">
        <x:f>COUNTIFS('Zones'!$G$7:$G$106,"Confirmé")</x:f>
        <x:v>0</x:v>
      </x:c>
      <x:c r="H14" s="26" t="n">
        <x:f>COUNTIFS('Zones'!$G$7:$G$106,"Référence à vérifier")</x:f>
        <x:v>100</x:v>
      </x:c>
      <x:c r="I14" s="26" t="n">
        <x:f>COUNTIFS('Zones'!$G$7:$G$106,"Adaptation")</x:f>
        <x:v>0</x:v>
      </x:c>
      <x:c r="J14" s="26" t="n">
        <x:f>COUNTIFS('Zones'!$F$7:$F$106,"ME1")</x:f>
        <x:v>100</x:v>
      </x:c>
      <x:c r="K14" s="26" t="n">
        <x:f>COUNTIFS('Zones'!$P$7:$P$106,"Extension future")</x:f>
        <x:v>0</x:v>
      </x:c>
    </x:row>
    <x:row r="15" ht="22" customHeight="1">
      <x:c r="A15" s="2" t="str">
        <x:v>Liaisons</x:v>
      </x:c>
      <x:c r="B15" s="27" t="n">
        <x:f>COUNTA('Liaisons'!$A$7:$A$97)</x:f>
        <x:v>91</x:v>
      </x:c>
      <x:c r="C15" s="27" t="n">
        <x:f>COUNTIFS('Liaisons'!$C$7:$C$97,"Défini")</x:f>
        <x:v>91</x:v>
      </x:c>
      <x:c r="D15" s="27" t="n">
        <x:f>COUNTIFS('Liaisons'!$C$7:$C$97,"Prototype")</x:f>
        <x:v>0</x:v>
      </x:c>
      <x:c r="E15" s="27" t="n">
        <x:f>COUNTIFS('Liaisons'!$C$7:$C$97,"Intégré")</x:f>
        <x:v>0</x:v>
      </x:c>
      <x:c r="F15" s="27" t="n">
        <x:f>COUNTIFS('Liaisons'!$C$7:$C$97,"Validé")</x:f>
        <x:v>0</x:v>
      </x:c>
      <x:c r="G15" s="27" t="n">
        <x:f>COUNTIFS('Liaisons'!$G$7:$G$97,"Confirmé")</x:f>
        <x:v>0</x:v>
      </x:c>
      <x:c r="H15" s="27" t="n">
        <x:f>COUNTIFS('Liaisons'!$G$7:$G$97,"Référence à vérifier")</x:f>
        <x:v>0</x:v>
      </x:c>
      <x:c r="I15" s="27" t="n">
        <x:f>COUNTIFS('Liaisons'!$G$7:$G$97,"Adaptation")</x:f>
        <x:v>91</x:v>
      </x:c>
      <x:c r="J15" s="27" t="n">
        <x:f>COUNTIFS('Liaisons'!$F$7:$F$97,"ME1")</x:f>
        <x:v>91</x:v>
      </x:c>
      <x:c r="K15" s="27" t="n">
        <x:f>COUNTIFS('Liaisons'!$P$7:$P$97,"Extension future")</x:f>
        <x:v>0</x:v>
      </x:c>
    </x:row>
    <x:row r="16" ht="22" customHeight="1">
      <x:c r="A16" s="22" t="str">
        <x:v>Décors</x:v>
      </x:c>
      <x:c r="B16" s="26" t="n">
        <x:f>COUNTA('Decors'!$A$7:$A$41)</x:f>
        <x:v>35</x:v>
      </x:c>
      <x:c r="C16" s="26" t="n">
        <x:f>COUNTIFS('Decors'!$C$7:$C$41,"Défini")</x:f>
        <x:v>34</x:v>
      </x:c>
      <x:c r="D16" s="26" t="n">
        <x:f>COUNTIFS('Decors'!$C$7:$C$41,"Prototype")</x:f>
        <x:v>1</x:v>
      </x:c>
      <x:c r="E16" s="26" t="n">
        <x:f>COUNTIFS('Decors'!$C$7:$C$41,"Intégré")</x:f>
        <x:v>0</x:v>
      </x:c>
      <x:c r="F16" s="26" t="n">
        <x:f>COUNTIFS('Decors'!$C$7:$C$41,"Validé")</x:f>
        <x:v>0</x:v>
      </x:c>
      <x:c r="G16" s="26" t="n">
        <x:f>COUNTIFS('Decors'!$G$7:$G$41,"Confirmé")</x:f>
        <x:v>0</x:v>
      </x:c>
      <x:c r="H16" s="26" t="n">
        <x:f>COUNTIFS('Decors'!$G$7:$G$41,"Référence à vérifier")</x:f>
        <x:v>0</x:v>
      </x:c>
      <x:c r="I16" s="26" t="n">
        <x:f>COUNTIFS('Decors'!$G$7:$G$41,"Adaptation")</x:f>
        <x:v>35</x:v>
      </x:c>
      <x:c r="J16" s="26" t="n">
        <x:f>COUNTIFS('Decors'!$F$7:$F$41,"ME1")</x:f>
        <x:v>35</x:v>
      </x:c>
      <x:c r="K16" s="26" t="n">
        <x:f>COUNTIFS('Decors'!$P$7:$P$41,"Extension future")</x:f>
        <x:v>0</x:v>
      </x:c>
    </x:row>
    <x:row r="17" ht="22" customHeight="1">
      <x:c r="A17" s="2" t="str">
        <x:v>Props</x:v>
      </x:c>
      <x:c r="B17" s="27" t="n">
        <x:f>COUNTA('Props'!$A$7:$A$60)</x:f>
        <x:v>54</x:v>
      </x:c>
      <x:c r="C17" s="27" t="n">
        <x:f>COUNTIFS('Props'!$C$7:$C$60,"Défini")</x:f>
        <x:v>52</x:v>
      </x:c>
      <x:c r="D17" s="27" t="n">
        <x:f>COUNTIFS('Props'!$C$7:$C$60,"Prototype")</x:f>
        <x:v>2</x:v>
      </x:c>
      <x:c r="E17" s="27" t="n">
        <x:f>COUNTIFS('Props'!$C$7:$C$60,"Intégré")</x:f>
        <x:v>0</x:v>
      </x:c>
      <x:c r="F17" s="27" t="n">
        <x:f>COUNTIFS('Props'!$C$7:$C$60,"Validé")</x:f>
        <x:v>0</x:v>
      </x:c>
      <x:c r="G17" s="27" t="n">
        <x:f>COUNTIFS('Props'!$G$7:$G$60,"Confirmé")</x:f>
        <x:v>2</x:v>
      </x:c>
      <x:c r="H17" s="27" t="n">
        <x:f>COUNTIFS('Props'!$G$7:$G$60,"Référence à vérifier")</x:f>
        <x:v>0</x:v>
      </x:c>
      <x:c r="I17" s="27" t="n">
        <x:f>COUNTIFS('Props'!$G$7:$G$60,"Adaptation")</x:f>
        <x:v>52</x:v>
      </x:c>
      <x:c r="J17" s="27" t="n">
        <x:f>COUNTIFS('Props'!$F$7:$F$60,"ME1")</x:f>
        <x:v>54</x:v>
      </x:c>
      <x:c r="K17" s="27" t="n">
        <x:f>COUNTIFS('Props'!$P$7:$P$60,"Extension future")</x:f>
        <x:v>0</x:v>
      </x:c>
    </x:row>
    <x:row r="18" ht="22" customHeight="1">
      <x:c r="A18" s="22" t="str">
        <x:v>Ennemis et boss</x:v>
      </x:c>
      <x:c r="B18" s="26" t="n">
        <x:f>COUNTA('Ennemis_boss'!$A$7:$A$45)</x:f>
        <x:v>39</x:v>
      </x:c>
      <x:c r="C18" s="26" t="n">
        <x:f>COUNTIFS('Ennemis_boss'!$C$7:$C$45,"Défini")</x:f>
        <x:v>31</x:v>
      </x:c>
      <x:c r="D18" s="26" t="n">
        <x:f>COUNTIFS('Ennemis_boss'!$C$7:$C$45,"Prototype")</x:f>
        <x:v>8</x:v>
      </x:c>
      <x:c r="E18" s="26" t="n">
        <x:f>COUNTIFS('Ennemis_boss'!$C$7:$C$45,"Intégré")</x:f>
        <x:v>0</x:v>
      </x:c>
      <x:c r="F18" s="26" t="n">
        <x:f>COUNTIFS('Ennemis_boss'!$C$7:$C$45,"Validé")</x:f>
        <x:v>0</x:v>
      </x:c>
      <x:c r="G18" s="26" t="n">
        <x:f>COUNTIFS('Ennemis_boss'!$G$7:$G$45,"Confirmé")</x:f>
        <x:v>0</x:v>
      </x:c>
      <x:c r="H18" s="26" t="n">
        <x:f>COUNTIFS('Ennemis_boss'!$G$7:$G$45,"Référence à vérifier")</x:f>
        <x:v>35</x:v>
      </x:c>
      <x:c r="I18" s="26" t="n">
        <x:f>COUNTIFS('Ennemis_boss'!$G$7:$G$45,"Adaptation")</x:f>
        <x:v>4</x:v>
      </x:c>
      <x:c r="J18" s="26" t="n">
        <x:f>COUNTIFS('Ennemis_boss'!$F$7:$F$45,"ME1")</x:f>
        <x:v>39</x:v>
      </x:c>
      <x:c r="K18" s="26" t="n">
        <x:f>COUNTIFS('Ennemis_boss'!$P$7:$P$45,"Extension future")</x:f>
        <x:v>0</x:v>
      </x:c>
    </x:row>
    <x:row r="19" ht="22" customHeight="1">
      <x:c r="A19" s="2" t="str">
        <x:v>Missions</x:v>
      </x:c>
      <x:c r="B19" s="27" t="n">
        <x:f>COUNTA('Missions'!$A$7:$A$69)</x:f>
        <x:v>63</x:v>
      </x:c>
      <x:c r="C19" s="27" t="n">
        <x:f>COUNTIFS('Missions'!$C$7:$C$69,"Défini")</x:f>
        <x:v>42</x:v>
      </x:c>
      <x:c r="D19" s="27" t="n">
        <x:f>COUNTIFS('Missions'!$C$7:$C$69,"Prototype")</x:f>
        <x:v>21</x:v>
      </x:c>
      <x:c r="E19" s="27" t="n">
        <x:f>COUNTIFS('Missions'!$C$7:$C$69,"Intégré")</x:f>
        <x:v>0</x:v>
      </x:c>
      <x:c r="F19" s="27" t="n">
        <x:f>COUNTIFS('Missions'!$C$7:$C$69,"Validé")</x:f>
        <x:v>0</x:v>
      </x:c>
      <x:c r="G19" s="27" t="n">
        <x:f>COUNTIFS('Missions'!$G$7:$G$69,"Confirmé")</x:f>
        <x:v>0</x:v>
      </x:c>
      <x:c r="H19" s="27" t="n">
        <x:f>COUNTIFS('Missions'!$G$7:$G$69,"Référence à vérifier")</x:f>
        <x:v>42</x:v>
      </x:c>
      <x:c r="I19" s="27" t="n">
        <x:f>COUNTIFS('Missions'!$G$7:$G$69,"Adaptation")</x:f>
        <x:v>21</x:v>
      </x:c>
      <x:c r="J19" s="27" t="n">
        <x:f>COUNTIFS('Missions'!$F$7:$F$69,"ME1")</x:f>
        <x:v>63</x:v>
      </x:c>
      <x:c r="K19" s="27" t="n">
        <x:f>COUNTIFS('Missions'!$P$7:$P$69,"Extension future")</x:f>
        <x:v>0</x:v>
      </x:c>
    </x:row>
    <x:row r="20" ht="22" customHeight="1">
      <x:c r="A20" s="22" t="str">
        <x:v>Secondaires et DLC</x:v>
      </x:c>
      <x:c r="B20" s="26" t="n">
        <x:f>COUNTA('Secondaires_DLC'!$A$7:$A$114)</x:f>
        <x:v>108</x:v>
      </x:c>
      <x:c r="C20" s="26" t="n">
        <x:f>COUNTIFS('Secondaires_DLC'!$C$7:$C$114,"Défini")</x:f>
        <x:v>51</x:v>
      </x:c>
      <x:c r="D20" s="26" t="n">
        <x:f>COUNTIFS('Secondaires_DLC'!$C$7:$C$114,"Prototype")</x:f>
        <x:v>57</x:v>
      </x:c>
      <x:c r="E20" s="26" t="n">
        <x:f>COUNTIFS('Secondaires_DLC'!$C$7:$C$114,"Intégré")</x:f>
        <x:v>0</x:v>
      </x:c>
      <x:c r="F20" s="26" t="n">
        <x:f>COUNTIFS('Secondaires_DLC'!$C$7:$C$114,"Validé")</x:f>
        <x:v>0</x:v>
      </x:c>
      <x:c r="G20" s="26" t="n">
        <x:f>COUNTIFS('Secondaires_DLC'!$G$7:$G$114,"Confirmé")</x:f>
        <x:v>0</x:v>
      </x:c>
      <x:c r="H20" s="26" t="n">
        <x:f>COUNTIFS('Secondaires_DLC'!$G$7:$G$114,"Référence à vérifier")</x:f>
        <x:v>54</x:v>
      </x:c>
      <x:c r="I20" s="26" t="n">
        <x:f>COUNTIFS('Secondaires_DLC'!$G$7:$G$114,"Adaptation")</x:f>
        <x:v>54</x:v>
      </x:c>
      <x:c r="J20" s="26" t="n">
        <x:f>COUNTIFS('Secondaires_DLC'!$F$7:$F$114,"ME1")</x:f>
        <x:v>108</x:v>
      </x:c>
      <x:c r="K20" s="26" t="n">
        <x:f>COUNTIFS('Secondaires_DLC'!$P$7:$P$114,"Extension future")</x:f>
        <x:v>0</x:v>
      </x:c>
    </x:row>
    <x:row r="21" ht="22" customHeight="1">
      <x:c r="A21" s="2" t="str">
        <x:v>Choix et relations</x:v>
      </x:c>
      <x:c r="B21" s="27" t="n">
        <x:f>COUNTA('Choix_relations'!$A$7:$A$40)</x:f>
        <x:v>34</x:v>
      </x:c>
      <x:c r="C21" s="27" t="n">
        <x:f>COUNTIFS('Choix_relations'!$C$7:$C$40,"Défini")</x:f>
        <x:v>31</x:v>
      </x:c>
      <x:c r="D21" s="27" t="n">
        <x:f>COUNTIFS('Choix_relations'!$C$7:$C$40,"Prototype")</x:f>
        <x:v>0</x:v>
      </x:c>
      <x:c r="E21" s="27" t="n">
        <x:f>COUNTIFS('Choix_relations'!$C$7:$C$40,"Intégré")</x:f>
        <x:v>3</x:v>
      </x:c>
      <x:c r="F21" s="27" t="n">
        <x:f>COUNTIFS('Choix_relations'!$C$7:$C$40,"Validé")</x:f>
        <x:v>0</x:v>
      </x:c>
      <x:c r="G21" s="27" t="n">
        <x:f>COUNTIFS('Choix_relations'!$G$7:$G$40,"Confirmé")</x:f>
        <x:v>0</x:v>
      </x:c>
      <x:c r="H21" s="27" t="n">
        <x:f>COUNTIFS('Choix_relations'!$G$7:$G$40,"Référence à vérifier")</x:f>
        <x:v>34</x:v>
      </x:c>
      <x:c r="I21" s="27" t="n">
        <x:f>COUNTIFS('Choix_relations'!$G$7:$G$40,"Adaptation")</x:f>
        <x:v>0</x:v>
      </x:c>
      <x:c r="J21" s="27" t="n">
        <x:f>COUNTIFS('Choix_relations'!$F$7:$F$40,"ME1")</x:f>
        <x:v>34</x:v>
      </x:c>
      <x:c r="K21" s="27" t="n">
        <x:f>COUNTIFS('Choix_relations'!$P$7:$P$40,"Extension future")</x:f>
        <x:v>0</x:v>
      </x:c>
    </x:row>
    <x:row r="22" ht="22" customHeight="1">
      <x:c r="A22" s="22" t="str">
        <x:v>Dialogues</x:v>
      </x:c>
      <x:c r="B22" s="26" t="n">
        <x:f>COUNTA('Dialogues'!$A$7:$A$42)</x:f>
        <x:v>36</x:v>
      </x:c>
      <x:c r="C22" s="26" t="n">
        <x:f>COUNTIFS('Dialogues'!$C$7:$C$42,"Défini")</x:f>
        <x:v>24</x:v>
      </x:c>
      <x:c r="D22" s="26" t="n">
        <x:f>COUNTIFS('Dialogues'!$C$7:$C$42,"Prototype")</x:f>
        <x:v>12</x:v>
      </x:c>
      <x:c r="E22" s="26" t="n">
        <x:f>COUNTIFS('Dialogues'!$C$7:$C$42,"Intégré")</x:f>
        <x:v>0</x:v>
      </x:c>
      <x:c r="F22" s="26" t="n">
        <x:f>COUNTIFS('Dialogues'!$C$7:$C$42,"Validé")</x:f>
        <x:v>0</x:v>
      </x:c>
      <x:c r="G22" s="26" t="n">
        <x:f>COUNTIFS('Dialogues'!$G$7:$G$42,"Confirmé")</x:f>
        <x:v>0</x:v>
      </x:c>
      <x:c r="H22" s="26" t="n">
        <x:f>COUNTIFS('Dialogues'!$G$7:$G$42,"Référence à vérifier")</x:f>
        <x:v>0</x:v>
      </x:c>
      <x:c r="I22" s="26" t="n">
        <x:f>COUNTIFS('Dialogues'!$G$7:$G$42,"Adaptation")</x:f>
        <x:v>36</x:v>
      </x:c>
      <x:c r="J22" s="26" t="n">
        <x:f>COUNTIFS('Dialogues'!$F$7:$F$42,"ME1")</x:f>
        <x:v>36</x:v>
      </x:c>
      <x:c r="K22" s="26" t="n">
        <x:f>COUNTIFS('Dialogues'!$P$7:$P$42,"Extension future")</x:f>
        <x:v>0</x:v>
      </x:c>
    </x:row>
    <x:row r="23" ht="22" customHeight="1">
      <x:c r="A23" s="2" t="str">
        <x:v>Cinématiques</x:v>
      </x:c>
      <x:c r="B23" s="27" t="n">
        <x:f>COUNTA('Cinematiques'!$A$7:$A$32)</x:f>
        <x:v>26</x:v>
      </x:c>
      <x:c r="C23" s="27" t="n">
        <x:f>COUNTIFS('Cinematiques'!$C$7:$C$32,"Défini")</x:f>
        <x:v>26</x:v>
      </x:c>
      <x:c r="D23" s="27" t="n">
        <x:f>COUNTIFS('Cinematiques'!$C$7:$C$32,"Prototype")</x:f>
        <x:v>0</x:v>
      </x:c>
      <x:c r="E23" s="27" t="n">
        <x:f>COUNTIFS('Cinematiques'!$C$7:$C$32,"Intégré")</x:f>
        <x:v>0</x:v>
      </x:c>
      <x:c r="F23" s="27" t="n">
        <x:f>COUNTIFS('Cinematiques'!$C$7:$C$32,"Validé")</x:f>
        <x:v>0</x:v>
      </x:c>
      <x:c r="G23" s="27" t="n">
        <x:f>COUNTIFS('Cinematiques'!$G$7:$G$32,"Confirmé")</x:f>
        <x:v>0</x:v>
      </x:c>
      <x:c r="H23" s="27" t="n">
        <x:f>COUNTIFS('Cinematiques'!$G$7:$G$32,"Référence à vérifier")</x:f>
        <x:v>0</x:v>
      </x:c>
      <x:c r="I23" s="27" t="n">
        <x:f>COUNTIFS('Cinematiques'!$G$7:$G$32,"Adaptation")</x:f>
        <x:v>26</x:v>
      </x:c>
      <x:c r="J23" s="27" t="n">
        <x:f>COUNTIFS('Cinematiques'!$F$7:$F$32,"ME1")</x:f>
        <x:v>26</x:v>
      </x:c>
      <x:c r="K23" s="27" t="n">
        <x:f>COUNTIFS('Cinematiques'!$P$7:$P$32,"Extension future")</x:f>
        <x:v>0</x:v>
      </x:c>
    </x:row>
    <x:row r="24" ht="22" customHeight="1">
      <x:c r="A24" s="22" t="str">
        <x:v>Armes</x:v>
      </x:c>
      <x:c r="B24" s="26" t="n">
        <x:f>COUNTA('Armes'!$A$7:$A$54)</x:f>
        <x:v>48</x:v>
      </x:c>
      <x:c r="C24" s="26" t="n">
        <x:f>COUNTIFS('Armes'!$C$7:$C$54,"Défini")</x:f>
        <x:v>24</x:v>
      </x:c>
      <x:c r="D24" s="26" t="n">
        <x:f>COUNTIFS('Armes'!$C$7:$C$54,"Prototype")</x:f>
        <x:v>24</x:v>
      </x:c>
      <x:c r="E24" s="26" t="n">
        <x:f>COUNTIFS('Armes'!$C$7:$C$54,"Intégré")</x:f>
        <x:v>0</x:v>
      </x:c>
      <x:c r="F24" s="26" t="n">
        <x:f>COUNTIFS('Armes'!$C$7:$C$54,"Validé")</x:f>
        <x:v>0</x:v>
      </x:c>
      <x:c r="G24" s="26" t="n">
        <x:f>COUNTIFS('Armes'!$G$7:$G$54,"Confirmé")</x:f>
        <x:v>0</x:v>
      </x:c>
      <x:c r="H24" s="26" t="n">
        <x:f>COUNTIFS('Armes'!$G$7:$G$54,"Référence à vérifier")</x:f>
        <x:v>24</x:v>
      </x:c>
      <x:c r="I24" s="26" t="n">
        <x:f>COUNTIFS('Armes'!$G$7:$G$54,"Adaptation")</x:f>
        <x:v>24</x:v>
      </x:c>
      <x:c r="J24" s="26" t="n">
        <x:f>COUNTIFS('Armes'!$F$7:$F$54,"ME1")</x:f>
        <x:v>48</x:v>
      </x:c>
      <x:c r="K24" s="26" t="n">
        <x:f>COUNTIFS('Armes'!$P$7:$P$54,"Extension future")</x:f>
        <x:v>0</x:v>
      </x:c>
    </x:row>
    <x:row r="25" ht="22" customHeight="1">
      <x:c r="A25" s="2" t="str">
        <x:v>Armures et équipement</x:v>
      </x:c>
      <x:c r="B25" s="27" t="n">
        <x:f>COUNTA('Armures_equipement'!$A$7:$A$70)</x:f>
        <x:v>64</x:v>
      </x:c>
      <x:c r="C25" s="27" t="n">
        <x:f>COUNTIFS('Armures_equipement'!$C$7:$C$70,"Défini")</x:f>
        <x:v>24</x:v>
      </x:c>
      <x:c r="D25" s="27" t="n">
        <x:f>COUNTIFS('Armures_equipement'!$C$7:$C$70,"Prototype")</x:f>
        <x:v>40</x:v>
      </x:c>
      <x:c r="E25" s="27" t="n">
        <x:f>COUNTIFS('Armures_equipement'!$C$7:$C$70,"Intégré")</x:f>
        <x:v>0</x:v>
      </x:c>
      <x:c r="F25" s="27" t="n">
        <x:f>COUNTIFS('Armures_equipement'!$C$7:$C$70,"Validé")</x:f>
        <x:v>0</x:v>
      </x:c>
      <x:c r="G25" s="27" t="n">
        <x:f>COUNTIFS('Armures_equipement'!$G$7:$G$70,"Confirmé")</x:f>
        <x:v>2</x:v>
      </x:c>
      <x:c r="H25" s="27" t="n">
        <x:f>COUNTIFS('Armures_equipement'!$G$7:$G$70,"Référence à vérifier")</x:f>
        <x:v>24</x:v>
      </x:c>
      <x:c r="I25" s="27" t="n">
        <x:f>COUNTIFS('Armures_equipement'!$G$7:$G$70,"Adaptation")</x:f>
        <x:v>38</x:v>
      </x:c>
      <x:c r="J25" s="27" t="n">
        <x:f>COUNTIFS('Armures_equipement'!$F$7:$F$70,"ME1")</x:f>
        <x:v>64</x:v>
      </x:c>
      <x:c r="K25" s="27" t="n">
        <x:f>COUNTIFS('Armures_equipement'!$P$7:$P$70,"Extension future")</x:f>
        <x:v>0</x:v>
      </x:c>
    </x:row>
    <x:row r="26" ht="22" customHeight="1">
      <x:c r="A26" s="22" t="str">
        <x:v>Pouvoirs</x:v>
      </x:c>
      <x:c r="B26" s="26" t="n">
        <x:f>COUNTA('Pouvoirs'!$A$7:$A$36)</x:f>
        <x:v>30</x:v>
      </x:c>
      <x:c r="C26" s="26" t="n">
        <x:f>COUNTIFS('Pouvoirs'!$C$7:$C$36,"Défini")</x:f>
        <x:v>17</x:v>
      </x:c>
      <x:c r="D26" s="26" t="n">
        <x:f>COUNTIFS('Pouvoirs'!$C$7:$C$36,"Prototype")</x:f>
        <x:v>13</x:v>
      </x:c>
      <x:c r="E26" s="26" t="n">
        <x:f>COUNTIFS('Pouvoirs'!$C$7:$C$36,"Intégré")</x:f>
        <x:v>0</x:v>
      </x:c>
      <x:c r="F26" s="26" t="n">
        <x:f>COUNTIFS('Pouvoirs'!$C$7:$C$36,"Validé")</x:f>
        <x:v>0</x:v>
      </x:c>
      <x:c r="G26" s="26" t="n">
        <x:f>COUNTIFS('Pouvoirs'!$G$7:$G$36,"Confirmé")</x:f>
        <x:v>15</x:v>
      </x:c>
      <x:c r="H26" s="26" t="n">
        <x:f>COUNTIFS('Pouvoirs'!$G$7:$G$36,"Référence à vérifier")</x:f>
        <x:v>10</x:v>
      </x:c>
      <x:c r="I26" s="26" t="n">
        <x:f>COUNTIFS('Pouvoirs'!$G$7:$G$36,"Adaptation")</x:f>
        <x:v>5</x:v>
      </x:c>
      <x:c r="J26" s="26" t="n">
        <x:f>COUNTIFS('Pouvoirs'!$F$7:$F$36,"ME1")</x:f>
        <x:v>30</x:v>
      </x:c>
      <x:c r="K26" s="26" t="n">
        <x:f>COUNTIFS('Pouvoirs'!$P$7:$P$36,"Extension future")</x:f>
        <x:v>0</x:v>
      </x:c>
    </x:row>
    <x:row r="27" ht="22" customHeight="1">
      <x:c r="A27" s="2" t="str">
        <x:v>Movesets alliés</x:v>
      </x:c>
      <x:c r="B27" s="27" t="n">
        <x:f>COUNTA('Movesets_allies'!$A$7:$A$56)</x:f>
        <x:v>50</x:v>
      </x:c>
      <x:c r="C27" s="27" t="n">
        <x:f>COUNTIFS('Movesets_allies'!$C$7:$C$56,"Défini")</x:f>
        <x:v>50</x:v>
      </x:c>
      <x:c r="D27" s="27" t="n">
        <x:f>COUNTIFS('Movesets_allies'!$C$7:$C$56,"Prototype")</x:f>
        <x:v>0</x:v>
      </x:c>
      <x:c r="E27" s="27" t="n">
        <x:f>COUNTIFS('Movesets_allies'!$C$7:$C$56,"Intégré")</x:f>
        <x:v>0</x:v>
      </x:c>
      <x:c r="F27" s="27" t="n">
        <x:f>COUNTIFS('Movesets_allies'!$C$7:$C$56,"Validé")</x:f>
        <x:v>0</x:v>
      </x:c>
      <x:c r="G27" s="27" t="n">
        <x:f>COUNTIFS('Movesets_allies'!$G$7:$G$56,"Confirmé")</x:f>
        <x:v>0</x:v>
      </x:c>
      <x:c r="H27" s="27" t="n">
        <x:f>COUNTIFS('Movesets_allies'!$G$7:$G$56,"Référence à vérifier")</x:f>
        <x:v>0</x:v>
      </x:c>
      <x:c r="I27" s="27" t="n">
        <x:f>COUNTIFS('Movesets_allies'!$G$7:$G$56,"Adaptation")</x:f>
        <x:v>50</x:v>
      </x:c>
      <x:c r="J27" s="27" t="n">
        <x:f>COUNTIFS('Movesets_allies'!$F$7:$F$56,"ME1")</x:f>
        <x:v>50</x:v>
      </x:c>
      <x:c r="K27" s="27" t="n">
        <x:f>COUNTIFS('Movesets_allies'!$P$7:$P$56,"Extension future")</x:f>
        <x:v>0</x:v>
      </x:c>
    </x:row>
    <x:row r="28" ht="22" customHeight="1">
      <x:c r="A28" s="22" t="str">
        <x:v>Movesets ennemis</x:v>
      </x:c>
      <x:c r="B28" s="26" t="n">
        <x:f>COUNTA('Movesets_ennemis'!$A$7:$A$81)</x:f>
        <x:v>75</x:v>
      </x:c>
      <x:c r="C28" s="26" t="n">
        <x:f>COUNTIFS('Movesets_ennemis'!$C$7:$C$81,"Défini")</x:f>
        <x:v>75</x:v>
      </x:c>
      <x:c r="D28" s="26" t="n">
        <x:f>COUNTIFS('Movesets_ennemis'!$C$7:$C$81,"Prototype")</x:f>
        <x:v>0</x:v>
      </x:c>
      <x:c r="E28" s="26" t="n">
        <x:f>COUNTIFS('Movesets_ennemis'!$C$7:$C$81,"Intégré")</x:f>
        <x:v>0</x:v>
      </x:c>
      <x:c r="F28" s="26" t="n">
        <x:f>COUNTIFS('Movesets_ennemis'!$C$7:$C$81,"Validé")</x:f>
        <x:v>0</x:v>
      </x:c>
      <x:c r="G28" s="26" t="n">
        <x:f>COUNTIFS('Movesets_ennemis'!$G$7:$G$81,"Confirmé")</x:f>
        <x:v>0</x:v>
      </x:c>
      <x:c r="H28" s="26" t="n">
        <x:f>COUNTIFS('Movesets_ennemis'!$G$7:$G$81,"Référence à vérifier")</x:f>
        <x:v>0</x:v>
      </x:c>
      <x:c r="I28" s="26" t="n">
        <x:f>COUNTIFS('Movesets_ennemis'!$G$7:$G$81,"Adaptation")</x:f>
        <x:v>75</x:v>
      </x:c>
      <x:c r="J28" s="26" t="n">
        <x:f>COUNTIFS('Movesets_ennemis'!$F$7:$F$81,"ME1")</x:f>
        <x:v>75</x:v>
      </x:c>
      <x:c r="K28" s="26" t="n">
        <x:f>COUNTIFS('Movesets_ennemis'!$P$7:$P$81,"Extension future")</x:f>
        <x:v>0</x:v>
      </x:c>
    </x:row>
    <x:row r="29" ht="22" customHeight="1">
      <x:c r="A29" s="2" t="str">
        <x:v>Animations</x:v>
      </x:c>
      <x:c r="B29" s="27" t="n">
        <x:f>COUNTA('Animations'!$A$7:$A$69)</x:f>
        <x:v>63</x:v>
      </x:c>
      <x:c r="C29" s="27" t="n">
        <x:f>COUNTIFS('Animations'!$C$7:$C$69,"Défini")</x:f>
        <x:v>40</x:v>
      </x:c>
      <x:c r="D29" s="27" t="n">
        <x:f>COUNTIFS('Animations'!$C$7:$C$69,"Prototype")</x:f>
        <x:v>23</x:v>
      </x:c>
      <x:c r="E29" s="27" t="n">
        <x:f>COUNTIFS('Animations'!$C$7:$C$69,"Intégré")</x:f>
        <x:v>0</x:v>
      </x:c>
      <x:c r="F29" s="27" t="n">
        <x:f>COUNTIFS('Animations'!$C$7:$C$69,"Validé")</x:f>
        <x:v>0</x:v>
      </x:c>
      <x:c r="G29" s="27" t="n">
        <x:f>COUNTIFS('Animations'!$G$7:$G$69,"Confirmé")</x:f>
        <x:v>0</x:v>
      </x:c>
      <x:c r="H29" s="27" t="n">
        <x:f>COUNTIFS('Animations'!$G$7:$G$69,"Référence à vérifier")</x:f>
        <x:v>0</x:v>
      </x:c>
      <x:c r="I29" s="27" t="n">
        <x:f>COUNTIFS('Animations'!$G$7:$G$69,"Adaptation")</x:f>
        <x:v>63</x:v>
      </x:c>
      <x:c r="J29" s="27" t="n">
        <x:f>COUNTIFS('Animations'!$F$7:$F$69,"ME1")</x:f>
        <x:v>63</x:v>
      </x:c>
      <x:c r="K29" s="27" t="n">
        <x:f>COUNTIFS('Animations'!$P$7:$P$69,"Extension future")</x:f>
        <x:v>0</x:v>
      </x:c>
    </x:row>
    <x:row r="30" ht="22" customHeight="1">
      <x:c r="A30" s="22" t="str">
        <x:v>Sprites</x:v>
      </x:c>
      <x:c r="B30" s="26" t="n">
        <x:f>COUNTA('Sprites'!$A$7:$A$88)</x:f>
        <x:v>82</x:v>
      </x:c>
      <x:c r="C30" s="26" t="n">
        <x:f>COUNTIFS('Sprites'!$C$7:$C$88,"Défini")</x:f>
        <x:v>43</x:v>
      </x:c>
      <x:c r="D30" s="26" t="n">
        <x:f>COUNTIFS('Sprites'!$C$7:$C$88,"Prototype")</x:f>
        <x:v>39</x:v>
      </x:c>
      <x:c r="E30" s="26" t="n">
        <x:f>COUNTIFS('Sprites'!$C$7:$C$88,"Intégré")</x:f>
        <x:v>0</x:v>
      </x:c>
      <x:c r="F30" s="26" t="n">
        <x:f>COUNTIFS('Sprites'!$C$7:$C$88,"Validé")</x:f>
        <x:v>0</x:v>
      </x:c>
      <x:c r="G30" s="26" t="n">
        <x:f>COUNTIFS('Sprites'!$G$7:$G$88,"Confirmé")</x:f>
        <x:v>0</x:v>
      </x:c>
      <x:c r="H30" s="26" t="n">
        <x:f>COUNTIFS('Sprites'!$G$7:$G$88,"Référence à vérifier")</x:f>
        <x:v>0</x:v>
      </x:c>
      <x:c r="I30" s="26" t="n">
        <x:f>COUNTIFS('Sprites'!$G$7:$G$88,"Adaptation")</x:f>
        <x:v>82</x:v>
      </x:c>
      <x:c r="J30" s="26" t="n">
        <x:f>COUNTIFS('Sprites'!$F$7:$F$88,"ME1")</x:f>
        <x:v>82</x:v>
      </x:c>
      <x:c r="K30" s="26" t="n">
        <x:f>COUNTIFS('Sprites'!$P$7:$P$88,"Extension future")</x:f>
        <x:v>0</x:v>
      </x:c>
    </x:row>
    <x:row r="31" ht="22" customHeight="1">
      <x:c r="A31" s="2" t="str">
        <x:v>VFX</x:v>
      </x:c>
      <x:c r="B31" s="27" t="n">
        <x:f>COUNTA('VFX'!$A$7:$A$32)</x:f>
        <x:v>26</x:v>
      </x:c>
      <x:c r="C31" s="27" t="n">
        <x:f>COUNTIFS('VFX'!$C$7:$C$32,"Défini")</x:f>
        <x:v>26</x:v>
      </x:c>
      <x:c r="D31" s="27" t="n">
        <x:f>COUNTIFS('VFX'!$C$7:$C$32,"Prototype")</x:f>
        <x:v>0</x:v>
      </x:c>
      <x:c r="E31" s="27" t="n">
        <x:f>COUNTIFS('VFX'!$C$7:$C$32,"Intégré")</x:f>
        <x:v>0</x:v>
      </x:c>
      <x:c r="F31" s="27" t="n">
        <x:f>COUNTIFS('VFX'!$C$7:$C$32,"Validé")</x:f>
        <x:v>0</x:v>
      </x:c>
      <x:c r="G31" s="27" t="n">
        <x:f>COUNTIFS('VFX'!$G$7:$G$32,"Confirmé")</x:f>
        <x:v>0</x:v>
      </x:c>
      <x:c r="H31" s="27" t="n">
        <x:f>COUNTIFS('VFX'!$G$7:$G$32,"Référence à vérifier")</x:f>
        <x:v>0</x:v>
      </x:c>
      <x:c r="I31" s="27" t="n">
        <x:f>COUNTIFS('VFX'!$G$7:$G$32,"Adaptation")</x:f>
        <x:v>26</x:v>
      </x:c>
      <x:c r="J31" s="27" t="n">
        <x:f>COUNTIFS('VFX'!$F$7:$F$32,"ME1")</x:f>
        <x:v>26</x:v>
      </x:c>
      <x:c r="K31" s="27" t="n">
        <x:f>COUNTIFS('VFX'!$P$7:$P$32,"Extension future")</x:f>
        <x:v>0</x:v>
      </x:c>
    </x:row>
    <x:row r="32" ht="22" customHeight="1">
      <x:c r="A32" s="22" t="str">
        <x:v>Audio</x:v>
      </x:c>
      <x:c r="B32" s="26" t="n">
        <x:f>COUNTA('Audio'!$A$7:$A$36)</x:f>
        <x:v>30</x:v>
      </x:c>
      <x:c r="C32" s="26" t="n">
        <x:f>COUNTIFS('Audio'!$C$7:$C$36,"Défini")</x:f>
        <x:v>30</x:v>
      </x:c>
      <x:c r="D32" s="26" t="n">
        <x:f>COUNTIFS('Audio'!$C$7:$C$36,"Prototype")</x:f>
        <x:v>0</x:v>
      </x:c>
      <x:c r="E32" s="26" t="n">
        <x:f>COUNTIFS('Audio'!$C$7:$C$36,"Intégré")</x:f>
        <x:v>0</x:v>
      </x:c>
      <x:c r="F32" s="26" t="n">
        <x:f>COUNTIFS('Audio'!$C$7:$C$36,"Validé")</x:f>
        <x:v>0</x:v>
      </x:c>
      <x:c r="G32" s="26" t="n">
        <x:f>COUNTIFS('Audio'!$G$7:$G$36,"Confirmé")</x:f>
        <x:v>0</x:v>
      </x:c>
      <x:c r="H32" s="26" t="n">
        <x:f>COUNTIFS('Audio'!$G$7:$G$36,"Référence à vérifier")</x:f>
        <x:v>0</x:v>
      </x:c>
      <x:c r="I32" s="26" t="n">
        <x:f>COUNTIFS('Audio'!$G$7:$G$36,"Adaptation")</x:f>
        <x:v>30</x:v>
      </x:c>
      <x:c r="J32" s="26" t="n">
        <x:f>COUNTIFS('Audio'!$F$7:$F$36,"ME1")</x:f>
        <x:v>30</x:v>
      </x:c>
      <x:c r="K32" s="26" t="n">
        <x:f>COUNTIFS('Audio'!$P$7:$P$36,"Extension future")</x:f>
        <x:v>0</x:v>
      </x:c>
    </x:row>
    <x:row r="33" ht="22" customHeight="1">
      <x:c r="A33" s="2" t="str">
        <x:v>Systèmes et UI</x:v>
      </x:c>
      <x:c r="B33" s="27" t="n">
        <x:f>COUNTA('UI_systemes'!$A$7:$A$71)</x:f>
        <x:v>65</x:v>
      </x:c>
      <x:c r="C33" s="27" t="n">
        <x:f>COUNTIFS('UI_systemes'!$C$7:$C$71,"Défini")</x:f>
        <x:v>8</x:v>
      </x:c>
      <x:c r="D33" s="27" t="n">
        <x:f>COUNTIFS('UI_systemes'!$C$7:$C$71,"Prototype")</x:f>
        <x:v>54</x:v>
      </x:c>
      <x:c r="E33" s="27" t="n">
        <x:f>COUNTIFS('UI_systemes'!$C$7:$C$71,"Intégré")</x:f>
        <x:v>0</x:v>
      </x:c>
      <x:c r="F33" s="27" t="n">
        <x:f>COUNTIFS('UI_systemes'!$C$7:$C$71,"Validé")</x:f>
        <x:v>3</x:v>
      </x:c>
      <x:c r="G33" s="27" t="n">
        <x:f>COUNTIFS('UI_systemes'!$G$7:$G$71,"Confirmé")</x:f>
        <x:v>0</x:v>
      </x:c>
      <x:c r="H33" s="27" t="n">
        <x:f>COUNTIFS('UI_systemes'!$G$7:$G$71,"Référence à vérifier")</x:f>
        <x:v>0</x:v>
      </x:c>
      <x:c r="I33" s="27" t="n">
        <x:f>COUNTIFS('UI_systemes'!$G$7:$G$71,"Adaptation")</x:f>
        <x:v>65</x:v>
      </x:c>
      <x:c r="J33" s="27" t="n">
        <x:f>COUNTIFS('UI_systemes'!$F$7:$F$71,"ME1")</x:f>
        <x:v>60</x:v>
      </x:c>
      <x:c r="K33" s="27" t="n">
        <x:f>COUNTIFS('UI_systemes'!$P$7:$P$71,"Extension future")</x:f>
        <x:v>0</x:v>
      </x:c>
    </x:row>
    <x:row r="34" ht="22" customHeight="1">
      <x:c r="A34" s="22" t="str">
        <x:v>QA</x:v>
      </x:c>
      <x:c r="B34" s="26" t="n">
        <x:f>COUNTA('QA'!$A$7:$A$70)</x:f>
        <x:v>64</x:v>
      </x:c>
      <x:c r="C34" s="26" t="n">
        <x:f>COUNTIFS('QA'!$C$7:$C$70,"Défini")</x:f>
        <x:v>53</x:v>
      </x:c>
      <x:c r="D34" s="26" t="n">
        <x:f>COUNTIFS('QA'!$C$7:$C$70,"Prototype")</x:f>
        <x:v>11</x:v>
      </x:c>
      <x:c r="E34" s="26" t="n">
        <x:f>COUNTIFS('QA'!$C$7:$C$70,"Intégré")</x:f>
        <x:v>0</x:v>
      </x:c>
      <x:c r="F34" s="26" t="n">
        <x:f>COUNTIFS('QA'!$C$7:$C$70,"Validé")</x:f>
        <x:v>0</x:v>
      </x:c>
      <x:c r="G34" s="26" t="n">
        <x:f>COUNTIFS('QA'!$G$7:$G$70,"Confirmé")</x:f>
        <x:v>0</x:v>
      </x:c>
      <x:c r="H34" s="26" t="n">
        <x:f>COUNTIFS('QA'!$G$7:$G$70,"Référence à vérifier")</x:f>
        <x:v>0</x:v>
      </x:c>
      <x:c r="I34" s="26" t="n">
        <x:f>COUNTIFS('QA'!$G$7:$G$70,"Adaptation")</x:f>
        <x:v>64</x:v>
      </x:c>
      <x:c r="J34" s="26" t="n">
        <x:f>COUNTIFS('QA'!$F$7:$F$70,"ME1")</x:f>
        <x:v>64</x:v>
      </x:c>
      <x:c r="K34" s="26" t="n">
        <x:f>COUNTIFS('QA'!$P$7:$P$70,"Extension future")</x:f>
        <x:v>0</x:v>
      </x:c>
    </x:row>
    <x:row r="35" ht="22" customHeight="1">
      <x:c r="A35" s="2" t="str">
        <x:v>Trilogie</x:v>
      </x:c>
      <x:c r="B35" s="27" t="n">
        <x:f>COUNTA('Trilogie'!$A$7:$A$63)</x:f>
        <x:v>57</x:v>
      </x:c>
      <x:c r="C35" s="27" t="n">
        <x:f>COUNTIFS('Trilogie'!$C$7:$C$63,"Défini")</x:f>
        <x:v>57</x:v>
      </x:c>
      <x:c r="D35" s="27" t="n">
        <x:f>COUNTIFS('Trilogie'!$C$7:$C$63,"Prototype")</x:f>
        <x:v>0</x:v>
      </x:c>
      <x:c r="E35" s="27" t="n">
        <x:f>COUNTIFS('Trilogie'!$C$7:$C$63,"Intégré")</x:f>
        <x:v>0</x:v>
      </x:c>
      <x:c r="F35" s="27" t="n">
        <x:f>COUNTIFS('Trilogie'!$C$7:$C$63,"Validé")</x:f>
        <x:v>0</x:v>
      </x:c>
      <x:c r="G35" s="27" t="n">
        <x:f>COUNTIFS('Trilogie'!$G$7:$G$63,"Confirmé")</x:f>
        <x:v>0</x:v>
      </x:c>
      <x:c r="H35" s="27" t="n">
        <x:f>COUNTIFS('Trilogie'!$G$7:$G$63,"Référence à vérifier")</x:f>
        <x:v>57</x:v>
      </x:c>
      <x:c r="I35" s="27" t="n">
        <x:f>COUNTIFS('Trilogie'!$G$7:$G$63,"Adaptation")</x:f>
        <x:v>0</x:v>
      </x:c>
      <x:c r="J35" s="27" t="n">
        <x:f>COUNTIFS('Trilogie'!$F$7:$F$63,"ME1")</x:f>
        <x:v>0</x:v>
      </x:c>
      <x:c r="K35" s="27" t="n">
        <x:f>COUNTIFS('Trilogie'!$P$7:$P$63,"Extension future")</x:f>
        <x:v>57</x:v>
      </x:c>
    </x:row>
    <x:row r="36" ht="22" customHeight="1">
      <x:c r="A36" s="2"/>
      <x:c r="B36" s="27"/>
      <x:c r="C36" s="27"/>
      <x:c r="D36" s="27"/>
      <x:c r="E36" s="27"/>
      <x:c r="F36" s="27"/>
      <x:c r="G36" s="27"/>
      <x:c r="H36" s="27"/>
      <x:c r="I36" s="27"/>
      <x:c r="J36" s="27"/>
      <x:c r="K36" s="27"/>
    </x:row>
    <x:row r="37" ht="28" customHeight="1">
      <x:c r="A37" s="17" t="str">
        <x:v>TOTAL</x:v>
      </x:c>
      <x:c r="B37" s="28" t="n">
        <x:f>SUM(B10:B35)</x:f>
        <x:v>1382</x:v>
      </x:c>
      <x:c r="C37" s="28" t="n">
        <x:f>SUM(C10:C35)</x:f>
        <x:v>1038</x:v>
      </x:c>
      <x:c r="D37" s="28" t="n">
        <x:f>SUM(D10:D35)</x:f>
        <x:v>338</x:v>
      </x:c>
      <x:c r="E37" s="28" t="n">
        <x:f>SUM(E10:E35)</x:f>
        <x:v>3</x:v>
      </x:c>
      <x:c r="F37" s="28" t="n">
        <x:f>SUM(F10:F35)</x:f>
        <x:v>3</x:v>
      </x:c>
      <x:c r="G37" s="28" t="n">
        <x:f>SUM(G10:G35)</x:f>
        <x:v>19</x:v>
      </x:c>
      <x:c r="H37" s="28" t="n">
        <x:f>SUM(H10:H35)</x:f>
        <x:v>522</x:v>
      </x:c>
      <x:c r="I37" s="28" t="n">
        <x:f>SUM(I10:I35)</x:f>
        <x:v>841</x:v>
      </x:c>
      <x:c r="J37" s="28" t="n">
        <x:f>SUM(J10:J35)</x:f>
        <x:v>1320</x:v>
      </x:c>
      <x:c r="K37" s="28" t="n">
        <x:f>SUM(K10:K35)</x:f>
        <x:v>57</x:v>
      </x:c>
    </x:row>
    <x:row r="38" ht="22" customHeight="1">
      <x:c r="A38" s="2"/>
      <x:c r="B38" s="2"/>
      <x:c r="C38" s="2"/>
      <x:c r="D38" s="2"/>
      <x:c r="E38" s="2"/>
      <x:c r="F38" s="2"/>
      <x:c r="G38" s="2"/>
      <x:c r="H38" s="2"/>
      <x:c r="I38" s="2"/>
      <x:c r="J38" s="2"/>
      <x:c r="K38" s="2"/>
    </x:row>
    <x:row r="39" ht="22" customHeight="1">
      <x:c r="A39" s="2" t="str">
        <x:v>Prototype : contenu simplifié. Intégré : présence vérifiée. Validé : preuve de contrôle disponible.</x:v>
      </x:c>
      <x:c r="B39" s="2"/>
      <x:c r="C39" s="2"/>
      <x:c r="D39" s="2"/>
      <x:c r="E39" s="2"/>
      <x:c r="F39" s="2"/>
      <x:c r="G39" s="2"/>
      <x:c r="H39" s="2"/>
      <x:c r="I39" s="2"/>
      <x:c r="J39" s="2"/>
      <x:c r="K39" s="2"/>
    </x:row>
    <x:row r="40" ht="22" customHeight="1">
      <x:c r="A40" s="2"/>
      <x:c r="B40" s="2"/>
      <x:c r="C40" s="2"/>
      <x:c r="D40" s="2"/>
      <x:c r="E40" s="2"/>
      <x:c r="F40" s="2"/>
      <x:c r="G40" s="2"/>
      <x:c r="H40" s="2"/>
      <x:c r="I40" s="2"/>
      <x:c r="J40" s="2"/>
      <x:c r="K40" s="2"/>
    </x:row>
    <x:row r="41" ht="22" customHeight="1">
      <x:c r="A41" s="2" t="str">
        <x:v>Les chemins « Destination prévue » ne sont pas des fichiers existants. Consulter « Fichier existant » pour les preuves.</x:v>
      </x:c>
      <x:c r="B41" s="2"/>
      <x:c r="C41" s="2"/>
      <x:c r="D41" s="2"/>
      <x:c r="E41" s="2"/>
      <x:c r="F41" s="2"/>
      <x:c r="G41" s="2"/>
      <x:c r="H41" s="2"/>
      <x:c r="I41" s="2"/>
      <x:c r="J41" s="2"/>
      <x:c r="K41" s="2"/>
    </x:row>
    <x:row r="42" ht="22" customHeight="1">
      <x:c r="A42" s="2"/>
      <x:c r="B42" s="2"/>
      <x:c r="C42" s="2"/>
      <x:c r="D42" s="2"/>
      <x:c r="E42" s="2"/>
      <x:c r="F42" s="2"/>
      <x:c r="G42" s="2"/>
      <x:c r="H42" s="2"/>
      <x:c r="I42" s="2"/>
      <x:c r="J42" s="2"/>
      <x:c r="K42" s="2"/>
    </x:row>
    <x:row r="43" ht="22" customHeight="1">
      <x:c r="A43" s="2"/>
      <x:c r="B43" s="2"/>
      <x:c r="C43" s="2"/>
      <x:c r="D43" s="2"/>
      <x:c r="E43" s="2"/>
      <x:c r="F43" s="2"/>
      <x:c r="G43" s="2"/>
      <x:c r="H43" s="2"/>
      <x:c r="I43" s="2"/>
      <x:c r="J43" s="2"/>
      <x:c r="K43"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Personnages</x:v>
      </x:c>
      <x:c r="B2" s="2"/>
      <x:c r="C2" s="2"/>
      <x:c r="D2" s="2"/>
      <x:c r="E2" s="2"/>
      <x:c r="F2" s="2"/>
      <x:c r="G2" s="2"/>
      <x:c r="H2" s="2"/>
      <x:c r="I2" s="2"/>
      <x:c r="J2" s="2"/>
      <x:c r="K2" s="2"/>
      <x:c r="L2" s="2"/>
      <x:c r="M2" s="2"/>
      <x:c r="N2" s="2"/>
      <x:c r="O2" s="2"/>
      <x:c r="P2" s="2"/>
      <x:c r="Q2" s="2"/>
    </x:row>
    <x:row r="3" ht="22" customHeight="1">
      <x:c r="A3" s="4" t="str">
        <x:v>Shepard, équipiers et identités jouables</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127" customHeight="1">
      <x:c r="A7" s="13" t="str">
        <x:v>CHR-shepard</x:v>
      </x:c>
      <x:c r="B7" s="14" t="str">
        <x:v>Shepard</x:v>
      </x:c>
      <x:c r="C7" s="10" t="str">
        <x:v>Prototype</x:v>
      </x:c>
      <x:c r="D7" s="11" t="str">
        <x:v>Prototype</x:v>
      </x:c>
      <x:c r="E7" s="15" t="str">
        <x:v>P0</x:v>
      </x:c>
      <x:c r="F7" s="15" t="str">
        <x:v>ME1</x:v>
      </x:c>
      <x:c r="G7" s="15" t="str">
        <x:v>Référence à vérifier</x:v>
      </x:c>
      <x:c r="H7" s="14" t="str">
        <x:v>Commandement personnalisable, classe choisie, origines et profil psychologique conservés.</x:v>
      </x:c>
      <x:c r="I7" s="14" t="str">
        <x:v>Même identité dans portrait, sprite, sauvegarde et dialogues.</x:v>
      </x:c>
      <x:c r="J7" s="14" t="str"/>
      <x:c r="K7" s="14" t="str">
        <x:v>content/characters/CHR-shepard.json</x:v>
      </x:c>
      <x:c r="L7" s="14" t="str">
        <x:v>src/game-data.js</x:v>
      </x:c>
      <x:c r="M7" s="14" t="str">
        <x:v>CREW.shepard</x:v>
      </x:c>
      <x:c r="N7" s="14" t="str">
        <x:v>Index secondaire ; capture du jeu requise avant validation</x:v>
      </x:c>
      <x:c r="O7" s="14" t="str">
        <x:v>https://masseffect.fandom.com/wiki/Squad</x:v>
      </x:c>
      <x:c r="P7" s="14" t="str">
        <x:v>Production ME1</x:v>
      </x:c>
      <x:c r="Q7" s="14" t="str">
        <x:v>Dossier masculin/féminin, origines et profil conservés. Deux cycles de marche de 16 images chacun, quatre directions. Shepard femme possède quatre poses de combat. Créateur facial, réactions complètes aux antécédents, huit directions et fidélité artistique finale restent à produire. Profil d’équipement dans src/character-data.js, compatibilités et formations explicites dans src/loadout.js ; pouvoirs et arbres de talents complets non reproduits. Aucun nouveau costume d’équipement.</x:v>
      </x:c>
    </x:row>
    <x:row r="8" ht="88" customHeight="1">
      <x:c r="A8" s="12" t="str">
        <x:v>CHR-ashley-williams</x:v>
      </x:c>
      <x:c r="B8" s="7" t="str">
        <x:v>Ashley Williams</x:v>
      </x:c>
      <x:c r="C8" s="10" t="str">
        <x:v>Prototype</x:v>
      </x:c>
      <x:c r="D8" s="11" t="str">
        <x:v>Prototype</x:v>
      </x:c>
      <x:c r="E8" s="9" t="str">
        <x:v>P0</x:v>
      </x:c>
      <x:c r="F8" s="9" t="str">
        <x:v>ME1</x:v>
      </x:c>
      <x:c r="G8" s="9" t="str">
        <x:v>Référence à vérifier</x:v>
      </x:c>
      <x:c r="H8" s="7" t="str">
        <x:v>Soldate de l’Alliance rencontrée sur Eden Prime ; spécialisation militaire.</x:v>
      </x:c>
      <x:c r="I8" s="7" t="str">
        <x:v>Tenue ME1, attitudes et disponibilité narrative vérifiées.</x:v>
      </x:c>
      <x:c r="J8" s="7" t="str"/>
      <x:c r="K8" s="7" t="str">
        <x:v>content/characters/CHR-ashley-williams.json</x:v>
      </x:c>
      <x:c r="L8" s="7" t="str">
        <x:v>src/game-data.js</x:v>
      </x:c>
      <x:c r="M8" s="7" t="str">
        <x:v>CREW.ashley</x:v>
      </x:c>
      <x:c r="N8" s="7" t="str">
        <x:v>Index secondaire ; capture du jeu requise avant validation</x:v>
      </x:c>
      <x:c r="O8" s="7" t="str">
        <x:v>https://masseffect.fandom.com/wiki/Squad</x:v>
      </x:c>
      <x:c r="P8" s="7" t="str">
        <x:v>Production ME1</x:v>
      </x:c>
      <x:c r="Q8" s="7" t="str">
        <x:v>Personnage présent dans le prototype. Sprite statique en atlas et mouvements du moteur ; animation complète et fidélité visuelle finale à produire. Profil d’équipement dans src/character-data.js, compatibilités et formations explicites dans src/loadout.js ; pouvoirs et arbres de talents complets non reproduits. Aucun nouveau costume d’équipement.</x:v>
      </x:c>
    </x:row>
    <x:row r="9" ht="88" customHeight="1">
      <x:c r="A9" s="13" t="str">
        <x:v>CHR-kaidan-alenko</x:v>
      </x:c>
      <x:c r="B9" s="14" t="str">
        <x:v>Kaidan Alenko</x:v>
      </x:c>
      <x:c r="C9" s="10" t="str">
        <x:v>Prototype</x:v>
      </x:c>
      <x:c r="D9" s="11" t="str">
        <x:v>Prototype</x:v>
      </x:c>
      <x:c r="E9" s="15" t="str">
        <x:v>P0</x:v>
      </x:c>
      <x:c r="F9" s="15" t="str">
        <x:v>ME1</x:v>
      </x:c>
      <x:c r="G9" s="15" t="str">
        <x:v>Référence à vérifier</x:v>
      </x:c>
      <x:c r="H9" s="14" t="str">
        <x:v>Officier humain associant technologie et biotique.</x:v>
      </x:c>
      <x:c r="I9" s="14" t="str">
        <x:v>Profil L2 traité dans les dialogues ; pouvoirs de ME1 uniquement.</x:v>
      </x:c>
      <x:c r="J9" s="14" t="str"/>
      <x:c r="K9" s="14" t="str">
        <x:v>content/characters/CHR-kaidan-alenko.json</x:v>
      </x:c>
      <x:c r="L9" s="14" t="str">
        <x:v>src/game-data.js</x:v>
      </x:c>
      <x:c r="M9" s="14" t="str">
        <x:v>CREW.kaidan</x:v>
      </x:c>
      <x:c r="N9" s="14" t="str">
        <x:v>Index secondaire ; capture du jeu requise avant validation</x:v>
      </x:c>
      <x:c r="O9" s="14" t="str">
        <x:v>https://masseffect.fandom.com/wiki/Squad</x:v>
      </x:c>
      <x:c r="P9" s="14" t="str">
        <x:v>Production ME1</x:v>
      </x:c>
      <x:c r="Q9" s="14" t="str">
        <x:v>Personnage présent dans le prototype. Sprite statique en atlas et mouvements du moteur ; animation complète et fidélité visuelle finale à produire. Profil d’équipement dans src/character-data.js, compatibilités et formations explicites dans src/loadout.js ; pouvoirs et arbres de talents complets non reproduits. Aucun nouveau costume d’équipement.</x:v>
      </x:c>
    </x:row>
    <x:row r="10" ht="88" customHeight="1">
      <x:c r="A10" s="12" t="str">
        <x:v>CHR-garrus-vakarian</x:v>
      </x:c>
      <x:c r="B10" s="7" t="str">
        <x:v>Garrus Vakarian</x:v>
      </x:c>
      <x:c r="C10" s="10" t="str">
        <x:v>Prototype</x:v>
      </x:c>
      <x:c r="D10" s="11" t="str">
        <x:v>Prototype</x:v>
      </x:c>
      <x:c r="E10" s="9" t="str">
        <x:v>P0</x:v>
      </x:c>
      <x:c r="F10" s="9" t="str">
        <x:v>ME1</x:v>
      </x:c>
      <x:c r="G10" s="9" t="str">
        <x:v>Référence à vérifier</x:v>
      </x:c>
      <x:c r="H10" s="7" t="str">
        <x:v>Turien du SSC dont l’enquête rejoint celle de Shepard.</x:v>
      </x:c>
      <x:c r="I10" s="7" t="str">
        <x:v>Silhouette turienne et apparence antérieure aux blessures de ME2.</x:v>
      </x:c>
      <x:c r="J10" s="7" t="str"/>
      <x:c r="K10" s="7" t="str">
        <x:v>content/characters/CHR-garrus-vakarian.json</x:v>
      </x:c>
      <x:c r="L10" s="7" t="str">
        <x:v>src/game-data.js</x:v>
      </x:c>
      <x:c r="M10" s="7" t="str">
        <x:v>CREW.garrus</x:v>
      </x:c>
      <x:c r="N10" s="7" t="str">
        <x:v>Index secondaire ; capture du jeu requise avant validation</x:v>
      </x:c>
      <x:c r="O10" s="7" t="str">
        <x:v>https://masseffect.fandom.com/wiki/Squad</x:v>
      </x:c>
      <x:c r="P10" s="7" t="str">
        <x:v>Production ME1</x:v>
      </x:c>
      <x:c r="Q10" s="7" t="str">
        <x:v>Personnage présent dans le prototype. Sprite statique en atlas et mouvements du moteur ; animation complète et fidélité visuelle finale à produire. Profil d’équipement dans src/character-data.js, compatibilités et formations explicites dans src/loadout.js ; pouvoirs et arbres de talents complets non reproduits. Aucun nouveau costume d’équipement.</x:v>
      </x:c>
    </x:row>
    <x:row r="11" ht="88" customHeight="1">
      <x:c r="A11" s="13" t="str">
        <x:v>CHR-urdnot-wrex</x:v>
      </x:c>
      <x:c r="B11" s="14" t="str">
        <x:v>Urdnot Wrex</x:v>
      </x:c>
      <x:c r="C11" s="10" t="str">
        <x:v>Prototype</x:v>
      </x:c>
      <x:c r="D11" s="11" t="str">
        <x:v>Prototype</x:v>
      </x:c>
      <x:c r="E11" s="15" t="str">
        <x:v>P0</x:v>
      </x:c>
      <x:c r="F11" s="15" t="str">
        <x:v>ME1</x:v>
      </x:c>
      <x:c r="G11" s="15" t="str">
        <x:v>Référence à vérifier</x:v>
      </x:c>
      <x:c r="H11" s="14" t="str">
        <x:v>Mercenaire krogan, résistance et biotique.</x:v>
      </x:c>
      <x:c r="I11" s="14" t="str">
        <x:v>Masse corporelle, armure et embranchements de Virmire respectés.</x:v>
      </x:c>
      <x:c r="J11" s="14" t="str"/>
      <x:c r="K11" s="14" t="str">
        <x:v>content/characters/CHR-urdnot-wrex.json</x:v>
      </x:c>
      <x:c r="L11" s="14" t="str">
        <x:v>src/game-data.js</x:v>
      </x:c>
      <x:c r="M11" s="14" t="str">
        <x:v>CREW.wrex</x:v>
      </x:c>
      <x:c r="N11" s="14" t="str">
        <x:v>Index secondaire ; capture du jeu requise avant validation</x:v>
      </x:c>
      <x:c r="O11" s="14" t="str">
        <x:v>https://masseffect.fandom.com/wiki/Squad</x:v>
      </x:c>
      <x:c r="P11" s="14" t="str">
        <x:v>Production ME1</x:v>
      </x:c>
      <x:c r="Q11" s="14" t="str">
        <x:v>Personnage présent dans le prototype. Sprite statique en atlas et mouvements du moteur ; animation complète et fidélité visuelle finale à produire. Profil d’équipement dans src/character-data.js, compatibilités et formations explicites dans src/loadout.js ; pouvoirs et arbres de talents complets non reproduits. Aucun nouveau costume d’équipement.</x:v>
      </x:c>
    </x:row>
    <x:row r="12" ht="88" customHeight="1">
      <x:c r="A12" s="12" t="str">
        <x:v>CHR-tali-zorah-nar-rayya</x:v>
      </x:c>
      <x:c r="B12" s="7" t="str">
        <x:v>Tali'Zorah nar Rayya</x:v>
      </x:c>
      <x:c r="C12" s="10" t="str">
        <x:v>Prototype</x:v>
      </x:c>
      <x:c r="D12" s="11" t="str">
        <x:v>Prototype</x:v>
      </x:c>
      <x:c r="E12" s="9" t="str">
        <x:v>P0</x:v>
      </x:c>
      <x:c r="F12" s="9" t="str">
        <x:v>ME1</x:v>
      </x:c>
      <x:c r="G12" s="9" t="str">
        <x:v>Référence à vérifier</x:v>
      </x:c>
      <x:c r="H12" s="7" t="str">
        <x:v>Quarienne en pèlerinage, compétences technologiques.</x:v>
      </x:c>
      <x:c r="I12" s="7" t="str">
        <x:v>Nom, masque et combinaison de ME1 ; aucune tenue tardive par défaut.</x:v>
      </x:c>
      <x:c r="J12" s="7" t="str"/>
      <x:c r="K12" s="7" t="str">
        <x:v>content/characters/CHR-tali-zorah-nar-rayya.json</x:v>
      </x:c>
      <x:c r="L12" s="7" t="str">
        <x:v>src/game-data.js</x:v>
      </x:c>
      <x:c r="M12" s="7" t="str">
        <x:v>CREW.tali</x:v>
      </x:c>
      <x:c r="N12" s="7" t="str">
        <x:v>Index secondaire ; capture du jeu requise avant validation</x:v>
      </x:c>
      <x:c r="O12" s="7" t="str">
        <x:v>https://masseffect.fandom.com/wiki/Squad</x:v>
      </x:c>
      <x:c r="P12" s="7" t="str">
        <x:v>Production ME1</x:v>
      </x:c>
      <x:c r="Q12" s="7" t="str">
        <x:v>Personnage présent dans le prototype. Sprite statique en atlas et mouvements du moteur ; animation complète et fidélité visuelle finale à produire. Profil d’équipement dans src/character-data.js, compatibilités et formations explicites dans src/loadout.js ; pouvoirs et arbres de talents complets non reproduits. Aucun nouveau costume d’équipement.</x:v>
      </x:c>
    </x:row>
    <x:row r="13" ht="88" customHeight="1">
      <x:c r="A13" s="13" t="str">
        <x:v>CHR-liara-t-soni</x:v>
      </x:c>
      <x:c r="B13" s="14" t="str">
        <x:v>Liara T'Soni</x:v>
      </x:c>
      <x:c r="C13" s="10" t="str">
        <x:v>Prototype</x:v>
      </x:c>
      <x:c r="D13" s="11" t="str">
        <x:v>Prototype</x:v>
      </x:c>
      <x:c r="E13" s="15" t="str">
        <x:v>P0</x:v>
      </x:c>
      <x:c r="F13" s="15" t="str">
        <x:v>ME1</x:v>
      </x:c>
      <x:c r="G13" s="15" t="str">
        <x:v>Référence à vérifier</x:v>
      </x:c>
      <x:c r="H13" s="14" t="str">
        <x:v>Archéologue asari spécialisée en biotique.</x:v>
      </x:c>
      <x:c r="I13" s="14" t="str">
        <x:v>Tenue et personnalité de son recrutement sur Therum.</x:v>
      </x:c>
      <x:c r="J13" s="14" t="str"/>
      <x:c r="K13" s="14" t="str">
        <x:v>content/characters/CHR-liara-t-soni.json</x:v>
      </x:c>
      <x:c r="L13" s="14" t="str">
        <x:v>src/game-data.js</x:v>
      </x:c>
      <x:c r="M13" s="14" t="str">
        <x:v>CREW.liara</x:v>
      </x:c>
      <x:c r="N13" s="14" t="str">
        <x:v>Index secondaire ; capture du jeu requise avant validation</x:v>
      </x:c>
      <x:c r="O13" s="14" t="str">
        <x:v>https://masseffect.fandom.com/wiki/Squad</x:v>
      </x:c>
      <x:c r="P13" s="14" t="str">
        <x:v>Production ME1</x:v>
      </x:c>
      <x:c r="Q13" s="14" t="str">
        <x:v>Personnage présent dans le prototype. Sprite statique en atlas et mouvements du moteur ; animation complète et fidélité visuelle finale à produire. Profil d’équipement dans src/character-data.js, compatibilités et formations explicites dans src/loadout.js ; pouvoirs et arbres de talents complets non reproduits. Aucun nouveau costume d’équipement.</x:v>
      </x:c>
    </x:row>
    <x:row r="14" ht="88" customHeight="1">
      <x:c r="A14" s="12" t="str">
        <x:v>CHR-jenkins</x:v>
      </x:c>
      <x:c r="B14" s="7" t="str">
        <x:v>Jenkins</x:v>
      </x:c>
      <x:c r="C14" s="10" t="str">
        <x:v>Prototype</x:v>
      </x:c>
      <x:c r="D14" s="11" t="str">
        <x:v>Prototype</x:v>
      </x:c>
      <x:c r="E14" s="9" t="str">
        <x:v>P0</x:v>
      </x:c>
      <x:c r="F14" s="9" t="str">
        <x:v>ME1</x:v>
      </x:c>
      <x:c r="G14" s="9" t="str">
        <x:v>Référence à vérifier</x:v>
      </x:c>
      <x:c r="H14" s="7" t="str">
        <x:v>Équipier temporaire du prologue.</x:v>
      </x:c>
      <x:c r="I14" s="7" t="str">
        <x:v>Disponibilité limitée au prologue et perte narrative persistante.</x:v>
      </x:c>
      <x:c r="J14" s="7" t="str"/>
      <x:c r="K14" s="7" t="str">
        <x:v>content/characters/CHR-jenkins.json</x:v>
      </x:c>
      <x:c r="L14" s="7" t="str">
        <x:v>src/game-data.js</x:v>
      </x:c>
      <x:c r="M14" s="7" t="str">
        <x:v>CREW.jenkins</x:v>
      </x:c>
      <x:c r="N14" s="7" t="str">
        <x:v>Index secondaire ; capture du jeu requise avant validation</x:v>
      </x:c>
      <x:c r="O14" s="7" t="str">
        <x:v>https://masseffect.fandom.com/wiki/Squad</x:v>
      </x:c>
      <x:c r="P14" s="7" t="str">
        <x:v>Production ME1</x:v>
      </x:c>
      <x:c r="Q14" s="7" t="str">
        <x:v>Personnage présent dans le prototype. Sprite statique en atlas et mouvements du moteur ; animation complète et fidélité visuelle finale à produire. Profil d’équipement dans src/character-data.js, compatibilités et formations explicites dans src/loadout.js ; pouvoirs et arbres de talents complets non reproduits. Aucun nouveau costume d’équipement.</x:v>
      </x:c>
    </x:row>
  </x:sheetData>
  <x:conditionalFormatting sqref="C7:C14">
    <x:cfRule type="cellIs" dxfId="260" priority="1" operator="equal">
      <x:formula>"Prototype"</x:formula>
    </x:cfRule>
    <x:cfRule type="cellIs" dxfId="261" priority="2" operator="equal">
      <x:formula>"Intégré"</x:formula>
    </x:cfRule>
    <x:cfRule type="cellIs" dxfId="262" priority="3" operator="equal">
      <x:formula>"Validé"</x:formula>
    </x:cfRule>
  </x:conditionalFormatting>
  <x:conditionalFormatting sqref="G7:G14">
    <x:cfRule type="cellIs" dxfId="263" priority="4" operator="equal">
      <x:formula>"Référence à vérifier"</x:formula>
    </x:cfRule>
  </x:conditionalFormatting>
  <x:conditionalFormatting sqref="E7:E14">
    <x:cfRule type="cellIs" dxfId="264" priority="5" operator="equal">
      <x:formula>"P0"</x:formula>
    </x:cfRule>
  </x:conditionalFormatting>
  <x:dataValidations count="5">
    <x:dataValidation type="list" sqref="C7:C14">
      <x:formula1>"Défini,Prototype,Intégré,Validé"</x:formula1>
    </x:dataValidation>
    <x:dataValidation type="list" sqref="D7:D14">
      <x:formula1>"À produire,Prototype,Disponible,Validé,Sans objet,Non planifié"</x:formula1>
    </x:dataValidation>
    <x:dataValidation type="list" sqref="E7:E14">
      <x:formula1>"P0,P1,P2"</x:formula1>
    </x:dataValidation>
    <x:dataValidation type="list" sqref="F7:F14">
      <x:formula1>"ME1,ME2,ME3,TRANSVERSE"</x:formula1>
    </x:dataValidation>
    <x:dataValidation type="list" sqref="G7:G14">
      <x:formula1>"Confirmé,Référence à vérifier,Adaptation"</x:formula1>
    </x:dataValidation>
  </x:dataValidations>
  <x:pageMargins left="0.7" right="0.7" top="0.75" bottom="0.75" header="0.3" footer="0.3"/>
  <x:tableParts count="1">
    <x:tablePart xmlns:r="http://schemas.openxmlformats.org/officeDocument/2006/relationships" r:id="R8ee8acb3dd8641db"/>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PNJ</x:v>
      </x:c>
      <x:c r="B2" s="2"/>
      <x:c r="C2" s="2"/>
      <x:c r="D2" s="2"/>
      <x:c r="E2" s="2"/>
      <x:c r="F2" s="2"/>
      <x:c r="G2" s="2"/>
      <x:c r="H2" s="2"/>
      <x:c r="I2" s="2"/>
      <x:c r="J2" s="2"/>
      <x:c r="K2" s="2"/>
      <x:c r="L2" s="2"/>
      <x:c r="M2" s="2"/>
      <x:c r="N2" s="2"/>
      <x:c r="O2" s="2"/>
      <x:c r="P2" s="2"/>
      <x:c r="Q2" s="2"/>
    </x:row>
    <x:row r="3" ht="22" customHeight="1">
      <x:c r="A3" s="4" t="str">
        <x:v>Personnages de rencontre et services</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49" customHeight="1">
      <x:c r="A7" s="13" t="str">
        <x:v>NPC-david-anderson</x:v>
      </x:c>
      <x:c r="B7" s="14" t="str">
        <x:v>David Anderson</x:v>
      </x:c>
      <x:c r="C7" s="10" t="str">
        <x:v>Prototype</x:v>
      </x:c>
      <x:c r="D7" s="11" t="str">
        <x:v>Prototype</x:v>
      </x:c>
      <x:c r="E7" s="15" t="str">
        <x:v>P1</x:v>
      </x:c>
      <x:c r="F7" s="15" t="str">
        <x:v>ME1</x:v>
      </x:c>
      <x:c r="G7" s="15" t="str">
        <x:v>Référence à vérifier</x:v>
      </x:c>
      <x:c r="H7" s="14" t="str">
        <x:v>Capitaine au début du récit, soutien politique et mentor de Shepard.</x:v>
      </x:c>
      <x:c r="I7" s="14" t="str">
        <x:v>Rang et affectation correspondant au chapitre.</x:v>
      </x:c>
      <x:c r="J7" s="14" t="str"/>
      <x:c r="K7" s="14" t="str">
        <x:v>content/npcs/NPC-david-anderson.json</x:v>
      </x:c>
      <x:c r="L7" s="14" t="str">
        <x:v>public/assets/npc-atlas.png</x:v>
      </x:c>
      <x:c r="M7" s="14" t="str">
        <x:v>NPC_KEYS.anderson</x:v>
      </x:c>
      <x:c r="N7" s="14" t="str">
        <x:v>Nom et rôle à recouper dans le jeu et son codex ; guide utilisé comme point de départ.</x:v>
      </x:c>
      <x:c r="O7" s="14" t="str">
        <x:v>https://na.llnet.bioware.cdn.ea.com/u/f/eagames/bioware/masseffect/prima/prima_guide_me_pc.pdf</x:v>
      </x:c>
      <x:c r="P7" s="14" t="str">
        <x:v>Production ME1</x:v>
      </x:c>
      <x:c r="Q7" s="14" t="str">
        <x:v>Atlas 4 × 2, ligne 1, colonne 2. Silhouette placée dans une scène par src/world.js. Costume, visage, dialogues et animations complets à vérifier ou produire.</x:v>
      </x:c>
    </x:row>
    <x:row r="8" ht="49" customHeight="1">
      <x:c r="A8" s="12" t="str">
        <x:v>NPC-jeff-joker-moreau</x:v>
      </x:c>
      <x:c r="B8" s="7" t="str">
        <x:v>Jeff Joker Moreau</x:v>
      </x:c>
      <x:c r="C8" s="10" t="str">
        <x:v>Prototype</x:v>
      </x:c>
      <x:c r="D8" s="11" t="str">
        <x:v>Prototype</x:v>
      </x:c>
      <x:c r="E8" s="9" t="str">
        <x:v>P1</x:v>
      </x:c>
      <x:c r="F8" s="9" t="str">
        <x:v>ME1</x:v>
      </x:c>
      <x:c r="G8" s="9" t="str">
        <x:v>Référence à vérifier</x:v>
      </x:c>
      <x:c r="H8" s="7" t="str">
        <x:v>Pilote du Normandy SR-1, échanges dans le cockpit.</x:v>
      </x:c>
      <x:c r="I8" s="7" t="str">
        <x:v>Déplacements et animations cohérents avec son état physique.</x:v>
      </x:c>
      <x:c r="J8" s="7" t="str"/>
      <x:c r="K8" s="7" t="str">
        <x:v>content/npcs/NPC-jeff-joker-moreau.json</x:v>
      </x:c>
      <x:c r="L8" s="7" t="str">
        <x:v>public/assets/npc-atlas.png</x:v>
      </x:c>
      <x:c r="M8" s="7" t="str">
        <x:v>NPC_KEYS.joker</x:v>
      </x:c>
      <x:c r="N8" s="7" t="str">
        <x:v>Nom et rôle à recouper dans le jeu et son codex ; guide utilisé comme point de départ.</x:v>
      </x:c>
      <x:c r="O8" s="7" t="str">
        <x:v>https://na.llnet.bioware.cdn.ea.com/u/f/eagames/bioware/masseffect/prima/prima_guide_me_pc.pdf</x:v>
      </x:c>
      <x:c r="P8" s="7" t="str">
        <x:v>Production ME1</x:v>
      </x:c>
      <x:c r="Q8" s="7" t="str">
        <x:v>Atlas 4 × 2, ligne 1, colonne 3. Silhouette placée dans une scène par src/world.js. Costume, visage, dialogues et animations complets à vérifier ou produire.</x:v>
      </x:c>
    </x:row>
    <x:row r="9" ht="49" customHeight="1">
      <x:c r="A9" s="13" t="str">
        <x:v>NPC-karin-chakwas</x:v>
      </x:c>
      <x:c r="B9" s="14" t="str">
        <x:v>Karin Chakwas</x:v>
      </x:c>
      <x:c r="C9" s="10" t="str">
        <x:v>Prototype</x:v>
      </x:c>
      <x:c r="D9" s="11" t="str">
        <x:v>Prototype</x:v>
      </x:c>
      <x:c r="E9" s="15" t="str">
        <x:v>P1</x:v>
      </x:c>
      <x:c r="F9" s="15" t="str">
        <x:v>ME1</x:v>
      </x:c>
      <x:c r="G9" s="15" t="str">
        <x:v>Référence à vérifier</x:v>
      </x:c>
      <x:c r="H9" s="14" t="str">
        <x:v>Médecin du Normandy ; dialogue et présence à l’infirmerie.</x:v>
      </x:c>
      <x:c r="I9" s="14" t="str">
        <x:v>Aucune fonction de combat attribuée.</x:v>
      </x:c>
      <x:c r="J9" s="14" t="str"/>
      <x:c r="K9" s="14" t="str">
        <x:v>content/npcs/NPC-karin-chakwas.json</x:v>
      </x:c>
      <x:c r="L9" s="14" t="str">
        <x:v>public/assets/npc-atlas.png</x:v>
      </x:c>
      <x:c r="M9" s="14" t="str">
        <x:v>NPC_KEYS.chakwas</x:v>
      </x:c>
      <x:c r="N9" s="14" t="str">
        <x:v>Nom et rôle à recouper dans le jeu et son codex ; guide utilisé comme point de départ.</x:v>
      </x:c>
      <x:c r="O9" s="14" t="str">
        <x:v>https://na.llnet.bioware.cdn.ea.com/u/f/eagames/bioware/masseffect/prima/prima_guide_me_pc.pdf</x:v>
      </x:c>
      <x:c r="P9" s="14" t="str">
        <x:v>Production ME1</x:v>
      </x:c>
      <x:c r="Q9" s="14" t="str">
        <x:v>Atlas 4 × 2, ligne 1, colonne 4. Silhouette placée dans une scène par src/world.js. Costume, visage, dialogues et animations complets à vérifier ou produire.</x:v>
      </x:c>
    </x:row>
    <x:row r="10" ht="36" customHeight="1">
      <x:c r="A10" s="12" t="str">
        <x:v>NPC-greg-adams</x:v>
      </x:c>
      <x:c r="B10" s="7" t="str">
        <x:v>Greg Adams</x:v>
      </x:c>
      <x:c r="C10" s="10" t="str">
        <x:v>Défini</x:v>
      </x:c>
      <x:c r="D10" s="11" t="str">
        <x:v>À produire</x:v>
      </x:c>
      <x:c r="E10" s="9" t="str">
        <x:v>P1</x:v>
      </x:c>
      <x:c r="F10" s="9" t="str">
        <x:v>ME1</x:v>
      </x:c>
      <x:c r="G10" s="9" t="str">
        <x:v>Référence à vérifier</x:v>
      </x:c>
      <x:c r="H10" s="7" t="str">
        <x:v>Ingénieur du SR-1, explications de propulsion.</x:v>
      </x:c>
      <x:c r="I10" s="7" t="str">
        <x:v>Position cohérente dans le pont technique.</x:v>
      </x:c>
      <x:c r="J10" s="7" t="str"/>
      <x:c r="K10" s="7" t="str">
        <x:v>content/npcs/NPC-greg-adams.json</x:v>
      </x:c>
      <x:c r="L10" s="7" t="str"/>
      <x:c r="M10" s="7" t="str"/>
      <x:c r="N10" s="7" t="str">
        <x:v>Nom et rôle à recouper dans le jeu et son codex ; guide utilisé comme point de départ.</x:v>
      </x:c>
      <x:c r="O10" s="7" t="str">
        <x:v>https://na.llnet.bioware.cdn.ea.com/u/f/eagames/bioware/masseffect/prima/prima_guide_me_pc.pdf</x:v>
      </x:c>
      <x:c r="P10" s="7" t="str">
        <x:v>Production ME1</x:v>
      </x:c>
      <x:c r="Q10" s="7" t="str"/>
    </x:row>
    <x:row r="11" ht="36" customHeight="1">
      <x:c r="A11" s="13" t="str">
        <x:v>NPC-charles-pressly</x:v>
      </x:c>
      <x:c r="B11" s="14" t="str">
        <x:v>Charles Pressly</x:v>
      </x:c>
      <x:c r="C11" s="10" t="str">
        <x:v>Défini</x:v>
      </x:c>
      <x:c r="D11" s="11" t="str">
        <x:v>À produire</x:v>
      </x:c>
      <x:c r="E11" s="15" t="str">
        <x:v>P1</x:v>
      </x:c>
      <x:c r="F11" s="15" t="str">
        <x:v>ME1</x:v>
      </x:c>
      <x:c r="G11" s="15" t="str">
        <x:v>Référence à vérifier</x:v>
      </x:c>
      <x:c r="H11" s="14" t="str">
        <x:v>Navigateur du Normandy et interlocuteur récurrent.</x:v>
      </x:c>
      <x:c r="I11" s="14" t="str">
        <x:v>Dialogue évoluant avec la progression.</x:v>
      </x:c>
      <x:c r="J11" s="14" t="str"/>
      <x:c r="K11" s="14" t="str">
        <x:v>content/npcs/NPC-charles-pressly.json</x:v>
      </x:c>
      <x:c r="L11" s="14" t="str"/>
      <x:c r="M11" s="14" t="str"/>
      <x:c r="N11" s="14" t="str">
        <x:v>Nom et rôle à recouper dans le jeu et son codex ; guide utilisé comme point de départ.</x:v>
      </x:c>
      <x:c r="O11" s="14" t="str">
        <x:v>https://na.llnet.bioware.cdn.ea.com/u/f/eagames/bioware/masseffect/prima/prima_guide_me_pc.pdf</x:v>
      </x:c>
      <x:c r="P11" s="14" t="str">
        <x:v>Production ME1</x:v>
      </x:c>
      <x:c r="Q11" s="14" t="str"/>
    </x:row>
    <x:row r="12" ht="36" customHeight="1">
      <x:c r="A12" s="12" t="str">
        <x:v>NPC-officier-des-requisitions</x:v>
      </x:c>
      <x:c r="B12" s="7" t="str">
        <x:v>Officier des réquisitions</x:v>
      </x:c>
      <x:c r="C12" s="10" t="str">
        <x:v>Défini</x:v>
      </x:c>
      <x:c r="D12" s="11" t="str">
        <x:v>À produire</x:v>
      </x:c>
      <x:c r="E12" s="9" t="str">
        <x:v>P1</x:v>
      </x:c>
      <x:c r="F12" s="9" t="str">
        <x:v>ME1</x:v>
      </x:c>
      <x:c r="G12" s="9" t="str">
        <x:v>Référence à vérifier</x:v>
      </x:c>
      <x:c r="H12" s="7" t="str">
        <x:v>Service d’équipement dans la soute du SR-1.</x:v>
      </x:c>
      <x:c r="I12" s="7" t="str">
        <x:v>Stocks liés aux licences et à la progression.</x:v>
      </x:c>
      <x:c r="J12" s="7" t="str"/>
      <x:c r="K12" s="7" t="str">
        <x:v>content/npcs/NPC-officier-des-requisitions.json</x:v>
      </x:c>
      <x:c r="L12" s="7" t="str"/>
      <x:c r="M12" s="7" t="str"/>
      <x:c r="N12" s="7" t="str">
        <x:v>Nom et rôle à recouper dans le jeu et son codex ; guide utilisé comme point de départ.</x:v>
      </x:c>
      <x:c r="O12" s="7" t="str">
        <x:v>https://na.llnet.bioware.cdn.ea.com/u/f/eagames/bioware/masseffect/prima/prima_guide_me_pc.pdf</x:v>
      </x:c>
      <x:c r="P12" s="7" t="str">
        <x:v>Production ME1</x:v>
      </x:c>
      <x:c r="Q12" s="7" t="str"/>
    </x:row>
    <x:row r="13" ht="36" customHeight="1">
      <x:c r="A13" s="13" t="str">
        <x:v>NPC-richard-l-jenkins</x:v>
      </x:c>
      <x:c r="B13" s="14" t="str">
        <x:v>Richard L. Jenkins</x:v>
      </x:c>
      <x:c r="C13" s="10" t="str">
        <x:v>Défini</x:v>
      </x:c>
      <x:c r="D13" s="11" t="str">
        <x:v>À produire</x:v>
      </x:c>
      <x:c r="E13" s="15" t="str">
        <x:v>P1</x:v>
      </x:c>
      <x:c r="F13" s="15" t="str">
        <x:v>ME1</x:v>
      </x:c>
      <x:c r="G13" s="15" t="str">
        <x:v>Référence à vérifier</x:v>
      </x:c>
      <x:c r="H13" s="14" t="str">
        <x:v>Présentation avant la mission Eden Prime.</x:v>
      </x:c>
      <x:c r="I13" s="14" t="str">
        <x:v>Éviter doublon entre son identité PNJ et sa fiche équipier.</x:v>
      </x:c>
      <x:c r="J13" s="14" t="str"/>
      <x:c r="K13" s="14" t="str">
        <x:v>content/npcs/NPC-richard-l-jenkins.json</x:v>
      </x:c>
      <x:c r="L13" s="14" t="str"/>
      <x:c r="M13" s="14" t="str"/>
      <x:c r="N13" s="14" t="str">
        <x:v>Nom et rôle à recouper dans le jeu et son codex ; guide utilisé comme point de départ.</x:v>
      </x:c>
      <x:c r="O13" s="14" t="str">
        <x:v>https://na.llnet.bioware.cdn.ea.com/u/f/eagames/bioware/masseffect/prima/prima_guide_me_pc.pdf</x:v>
      </x:c>
      <x:c r="P13" s="14" t="str">
        <x:v>Production ME1</x:v>
      </x:c>
      <x:c r="Q13" s="14" t="str"/>
    </x:row>
    <x:row r="14" ht="100" customHeight="1">
      <x:c r="A14" s="12" t="str">
        <x:v>NPC-nihlus-kryik</x:v>
      </x:c>
      <x:c r="B14" s="7" t="str">
        <x:v>Nihlus Kryik</x:v>
      </x:c>
      <x:c r="C14" s="10" t="str">
        <x:v>Prototype</x:v>
      </x:c>
      <x:c r="D14" s="11" t="str">
        <x:v>Prototype</x:v>
      </x:c>
      <x:c r="E14" s="9" t="str">
        <x:v>P1</x:v>
      </x:c>
      <x:c r="F14" s="9" t="str">
        <x:v>ME1</x:v>
      </x:c>
      <x:c r="G14" s="9" t="str">
        <x:v>Référence à vérifier</x:v>
      </x:c>
      <x:c r="H14" s="7" t="str">
        <x:v>Spectre turien chargé d’observer Shepard.</x:v>
      </x:c>
      <x:c r="I14" s="7" t="str">
        <x:v>Ordre des scènes du prologue préservé.</x:v>
      </x:c>
      <x:c r="J14" s="7" t="str"/>
      <x:c r="K14" s="7" t="str">
        <x:v>content/npcs/NPC-nihlus-kryik.json</x:v>
      </x:c>
      <x:c r="L14" s="7" t="str">
        <x:v>public/assets/npc-atlas.png</x:v>
      </x:c>
      <x:c r="M14" s="7" t="str">
        <x:v>NPC_KEYS.nihlus</x:v>
      </x:c>
      <x:c r="N14" s="7" t="str">
        <x:v>Nom et rôle à recouper dans le jeu et son codex ; guide utilisé comme point de départ.</x:v>
      </x:c>
      <x:c r="O14" s="7" t="str">
        <x:v>https://na.llnet.bioware.cdn.ea.com/u/f/eagames/bioware/masseffect/prima/prima_guide_me_pc.pdf</x:v>
      </x:c>
      <x:c r="P14" s="7" t="str">
        <x:v>Production ME1</x:v>
      </x:c>
      <x:c r="Q14" s="7" t="str">
        <x:v>Atlas 4 × 2, ligne 2, colonne 1. Placé au Normandy avant le premier départ sur Eden Prime avec deux sujets de conversation. Absent aux retours suivants. Costume, visage, animation et scènes du prologue non validés. Contrôles : tests/story.test.js, tests/recruitment.test.js, tests/story-world.test.js et scripts/story-browser.mjs ; preuve conservée dans docs/qa/story-and-recruitment-report.json.</x:v>
      </x:c>
    </x:row>
    <x:row r="15" ht="49" customHeight="1">
      <x:c r="A15" s="13" t="str">
        <x:v>NPC-donnel-udina</x:v>
      </x:c>
      <x:c r="B15" s="14" t="str">
        <x:v>Donnel Udina</x:v>
      </x:c>
      <x:c r="C15" s="10" t="str">
        <x:v>Prototype</x:v>
      </x:c>
      <x:c r="D15" s="11" t="str">
        <x:v>Prototype</x:v>
      </x:c>
      <x:c r="E15" s="15" t="str">
        <x:v>P1</x:v>
      </x:c>
      <x:c r="F15" s="15" t="str">
        <x:v>ME1</x:v>
      </x:c>
      <x:c r="G15" s="15" t="str">
        <x:v>Référence à vérifier</x:v>
      </x:c>
      <x:c r="H15" s="14" t="str">
        <x:v>Ambassadeur humain à la Citadelle.</x:v>
      </x:c>
      <x:c r="I15" s="14" t="str">
        <x:v>Bureau et réactions politiques dépendants du chapitre.</x:v>
      </x:c>
      <x:c r="J15" s="14" t="str"/>
      <x:c r="K15" s="14" t="str">
        <x:v>content/npcs/NPC-donnel-udina.json</x:v>
      </x:c>
      <x:c r="L15" s="14" t="str">
        <x:v>public/assets/npc-atlas.png</x:v>
      </x:c>
      <x:c r="M15" s="14" t="str">
        <x:v>NPC_KEYS.udina</x:v>
      </x:c>
      <x:c r="N15" s="14" t="str">
        <x:v>Nom et rôle à recouper dans le jeu et son codex ; guide utilisé comme point de départ.</x:v>
      </x:c>
      <x:c r="O15" s="14" t="str">
        <x:v>https://na.llnet.bioware.cdn.ea.com/u/f/eagames/bioware/masseffect/prima/prima_guide_me_pc.pdf</x:v>
      </x:c>
      <x:c r="P15" s="14" t="str">
        <x:v>Production ME1</x:v>
      </x:c>
      <x:c r="Q15" s="14" t="str">
        <x:v>Atlas 4 × 2, ligne 2, colonne 2. Silhouette placée dans une scène par src/world.js. Costume, visage, dialogues et animations complets à vérifier ou produire.</x:v>
      </x:c>
    </x:row>
    <x:row r="16" ht="36" customHeight="1">
      <x:c r="A16" s="12" t="str">
        <x:v>NPC-conseillere-asari</x:v>
      </x:c>
      <x:c r="B16" s="7" t="str">
        <x:v>Conseillère asari</x:v>
      </x:c>
      <x:c r="C16" s="10" t="str">
        <x:v>Défini</x:v>
      </x:c>
      <x:c r="D16" s="11" t="str">
        <x:v>À produire</x:v>
      </x:c>
      <x:c r="E16" s="9" t="str">
        <x:v>P1</x:v>
      </x:c>
      <x:c r="F16" s="9" t="str">
        <x:v>ME1</x:v>
      </x:c>
      <x:c r="G16" s="9" t="str">
        <x:v>Référence à vérifier</x:v>
      </x:c>
      <x:c r="H16" s="7" t="str">
        <x:v>Membre du Conseil avant les choix finaux.</x:v>
      </x:c>
      <x:c r="I16" s="7" t="str">
        <x:v>Répliques et rôle politique contrôlés sur référence ME1.</x:v>
      </x:c>
      <x:c r="J16" s="7" t="str"/>
      <x:c r="K16" s="7" t="str">
        <x:v>content/npcs/NPC-conseillere-asari.json</x:v>
      </x:c>
      <x:c r="L16" s="7" t="str"/>
      <x:c r="M16" s="7" t="str"/>
      <x:c r="N16" s="7" t="str">
        <x:v>Nom et rôle à recouper dans le jeu et son codex ; guide utilisé comme point de départ.</x:v>
      </x:c>
      <x:c r="O16" s="7" t="str">
        <x:v>https://na.llnet.bioware.cdn.ea.com/u/f/eagames/bioware/masseffect/prima/prima_guide_me_pc.pdf</x:v>
      </x:c>
      <x:c r="P16" s="7" t="str">
        <x:v>Production ME1</x:v>
      </x:c>
      <x:c r="Q16" s="7" t="str"/>
    </x:row>
    <x:row r="17" ht="36" customHeight="1">
      <x:c r="A17" s="13" t="str">
        <x:v>NPC-conseiller-turien</x:v>
      </x:c>
      <x:c r="B17" s="14" t="str">
        <x:v>Conseiller turien</x:v>
      </x:c>
      <x:c r="C17" s="10" t="str">
        <x:v>Défini</x:v>
      </x:c>
      <x:c r="D17" s="11" t="str">
        <x:v>À produire</x:v>
      </x:c>
      <x:c r="E17" s="15" t="str">
        <x:v>P1</x:v>
      </x:c>
      <x:c r="F17" s="15" t="str">
        <x:v>ME1</x:v>
      </x:c>
      <x:c r="G17" s="15" t="str">
        <x:v>Référence à vérifier</x:v>
      </x:c>
      <x:c r="H17" s="14" t="str">
        <x:v>Membre du Conseil et contradicteur politique.</x:v>
      </x:c>
      <x:c r="I17" s="14" t="str">
        <x:v>Portrait, voix originale de remplacement et gestuelle cohérents.</x:v>
      </x:c>
      <x:c r="J17" s="14" t="str"/>
      <x:c r="K17" s="14" t="str">
        <x:v>content/npcs/NPC-conseiller-turien.json</x:v>
      </x:c>
      <x:c r="L17" s="14" t="str"/>
      <x:c r="M17" s="14" t="str"/>
      <x:c r="N17" s="14" t="str">
        <x:v>Nom et rôle à recouper dans le jeu et son codex ; guide utilisé comme point de départ.</x:v>
      </x:c>
      <x:c r="O17" s="14" t="str">
        <x:v>https://na.llnet.bioware.cdn.ea.com/u/f/eagames/bioware/masseffect/prima/prima_guide_me_pc.pdf</x:v>
      </x:c>
      <x:c r="P17" s="14" t="str">
        <x:v>Production ME1</x:v>
      </x:c>
      <x:c r="Q17" s="14" t="str"/>
    </x:row>
    <x:row r="18" ht="36" customHeight="1">
      <x:c r="A18" s="12" t="str">
        <x:v>NPC-conseiller-galarien</x:v>
      </x:c>
      <x:c r="B18" s="7" t="str">
        <x:v>Conseiller galarien</x:v>
      </x:c>
      <x:c r="C18" s="10" t="str">
        <x:v>Défini</x:v>
      </x:c>
      <x:c r="D18" s="11" t="str">
        <x:v>À produire</x:v>
      </x:c>
      <x:c r="E18" s="9" t="str">
        <x:v>P1</x:v>
      </x:c>
      <x:c r="F18" s="9" t="str">
        <x:v>ME1</x:v>
      </x:c>
      <x:c r="G18" s="9" t="str">
        <x:v>Référence à vérifier</x:v>
      </x:c>
      <x:c r="H18" s="7" t="str">
        <x:v>Membre du Conseil.</x:v>
      </x:c>
      <x:c r="I18" s="7" t="str">
        <x:v>Identité visuelle distincte de son successeur éventuel.</x:v>
      </x:c>
      <x:c r="J18" s="7" t="str"/>
      <x:c r="K18" s="7" t="str">
        <x:v>content/npcs/NPC-conseiller-galarien.json</x:v>
      </x:c>
      <x:c r="L18" s="7" t="str"/>
      <x:c r="M18" s="7" t="str"/>
      <x:c r="N18" s="7" t="str">
        <x:v>Nom et rôle à recouper dans le jeu et son codex ; guide utilisé comme point de départ.</x:v>
      </x:c>
      <x:c r="O18" s="7" t="str">
        <x:v>https://na.llnet.bioware.cdn.ea.com/u/f/eagames/bioware/masseffect/prima/prima_guide_me_pc.pdf</x:v>
      </x:c>
      <x:c r="P18" s="7" t="str">
        <x:v>Production ME1</x:v>
      </x:c>
      <x:c r="Q18" s="7" t="str"/>
    </x:row>
    <x:row r="19" ht="36" customHeight="1">
      <x:c r="A19" s="13" t="str">
        <x:v>NPC-ambassadeur-elcor-calyn</x:v>
      </x:c>
      <x:c r="B19" s="14" t="str">
        <x:v>Ambassadeur elcor Calyn</x:v>
      </x:c>
      <x:c r="C19" s="10" t="str">
        <x:v>Défini</x:v>
      </x:c>
      <x:c r="D19" s="11" t="str">
        <x:v>À produire</x:v>
      </x:c>
      <x:c r="E19" s="15" t="str">
        <x:v>P1</x:v>
      </x:c>
      <x:c r="F19" s="15" t="str">
        <x:v>ME1</x:v>
      </x:c>
      <x:c r="G19" s="15" t="str">
        <x:v>Référence à vérifier</x:v>
      </x:c>
      <x:c r="H19" s="14" t="str">
        <x:v>Diplomatie elcor dans les ambassades.</x:v>
      </x:c>
      <x:c r="I19" s="14" t="str">
        <x:v>Intention émotionnelle explicitée dans les textes.</x:v>
      </x:c>
      <x:c r="J19" s="14" t="str"/>
      <x:c r="K19" s="14" t="str">
        <x:v>content/npcs/NPC-ambassadeur-elcor-calyn.json</x:v>
      </x:c>
      <x:c r="L19" s="14" t="str"/>
      <x:c r="M19" s="14" t="str"/>
      <x:c r="N19" s="14" t="str">
        <x:v>Nom et rôle à recouper dans le jeu et son codex ; guide utilisé comme point de départ.</x:v>
      </x:c>
      <x:c r="O19" s="14" t="str">
        <x:v>https://na.llnet.bioware.cdn.ea.com/u/f/eagames/bioware/masseffect/prima/prima_guide_me_pc.pdf</x:v>
      </x:c>
      <x:c r="P19" s="14" t="str">
        <x:v>Production ME1</x:v>
      </x:c>
      <x:c r="Q19" s="14" t="str"/>
    </x:row>
    <x:row r="20" ht="36" customHeight="1">
      <x:c r="A20" s="12" t="str">
        <x:v>NPC-ambassadeur-volus-din-korlack</x:v>
      </x:c>
      <x:c r="B20" s="7" t="str">
        <x:v>Ambassadeur volus Din Korlack</x:v>
      </x:c>
      <x:c r="C20" s="10" t="str">
        <x:v>Défini</x:v>
      </x:c>
      <x:c r="D20" s="11" t="str">
        <x:v>À produire</x:v>
      </x:c>
      <x:c r="E20" s="9" t="str">
        <x:v>P1</x:v>
      </x:c>
      <x:c r="F20" s="9" t="str">
        <x:v>ME1</x:v>
      </x:c>
      <x:c r="G20" s="9" t="str">
        <x:v>Référence à vérifier</x:v>
      </x:c>
      <x:c r="H20" s="7" t="str">
        <x:v>Interlocuteur politique volus.</x:v>
      </x:c>
      <x:c r="I20" s="7" t="str">
        <x:v>Respiration et combinaison intégrale visibles.</x:v>
      </x:c>
      <x:c r="J20" s="7" t="str"/>
      <x:c r="K20" s="7" t="str">
        <x:v>content/npcs/NPC-ambassadeur-volus-din-korlack.json</x:v>
      </x:c>
      <x:c r="L20" s="7" t="str"/>
      <x:c r="M20" s="7" t="str"/>
      <x:c r="N20" s="7" t="str">
        <x:v>Nom et rôle à recouper dans le jeu et son codex ; guide utilisé comme point de départ.</x:v>
      </x:c>
      <x:c r="O20" s="7" t="str">
        <x:v>https://na.llnet.bioware.cdn.ea.com/u/f/eagames/bioware/masseffect/prima/prima_guide_me_pc.pdf</x:v>
      </x:c>
      <x:c r="P20" s="7" t="str">
        <x:v>Production ME1</x:v>
      </x:c>
      <x:c r="Q20" s="7" t="str"/>
    </x:row>
    <x:row r="21" ht="36" customHeight="1">
      <x:c r="A21" s="13" t="str">
        <x:v>NPC-executor-pallin</x:v>
      </x:c>
      <x:c r="B21" s="14" t="str">
        <x:v>Executor Pallin</x:v>
      </x:c>
      <x:c r="C21" s="10" t="str">
        <x:v>Défini</x:v>
      </x:c>
      <x:c r="D21" s="11" t="str">
        <x:v>À produire</x:v>
      </x:c>
      <x:c r="E21" s="15" t="str">
        <x:v>P1</x:v>
      </x:c>
      <x:c r="F21" s="15" t="str">
        <x:v>ME1</x:v>
      </x:c>
      <x:c r="G21" s="15" t="str">
        <x:v>Référence à vérifier</x:v>
      </x:c>
      <x:c r="H21" s="14" t="str">
        <x:v>Responsable du SSC, débat sur la sécurité.</x:v>
      </x:c>
      <x:c r="I21" s="14" t="str">
        <x:v>Uniforme et protocole de la première Citadelle.</x:v>
      </x:c>
      <x:c r="J21" s="14" t="str"/>
      <x:c r="K21" s="14" t="str">
        <x:v>content/npcs/NPC-executor-pallin.json</x:v>
      </x:c>
      <x:c r="L21" s="14" t="str"/>
      <x:c r="M21" s="14" t="str"/>
      <x:c r="N21" s="14" t="str">
        <x:v>Nom et rôle à recouper dans le jeu et son codex ; guide utilisé comme point de départ.</x:v>
      </x:c>
      <x:c r="O21" s="14" t="str">
        <x:v>https://na.llnet.bioware.cdn.ea.com/u/f/eagames/bioware/masseffect/prima/prima_guide_me_pc.pdf</x:v>
      </x:c>
      <x:c r="P21" s="14" t="str">
        <x:v>Production ME1</x:v>
      </x:c>
      <x:c r="Q21" s="14" t="str"/>
    </x:row>
    <x:row r="22" ht="36" customHeight="1">
      <x:c r="A22" s="12" t="str">
        <x:v>NPC-harkin</x:v>
      </x:c>
      <x:c r="B22" s="7" t="str">
        <x:v>Harkin</x:v>
      </x:c>
      <x:c r="C22" s="10" t="str">
        <x:v>Défini</x:v>
      </x:c>
      <x:c r="D22" s="11" t="str">
        <x:v>À produire</x:v>
      </x:c>
      <x:c r="E22" s="9" t="str">
        <x:v>P1</x:v>
      </x:c>
      <x:c r="F22" s="9" t="str">
        <x:v>ME1</x:v>
      </x:c>
      <x:c r="G22" s="9" t="str">
        <x:v>Référence à vérifier</x:v>
      </x:c>
      <x:c r="H22" s="7" t="str">
        <x:v>Ancien agent du SSC rencontré au bar.</x:v>
      </x:c>
      <x:c r="I22" s="7" t="str">
        <x:v>Informations nécessaires à la piste Garrus.</x:v>
      </x:c>
      <x:c r="J22" s="7" t="str"/>
      <x:c r="K22" s="7" t="str">
        <x:v>content/npcs/NPC-harkin.json</x:v>
      </x:c>
      <x:c r="L22" s="7" t="str"/>
      <x:c r="M22" s="7" t="str"/>
      <x:c r="N22" s="7" t="str">
        <x:v>Nom et rôle à recouper dans le jeu et son codex ; guide utilisé comme point de départ.</x:v>
      </x:c>
      <x:c r="O22" s="7" t="str">
        <x:v>https://na.llnet.bioware.cdn.ea.com/u/f/eagames/bioware/masseffect/prima/prima_guide_me_pc.pdf</x:v>
      </x:c>
      <x:c r="P22" s="7" t="str">
        <x:v>Production ME1</x:v>
      </x:c>
      <x:c r="Q22" s="7" t="str"/>
    </x:row>
    <x:row r="23" ht="36" customHeight="1">
      <x:c r="A23" s="13" t="str">
        <x:v>NPC-barla-von</x:v>
      </x:c>
      <x:c r="B23" s="14" t="str">
        <x:v>Barla Von</x:v>
      </x:c>
      <x:c r="C23" s="10" t="str">
        <x:v>Défini</x:v>
      </x:c>
      <x:c r="D23" s="11" t="str">
        <x:v>À produire</x:v>
      </x:c>
      <x:c r="E23" s="15" t="str">
        <x:v>P1</x:v>
      </x:c>
      <x:c r="F23" s="15" t="str">
        <x:v>ME1</x:v>
      </x:c>
      <x:c r="G23" s="15" t="str">
        <x:v>Référence à vérifier</x:v>
      </x:c>
      <x:c r="H23" s="14" t="str">
        <x:v>Courtier volus et contact du Courtier de l’Ombre.</x:v>
      </x:c>
      <x:c r="I23" s="14" t="str">
        <x:v>Échange situé dans le quartier prévu.</x:v>
      </x:c>
      <x:c r="J23" s="14" t="str"/>
      <x:c r="K23" s="14" t="str">
        <x:v>content/npcs/NPC-barla-von.json</x:v>
      </x:c>
      <x:c r="L23" s="14" t="str"/>
      <x:c r="M23" s="14" t="str"/>
      <x:c r="N23" s="14" t="str">
        <x:v>Nom et rôle à recouper dans le jeu et son codex ; guide utilisé comme point de départ.</x:v>
      </x:c>
      <x:c r="O23" s="14" t="str">
        <x:v>https://na.llnet.bioware.cdn.ea.com/u/f/eagames/bioware/masseffect/prima/prima_guide_me_pc.pdf</x:v>
      </x:c>
      <x:c r="P23" s="14" t="str">
        <x:v>Production ME1</x:v>
      </x:c>
      <x:c r="Q23" s="14" t="str"/>
    </x:row>
    <x:row r="24" ht="36" customHeight="1">
      <x:c r="A24" s="12" t="str">
        <x:v>NPC-fist</x:v>
      </x:c>
      <x:c r="B24" s="7" t="str">
        <x:v>Fist</x:v>
      </x:c>
      <x:c r="C24" s="10" t="str">
        <x:v>Défini</x:v>
      </x:c>
      <x:c r="D24" s="11" t="str">
        <x:v>À produire</x:v>
      </x:c>
      <x:c r="E24" s="9" t="str">
        <x:v>P1</x:v>
      </x:c>
      <x:c r="F24" s="9" t="str">
        <x:v>ME1</x:v>
      </x:c>
      <x:c r="G24" s="9" t="str">
        <x:v>Référence à vérifier</x:v>
      </x:c>
      <x:c r="H24" s="7" t="str">
        <x:v>Propriétaire de Chora’s Den lié à l’enquête.</x:v>
      </x:c>
      <x:c r="I24" s="7" t="str">
        <x:v>État vivant ou mort persistant selon l’équipe et les choix.</x:v>
      </x:c>
      <x:c r="J24" s="7" t="str"/>
      <x:c r="K24" s="7" t="str">
        <x:v>content/npcs/NPC-fist.json</x:v>
      </x:c>
      <x:c r="L24" s="7" t="str"/>
      <x:c r="M24" s="7" t="str"/>
      <x:c r="N24" s="7" t="str">
        <x:v>Nom et rôle à recouper dans le jeu et son codex ; guide utilisé comme point de départ.</x:v>
      </x:c>
      <x:c r="O24" s="7" t="str">
        <x:v>https://na.llnet.bioware.cdn.ea.com/u/f/eagames/bioware/masseffect/prima/prima_guide_me_pc.pdf</x:v>
      </x:c>
      <x:c r="P24" s="7" t="str">
        <x:v>Production ME1</x:v>
      </x:c>
      <x:c r="Q24" s="7" t="str"/>
    </x:row>
    <x:row r="25" ht="36" customHeight="1">
      <x:c r="A25" s="13" t="str">
        <x:v>NPC-dr-chloe-michel</x:v>
      </x:c>
      <x:c r="B25" s="14" t="str">
        <x:v>Dr Chloe Michel</x:v>
      </x:c>
      <x:c r="C25" s="10" t="str">
        <x:v>Défini</x:v>
      </x:c>
      <x:c r="D25" s="11" t="str">
        <x:v>À produire</x:v>
      </x:c>
      <x:c r="E25" s="15" t="str">
        <x:v>P1</x:v>
      </x:c>
      <x:c r="F25" s="15" t="str">
        <x:v>ME1</x:v>
      </x:c>
      <x:c r="G25" s="15" t="str">
        <x:v>Référence à vérifier</x:v>
      </x:c>
      <x:c r="H25" s="14" t="str">
        <x:v>Médecin de la clinique des Secteurs.</x:v>
      </x:c>
      <x:c r="I25" s="14" t="str">
        <x:v>Service et quête de chantage séparés.</x:v>
      </x:c>
      <x:c r="J25" s="14" t="str"/>
      <x:c r="K25" s="14" t="str">
        <x:v>content/npcs/NPC-dr-chloe-michel.json</x:v>
      </x:c>
      <x:c r="L25" s="14" t="str"/>
      <x:c r="M25" s="14" t="str"/>
      <x:c r="N25" s="14" t="str">
        <x:v>Nom et rôle à recouper dans le jeu et son codex ; guide utilisé comme point de départ.</x:v>
      </x:c>
      <x:c r="O25" s="14" t="str">
        <x:v>https://na.llnet.bioware.cdn.ea.com/u/f/eagames/bioware/masseffect/prima/prima_guide_me_pc.pdf</x:v>
      </x:c>
      <x:c r="P25" s="14" t="str">
        <x:v>Production ME1</x:v>
      </x:c>
      <x:c r="Q25" s="14" t="str"/>
    </x:row>
    <x:row r="26" ht="100" customHeight="1">
      <x:c r="A26" s="12" t="str">
        <x:v>NPC-conrad-verner</x:v>
      </x:c>
      <x:c r="B26" s="7" t="str">
        <x:v>Conrad Verner</x:v>
      </x:c>
      <x:c r="C26" s="10" t="str">
        <x:v>Prototype</x:v>
      </x:c>
      <x:c r="D26" s="11" t="str">
        <x:v>À produire</x:v>
      </x:c>
      <x:c r="E26" s="9" t="str">
        <x:v>P1</x:v>
      </x:c>
      <x:c r="F26" s="9" t="str">
        <x:v>ME1</x:v>
      </x:c>
      <x:c r="G26" s="9" t="str">
        <x:v>Référence à vérifier</x:v>
      </x:c>
      <x:c r="H26" s="7" t="str">
        <x:v>Admirateur récurrent de Shepard.</x:v>
      </x:c>
      <x:c r="I26" s="7" t="str">
        <x:v>Progression de ses rencontres sans répétition prématurée.</x:v>
      </x:c>
      <x:c r="J26" s="7" t="str"/>
      <x:c r="K26" s="7" t="str">
        <x:v>content/npcs/NPC-conrad-verner.json</x:v>
      </x:c>
      <x:c r="L26" s="7" t="str">
        <x:v>src/assignment-data.js</x:v>
      </x:c>
      <x:c r="M26" s="7" t="str">
        <x:v>ASSIGNMENT_CONTACTS[conrad-verner]</x:v>
      </x:c>
      <x:c r="N26" s="7" t="str">
        <x:v>Page secondaire proposée pour comparaison ; non consultée dans cet environnement. Noms, conditions, embranchements et édition à recouper dans le jeu avant validation canonique.</x:v>
      </x:c>
      <x:c r="O26" s="7" t="str">
        <x:v>https://masseffect.fandom.com/wiki/Citadel:_The_Fan</x:v>
      </x:c>
      <x:c r="P26" s="7" t="str">
        <x:v>Production ME1</x:v>
      </x:c>
      <x:c r="Q26" s="7" t="str">
        <x:v>Trois rencontres conditionnées à l’enquête ; aucun avancement par simple revisite et aucune récompense répétable. Les autres issues canoniques restent à produire. Marqueur nommé et dialogue disponibles ; aucun portrait ni corps de PNJ dédié. Texte et position condensés à comparer avec l’original. Contrôles fonctionnels : tests/assignments.test.js, tests/assignment-world.test.js et scripts/assignments-browser.mjs ; rapport docs/qa/assignments-and-deployment-report.json.</x:v>
      </x:c>
    </x:row>
    <x:row r="27" ht="49" customHeight="1">
      <x:c r="A27" s="13" t="str">
        <x:v>NPC-emily-wong</x:v>
      </x:c>
      <x:c r="B27" s="14" t="str">
        <x:v>Emily Wong</x:v>
      </x:c>
      <x:c r="C27" s="10" t="str">
        <x:v>Prototype</x:v>
      </x:c>
      <x:c r="D27" s="11" t="str">
        <x:v>Prototype</x:v>
      </x:c>
      <x:c r="E27" s="15" t="str">
        <x:v>P1</x:v>
      </x:c>
      <x:c r="F27" s="15" t="str">
        <x:v>ME1</x:v>
      </x:c>
      <x:c r="G27" s="15" t="str">
        <x:v>Référence à vérifier</x:v>
      </x:c>
      <x:c r="H27" s="14" t="str">
        <x:v>Journaliste contactée dans la demande de preuves sur Fist.</x:v>
      </x:c>
      <x:c r="I27" s="14" t="str">
        <x:v>Remise de données liée aux missions.</x:v>
      </x:c>
      <x:c r="J27" s="14" t="str"/>
      <x:c r="K27" s="14" t="str">
        <x:v>content/npcs/NPC-emily-wong.json</x:v>
      </x:c>
      <x:c r="L27" s="14" t="str">
        <x:v>src/operation-data.js</x:v>
      </x:c>
      <x:c r="M27" s="14" t="str">
        <x:v>citadel-reporters-request</x:v>
      </x:c>
      <x:c r="N27" s="14" t="str">
        <x:v>Nom et rôle à recouper dans le jeu et son codex ; guide utilisé comme point de départ.</x:v>
      </x:c>
      <x:c r="O27" s="14" t="str">
        <x:v>https://na.llnet.bioware.cdn.ea.com/u/f/eagames/bioware/masseffect/prima/prima_guide_me_pc.pdf</x:v>
      </x:c>
      <x:c r="P27" s="14" t="str">
        <x:v>Production ME1</x:v>
      </x:c>
      <x:c r="Q27" s="14" t="str">
        <x:v>Dialogue réécrit, portrait du prototype quand utilisé ; pas de personnage 3D ou sprite de terrain dédié. Le disque attend le recrutement de Tali.</x:v>
      </x:c>
    </x:row>
    <x:row r="28" ht="36" customHeight="1">
      <x:c r="A28" s="12" t="str">
        <x:v>NPC-khalisah-al-jilani</x:v>
      </x:c>
      <x:c r="B28" s="7" t="str">
        <x:v>Khalisah al-Jilani</x:v>
      </x:c>
      <x:c r="C28" s="10" t="str">
        <x:v>Défini</x:v>
      </x:c>
      <x:c r="D28" s="11" t="str">
        <x:v>À produire</x:v>
      </x:c>
      <x:c r="E28" s="9" t="str">
        <x:v>P1</x:v>
      </x:c>
      <x:c r="F28" s="9" t="str">
        <x:v>ME1</x:v>
      </x:c>
      <x:c r="G28" s="9" t="str">
        <x:v>Référence à vérifier</x:v>
      </x:c>
      <x:c r="H28" s="7" t="str">
        <x:v>Journaliste réalisant une interview.</x:v>
      </x:c>
      <x:c r="I28" s="7" t="str">
        <x:v>Chaque réponse produit la réaction prévue.</x:v>
      </x:c>
      <x:c r="J28" s="7" t="str"/>
      <x:c r="K28" s="7" t="str">
        <x:v>content/npcs/NPC-khalisah-al-jilani.json</x:v>
      </x:c>
      <x:c r="L28" s="7" t="str"/>
      <x:c r="M28" s="7" t="str"/>
      <x:c r="N28" s="7" t="str">
        <x:v>Nom et rôle à recouper dans le jeu et son codex ; guide utilisé comme point de départ.</x:v>
      </x:c>
      <x:c r="O28" s="7" t="str">
        <x:v>https://na.llnet.bioware.cdn.ea.com/u/f/eagames/bioware/masseffect/prima/prima_guide_me_pc.pdf</x:v>
      </x:c>
      <x:c r="P28" s="7" t="str">
        <x:v>Production ME1</x:v>
      </x:c>
      <x:c r="Q28" s="7" t="str"/>
    </x:row>
    <x:row r="29" ht="36" customHeight="1">
      <x:c r="A29" s="13" t="str">
        <x:v>NPC-sha-ira</x:v>
      </x:c>
      <x:c r="B29" s="14" t="str">
        <x:v>Sha'ira</x:v>
      </x:c>
      <x:c r="C29" s="10" t="str">
        <x:v>Défini</x:v>
      </x:c>
      <x:c r="D29" s="11" t="str">
        <x:v>À produire</x:v>
      </x:c>
      <x:c r="E29" s="15" t="str">
        <x:v>P1</x:v>
      </x:c>
      <x:c r="F29" s="15" t="str">
        <x:v>ME1</x:v>
      </x:c>
      <x:c r="G29" s="15" t="str">
        <x:v>Référence à vérifier</x:v>
      </x:c>
      <x:c r="H29" s="14" t="str">
        <x:v>Consort de la Citadelle.</x:v>
      </x:c>
      <x:c r="I29" s="14" t="str">
        <x:v>Quête et récompense relationnelle vérifiées.</x:v>
      </x:c>
      <x:c r="J29" s="14" t="str"/>
      <x:c r="K29" s="14" t="str">
        <x:v>content/npcs/NPC-sha-ira.json</x:v>
      </x:c>
      <x:c r="L29" s="14" t="str"/>
      <x:c r="M29" s="14" t="str"/>
      <x:c r="N29" s="14" t="str">
        <x:v>Nom et rôle à recouper dans le jeu et son codex ; guide utilisé comme point de départ.</x:v>
      </x:c>
      <x:c r="O29" s="14" t="str">
        <x:v>https://na.llnet.bioware.cdn.ea.com/u/f/eagames/bioware/masseffect/prima/prima_guide_me_pc.pdf</x:v>
      </x:c>
      <x:c r="P29" s="14" t="str">
        <x:v>Production ME1</x:v>
      </x:c>
      <x:c r="Q29" s="14" t="str"/>
    </x:row>
    <x:row r="30" ht="36" customHeight="1">
      <x:c r="A30" s="12" t="str">
        <x:v>NPC-septimus-oraka</x:v>
      </x:c>
      <x:c r="B30" s="7" t="str">
        <x:v>Septimus Oraka</x:v>
      </x:c>
      <x:c r="C30" s="10" t="str">
        <x:v>Défini</x:v>
      </x:c>
      <x:c r="D30" s="11" t="str">
        <x:v>À produire</x:v>
      </x:c>
      <x:c r="E30" s="9" t="str">
        <x:v>P1</x:v>
      </x:c>
      <x:c r="F30" s="9" t="str">
        <x:v>ME1</x:v>
      </x:c>
      <x:c r="G30" s="9" t="str">
        <x:v>Référence à vérifier</x:v>
      </x:c>
      <x:c r="H30" s="7" t="str">
        <x:v>Général turien en conflit avec Sha’ira.</x:v>
      </x:c>
      <x:c r="I30" s="7" t="str">
        <x:v>Résolution diplomatique ou coercitive suivie.</x:v>
      </x:c>
      <x:c r="J30" s="7" t="str"/>
      <x:c r="K30" s="7" t="str">
        <x:v>content/npcs/NPC-septimus-oraka.json</x:v>
      </x:c>
      <x:c r="L30" s="7" t="str"/>
      <x:c r="M30" s="7" t="str"/>
      <x:c r="N30" s="7" t="str">
        <x:v>Nom et rôle à recouper dans le jeu et son codex ; guide utilisé comme point de départ.</x:v>
      </x:c>
      <x:c r="O30" s="7" t="str">
        <x:v>https://na.llnet.bioware.cdn.ea.com/u/f/eagames/bioware/masseffect/prima/prima_guide_me_pc.pdf</x:v>
      </x:c>
      <x:c r="P30" s="7" t="str">
        <x:v>Production ME1</x:v>
      </x:c>
      <x:c r="Q30" s="7" t="str"/>
    </x:row>
    <x:row r="31" ht="36" customHeight="1">
      <x:c r="A31" s="13" t="str">
        <x:v>NPC-xeltan</x:v>
      </x:c>
      <x:c r="B31" s="14" t="str">
        <x:v>Xeltan</x:v>
      </x:c>
      <x:c r="C31" s="10" t="str">
        <x:v>Défini</x:v>
      </x:c>
      <x:c r="D31" s="11" t="str">
        <x:v>À produire</x:v>
      </x:c>
      <x:c r="E31" s="15" t="str">
        <x:v>P1</x:v>
      </x:c>
      <x:c r="F31" s="15" t="str">
        <x:v>ME1</x:v>
      </x:c>
      <x:c r="G31" s="15" t="str">
        <x:v>Référence à vérifier</x:v>
      </x:c>
      <x:c r="H31" s="14" t="str">
        <x:v>Diplomate elcor concerné par la rumeur.</x:v>
      </x:c>
      <x:c r="I31" s="14" t="str">
        <x:v>Dialogue débloqué après découverte pertinente.</x:v>
      </x:c>
      <x:c r="J31" s="14" t="str"/>
      <x:c r="K31" s="14" t="str">
        <x:v>content/npcs/NPC-xeltan.json</x:v>
      </x:c>
      <x:c r="L31" s="14" t="str"/>
      <x:c r="M31" s="14" t="str"/>
      <x:c r="N31" s="14" t="str">
        <x:v>Nom et rôle à recouper dans le jeu et son codex ; guide utilisé comme point de départ.</x:v>
      </x:c>
      <x:c r="O31" s="14" t="str">
        <x:v>https://na.llnet.bioware.cdn.ea.com/u/f/eagames/bioware/masseffect/prima/prima_guide_me_pc.pdf</x:v>
      </x:c>
      <x:c r="P31" s="14" t="str">
        <x:v>Production ME1</x:v>
      </x:c>
      <x:c r="Q31" s="14" t="str"/>
    </x:row>
    <x:row r="32" ht="36" customHeight="1">
      <x:c r="A32" s="12" t="str">
        <x:v>NPC-doran</x:v>
      </x:c>
      <x:c r="B32" s="7" t="str">
        <x:v>Doran</x:v>
      </x:c>
      <x:c r="C32" s="10" t="str">
        <x:v>Défini</x:v>
      </x:c>
      <x:c r="D32" s="11" t="str">
        <x:v>À produire</x:v>
      </x:c>
      <x:c r="E32" s="9" t="str">
        <x:v>P1</x:v>
      </x:c>
      <x:c r="F32" s="9" t="str">
        <x:v>ME1</x:v>
      </x:c>
      <x:c r="G32" s="9" t="str">
        <x:v>Référence à vérifier</x:v>
      </x:c>
      <x:c r="H32" s="7" t="str">
        <x:v>Patron du Flux.</x:v>
      </x:c>
      <x:c r="I32" s="7" t="str">
        <x:v>Accueil, contexte et mini-jeu à documenter.</x:v>
      </x:c>
      <x:c r="J32" s="7" t="str"/>
      <x:c r="K32" s="7" t="str">
        <x:v>content/npcs/NPC-doran.json</x:v>
      </x:c>
      <x:c r="L32" s="7" t="str"/>
      <x:c r="M32" s="7" t="str"/>
      <x:c r="N32" s="7" t="str">
        <x:v>Nom et rôle à recouper dans le jeu et son codex ; guide utilisé comme point de départ.</x:v>
      </x:c>
      <x:c r="O32" s="7" t="str">
        <x:v>https://na.llnet.bioware.cdn.ea.com/u/f/eagames/bioware/masseffect/prima/prima_guide_me_pc.pdf</x:v>
      </x:c>
      <x:c r="P32" s="7" t="str">
        <x:v>Production ME1</x:v>
      </x:c>
      <x:c r="Q32" s="7" t="str"/>
    </x:row>
    <x:row r="33" ht="36" customHeight="1">
      <x:c r="A33" s="13" t="str">
        <x:v>NPC-rita</x:v>
      </x:c>
      <x:c r="B33" s="14" t="str">
        <x:v>Rita</x:v>
      </x:c>
      <x:c r="C33" s="10" t="str">
        <x:v>Défini</x:v>
      </x:c>
      <x:c r="D33" s="11" t="str">
        <x:v>À produire</x:v>
      </x:c>
      <x:c r="E33" s="15" t="str">
        <x:v>P1</x:v>
      </x:c>
      <x:c r="F33" s="15" t="str">
        <x:v>ME1</x:v>
      </x:c>
      <x:c r="G33" s="15" t="str">
        <x:v>Référence à vérifier</x:v>
      </x:c>
      <x:c r="H33" s="14" t="str">
        <x:v>Sœur de Jenna, déclenche une enquête.</x:v>
      </x:c>
      <x:c r="I33" s="14" t="str">
        <x:v>Étapes du journal liées à la sécurité de Jenna.</x:v>
      </x:c>
      <x:c r="J33" s="14" t="str"/>
      <x:c r="K33" s="14" t="str">
        <x:v>content/npcs/NPC-rita.json</x:v>
      </x:c>
      <x:c r="L33" s="14" t="str"/>
      <x:c r="M33" s="14" t="str"/>
      <x:c r="N33" s="14" t="str">
        <x:v>Nom et rôle à recouper dans le jeu et son codex ; guide utilisé comme point de départ.</x:v>
      </x:c>
      <x:c r="O33" s="14" t="str">
        <x:v>https://na.llnet.bioware.cdn.ea.com/u/f/eagames/bioware/masseffect/prima/prima_guide_me_pc.pdf</x:v>
      </x:c>
      <x:c r="P33" s="14" t="str">
        <x:v>Production ME1</x:v>
      </x:c>
      <x:c r="Q33" s="14" t="str"/>
    </x:row>
    <x:row r="34" ht="36" customHeight="1">
      <x:c r="A34" s="12" t="str">
        <x:v>NPC-jenna</x:v>
      </x:c>
      <x:c r="B34" s="7" t="str">
        <x:v>Jenna</x:v>
      </x:c>
      <x:c r="C34" s="10" t="str">
        <x:v>Défini</x:v>
      </x:c>
      <x:c r="D34" s="11" t="str">
        <x:v>À produire</x:v>
      </x:c>
      <x:c r="E34" s="9" t="str">
        <x:v>P1</x:v>
      </x:c>
      <x:c r="F34" s="9" t="str">
        <x:v>ME1</x:v>
      </x:c>
      <x:c r="G34" s="9" t="str">
        <x:v>Référence à vérifier</x:v>
      </x:c>
      <x:c r="H34" s="7" t="str">
        <x:v>Employée liée à une opération du SSC.</x:v>
      </x:c>
      <x:c r="I34" s="7" t="str">
        <x:v>Présence changée après résolution.</x:v>
      </x:c>
      <x:c r="J34" s="7" t="str"/>
      <x:c r="K34" s="7" t="str">
        <x:v>content/npcs/NPC-jenna.json</x:v>
      </x:c>
      <x:c r="L34" s="7" t="str"/>
      <x:c r="M34" s="7" t="str"/>
      <x:c r="N34" s="7" t="str">
        <x:v>Nom et rôle à recouper dans le jeu et son codex ; guide utilisé comme point de départ.</x:v>
      </x:c>
      <x:c r="O34" s="7" t="str">
        <x:v>https://na.llnet.bioware.cdn.ea.com/u/f/eagames/bioware/masseffect/prima/prima_guide_me_pc.pdf</x:v>
      </x:c>
      <x:c r="P34" s="7" t="str">
        <x:v>Production ME1</x:v>
      </x:c>
      <x:c r="Q34" s="7" t="str"/>
    </x:row>
    <x:row r="35" ht="36" customHeight="1">
      <x:c r="A35" s="13" t="str">
        <x:v>NPC-chellik</x:v>
      </x:c>
      <x:c r="B35" s="14" t="str">
        <x:v>Chellik</x:v>
      </x:c>
      <x:c r="C35" s="10" t="str">
        <x:v>Défini</x:v>
      </x:c>
      <x:c r="D35" s="11" t="str">
        <x:v>À produire</x:v>
      </x:c>
      <x:c r="E35" s="15" t="str">
        <x:v>P1</x:v>
      </x:c>
      <x:c r="F35" s="15" t="str">
        <x:v>ME1</x:v>
      </x:c>
      <x:c r="G35" s="15" t="str">
        <x:v>Référence à vérifier</x:v>
      </x:c>
      <x:c r="H35" s="14" t="str">
        <x:v>Agent turien du SSC.</x:v>
      </x:c>
      <x:c r="I35" s="14" t="str">
        <x:v>Conditions du marché et résultat conservés.</x:v>
      </x:c>
      <x:c r="J35" s="14" t="str"/>
      <x:c r="K35" s="14" t="str">
        <x:v>content/npcs/NPC-chellik.json</x:v>
      </x:c>
      <x:c r="L35" s="14" t="str"/>
      <x:c r="M35" s="14" t="str"/>
      <x:c r="N35" s="14" t="str">
        <x:v>Nom et rôle à recouper dans le jeu et son codex ; guide utilisé comme point de départ.</x:v>
      </x:c>
      <x:c r="O35" s="14" t="str">
        <x:v>https://na.llnet.bioware.cdn.ea.com/u/f/eagames/bioware/masseffect/prima/prima_guide_me_pc.pdf</x:v>
      </x:c>
      <x:c r="P35" s="14" t="str">
        <x:v>Production ME1</x:v>
      </x:c>
      <x:c r="Q35" s="14" t="str"/>
    </x:row>
    <x:row r="36" ht="36" customHeight="1">
      <x:c r="A36" s="12" t="str">
        <x:v>NPC-jax</x:v>
      </x:c>
      <x:c r="B36" s="7" t="str">
        <x:v>Jax</x:v>
      </x:c>
      <x:c r="C36" s="10" t="str">
        <x:v>Défini</x:v>
      </x:c>
      <x:c r="D36" s="11" t="str">
        <x:v>À produire</x:v>
      </x:c>
      <x:c r="E36" s="9" t="str">
        <x:v>P1</x:v>
      </x:c>
      <x:c r="F36" s="9" t="str">
        <x:v>ME1</x:v>
      </x:c>
      <x:c r="G36" s="9" t="str">
        <x:v>Référence à vérifier</x:v>
      </x:c>
      <x:c r="H36" s="7" t="str">
        <x:v>Contact du trafic d’armes.</x:v>
      </x:c>
      <x:c r="I36" s="7" t="str">
        <x:v>Marché clandestin traité comme rencontre conditionnelle.</x:v>
      </x:c>
      <x:c r="J36" s="7" t="str"/>
      <x:c r="K36" s="7" t="str">
        <x:v>content/npcs/NPC-jax.json</x:v>
      </x:c>
      <x:c r="L36" s="7" t="str"/>
      <x:c r="M36" s="7" t="str"/>
      <x:c r="N36" s="7" t="str">
        <x:v>Nom et rôle à recouper dans le jeu et son codex ; guide utilisé comme point de départ.</x:v>
      </x:c>
      <x:c r="O36" s="7" t="str">
        <x:v>https://na.llnet.bioware.cdn.ea.com/u/f/eagames/bioware/masseffect/prima/prima_guide_me_pc.pdf</x:v>
      </x:c>
      <x:c r="P36" s="7" t="str">
        <x:v>Production ME1</x:v>
      </x:c>
      <x:c r="Q36" s="7" t="str"/>
    </x:row>
    <x:row r="37" ht="36" customHeight="1">
      <x:c r="A37" s="13" t="str">
        <x:v>NPC-chorban</x:v>
      </x:c>
      <x:c r="B37" s="14" t="str">
        <x:v>Chorban</x:v>
      </x:c>
      <x:c r="C37" s="10" t="str">
        <x:v>Défini</x:v>
      </x:c>
      <x:c r="D37" s="11" t="str">
        <x:v>À produire</x:v>
      </x:c>
      <x:c r="E37" s="15" t="str">
        <x:v>P1</x:v>
      </x:c>
      <x:c r="F37" s="15" t="str">
        <x:v>ME1</x:v>
      </x:c>
      <x:c r="G37" s="15" t="str">
        <x:v>Référence à vérifier</x:v>
      </x:c>
      <x:c r="H37" s="14" t="str">
        <x:v>Chercheur sur les Veilleurs.</x:v>
      </x:c>
      <x:c r="I37" s="14" t="str">
        <x:v>Journal des scans sans rendre les Veilleurs hostiles.</x:v>
      </x:c>
      <x:c r="J37" s="14" t="str"/>
      <x:c r="K37" s="14" t="str">
        <x:v>content/npcs/NPC-chorban.json</x:v>
      </x:c>
      <x:c r="L37" s="14" t="str"/>
      <x:c r="M37" s="14" t="str"/>
      <x:c r="N37" s="14" t="str">
        <x:v>Nom et rôle à recouper dans le jeu et son codex ; guide utilisé comme point de départ.</x:v>
      </x:c>
      <x:c r="O37" s="14" t="str">
        <x:v>https://na.llnet.bioware.cdn.ea.com/u/f/eagames/bioware/masseffect/prima/prima_guide_me_pc.pdf</x:v>
      </x:c>
      <x:c r="P37" s="14" t="str">
        <x:v>Production ME1</x:v>
      </x:c>
      <x:c r="Q37" s="14" t="str"/>
    </x:row>
    <x:row r="38" ht="36" customHeight="1">
      <x:c r="A38" s="12" t="str">
        <x:v>NPC-jahleed</x:v>
      </x:c>
      <x:c r="B38" s="7" t="str">
        <x:v>Jahleed</x:v>
      </x:c>
      <x:c r="C38" s="10" t="str">
        <x:v>Défini</x:v>
      </x:c>
      <x:c r="D38" s="11" t="str">
        <x:v>À produire</x:v>
      </x:c>
      <x:c r="E38" s="9" t="str">
        <x:v>P1</x:v>
      </x:c>
      <x:c r="F38" s="9" t="str">
        <x:v>ME1</x:v>
      </x:c>
      <x:c r="G38" s="9" t="str">
        <x:v>Référence à vérifier</x:v>
      </x:c>
      <x:c r="H38" s="7" t="str">
        <x:v>Volus impliqué dans l’étude des Veilleurs.</x:v>
      </x:c>
      <x:c r="I38" s="7" t="str">
        <x:v>Branches de réconciliation et remise des données.</x:v>
      </x:c>
      <x:c r="J38" s="7" t="str"/>
      <x:c r="K38" s="7" t="str">
        <x:v>content/npcs/NPC-jahleed.json</x:v>
      </x:c>
      <x:c r="L38" s="7" t="str"/>
      <x:c r="M38" s="7" t="str"/>
      <x:c r="N38" s="7" t="str">
        <x:v>Nom et rôle à recouper dans le jeu et son codex ; guide utilisé comme point de départ.</x:v>
      </x:c>
      <x:c r="O38" s="7" t="str">
        <x:v>https://na.llnet.bioware.cdn.ea.com/u/f/eagames/bioware/masseffect/prima/prima_guide_me_pc.pdf</x:v>
      </x:c>
      <x:c r="P38" s="7" t="str">
        <x:v>Production ME1</x:v>
      </x:c>
      <x:c r="Q38" s="7" t="str"/>
    </x:row>
    <x:row r="39" ht="36" customHeight="1">
      <x:c r="A39" s="13" t="str">
        <x:v>NPC-schells</x:v>
      </x:c>
      <x:c r="B39" s="14" t="str">
        <x:v>Schells</x:v>
      </x:c>
      <x:c r="C39" s="10" t="str">
        <x:v>Défini</x:v>
      </x:c>
      <x:c r="D39" s="11" t="str">
        <x:v>À produire</x:v>
      </x:c>
      <x:c r="E39" s="15" t="str">
        <x:v>P1</x:v>
      </x:c>
      <x:c r="F39" s="15" t="str">
        <x:v>ME1</x:v>
      </x:c>
      <x:c r="G39" s="15" t="str">
        <x:v>Référence à vérifier</x:v>
      </x:c>
      <x:c r="H39" s="14" t="str">
        <x:v>Galarien étudiant une machine de jeu.</x:v>
      </x:c>
      <x:c r="I39" s="14" t="str">
        <x:v>Choix de coopération ou dénonciation mémorisé.</x:v>
      </x:c>
      <x:c r="J39" s="14" t="str"/>
      <x:c r="K39" s="14" t="str">
        <x:v>content/npcs/NPC-schells.json</x:v>
      </x:c>
      <x:c r="L39" s="14" t="str"/>
      <x:c r="M39" s="14" t="str"/>
      <x:c r="N39" s="14" t="str">
        <x:v>Nom et rôle à recouper dans le jeu et son codex ; guide utilisé comme point de départ.</x:v>
      </x:c>
      <x:c r="O39" s="14" t="str">
        <x:v>https://na.llnet.bioware.cdn.ea.com/u/f/eagames/bioware/masseffect/prima/prima_guide_me_pc.pdf</x:v>
      </x:c>
      <x:c r="P39" s="14" t="str">
        <x:v>Production ME1</x:v>
      </x:c>
      <x:c r="Q39" s="14" t="str"/>
    </x:row>
    <x:row r="40" ht="100" customHeight="1">
      <x:c r="A40" s="12" t="str">
        <x:v>NPC-samesh-bhatia</x:v>
      </x:c>
      <x:c r="B40" s="7" t="str">
        <x:v>Samesh Bhatia</x:v>
      </x:c>
      <x:c r="C40" s="10" t="str">
        <x:v>Prototype</x:v>
      </x:c>
      <x:c r="D40" s="11" t="str">
        <x:v>À produire</x:v>
      </x:c>
      <x:c r="E40" s="9" t="str">
        <x:v>P1</x:v>
      </x:c>
      <x:c r="F40" s="9" t="str">
        <x:v>ME1</x:v>
      </x:c>
      <x:c r="G40" s="9" t="str">
        <x:v>Référence à vérifier</x:v>
      </x:c>
      <x:c r="H40" s="7" t="str">
        <x:v>Demande la restitution du corps de son épouse.</x:v>
      </x:c>
      <x:c r="I40" s="7" t="str">
        <x:v>Sujet traité sans récompense comique.</x:v>
      </x:c>
      <x:c r="J40" s="7" t="str"/>
      <x:c r="K40" s="7" t="str">
        <x:v>content/npcs/NPC-samesh-bhatia.json</x:v>
      </x:c>
      <x:c r="L40" s="7" t="str">
        <x:v>src/assignment-data.js</x:v>
      </x:c>
      <x:c r="M40" s="7" t="str">
        <x:v>ASSIGNMENT_CONTACTS[samesh-bhatia]</x:v>
      </x:c>
      <x:c r="N40" s="7" t="str">
        <x:v>Page secondaire proposée pour comparaison ; non consultée dans cet environnement. Noms, conditions, embranchements et édition à recouper dans le jeu avant validation canonique.</x:v>
      </x:c>
      <x:c r="O40" s="7" t="str">
        <x:v>https://masseffect.fandom.com/wiki/Citadel:_Homecoming</x:v>
      </x:c>
      <x:c r="P40" s="7" t="str">
        <x:v>Production ME1</x:v>
      </x:c>
      <x:c r="Q40" s="7" t="str">
        <x:v>Interlocuteur de Retour à la maison, demande, attente et issue de la restitution/recherche persistantes. Marqueur nommé et dialogue disponibles ; aucun portrait ni corps de PNJ dédié. Texte et position condensés à comparer avec l’original. Contrôles fonctionnels : tests/assignments.test.js, tests/assignment-world.test.js et scripts/assignments-browser.mjs ; rapport docs/qa/assignments-and-deployment-report.json.</x:v>
      </x:c>
    </x:row>
    <x:row r="41" ht="100" customHeight="1">
      <x:c r="A41" s="13" t="str">
        <x:v>NPC-bosker</x:v>
      </x:c>
      <x:c r="B41" s="14" t="str">
        <x:v>Bosker</x:v>
      </x:c>
      <x:c r="C41" s="10" t="str">
        <x:v>Prototype</x:v>
      </x:c>
      <x:c r="D41" s="11" t="str">
        <x:v>À produire</x:v>
      </x:c>
      <x:c r="E41" s="15" t="str">
        <x:v>P1</x:v>
      </x:c>
      <x:c r="F41" s="15" t="str">
        <x:v>ME1</x:v>
      </x:c>
      <x:c r="G41" s="15" t="str">
        <x:v>Référence à vérifier</x:v>
      </x:c>
      <x:c r="H41" s="14" t="str">
        <x:v>Responsable administratif de la restitution.</x:v>
      </x:c>
      <x:c r="I41" s="14" t="str">
        <x:v>Conditions de persuasion traçables.</x:v>
      </x:c>
      <x:c r="J41" s="14" t="str"/>
      <x:c r="K41" s="14" t="str">
        <x:v>content/npcs/NPC-bosker.json</x:v>
      </x:c>
      <x:c r="L41" s="14" t="str">
        <x:v>src/assignment-data.js</x:v>
      </x:c>
      <x:c r="M41" s="14" t="str">
        <x:v>ASSIGNMENT_CONTACTS[bosker]</x:v>
      </x:c>
      <x:c r="N41" s="14" t="str">
        <x:v>Page secondaire proposée pour comparaison ; non consultée dans cet environnement. Noms, conditions, embranchements et édition à recouper dans le jeu avant validation canonique.</x:v>
      </x:c>
      <x:c r="O41" s="14" t="str">
        <x:v>https://masseffect.fandom.com/wiki/Citadel:_Homecoming</x:v>
      </x:c>
      <x:c r="P41" s="14" t="str">
        <x:v>Production ME1</x:v>
      </x:c>
      <x:c r="Q41" s="14" t="str">
        <x:v>Interlocuteur disponible après la demande de Samesh ; les deux issues sont conservées. Les seuils de persuasion canoniques ne sont pas implémentés. Marqueur nommé et dialogue disponibles ; aucun portrait ni corps de PNJ dédié. Texte et position condensés à comparer avec l’original. Contrôles fonctionnels : tests/assignments.test.js, tests/assignment-world.test.js et scripts/assignments-browser.mjs ; rapport docs/qa/assignments-and-deployment-report.json.</x:v>
      </x:c>
    </x:row>
    <x:row r="42" ht="36" customHeight="1">
      <x:c r="A42" s="12" t="str">
        <x:v>NPC-admiral-kahoku</x:v>
      </x:c>
      <x:c r="B42" s="7" t="str">
        <x:v>Admiral Kahoku</x:v>
      </x:c>
      <x:c r="C42" s="10" t="str">
        <x:v>Défini</x:v>
      </x:c>
      <x:c r="D42" s="11" t="str">
        <x:v>À produire</x:v>
      </x:c>
      <x:c r="E42" s="9" t="str">
        <x:v>P1</x:v>
      </x:c>
      <x:c r="F42" s="9" t="str">
        <x:v>ME1</x:v>
      </x:c>
      <x:c r="G42" s="9" t="str">
        <x:v>Référence à vérifier</x:v>
      </x:c>
      <x:c r="H42" s="7" t="str">
        <x:v>Officier de l’Alliance inquiet pour ses hommes.</x:v>
      </x:c>
      <x:c r="I42" s="7" t="str">
        <x:v>Enchaînement avec Cerberus respecté.</x:v>
      </x:c>
      <x:c r="J42" s="7" t="str"/>
      <x:c r="K42" s="7" t="str">
        <x:v>content/npcs/NPC-admiral-kahoku.json</x:v>
      </x:c>
      <x:c r="L42" s="7" t="str"/>
      <x:c r="M42" s="7" t="str"/>
      <x:c r="N42" s="7" t="str">
        <x:v>Nom et rôle à recouper dans le jeu et son codex ; guide utilisé comme point de départ.</x:v>
      </x:c>
      <x:c r="O42" s="7" t="str">
        <x:v>https://na.llnet.bioware.cdn.ea.com/u/f/eagames/bioware/masseffect/prima/prima_guide_me_pc.pdf</x:v>
      </x:c>
      <x:c r="P42" s="7" t="str">
        <x:v>Production ME1</x:v>
      </x:c>
      <x:c r="Q42" s="7" t="str"/>
    </x:row>
    <x:row r="43" ht="36" customHeight="1">
      <x:c r="A43" s="13" t="str">
        <x:v>NPC-helena-blake</x:v>
      </x:c>
      <x:c r="B43" s="14" t="str">
        <x:v>Helena Blake</x:v>
      </x:c>
      <x:c r="C43" s="10" t="str">
        <x:v>Défini</x:v>
      </x:c>
      <x:c r="D43" s="11" t="str">
        <x:v>À produire</x:v>
      </x:c>
      <x:c r="E43" s="15" t="str">
        <x:v>P1</x:v>
      </x:c>
      <x:c r="F43" s="15" t="str">
        <x:v>ME1</x:v>
      </x:c>
      <x:c r="G43" s="15" t="str">
        <x:v>Référence à vérifier</x:v>
      </x:c>
      <x:c r="H43" s="14" t="str">
        <x:v>Commanditaire de missions criminelles.</x:v>
      </x:c>
      <x:c r="I43" s="14" t="str">
        <x:v>Motivation et confrontation finale vérifiées.</x:v>
      </x:c>
      <x:c r="J43" s="14" t="str"/>
      <x:c r="K43" s="14" t="str">
        <x:v>content/npcs/NPC-helena-blake.json</x:v>
      </x:c>
      <x:c r="L43" s="14" t="str"/>
      <x:c r="M43" s="14" t="str"/>
      <x:c r="N43" s="14" t="str">
        <x:v>Nom et rôle à recouper dans le jeu et son codex ; guide utilisé comme point de départ.</x:v>
      </x:c>
      <x:c r="O43" s="14" t="str">
        <x:v>https://na.llnet.bioware.cdn.ea.com/u/f/eagames/bioware/masseffect/prima/prima_guide_me_pc.pdf</x:v>
      </x:c>
      <x:c r="P43" s="14" t="str">
        <x:v>Production ME1</x:v>
      </x:c>
      <x:c r="Q43" s="14" t="str"/>
    </x:row>
    <x:row r="44" ht="36" customHeight="1">
      <x:c r="A44" s="12" t="str">
        <x:v>NPC-nassana-dantius</x:v>
      </x:c>
      <x:c r="B44" s="7" t="str">
        <x:v>Nassana Dantius</x:v>
      </x:c>
      <x:c r="C44" s="10" t="str">
        <x:v>Défini</x:v>
      </x:c>
      <x:c r="D44" s="11" t="str">
        <x:v>À produire</x:v>
      </x:c>
      <x:c r="E44" s="9" t="str">
        <x:v>P1</x:v>
      </x:c>
      <x:c r="F44" s="9" t="str">
        <x:v>ME1</x:v>
      </x:c>
      <x:c r="G44" s="9" t="str">
        <x:v>Référence à vérifier</x:v>
      </x:c>
      <x:c r="H44" s="7" t="str">
        <x:v>Diplomate asari donnant une mission.</x:v>
      </x:c>
      <x:c r="I44" s="7" t="str">
        <x:v>Mensonge et découverte de la situation pris en compte.</x:v>
      </x:c>
      <x:c r="J44" s="7" t="str"/>
      <x:c r="K44" s="7" t="str">
        <x:v>content/npcs/NPC-nassana-dantius.json</x:v>
      </x:c>
      <x:c r="L44" s="7" t="str"/>
      <x:c r="M44" s="7" t="str"/>
      <x:c r="N44" s="7" t="str">
        <x:v>Nom et rôle à recouper dans le jeu et son codex ; guide utilisé comme point de départ.</x:v>
      </x:c>
      <x:c r="O44" s="7" t="str">
        <x:v>https://na.llnet.bioware.cdn.ea.com/u/f/eagames/bioware/masseffect/prima/prima_guide_me_pc.pdf</x:v>
      </x:c>
      <x:c r="P44" s="7" t="str">
        <x:v>Production ME1</x:v>
      </x:c>
      <x:c r="Q44" s="7" t="str"/>
    </x:row>
    <x:row r="45" ht="36" customHeight="1">
      <x:c r="A45" s="13" t="str">
        <x:v>NPC-elanos-haliat</x:v>
      </x:c>
      <x:c r="B45" s="14" t="str">
        <x:v>Elanos Haliat</x:v>
      </x:c>
      <x:c r="C45" s="10" t="str">
        <x:v>Défini</x:v>
      </x:c>
      <x:c r="D45" s="11" t="str">
        <x:v>À produire</x:v>
      </x:c>
      <x:c r="E45" s="15" t="str">
        <x:v>P1</x:v>
      </x:c>
      <x:c r="F45" s="15" t="str">
        <x:v>ME1</x:v>
      </x:c>
      <x:c r="G45" s="15" t="str">
        <x:v>Référence à vérifier</x:v>
      </x:c>
      <x:c r="H45" s="14" t="str">
        <x:v>Adversaire lié à un piège contre Shepard.</x:v>
      </x:c>
      <x:c r="I45" s="14" t="str">
        <x:v>Apparence et lien au profil héros de guerre à revérifier.</x:v>
      </x:c>
      <x:c r="J45" s="14" t="str"/>
      <x:c r="K45" s="14" t="str">
        <x:v>content/npcs/NPC-elanos-haliat.json</x:v>
      </x:c>
      <x:c r="L45" s="14" t="str"/>
      <x:c r="M45" s="14" t="str"/>
      <x:c r="N45" s="14" t="str">
        <x:v>Nom et rôle à recouper dans le jeu et son codex ; guide utilisé comme point de départ.</x:v>
      </x:c>
      <x:c r="O45" s="14" t="str">
        <x:v>https://na.llnet.bioware.cdn.ea.com/u/f/eagames/bioware/masseffect/prima/prima_guide_me_pc.pdf</x:v>
      </x:c>
      <x:c r="P45" s="14" t="str">
        <x:v>Production ME1</x:v>
      </x:c>
      <x:c r="Q45" s="14" t="str"/>
    </x:row>
    <x:row r="46" ht="36" customHeight="1">
      <x:c r="A46" s="12" t="str">
        <x:v>NPC-shiala</x:v>
      </x:c>
      <x:c r="B46" s="7" t="str">
        <x:v>Shiala</x:v>
      </x:c>
      <x:c r="C46" s="10" t="str">
        <x:v>Défini</x:v>
      </x:c>
      <x:c r="D46" s="11" t="str">
        <x:v>À produire</x:v>
      </x:c>
      <x:c r="E46" s="9" t="str">
        <x:v>P1</x:v>
      </x:c>
      <x:c r="F46" s="9" t="str">
        <x:v>ME1</x:v>
      </x:c>
      <x:c r="G46" s="9" t="str">
        <x:v>Référence à vérifier</x:v>
      </x:c>
      <x:c r="H46" s="7" t="str">
        <x:v>Asari impliquée dans l’histoire de Feros.</x:v>
      </x:c>
      <x:c r="I46" s="7" t="str">
        <x:v>État après le Thorian et choix de Shepard conservés.</x:v>
      </x:c>
      <x:c r="J46" s="7" t="str"/>
      <x:c r="K46" s="7" t="str">
        <x:v>content/npcs/NPC-shiala.json</x:v>
      </x:c>
      <x:c r="L46" s="7" t="str"/>
      <x:c r="M46" s="7" t="str"/>
      <x:c r="N46" s="7" t="str">
        <x:v>Nom et rôle à recouper dans le jeu et son codex ; guide utilisé comme point de départ.</x:v>
      </x:c>
      <x:c r="O46" s="7" t="str">
        <x:v>https://na.llnet.bioware.cdn.ea.com/u/f/eagames/bioware/masseffect/prima/prima_guide_me_pc.pdf</x:v>
      </x:c>
      <x:c r="P46" s="7" t="str">
        <x:v>Production ME1</x:v>
      </x:c>
      <x:c r="Q46" s="7" t="str"/>
    </x:row>
    <x:row r="47" ht="36" customHeight="1">
      <x:c r="A47" s="13" t="str">
        <x:v>NPC-fai-dan</x:v>
      </x:c>
      <x:c r="B47" s="14" t="str">
        <x:v>Fai Dan</x:v>
      </x:c>
      <x:c r="C47" s="10" t="str">
        <x:v>Défini</x:v>
      </x:c>
      <x:c r="D47" s="11" t="str">
        <x:v>À produire</x:v>
      </x:c>
      <x:c r="E47" s="15" t="str">
        <x:v>P1</x:v>
      </x:c>
      <x:c r="F47" s="15" t="str">
        <x:v>ME1</x:v>
      </x:c>
      <x:c r="G47" s="15" t="str">
        <x:v>Référence à vérifier</x:v>
      </x:c>
      <x:c r="H47" s="14" t="str">
        <x:v>Responsable de Zhu’s Hope.</x:v>
      </x:c>
      <x:c r="I47" s="14" t="str">
        <x:v>Présence et destin liés à l’état de la colonie.</x:v>
      </x:c>
      <x:c r="J47" s="14" t="str"/>
      <x:c r="K47" s="14" t="str">
        <x:v>content/npcs/NPC-fai-dan.json</x:v>
      </x:c>
      <x:c r="L47" s="14" t="str"/>
      <x:c r="M47" s="14" t="str"/>
      <x:c r="N47" s="14" t="str">
        <x:v>Nom et rôle à recouper dans le jeu et son codex ; guide utilisé comme point de départ.</x:v>
      </x:c>
      <x:c r="O47" s="14" t="str">
        <x:v>https://na.llnet.bioware.cdn.ea.com/u/f/eagames/bioware/masseffect/prima/prima_guide_me_pc.pdf</x:v>
      </x:c>
      <x:c r="P47" s="14" t="str">
        <x:v>Production ME1</x:v>
      </x:c>
      <x:c r="Q47" s="14" t="str"/>
    </x:row>
    <x:row r="48" ht="36" customHeight="1">
      <x:c r="A48" s="12" t="str">
        <x:v>NPC-arcelia-silva-martinez</x:v>
      </x:c>
      <x:c r="B48" s="7" t="str">
        <x:v>Arcelia Silva Martinez</x:v>
      </x:c>
      <x:c r="C48" s="10" t="str">
        <x:v>Défini</x:v>
      </x:c>
      <x:c r="D48" s="11" t="str">
        <x:v>À produire</x:v>
      </x:c>
      <x:c r="E48" s="9" t="str">
        <x:v>P1</x:v>
      </x:c>
      <x:c r="F48" s="9" t="str">
        <x:v>ME1</x:v>
      </x:c>
      <x:c r="G48" s="9" t="str">
        <x:v>Référence à vérifier</x:v>
      </x:c>
      <x:c r="H48" s="7" t="str">
        <x:v>Habitante de Zhu’s Hope.</x:v>
      </x:c>
      <x:c r="I48" s="7" t="str">
        <x:v>Réactions cohérentes avec la situation de la colonie.</x:v>
      </x:c>
      <x:c r="J48" s="7" t="str"/>
      <x:c r="K48" s="7" t="str">
        <x:v>content/npcs/NPC-arcelia-silva-martinez.json</x:v>
      </x:c>
      <x:c r="L48" s="7" t="str"/>
      <x:c r="M48" s="7" t="str"/>
      <x:c r="N48" s="7" t="str">
        <x:v>Nom et rôle à recouper dans le jeu et son codex ; guide utilisé comme point de départ.</x:v>
      </x:c>
      <x:c r="O48" s="7" t="str">
        <x:v>https://na.llnet.bioware.cdn.ea.com/u/f/eagames/bioware/masseffect/prima/prima_guide_me_pc.pdf</x:v>
      </x:c>
      <x:c r="P48" s="7" t="str">
        <x:v>Production ME1</x:v>
      </x:c>
      <x:c r="Q48" s="7" t="str"/>
    </x:row>
    <x:row r="49" ht="36" customHeight="1">
      <x:c r="A49" s="13" t="str">
        <x:v>NPC-macha-doyle</x:v>
      </x:c>
      <x:c r="B49" s="14" t="str">
        <x:v>Macha Doyle</x:v>
      </x:c>
      <x:c r="C49" s="10" t="str">
        <x:v>Défini</x:v>
      </x:c>
      <x:c r="D49" s="11" t="str">
        <x:v>À produire</x:v>
      </x:c>
      <x:c r="E49" s="15" t="str">
        <x:v>P1</x:v>
      </x:c>
      <x:c r="F49" s="15" t="str">
        <x:v>ME1</x:v>
      </x:c>
      <x:c r="G49" s="15" t="str">
        <x:v>Référence à vérifier</x:v>
      </x:c>
      <x:c r="H49" s="14" t="str">
        <x:v>Habitante demandant le rétablissement de l’eau.</x:v>
      </x:c>
      <x:c r="I49" s="14" t="str">
        <x:v>Validation après activation de toutes les vannes.</x:v>
      </x:c>
      <x:c r="J49" s="14" t="str"/>
      <x:c r="K49" s="14" t="str">
        <x:v>content/npcs/NPC-macha-doyle.json</x:v>
      </x:c>
      <x:c r="L49" s="14" t="str"/>
      <x:c r="M49" s="14" t="str"/>
      <x:c r="N49" s="14" t="str">
        <x:v>Nom et rôle à recouper dans le jeu et son codex ; guide utilisé comme point de départ.</x:v>
      </x:c>
      <x:c r="O49" s="14" t="str">
        <x:v>https://na.llnet.bioware.cdn.ea.com/u/f/eagames/bioware/masseffect/prima/prima_guide_me_pc.pdf</x:v>
      </x:c>
      <x:c r="P49" s="14" t="str">
        <x:v>Production ME1</x:v>
      </x:c>
      <x:c r="Q49" s="14" t="str"/>
    </x:row>
    <x:row r="50" ht="36" customHeight="1">
      <x:c r="A50" s="12" t="str">
        <x:v>NPC-davin-reynolds</x:v>
      </x:c>
      <x:c r="B50" s="7" t="str">
        <x:v>Davin Reynolds</x:v>
      </x:c>
      <x:c r="C50" s="10" t="str">
        <x:v>Défini</x:v>
      </x:c>
      <x:c r="D50" s="11" t="str">
        <x:v>À produire</x:v>
      </x:c>
      <x:c r="E50" s="9" t="str">
        <x:v>P1</x:v>
      </x:c>
      <x:c r="F50" s="9" t="str">
        <x:v>ME1</x:v>
      </x:c>
      <x:c r="G50" s="9" t="str">
        <x:v>Référence à vérifier</x:v>
      </x:c>
      <x:c r="H50" s="7" t="str">
        <x:v>Habitant chargé du ravitaillement.</x:v>
      </x:c>
      <x:c r="I50" s="7" t="str">
        <x:v>Récompense conditionnée à la résolution des varrens.</x:v>
      </x:c>
      <x:c r="J50" s="7" t="str"/>
      <x:c r="K50" s="7" t="str">
        <x:v>content/npcs/NPC-davin-reynolds.json</x:v>
      </x:c>
      <x:c r="L50" s="7" t="str"/>
      <x:c r="M50" s="7" t="str"/>
      <x:c r="N50" s="7" t="str">
        <x:v>Nom et rôle à recouper dans le jeu et son codex ; guide utilisé comme point de départ.</x:v>
      </x:c>
      <x:c r="O50" s="7" t="str">
        <x:v>https://na.llnet.bioware.cdn.ea.com/u/f/eagames/bioware/masseffect/prima/prima_guide_me_pc.pdf</x:v>
      </x:c>
      <x:c r="P50" s="7" t="str">
        <x:v>Production ME1</x:v>
      </x:c>
      <x:c r="Q50" s="7" t="str"/>
    </x:row>
    <x:row r="51" ht="36" customHeight="1">
      <x:c r="A51" s="13" t="str">
        <x:v>NPC-may-o-connell</x:v>
      </x:c>
      <x:c r="B51" s="14" t="str">
        <x:v>May O'Connell</x:v>
      </x:c>
      <x:c r="C51" s="10" t="str">
        <x:v>Défini</x:v>
      </x:c>
      <x:c r="D51" s="11" t="str">
        <x:v>À produire</x:v>
      </x:c>
      <x:c r="E51" s="15" t="str">
        <x:v>P1</x:v>
      </x:c>
      <x:c r="F51" s="15" t="str">
        <x:v>ME1</x:v>
      </x:c>
      <x:c r="G51" s="15" t="str">
        <x:v>Référence à vérifier</x:v>
      </x:c>
      <x:c r="H51" s="14" t="str">
        <x:v>Habitante liée à l’alimentation électrique.</x:v>
      </x:c>
      <x:c r="I51" s="14" t="str">
        <x:v>Besoin de cellules énergétiques affiché.</x:v>
      </x:c>
      <x:c r="J51" s="14" t="str"/>
      <x:c r="K51" s="14" t="str">
        <x:v>content/npcs/NPC-may-o-connell.json</x:v>
      </x:c>
      <x:c r="L51" s="14" t="str"/>
      <x:c r="M51" s="14" t="str"/>
      <x:c r="N51" s="14" t="str">
        <x:v>Nom et rôle à recouper dans le jeu et son codex ; guide utilisé comme point de départ.</x:v>
      </x:c>
      <x:c r="O51" s="14" t="str">
        <x:v>https://na.llnet.bioware.cdn.ea.com/u/f/eagames/bioware/masseffect/prima/prima_guide_me_pc.pdf</x:v>
      </x:c>
      <x:c r="P51" s="14" t="str">
        <x:v>Production ME1</x:v>
      </x:c>
      <x:c r="Q51" s="14" t="str"/>
    </x:row>
    <x:row r="52" ht="36" customHeight="1">
      <x:c r="A52" s="12" t="str">
        <x:v>NPC-lizbeth-baynham</x:v>
      </x:c>
      <x:c r="B52" s="7" t="str">
        <x:v>Lizbeth Baynham</x:v>
      </x:c>
      <x:c r="C52" s="10" t="str">
        <x:v>Défini</x:v>
      </x:c>
      <x:c r="D52" s="11" t="str">
        <x:v>À produire</x:v>
      </x:c>
      <x:c r="E52" s="9" t="str">
        <x:v>P1</x:v>
      </x:c>
      <x:c r="F52" s="9" t="str">
        <x:v>ME1</x:v>
      </x:c>
      <x:c r="G52" s="9" t="str">
        <x:v>Référence à vérifier</x:v>
      </x:c>
      <x:c r="H52" s="7" t="str">
        <x:v>Employée d’ExoGeni rencontrée sur Feros.</x:v>
      </x:c>
      <x:c r="I52" s="7" t="str">
        <x:v>Retour auprès de sa mère pris en compte.</x:v>
      </x:c>
      <x:c r="J52" s="7" t="str"/>
      <x:c r="K52" s="7" t="str">
        <x:v>content/npcs/NPC-lizbeth-baynham.json</x:v>
      </x:c>
      <x:c r="L52" s="7" t="str"/>
      <x:c r="M52" s="7" t="str"/>
      <x:c r="N52" s="7" t="str">
        <x:v>Nom et rôle à recouper dans le jeu et son codex ; guide utilisé comme point de départ.</x:v>
      </x:c>
      <x:c r="O52" s="7" t="str">
        <x:v>https://na.llnet.bioware.cdn.ea.com/u/f/eagames/bioware/masseffect/prima/prima_guide_me_pc.pdf</x:v>
      </x:c>
      <x:c r="P52" s="7" t="str">
        <x:v>Production ME1</x:v>
      </x:c>
      <x:c r="Q52" s="7" t="str"/>
    </x:row>
    <x:row r="53" ht="36" customHeight="1">
      <x:c r="A53" s="13" t="str">
        <x:v>NPC-juliana-baynham</x:v>
      </x:c>
      <x:c r="B53" s="14" t="str">
        <x:v>Juliana Baynham</x:v>
      </x:c>
      <x:c r="C53" s="10" t="str">
        <x:v>Défini</x:v>
      </x:c>
      <x:c r="D53" s="11" t="str">
        <x:v>À produire</x:v>
      </x:c>
      <x:c r="E53" s="15" t="str">
        <x:v>P1</x:v>
      </x:c>
      <x:c r="F53" s="15" t="str">
        <x:v>ME1</x:v>
      </x:c>
      <x:c r="G53" s="15" t="str">
        <x:v>Référence à vérifier</x:v>
      </x:c>
      <x:c r="H53" s="14" t="str">
        <x:v>Mère de Lizbeth, interlocutrice au camp.</x:v>
      </x:c>
      <x:c r="I53" s="14" t="str">
        <x:v>État du dialogue dépendant du sauvetage.</x:v>
      </x:c>
      <x:c r="J53" s="14" t="str"/>
      <x:c r="K53" s="14" t="str">
        <x:v>content/npcs/NPC-juliana-baynham.json</x:v>
      </x:c>
      <x:c r="L53" s="14" t="str"/>
      <x:c r="M53" s="14" t="str"/>
      <x:c r="N53" s="14" t="str">
        <x:v>Nom et rôle à recouper dans le jeu et son codex ; guide utilisé comme point de départ.</x:v>
      </x:c>
      <x:c r="O53" s="14" t="str">
        <x:v>https://na.llnet.bioware.cdn.ea.com/u/f/eagames/bioware/masseffect/prima/prima_guide_me_pc.pdf</x:v>
      </x:c>
      <x:c r="P53" s="14" t="str">
        <x:v>Production ME1</x:v>
      </x:c>
      <x:c r="Q53" s="14" t="str"/>
    </x:row>
    <x:row r="54" ht="36" customHeight="1">
      <x:c r="A54" s="12" t="str">
        <x:v>NPC-ethan-jeong</x:v>
      </x:c>
      <x:c r="B54" s="7" t="str">
        <x:v>Ethan Jeong</x:v>
      </x:c>
      <x:c r="C54" s="10" t="str">
        <x:v>Défini</x:v>
      </x:c>
      <x:c r="D54" s="11" t="str">
        <x:v>À produire</x:v>
      </x:c>
      <x:c r="E54" s="9" t="str">
        <x:v>P1</x:v>
      </x:c>
      <x:c r="F54" s="9" t="str">
        <x:v>ME1</x:v>
      </x:c>
      <x:c r="G54" s="9" t="str">
        <x:v>Référence à vérifier</x:v>
      </x:c>
      <x:c r="H54" s="7" t="str">
        <x:v>Représentant d’ExoGeni.</x:v>
      </x:c>
      <x:c r="I54" s="7" t="str">
        <x:v>Persuasion et recours à la force gérés séparément.</x:v>
      </x:c>
      <x:c r="J54" s="7" t="str"/>
      <x:c r="K54" s="7" t="str">
        <x:v>content/npcs/NPC-ethan-jeong.json</x:v>
      </x:c>
      <x:c r="L54" s="7" t="str"/>
      <x:c r="M54" s="7" t="str"/>
      <x:c r="N54" s="7" t="str">
        <x:v>Nom et rôle à recouper dans le jeu et son codex ; guide utilisé comme point de départ.</x:v>
      </x:c>
      <x:c r="O54" s="7" t="str">
        <x:v>https://na.llnet.bioware.cdn.ea.com/u/f/eagames/bioware/masseffect/prima/prima_guide_me_pc.pdf</x:v>
      </x:c>
      <x:c r="P54" s="7" t="str">
        <x:v>Production ME1</x:v>
      </x:c>
      <x:c r="Q54" s="7" t="str"/>
    </x:row>
    <x:row r="55" ht="36" customHeight="1">
      <x:c r="A55" s="13" t="str">
        <x:v>NPC-gianna-parasini</x:v>
      </x:c>
      <x:c r="B55" s="14" t="str">
        <x:v>Gianna Parasini</x:v>
      </x:c>
      <x:c r="C55" s="10" t="str">
        <x:v>Défini</x:v>
      </x:c>
      <x:c r="D55" s="11" t="str">
        <x:v>À produire</x:v>
      </x:c>
      <x:c r="E55" s="15" t="str">
        <x:v>P1</x:v>
      </x:c>
      <x:c r="F55" s="15" t="str">
        <x:v>ME1</x:v>
      </x:c>
      <x:c r="G55" s="15" t="str">
        <x:v>Référence à vérifier</x:v>
      </x:c>
      <x:c r="H55" s="14" t="str">
        <x:v>Assistante et enquêtrice sur Noveria.</x:v>
      </x:c>
      <x:c r="I55" s="14" t="str">
        <x:v>Révélation de sa fonction au bon moment.</x:v>
      </x:c>
      <x:c r="J55" s="14" t="str"/>
      <x:c r="K55" s="14" t="str">
        <x:v>content/npcs/NPC-gianna-parasini.json</x:v>
      </x:c>
      <x:c r="L55" s="14" t="str"/>
      <x:c r="M55" s="14" t="str"/>
      <x:c r="N55" s="14" t="str">
        <x:v>Nom et rôle à recouper dans le jeu et son codex ; guide utilisé comme point de départ.</x:v>
      </x:c>
      <x:c r="O55" s="14" t="str">
        <x:v>https://na.llnet.bioware.cdn.ea.com/u/f/eagames/bioware/masseffect/prima/prima_guide_me_pc.pdf</x:v>
      </x:c>
      <x:c r="P55" s="14" t="str">
        <x:v>Production ME1</x:v>
      </x:c>
      <x:c r="Q55" s="14" t="str"/>
    </x:row>
    <x:row r="56" ht="36" customHeight="1">
      <x:c r="A56" s="12" t="str">
        <x:v>NPC-administrator-anoleis</x:v>
      </x:c>
      <x:c r="B56" s="7" t="str">
        <x:v>Administrator Anoleis</x:v>
      </x:c>
      <x:c r="C56" s="10" t="str">
        <x:v>Défini</x:v>
      </x:c>
      <x:c r="D56" s="11" t="str">
        <x:v>À produire</x:v>
      </x:c>
      <x:c r="E56" s="9" t="str">
        <x:v>P1</x:v>
      </x:c>
      <x:c r="F56" s="9" t="str">
        <x:v>ME1</x:v>
      </x:c>
      <x:c r="G56" s="9" t="str">
        <x:v>Référence à vérifier</x:v>
      </x:c>
      <x:c r="H56" s="7" t="str">
        <x:v>Administrateur de Port Hanshan.</x:v>
      </x:c>
      <x:c r="I56" s="7" t="str">
        <x:v>Documents, corruption et issue d’enquête persistants.</x:v>
      </x:c>
      <x:c r="J56" s="7" t="str"/>
      <x:c r="K56" s="7" t="str">
        <x:v>content/npcs/NPC-administrator-anoleis.json</x:v>
      </x:c>
      <x:c r="L56" s="7" t="str"/>
      <x:c r="M56" s="7" t="str"/>
      <x:c r="N56" s="7" t="str">
        <x:v>Nom et rôle à recouper dans le jeu et son codex ; guide utilisé comme point de départ.</x:v>
      </x:c>
      <x:c r="O56" s="7" t="str">
        <x:v>https://na.llnet.bioware.cdn.ea.com/u/f/eagames/bioware/masseffect/prima/prima_guide_me_pc.pdf</x:v>
      </x:c>
      <x:c r="P56" s="7" t="str">
        <x:v>Production ME1</x:v>
      </x:c>
      <x:c r="Q56" s="7" t="str"/>
    </x:row>
    <x:row r="57" ht="36" customHeight="1">
      <x:c r="A57" s="13" t="str">
        <x:v>NPC-lorik-qui-in</x:v>
      </x:c>
      <x:c r="B57" s="14" t="str">
        <x:v>Lorik Qui'in</x:v>
      </x:c>
      <x:c r="C57" s="10" t="str">
        <x:v>Défini</x:v>
      </x:c>
      <x:c r="D57" s="11" t="str">
        <x:v>À produire</x:v>
      </x:c>
      <x:c r="E57" s="15" t="str">
        <x:v>P1</x:v>
      </x:c>
      <x:c r="F57" s="15" t="str">
        <x:v>ME1</x:v>
      </x:c>
      <x:c r="G57" s="15" t="str">
        <x:v>Référence à vérifier</x:v>
      </x:c>
      <x:c r="H57" s="14" t="str">
        <x:v>Cadre turien de Synthetic Insights.</x:v>
      </x:c>
      <x:c r="I57" s="14" t="str">
        <x:v>Preuves et témoignage comme objectifs distincts.</x:v>
      </x:c>
      <x:c r="J57" s="14" t="str"/>
      <x:c r="K57" s="14" t="str">
        <x:v>content/npcs/NPC-lorik-qui-in.json</x:v>
      </x:c>
      <x:c r="L57" s="14" t="str"/>
      <x:c r="M57" s="14" t="str"/>
      <x:c r="N57" s="14" t="str">
        <x:v>Nom et rôle à recouper dans le jeu et son codex ; guide utilisé comme point de départ.</x:v>
      </x:c>
      <x:c r="O57" s="14" t="str">
        <x:v>https://na.llnet.bioware.cdn.ea.com/u/f/eagames/bioware/masseffect/prima/prima_guide_me_pc.pdf</x:v>
      </x:c>
      <x:c r="P57" s="14" t="str">
        <x:v>Production ME1</x:v>
      </x:c>
      <x:c r="Q57" s="14" t="str"/>
    </x:row>
    <x:row r="58" ht="36" customHeight="1">
      <x:c r="A58" s="12" t="str">
        <x:v>NPC-lilihierax</x:v>
      </x:c>
      <x:c r="B58" s="7" t="str">
        <x:v>Lilihierax</x:v>
      </x:c>
      <x:c r="C58" s="10" t="str">
        <x:v>Défini</x:v>
      </x:c>
      <x:c r="D58" s="11" t="str">
        <x:v>À produire</x:v>
      </x:c>
      <x:c r="E58" s="9" t="str">
        <x:v>P1</x:v>
      </x:c>
      <x:c r="F58" s="9" t="str">
        <x:v>ME1</x:v>
      </x:c>
      <x:c r="G58" s="9" t="str">
        <x:v>Référence à vérifier</x:v>
      </x:c>
      <x:c r="H58" s="7" t="str">
        <x:v>Mécanicien turien du garage.</x:v>
      </x:c>
      <x:c r="I58" s="7" t="str">
        <x:v>Informations de route avant départ vers Peak 15.</x:v>
      </x:c>
      <x:c r="J58" s="7" t="str"/>
      <x:c r="K58" s="7" t="str">
        <x:v>content/npcs/NPC-lilihierax.json</x:v>
      </x:c>
      <x:c r="L58" s="7" t="str"/>
      <x:c r="M58" s="7" t="str"/>
      <x:c r="N58" s="7" t="str">
        <x:v>Nom et rôle à recouper dans le jeu et son codex ; guide utilisé comme point de départ.</x:v>
      </x:c>
      <x:c r="O58" s="7" t="str">
        <x:v>https://na.llnet.bioware.cdn.ea.com/u/f/eagames/bioware/masseffect/prima/prima_guide_me_pc.pdf</x:v>
      </x:c>
      <x:c r="P58" s="7" t="str">
        <x:v>Production ME1</x:v>
      </x:c>
      <x:c r="Q58" s="7" t="str"/>
    </x:row>
    <x:row r="59" ht="36" customHeight="1">
      <x:c r="A59" s="13" t="str">
        <x:v>NPC-opold</x:v>
      </x:c>
      <x:c r="B59" s="14" t="str">
        <x:v>Opold</x:v>
      </x:c>
      <x:c r="C59" s="10" t="str">
        <x:v>Défini</x:v>
      </x:c>
      <x:c r="D59" s="11" t="str">
        <x:v>À produire</x:v>
      </x:c>
      <x:c r="E59" s="15" t="str">
        <x:v>P1</x:v>
      </x:c>
      <x:c r="F59" s="15" t="str">
        <x:v>ME1</x:v>
      </x:c>
      <x:c r="G59" s="15" t="str">
        <x:v>Référence à vérifier</x:v>
      </x:c>
      <x:c r="H59" s="14" t="str">
        <x:v>Marchand hanari.</x:v>
      </x:c>
      <x:c r="I59" s="14" t="str">
        <x:v>Contrebande et destinataire contrôlés.</x:v>
      </x:c>
      <x:c r="J59" s="14" t="str"/>
      <x:c r="K59" s="14" t="str">
        <x:v>content/npcs/NPC-opold.json</x:v>
      </x:c>
      <x:c r="L59" s="14" t="str"/>
      <x:c r="M59" s="14" t="str"/>
      <x:c r="N59" s="14" t="str">
        <x:v>Nom et rôle à recouper dans le jeu et son codex ; guide utilisé comme point de départ.</x:v>
      </x:c>
      <x:c r="O59" s="14" t="str">
        <x:v>https://na.llnet.bioware.cdn.ea.com/u/f/eagames/bioware/masseffect/prima/prima_guide_me_pc.pdf</x:v>
      </x:c>
      <x:c r="P59" s="14" t="str">
        <x:v>Production ME1</x:v>
      </x:c>
      <x:c r="Q59" s="14" t="str"/>
    </x:row>
    <x:row r="60" ht="36" customHeight="1">
      <x:c r="A60" s="12" t="str">
        <x:v>NPC-inamorda</x:v>
      </x:c>
      <x:c r="B60" s="7" t="str">
        <x:v>Inamorda</x:v>
      </x:c>
      <x:c r="C60" s="10" t="str">
        <x:v>Défini</x:v>
      </x:c>
      <x:c r="D60" s="11" t="str">
        <x:v>À produire</x:v>
      </x:c>
      <x:c r="E60" s="9" t="str">
        <x:v>P1</x:v>
      </x:c>
      <x:c r="F60" s="9" t="str">
        <x:v>ME1</x:v>
      </x:c>
      <x:c r="G60" s="9" t="str">
        <x:v>Référence à vérifier</x:v>
      </x:c>
      <x:c r="H60" s="7" t="str">
        <x:v>Acheteur krogan impliqué dans la contrebande.</x:v>
      </x:c>
      <x:c r="I60" s="7" t="str">
        <x:v>Disponibilité selon les branches de la mission.</x:v>
      </x:c>
      <x:c r="J60" s="7" t="str"/>
      <x:c r="K60" s="7" t="str">
        <x:v>content/npcs/NPC-inamorda.json</x:v>
      </x:c>
      <x:c r="L60" s="7" t="str"/>
      <x:c r="M60" s="7" t="str"/>
      <x:c r="N60" s="7" t="str">
        <x:v>Nom et rôle à recouper dans le jeu et son codex ; guide utilisé comme point de départ.</x:v>
      </x:c>
      <x:c r="O60" s="7" t="str">
        <x:v>https://na.llnet.bioware.cdn.ea.com/u/f/eagames/bioware/masseffect/prima/prima_guide_me_pc.pdf</x:v>
      </x:c>
      <x:c r="P60" s="7" t="str">
        <x:v>Production ME1</x:v>
      </x:c>
      <x:c r="Q60" s="7" t="str"/>
    </x:row>
    <x:row r="61" ht="36" customHeight="1">
      <x:c r="A61" s="13" t="str">
        <x:v>NPC-maeko-matsuo</x:v>
      </x:c>
      <x:c r="B61" s="14" t="str">
        <x:v>Maeko Matsuo</x:v>
      </x:c>
      <x:c r="C61" s="10" t="str">
        <x:v>Défini</x:v>
      </x:c>
      <x:c r="D61" s="11" t="str">
        <x:v>À produire</x:v>
      </x:c>
      <x:c r="E61" s="15" t="str">
        <x:v>P1</x:v>
      </x:c>
      <x:c r="F61" s="15" t="str">
        <x:v>ME1</x:v>
      </x:c>
      <x:c r="G61" s="15" t="str">
        <x:v>Référence à vérifier</x:v>
      </x:c>
      <x:c r="H61" s="14" t="str">
        <x:v>Responsable de la sécurité de Port Hanshan.</x:v>
      </x:c>
      <x:c r="I61" s="14" t="str">
        <x:v>Interventions limitées aux scènes pertinentes.</x:v>
      </x:c>
      <x:c r="J61" s="14" t="str"/>
      <x:c r="K61" s="14" t="str">
        <x:v>content/npcs/NPC-maeko-matsuo.json</x:v>
      </x:c>
      <x:c r="L61" s="14" t="str"/>
      <x:c r="M61" s="14" t="str"/>
      <x:c r="N61" s="14" t="str">
        <x:v>Nom et rôle à recouper dans le jeu et son codex ; guide utilisé comme point de départ.</x:v>
      </x:c>
      <x:c r="O61" s="14" t="str">
        <x:v>https://na.llnet.bioware.cdn.ea.com/u/f/eagames/bioware/masseffect/prima/prima_guide_me_pc.pdf</x:v>
      </x:c>
      <x:c r="P61" s="14" t="str">
        <x:v>Production ME1</x:v>
      </x:c>
      <x:c r="Q61" s="14" t="str"/>
    </x:row>
    <x:row r="62" ht="36" customHeight="1">
      <x:c r="A62" s="12" t="str">
        <x:v>NPC-kaira-stirling</x:v>
      </x:c>
      <x:c r="B62" s="7" t="str">
        <x:v>Kaira Stirling</x:v>
      </x:c>
      <x:c r="C62" s="10" t="str">
        <x:v>Défini</x:v>
      </x:c>
      <x:c r="D62" s="11" t="str">
        <x:v>À produire</x:v>
      </x:c>
      <x:c r="E62" s="9" t="str">
        <x:v>P1</x:v>
      </x:c>
      <x:c r="F62" s="9" t="str">
        <x:v>ME1</x:v>
      </x:c>
      <x:c r="G62" s="9" t="str">
        <x:v>Référence à vérifier</x:v>
      </x:c>
      <x:c r="H62" s="7" t="str">
        <x:v>Agent de sécurité hostile.</x:v>
      </x:c>
      <x:c r="I62" s="7" t="str">
        <x:v>Issue de confrontation et état du laboratoire concordants.</x:v>
      </x:c>
      <x:c r="J62" s="7" t="str"/>
      <x:c r="K62" s="7" t="str">
        <x:v>content/npcs/NPC-kaira-stirling.json</x:v>
      </x:c>
      <x:c r="L62" s="7" t="str"/>
      <x:c r="M62" s="7" t="str"/>
      <x:c r="N62" s="7" t="str">
        <x:v>Nom et rôle à recouper dans le jeu et son codex ; guide utilisé comme point de départ.</x:v>
      </x:c>
      <x:c r="O62" s="7" t="str">
        <x:v>https://na.llnet.bioware.cdn.ea.com/u/f/eagames/bioware/masseffect/prima/prima_guide_me_pc.pdf</x:v>
      </x:c>
      <x:c r="P62" s="7" t="str">
        <x:v>Production ME1</x:v>
      </x:c>
      <x:c r="Q62" s="7" t="str"/>
    </x:row>
    <x:row r="63" ht="36" customHeight="1">
      <x:c r="A63" s="13" t="str">
        <x:v>NPC-mira</x:v>
      </x:c>
      <x:c r="B63" s="14" t="str">
        <x:v>Mira</x:v>
      </x:c>
      <x:c r="C63" s="10" t="str">
        <x:v>Défini</x:v>
      </x:c>
      <x:c r="D63" s="11" t="str">
        <x:v>À produire</x:v>
      </x:c>
      <x:c r="E63" s="15" t="str">
        <x:v>P1</x:v>
      </x:c>
      <x:c r="F63" s="15" t="str">
        <x:v>ME1</x:v>
      </x:c>
      <x:c r="G63" s="15" t="str">
        <x:v>Référence à vérifier</x:v>
      </x:c>
      <x:c r="H63" s="14" t="str">
        <x:v>Intelligence virtuelle de Peak 15.</x:v>
      </x:c>
      <x:c r="I63" s="14" t="str">
        <x:v>Hologramme et accès par niveaux d’autorisation.</x:v>
      </x:c>
      <x:c r="J63" s="14" t="str"/>
      <x:c r="K63" s="14" t="str">
        <x:v>content/npcs/NPC-mira.json</x:v>
      </x:c>
      <x:c r="L63" s="14" t="str"/>
      <x:c r="M63" s="14" t="str"/>
      <x:c r="N63" s="14" t="str">
        <x:v>Nom et rôle à recouper dans le jeu et son codex ; guide utilisé comme point de départ.</x:v>
      </x:c>
      <x:c r="O63" s="14" t="str">
        <x:v>https://na.llnet.bioware.cdn.ea.com/u/f/eagames/bioware/masseffect/prima/prima_guide_me_pc.pdf</x:v>
      </x:c>
      <x:c r="P63" s="14" t="str">
        <x:v>Production ME1</x:v>
      </x:c>
      <x:c r="Q63" s="14" t="str"/>
    </x:row>
    <x:row r="64" ht="36" customHeight="1">
      <x:c r="A64" s="12" t="str">
        <x:v>NPC-dr-zev-cohen</x:v>
      </x:c>
      <x:c r="B64" s="7" t="str">
        <x:v>Dr Zev Cohen</x:v>
      </x:c>
      <x:c r="C64" s="10" t="str">
        <x:v>Défini</x:v>
      </x:c>
      <x:c r="D64" s="11" t="str">
        <x:v>À produire</x:v>
      </x:c>
      <x:c r="E64" s="9" t="str">
        <x:v>P1</x:v>
      </x:c>
      <x:c r="F64" s="9" t="str">
        <x:v>ME1</x:v>
      </x:c>
      <x:c r="G64" s="9" t="str">
        <x:v>Référence à vérifier</x:v>
      </x:c>
      <x:c r="H64" s="7" t="str">
        <x:v>Médecin de la station de recherche.</x:v>
      </x:c>
      <x:c r="I64" s="7" t="str">
        <x:v>Traitement et accès aux laboratoires liés.</x:v>
      </x:c>
      <x:c r="J64" s="7" t="str"/>
      <x:c r="K64" s="7" t="str">
        <x:v>content/npcs/NPC-dr-zev-cohen.json</x:v>
      </x:c>
      <x:c r="L64" s="7" t="str"/>
      <x:c r="M64" s="7" t="str"/>
      <x:c r="N64" s="7" t="str">
        <x:v>Nom et rôle à recouper dans le jeu et son codex ; guide utilisé comme point de départ.</x:v>
      </x:c>
      <x:c r="O64" s="7" t="str">
        <x:v>https://na.llnet.bioware.cdn.ea.com/u/f/eagames/bioware/masseffect/prima/prima_guide_me_pc.pdf</x:v>
      </x:c>
      <x:c r="P64" s="7" t="str">
        <x:v>Production ME1</x:v>
      </x:c>
      <x:c r="Q64" s="7" t="str"/>
    </x:row>
    <x:row r="65" ht="36" customHeight="1">
      <x:c r="A65" s="13" t="str">
        <x:v>NPC-captain-ventralis</x:v>
      </x:c>
      <x:c r="B65" s="14" t="str">
        <x:v>Captain Ventralis</x:v>
      </x:c>
      <x:c r="C65" s="10" t="str">
        <x:v>Défini</x:v>
      </x:c>
      <x:c r="D65" s="11" t="str">
        <x:v>À produire</x:v>
      </x:c>
      <x:c r="E65" s="15" t="str">
        <x:v>P1</x:v>
      </x:c>
      <x:c r="F65" s="15" t="str">
        <x:v>ME1</x:v>
      </x:c>
      <x:c r="G65" s="15" t="str">
        <x:v>Référence à vérifier</x:v>
      </x:c>
      <x:c r="H65" s="14" t="str">
        <x:v>Chef de sécurité survivant à Peak 15.</x:v>
      </x:c>
      <x:c r="I65" s="14" t="str">
        <x:v>Réaction à l’infiltration cohérente.</x:v>
      </x:c>
      <x:c r="J65" s="14" t="str"/>
      <x:c r="K65" s="14" t="str">
        <x:v>content/npcs/NPC-captain-ventralis.json</x:v>
      </x:c>
      <x:c r="L65" s="14" t="str"/>
      <x:c r="M65" s="14" t="str"/>
      <x:c r="N65" s="14" t="str">
        <x:v>Nom et rôle à recouper dans le jeu et son codex ; guide utilisé comme point de départ.</x:v>
      </x:c>
      <x:c r="O65" s="14" t="str">
        <x:v>https://na.llnet.bioware.cdn.ea.com/u/f/eagames/bioware/masseffect/prima/prima_guide_me_pc.pdf</x:v>
      </x:c>
      <x:c r="P65" s="14" t="str">
        <x:v>Production ME1</x:v>
      </x:c>
      <x:c r="Q65" s="14" t="str"/>
    </x:row>
    <x:row r="66" ht="36" customHeight="1">
      <x:c r="A66" s="12" t="str">
        <x:v>NPC-yaroslev-tartakovsky</x:v>
      </x:c>
      <x:c r="B66" s="7" t="str">
        <x:v>Yaroslev Tartakovsky</x:v>
      </x:c>
      <x:c r="C66" s="10" t="str">
        <x:v>Défini</x:v>
      </x:c>
      <x:c r="D66" s="11" t="str">
        <x:v>À produire</x:v>
      </x:c>
      <x:c r="E66" s="9" t="str">
        <x:v>P1</x:v>
      </x:c>
      <x:c r="F66" s="9" t="str">
        <x:v>ME1</x:v>
      </x:c>
      <x:c r="G66" s="9" t="str">
        <x:v>Référence à vérifier</x:v>
      </x:c>
      <x:c r="H66" s="7" t="str">
        <x:v>Scientifique dans les laboratoires chauds.</x:v>
      </x:c>
      <x:c r="I66" s="7" t="str">
        <x:v>Séquence de purge fidèle à sa fonction.</x:v>
      </x:c>
      <x:c r="J66" s="7" t="str"/>
      <x:c r="K66" s="7" t="str">
        <x:v>content/npcs/NPC-yaroslev-tartakovsky.json</x:v>
      </x:c>
      <x:c r="L66" s="7" t="str"/>
      <x:c r="M66" s="7" t="str"/>
      <x:c r="N66" s="7" t="str">
        <x:v>Nom et rôle à recouper dans le jeu et son codex ; guide utilisé comme point de départ.</x:v>
      </x:c>
      <x:c r="O66" s="7" t="str">
        <x:v>https://na.llnet.bioware.cdn.ea.com/u/f/eagames/bioware/masseffect/prima/prima_guide_me_pc.pdf</x:v>
      </x:c>
      <x:c r="P66" s="7" t="str">
        <x:v>Production ME1</x:v>
      </x:c>
      <x:c r="Q66" s="7" t="str"/>
    </x:row>
    <x:row r="67" ht="49" customHeight="1">
      <x:c r="A67" s="13" t="str">
        <x:v>NPC-kirrahe</x:v>
      </x:c>
      <x:c r="B67" s="14" t="str">
        <x:v>Kirrahe</x:v>
      </x:c>
      <x:c r="C67" s="10" t="str">
        <x:v>Prototype</x:v>
      </x:c>
      <x:c r="D67" s="11" t="str">
        <x:v>Prototype</x:v>
      </x:c>
      <x:c r="E67" s="15" t="str">
        <x:v>P1</x:v>
      </x:c>
      <x:c r="F67" s="15" t="str">
        <x:v>ME1</x:v>
      </x:c>
      <x:c r="G67" s="15" t="str">
        <x:v>Référence à vérifier</x:v>
      </x:c>
      <x:c r="H67" s="14" t="str">
        <x:v>Capitaine galarien sur Virmire.</x:v>
      </x:c>
      <x:c r="I67" s="14" t="str">
        <x:v>Soutien reçu et survie suivis par des drapeaux précis.</x:v>
      </x:c>
      <x:c r="J67" s="14" t="str"/>
      <x:c r="K67" s="14" t="str">
        <x:v>content/npcs/NPC-kirrahe.json</x:v>
      </x:c>
      <x:c r="L67" s="14" t="str">
        <x:v>public/assets/npc-atlas.png</x:v>
      </x:c>
      <x:c r="M67" s="14" t="str">
        <x:v>NPC_KEYS.kirrahe</x:v>
      </x:c>
      <x:c r="N67" s="14" t="str">
        <x:v>Nom et rôle à recouper dans le jeu et son codex ; guide utilisé comme point de départ.</x:v>
      </x:c>
      <x:c r="O67" s="14" t="str">
        <x:v>https://na.llnet.bioware.cdn.ea.com/u/f/eagames/bioware/masseffect/prima/prima_guide_me_pc.pdf</x:v>
      </x:c>
      <x:c r="P67" s="14" t="str">
        <x:v>Production ME1</x:v>
      </x:c>
      <x:c r="Q67" s="14" t="str">
        <x:v>Atlas 4 × 2, ligne 2, colonne 3. Silhouette placée dans une scène par src/world.js. Costume, visage, dialogues et animations complets à vérifier ou produire.</x:v>
      </x:c>
    </x:row>
    <x:row r="68" ht="36" customHeight="1">
      <x:c r="A68" s="12" t="str">
        <x:v>NPC-commander-rentola</x:v>
      </x:c>
      <x:c r="B68" s="7" t="str">
        <x:v>Commander Rentola</x:v>
      </x:c>
      <x:c r="C68" s="10" t="str">
        <x:v>Défini</x:v>
      </x:c>
      <x:c r="D68" s="11" t="str">
        <x:v>À produire</x:v>
      </x:c>
      <x:c r="E68" s="9" t="str">
        <x:v>P1</x:v>
      </x:c>
      <x:c r="F68" s="9" t="str">
        <x:v>ME1</x:v>
      </x:c>
      <x:c r="G68" s="9" t="str">
        <x:v>Référence à vérifier</x:v>
      </x:c>
      <x:c r="H68" s="7" t="str">
        <x:v>Officier des STG sur Virmire.</x:v>
      </x:c>
      <x:c r="I68" s="7" t="str">
        <x:v>Service et dialogues dans le camp.</x:v>
      </x:c>
      <x:c r="J68" s="7" t="str"/>
      <x:c r="K68" s="7" t="str">
        <x:v>content/npcs/NPC-commander-rentola.json</x:v>
      </x:c>
      <x:c r="L68" s="7" t="str"/>
      <x:c r="M68" s="7" t="str"/>
      <x:c r="N68" s="7" t="str">
        <x:v>Nom et rôle à recouper dans le jeu et son codex ; guide utilisé comme point de départ.</x:v>
      </x:c>
      <x:c r="O68" s="7" t="str">
        <x:v>https://na.llnet.bioware.cdn.ea.com/u/f/eagames/bioware/masseffect/prima/prima_guide_me_pc.pdf</x:v>
      </x:c>
      <x:c r="P68" s="7" t="str">
        <x:v>Production ME1</x:v>
      </x:c>
      <x:c r="Q68" s="7" t="str"/>
    </x:row>
    <x:row r="69" ht="36" customHeight="1">
      <x:c r="A69" s="13" t="str">
        <x:v>NPC-rana-thanoptis</x:v>
      </x:c>
      <x:c r="B69" s="14" t="str">
        <x:v>Rana Thanoptis</x:v>
      </x:c>
      <x:c r="C69" s="10" t="str">
        <x:v>Défini</x:v>
      </x:c>
      <x:c r="D69" s="11" t="str">
        <x:v>À produire</x:v>
      </x:c>
      <x:c r="E69" s="15" t="str">
        <x:v>P1</x:v>
      </x:c>
      <x:c r="F69" s="15" t="str">
        <x:v>ME1</x:v>
      </x:c>
      <x:c r="G69" s="15" t="str">
        <x:v>Référence à vérifier</x:v>
      </x:c>
      <x:c r="H69" s="14" t="str">
        <x:v>Scientifique asari au laboratoire de Virmire.</x:v>
      </x:c>
      <x:c r="I69" s="14" t="str">
        <x:v>Choix de la laisser partir conservé pour export futur.</x:v>
      </x:c>
      <x:c r="J69" s="14" t="str"/>
      <x:c r="K69" s="14" t="str">
        <x:v>content/npcs/NPC-rana-thanoptis.json</x:v>
      </x:c>
      <x:c r="L69" s="14" t="str"/>
      <x:c r="M69" s="14" t="str"/>
      <x:c r="N69" s="14" t="str">
        <x:v>Nom et rôle à recouper dans le jeu et son codex ; guide utilisé comme point de départ.</x:v>
      </x:c>
      <x:c r="O69" s="14" t="str">
        <x:v>https://na.llnet.bioware.cdn.ea.com/u/f/eagames/bioware/masseffect/prima/prima_guide_me_pc.pdf</x:v>
      </x:c>
      <x:c r="P69" s="14" t="str">
        <x:v>Production ME1</x:v>
      </x:c>
      <x:c r="Q69" s="14" t="str"/>
    </x:row>
    <x:row r="70" ht="36" customHeight="1">
      <x:c r="A70" s="12" t="str">
        <x:v>NPC-major-kyle</x:v>
      </x:c>
      <x:c r="B70" s="7" t="str">
        <x:v>Major Kyle</x:v>
      </x:c>
      <x:c r="C70" s="10" t="str">
        <x:v>Défini</x:v>
      </x:c>
      <x:c r="D70" s="11" t="str">
        <x:v>À produire</x:v>
      </x:c>
      <x:c r="E70" s="9" t="str">
        <x:v>P1</x:v>
      </x:c>
      <x:c r="F70" s="9" t="str">
        <x:v>ME1</x:v>
      </x:c>
      <x:c r="G70" s="9" t="str">
        <x:v>Référence à vérifier</x:v>
      </x:c>
      <x:c r="H70" s="7" t="str">
        <x:v>Ancien militaire à la tête d’un groupe biotique.</x:v>
      </x:c>
      <x:c r="I70" s="7" t="str">
        <x:v>Dialogue et résolution pacifique possibles.</x:v>
      </x:c>
      <x:c r="J70" s="7" t="str"/>
      <x:c r="K70" s="7" t="str">
        <x:v>content/npcs/NPC-major-kyle.json</x:v>
      </x:c>
      <x:c r="L70" s="7" t="str"/>
      <x:c r="M70" s="7" t="str"/>
      <x:c r="N70" s="7" t="str">
        <x:v>Nom et rôle à recouper dans le jeu et son codex ; guide utilisé comme point de départ.</x:v>
      </x:c>
      <x:c r="O70" s="7" t="str">
        <x:v>https://na.llnet.bioware.cdn.ea.com/u/f/eagames/bioware/masseffect/prima/prima_guide_me_pc.pdf</x:v>
      </x:c>
      <x:c r="P70" s="7" t="str">
        <x:v>Production ME1</x:v>
      </x:c>
      <x:c r="Q70" s="7" t="str"/>
    </x:row>
    <x:row r="71" ht="36" customHeight="1">
      <x:c r="A71" s="13" t="str">
        <x:v>NPC-toombs</x:v>
      </x:c>
      <x:c r="B71" s="14" t="str">
        <x:v>Toombs</x:v>
      </x:c>
      <x:c r="C71" s="10" t="str">
        <x:v>Défini</x:v>
      </x:c>
      <x:c r="D71" s="11" t="str">
        <x:v>À produire</x:v>
      </x:c>
      <x:c r="E71" s="15" t="str">
        <x:v>P1</x:v>
      </x:c>
      <x:c r="F71" s="15" t="str">
        <x:v>ME1</x:v>
      </x:c>
      <x:c r="G71" s="15" t="str">
        <x:v>Référence à vérifier</x:v>
      </x:c>
      <x:c r="H71" s="14" t="str">
        <x:v>Survivant lié aux expériences de Cerberus.</x:v>
      </x:c>
      <x:c r="I71" s="14" t="str">
        <x:v>Réactions au profil psychologique de Shepard.</x:v>
      </x:c>
      <x:c r="J71" s="14" t="str"/>
      <x:c r="K71" s="14" t="str">
        <x:v>content/npcs/NPC-toombs.json</x:v>
      </x:c>
      <x:c r="L71" s="14" t="str"/>
      <x:c r="M71" s="14" t="str"/>
      <x:c r="N71" s="14" t="str">
        <x:v>Nom et rôle à recouper dans le jeu et son codex ; guide utilisé comme point de départ.</x:v>
      </x:c>
      <x:c r="O71" s="14" t="str">
        <x:v>https://na.llnet.bioware.cdn.ea.com/u/f/eagames/bioware/masseffect/prima/prima_guide_me_pc.pdf</x:v>
      </x:c>
      <x:c r="P71" s="14" t="str">
        <x:v>Production ME1</x:v>
      </x:c>
      <x:c r="Q71" s="14" t="str"/>
    </x:row>
    <x:row r="72" ht="36" customHeight="1">
      <x:c r="A72" s="12" t="str">
        <x:v>NPC-vigil</x:v>
      </x:c>
      <x:c r="B72" s="7" t="str">
        <x:v>Vigil</x:v>
      </x:c>
      <x:c r="C72" s="10" t="str">
        <x:v>Défini</x:v>
      </x:c>
      <x:c r="D72" s="11" t="str">
        <x:v>À produire</x:v>
      </x:c>
      <x:c r="E72" s="9" t="str">
        <x:v>P1</x:v>
      </x:c>
      <x:c r="F72" s="9" t="str">
        <x:v>ME1</x:v>
      </x:c>
      <x:c r="G72" s="9" t="str">
        <x:v>Référence à vérifier</x:v>
      </x:c>
      <x:c r="H72" s="7" t="str">
        <x:v>Intelligence virtuelle prothéenne sur Ilos.</x:v>
      </x:c>
      <x:c r="I72" s="7" t="str">
        <x:v>Exposition délivrée après les révélations nécessaires.</x:v>
      </x:c>
      <x:c r="J72" s="7" t="str"/>
      <x:c r="K72" s="7" t="str">
        <x:v>content/npcs/NPC-vigil.json</x:v>
      </x:c>
      <x:c r="L72" s="7" t="str"/>
      <x:c r="M72" s="7" t="str"/>
      <x:c r="N72" s="7" t="str">
        <x:v>Nom et rôle à recouper dans le jeu et son codex ; guide utilisé comme point de départ.</x:v>
      </x:c>
      <x:c r="O72" s="7" t="str">
        <x:v>https://na.llnet.bioware.cdn.ea.com/u/f/eagames/bioware/masseffect/prima/prima_guide_me_pc.pdf</x:v>
      </x:c>
      <x:c r="P72" s="7" t="str">
        <x:v>Production ME1</x:v>
      </x:c>
      <x:c r="Q72" s="7" t="str"/>
    </x:row>
  </x:sheetData>
  <x:conditionalFormatting sqref="C7:C72">
    <x:cfRule type="cellIs" dxfId="265" priority="1" operator="equal">
      <x:formula>"Prototype"</x:formula>
    </x:cfRule>
    <x:cfRule type="cellIs" dxfId="266" priority="2" operator="equal">
      <x:formula>"Intégré"</x:formula>
    </x:cfRule>
    <x:cfRule type="cellIs" dxfId="267" priority="3" operator="equal">
      <x:formula>"Validé"</x:formula>
    </x:cfRule>
  </x:conditionalFormatting>
  <x:conditionalFormatting sqref="G7:G72">
    <x:cfRule type="cellIs" dxfId="268" priority="4" operator="equal">
      <x:formula>"Référence à vérifier"</x:formula>
    </x:cfRule>
  </x:conditionalFormatting>
  <x:conditionalFormatting sqref="E7:E72">
    <x:cfRule type="cellIs" dxfId="269" priority="5" operator="equal">
      <x:formula>"P0"</x:formula>
    </x:cfRule>
  </x:conditionalFormatting>
  <x:dataValidations count="5">
    <x:dataValidation type="list" sqref="C7:C72">
      <x:formula1>"Défini,Prototype,Intégré,Validé"</x:formula1>
    </x:dataValidation>
    <x:dataValidation type="list" sqref="D7:D72">
      <x:formula1>"À produire,Prototype,Disponible,Validé,Sans objet,Non planifié"</x:formula1>
    </x:dataValidation>
    <x:dataValidation type="list" sqref="E7:E72">
      <x:formula1>"P0,P1,P2"</x:formula1>
    </x:dataValidation>
    <x:dataValidation type="list" sqref="F7:F72">
      <x:formula1>"ME1,ME2,ME3,TRANSVERSE"</x:formula1>
    </x:dataValidation>
    <x:dataValidation type="list" sqref="G7:G72">
      <x:formula1>"Confirmé,Référence à vérifier,Adaptation"</x:formula1>
    </x:dataValidation>
  </x:dataValidations>
  <x:pageMargins left="0.7" right="0.7" top="0.75" bottom="0.75" header="0.3" footer="0.3"/>
  <x:tableParts count="1">
    <x:tablePart xmlns:r="http://schemas.openxmlformats.org/officeDocument/2006/relationships" r:id="R625d22ad39b44eda"/>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Espèces et factions</x:v>
      </x:c>
      <x:c r="B2" s="2"/>
      <x:c r="C2" s="2"/>
      <x:c r="D2" s="2"/>
      <x:c r="E2" s="2"/>
      <x:c r="F2" s="2"/>
      <x:c r="G2" s="2"/>
      <x:c r="H2" s="2"/>
      <x:c r="I2" s="2"/>
      <x:c r="J2" s="2"/>
      <x:c r="K2" s="2"/>
      <x:c r="L2" s="2"/>
      <x:c r="M2" s="2"/>
      <x:c r="N2" s="2"/>
      <x:c r="O2" s="2"/>
      <x:c r="P2" s="2"/>
      <x:c r="Q2" s="2"/>
    </x:row>
    <x:row r="3" ht="22" customHeight="1">
      <x:c r="A3" s="4" t="str">
        <x:v>Espèces, organisations et règles culturelles</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LOR-humains</x:v>
      </x:c>
      <x:c r="B7" s="14" t="str">
        <x:v>Humains</x:v>
      </x:c>
      <x:c r="C7" s="10" t="str">
        <x:v>Défini</x:v>
      </x:c>
      <x:c r="D7" s="11" t="str">
        <x:v>À produire</x:v>
      </x:c>
      <x:c r="E7" s="15" t="str">
        <x:v>P1</x:v>
      </x:c>
      <x:c r="F7" s="15" t="str">
        <x:v>ME1</x:v>
      </x:c>
      <x:c r="G7" s="15" t="str">
        <x:v>Référence à vérifier</x:v>
      </x:c>
      <x:c r="H7" s="14" t="str">
        <x:v>Espèce de Shepard, Alliance et colonies.</x:v>
      </x:c>
      <x:c r="I7" s="14" t="str">
        <x:v>Variété de visages, âges et tenues sans uniforme universel.</x:v>
      </x:c>
      <x:c r="J7" s="14" t="str"/>
      <x:c r="K7" s="14" t="str">
        <x:v>content/lore/LOR-humains.json</x:v>
      </x:c>
      <x:c r="L7" s="14" t="str"/>
      <x:c r="M7" s="14" t="str"/>
      <x:c r="N7" s="14" t="str">
        <x:v>Nomenclature de couverture à vérifier dans le codex ME1 avant validation.</x:v>
      </x:c>
      <x:c r="O7" s="14" t="str">
        <x:v>https://www.ea.com/fr/games/mass-effect/mass-effect-legendary-edition</x:v>
      </x:c>
      <x:c r="P7" s="14" t="str">
        <x:v>Production ME1</x:v>
      </x:c>
      <x:c r="Q7" s="14" t="str"/>
    </x:row>
    <x:row r="8" ht="36" customHeight="1">
      <x:c r="A8" s="12" t="str">
        <x:v>LOR-asari</x:v>
      </x:c>
      <x:c r="B8" s="7" t="str">
        <x:v>Asari</x:v>
      </x:c>
      <x:c r="C8" s="10" t="str">
        <x:v>Prototype</x:v>
      </x:c>
      <x:c r="D8" s="11" t="str">
        <x:v>Prototype</x:v>
      </x:c>
      <x:c r="E8" s="9" t="str">
        <x:v>P1</x:v>
      </x:c>
      <x:c r="F8" s="9" t="str">
        <x:v>ME1</x:v>
      </x:c>
      <x:c r="G8" s="9" t="str">
        <x:v>Référence à vérifier</x:v>
      </x:c>
      <x:c r="H8" s="7" t="str">
        <x:v>Espèce monogenrée à crêtes crâniennes et capacités biotiques.</x:v>
      </x:c>
      <x:c r="I8" s="7" t="str">
        <x:v>Anatomie et diversité culturelle à documenter.</x:v>
      </x:c>
      <x:c r="J8" s="7" t="str"/>
      <x:c r="K8" s="7" t="str">
        <x:v>content/lore/LOR-asari.json</x:v>
      </x:c>
      <x:c r="L8" s="7" t="str">
        <x:v>src/game-data.js</x:v>
      </x:c>
      <x:c r="M8" s="7" t="str">
        <x:v>CODEX.asari</x:v>
      </x:c>
      <x:c r="N8" s="7" t="str">
        <x:v>Nomenclature de couverture à vérifier dans le codex ME1 avant validation.</x:v>
      </x:c>
      <x:c r="O8" s="7" t="str">
        <x:v>https://www.ea.com/fr/games/mass-effect/mass-effect-legendary-edition</x:v>
      </x:c>
      <x:c r="P8" s="7" t="str">
        <x:v>Production ME1</x:v>
      </x:c>
      <x:c r="Q8" s="7" t="str">
        <x:v>Entrée de codex courte présente. Dossier encyclopédique et références détaillées à compléter.</x:v>
      </x:c>
    </x:row>
    <x:row r="9" ht="36" customHeight="1">
      <x:c r="A9" s="13" t="str">
        <x:v>LOR-turiens</x:v>
      </x:c>
      <x:c r="B9" s="14" t="str">
        <x:v>Turiens</x:v>
      </x:c>
      <x:c r="C9" s="10" t="str">
        <x:v>Prototype</x:v>
      </x:c>
      <x:c r="D9" s="11" t="str">
        <x:v>Prototype</x:v>
      </x:c>
      <x:c r="E9" s="15" t="str">
        <x:v>P1</x:v>
      </x:c>
      <x:c r="F9" s="15" t="str">
        <x:v>ME1</x:v>
      </x:c>
      <x:c r="G9" s="15" t="str">
        <x:v>Référence à vérifier</x:v>
      </x:c>
      <x:c r="H9" s="14" t="str">
        <x:v>Espèce à plaques faciales et posture distinctive.</x:v>
      </x:c>
      <x:c r="I9" s="14" t="str">
        <x:v>Silhouette et articulations contrôlées par vues multiples.</x:v>
      </x:c>
      <x:c r="J9" s="14" t="str"/>
      <x:c r="K9" s="14" t="str">
        <x:v>content/lore/LOR-turiens.json</x:v>
      </x:c>
      <x:c r="L9" s="14" t="str">
        <x:v>src/game-data.js</x:v>
      </x:c>
      <x:c r="M9" s="14" t="str">
        <x:v>CODEX.turian</x:v>
      </x:c>
      <x:c r="N9" s="14" t="str">
        <x:v>Nomenclature de couverture à vérifier dans le codex ME1 avant validation.</x:v>
      </x:c>
      <x:c r="O9" s="14" t="str">
        <x:v>https://www.ea.com/fr/games/mass-effect/mass-effect-legendary-edition</x:v>
      </x:c>
      <x:c r="P9" s="14" t="str">
        <x:v>Production ME1</x:v>
      </x:c>
      <x:c r="Q9" s="14" t="str">
        <x:v>Entrée de codex courte présente. Dossier encyclopédique et références détaillées à compléter.</x:v>
      </x:c>
    </x:row>
    <x:row r="10" ht="36" customHeight="1">
      <x:c r="A10" s="12" t="str">
        <x:v>LOR-galariens</x:v>
      </x:c>
      <x:c r="B10" s="7" t="str">
        <x:v>Galariens</x:v>
      </x:c>
      <x:c r="C10" s="10" t="str">
        <x:v>Défini</x:v>
      </x:c>
      <x:c r="D10" s="11" t="str">
        <x:v>À produire</x:v>
      </x:c>
      <x:c r="E10" s="9" t="str">
        <x:v>P1</x:v>
      </x:c>
      <x:c r="F10" s="9" t="str">
        <x:v>ME1</x:v>
      </x:c>
      <x:c r="G10" s="9" t="str">
        <x:v>Référence à vérifier</x:v>
      </x:c>
      <x:c r="H10" s="7" t="str">
        <x:v>Espèce fine aux membres et au crâne allongés.</x:v>
      </x:c>
      <x:c r="I10" s="7" t="str">
        <x:v>Échelle, mains et cadence gestuelle spécifiques.</x:v>
      </x:c>
      <x:c r="J10" s="7" t="str"/>
      <x:c r="K10" s="7" t="str">
        <x:v>content/lore/LOR-galariens.json</x:v>
      </x:c>
      <x:c r="L10" s="7" t="str"/>
      <x:c r="M10" s="7" t="str"/>
      <x:c r="N10" s="7" t="str">
        <x:v>Nomenclature de couverture à vérifier dans le codex ME1 avant validation.</x:v>
      </x:c>
      <x:c r="O10" s="7" t="str">
        <x:v>https://www.ea.com/fr/games/mass-effect/mass-effect-legendary-edition</x:v>
      </x:c>
      <x:c r="P10" s="7" t="str">
        <x:v>Production ME1</x:v>
      </x:c>
      <x:c r="Q10" s="7" t="str"/>
    </x:row>
    <x:row r="11" ht="36" customHeight="1">
      <x:c r="A11" s="13" t="str">
        <x:v>LOR-krogans</x:v>
      </x:c>
      <x:c r="B11" s="14" t="str">
        <x:v>Krogans</x:v>
      </x:c>
      <x:c r="C11" s="10" t="str">
        <x:v>Prototype</x:v>
      </x:c>
      <x:c r="D11" s="11" t="str">
        <x:v>Prototype</x:v>
      </x:c>
      <x:c r="E11" s="15" t="str">
        <x:v>P1</x:v>
      </x:c>
      <x:c r="F11" s="15" t="str">
        <x:v>ME1</x:v>
      </x:c>
      <x:c r="G11" s="15" t="str">
        <x:v>Référence à vérifier</x:v>
      </x:c>
      <x:c r="H11" s="14" t="str">
        <x:v>Espèce massive à plaques et bosse dorsale.</x:v>
      </x:c>
      <x:c r="I11" s="14" t="str">
        <x:v>Volume du torse conservé dans tous les angles.</x:v>
      </x:c>
      <x:c r="J11" s="14" t="str"/>
      <x:c r="K11" s="14" t="str">
        <x:v>content/lore/LOR-krogans.json</x:v>
      </x:c>
      <x:c r="L11" s="14" t="str">
        <x:v>src/game-data.js</x:v>
      </x:c>
      <x:c r="M11" s="14" t="str">
        <x:v>CODEX.krogan</x:v>
      </x:c>
      <x:c r="N11" s="14" t="str">
        <x:v>Nomenclature de couverture à vérifier dans le codex ME1 avant validation.</x:v>
      </x:c>
      <x:c r="O11" s="14" t="str">
        <x:v>https://www.ea.com/fr/games/mass-effect/mass-effect-legendary-edition</x:v>
      </x:c>
      <x:c r="P11" s="14" t="str">
        <x:v>Production ME1</x:v>
      </x:c>
      <x:c r="Q11" s="14" t="str">
        <x:v>Entrée de codex courte présente. Dossier encyclopédique et références détaillées à compléter.</x:v>
      </x:c>
    </x:row>
    <x:row r="12" ht="36" customHeight="1">
      <x:c r="A12" s="12" t="str">
        <x:v>LOR-quariens</x:v>
      </x:c>
      <x:c r="B12" s="7" t="str">
        <x:v>Quariens</x:v>
      </x:c>
      <x:c r="C12" s="10" t="str">
        <x:v>Prototype</x:v>
      </x:c>
      <x:c r="D12" s="11" t="str">
        <x:v>Prototype</x:v>
      </x:c>
      <x:c r="E12" s="9" t="str">
        <x:v>P1</x:v>
      </x:c>
      <x:c r="F12" s="9" t="str">
        <x:v>ME1</x:v>
      </x:c>
      <x:c r="G12" s="9" t="str">
        <x:v>Référence à vérifier</x:v>
      </x:c>
      <x:c r="H12" s="7" t="str">
        <x:v>Espèce portant des combinaisons environnementales.</x:v>
      </x:c>
      <x:c r="I12" s="7" t="str">
        <x:v>Masques, mains et jambes respectés.</x:v>
      </x:c>
      <x:c r="J12" s="7" t="str"/>
      <x:c r="K12" s="7" t="str">
        <x:v>content/lore/LOR-quariens.json</x:v>
      </x:c>
      <x:c r="L12" s="7" t="str">
        <x:v>src/game-data.js</x:v>
      </x:c>
      <x:c r="M12" s="7" t="str">
        <x:v>CODEX.quarian</x:v>
      </x:c>
      <x:c r="N12" s="7" t="str">
        <x:v>Nomenclature de couverture à vérifier dans le codex ME1 avant validation.</x:v>
      </x:c>
      <x:c r="O12" s="7" t="str">
        <x:v>https://www.ea.com/fr/games/mass-effect/mass-effect-legendary-edition</x:v>
      </x:c>
      <x:c r="P12" s="7" t="str">
        <x:v>Production ME1</x:v>
      </x:c>
      <x:c r="Q12" s="7" t="str">
        <x:v>Entrée de codex courte présente. Dossier encyclopédique et références détaillées à compléter.</x:v>
      </x:c>
    </x:row>
    <x:row r="13" ht="36" customHeight="1">
      <x:c r="A13" s="13" t="str">
        <x:v>LOR-volus</x:v>
      </x:c>
      <x:c r="B13" s="14" t="str">
        <x:v>Volus</x:v>
      </x:c>
      <x:c r="C13" s="10" t="str">
        <x:v>Défini</x:v>
      </x:c>
      <x:c r="D13" s="11" t="str">
        <x:v>À produire</x:v>
      </x:c>
      <x:c r="E13" s="15" t="str">
        <x:v>P1</x:v>
      </x:c>
      <x:c r="F13" s="15" t="str">
        <x:v>ME1</x:v>
      </x:c>
      <x:c r="G13" s="15" t="str">
        <x:v>Référence à vérifier</x:v>
      </x:c>
      <x:c r="H13" s="14" t="str">
        <x:v>Espèce en combinaison pressurisée.</x:v>
      </x:c>
      <x:c r="I13" s="14" t="str">
        <x:v>Aucun visage découvert sans justification canonique.</x:v>
      </x:c>
      <x:c r="J13" s="14" t="str"/>
      <x:c r="K13" s="14" t="str">
        <x:v>content/lore/LOR-volus.json</x:v>
      </x:c>
      <x:c r="L13" s="14" t="str"/>
      <x:c r="M13" s="14" t="str"/>
      <x:c r="N13" s="14" t="str">
        <x:v>Nomenclature de couverture à vérifier dans le codex ME1 avant validation.</x:v>
      </x:c>
      <x:c r="O13" s="14" t="str">
        <x:v>https://www.ea.com/fr/games/mass-effect/mass-effect-legendary-edition</x:v>
      </x:c>
      <x:c r="P13" s="14" t="str">
        <x:v>Production ME1</x:v>
      </x:c>
      <x:c r="Q13" s="14" t="str"/>
    </x:row>
    <x:row r="14" ht="36" customHeight="1">
      <x:c r="A14" s="12" t="str">
        <x:v>LOR-elcors</x:v>
      </x:c>
      <x:c r="B14" s="7" t="str">
        <x:v>Elcors</x:v>
      </x:c>
      <x:c r="C14" s="10" t="str">
        <x:v>Défini</x:v>
      </x:c>
      <x:c r="D14" s="11" t="str">
        <x:v>À produire</x:v>
      </x:c>
      <x:c r="E14" s="9" t="str">
        <x:v>P1</x:v>
      </x:c>
      <x:c r="F14" s="9" t="str">
        <x:v>ME1</x:v>
      </x:c>
      <x:c r="G14" s="9" t="str">
        <x:v>Référence à vérifier</x:v>
      </x:c>
      <x:c r="H14" s="7" t="str">
        <x:v>Quadrupèdes massifs exprimant l’intention de leurs paroles.</x:v>
      </x:c>
      <x:c r="I14" s="7" t="str">
        <x:v>Animations lentes et passages dimensionnés.</x:v>
      </x:c>
      <x:c r="J14" s="7" t="str"/>
      <x:c r="K14" s="7" t="str">
        <x:v>content/lore/LOR-elcors.json</x:v>
      </x:c>
      <x:c r="L14" s="7" t="str"/>
      <x:c r="M14" s="7" t="str"/>
      <x:c r="N14" s="7" t="str">
        <x:v>Nomenclature de couverture à vérifier dans le codex ME1 avant validation.</x:v>
      </x:c>
      <x:c r="O14" s="7" t="str">
        <x:v>https://www.ea.com/fr/games/mass-effect/mass-effect-legendary-edition</x:v>
      </x:c>
      <x:c r="P14" s="7" t="str">
        <x:v>Production ME1</x:v>
      </x:c>
      <x:c r="Q14" s="7" t="str"/>
    </x:row>
    <x:row r="15" ht="36" customHeight="1">
      <x:c r="A15" s="13" t="str">
        <x:v>LOR-hanaris</x:v>
      </x:c>
      <x:c r="B15" s="14" t="str">
        <x:v>Hanaris</x:v>
      </x:c>
      <x:c r="C15" s="10" t="str">
        <x:v>Défini</x:v>
      </x:c>
      <x:c r="D15" s="11" t="str">
        <x:v>À produire</x:v>
      </x:c>
      <x:c r="E15" s="15" t="str">
        <x:v>P1</x:v>
      </x:c>
      <x:c r="F15" s="15" t="str">
        <x:v>ME1</x:v>
      </x:c>
      <x:c r="G15" s="15" t="str">
        <x:v>Référence à vérifier</x:v>
      </x:c>
      <x:c r="H15" s="14" t="str">
        <x:v>Espèce à tentacules utilisant une aide à la lévitation.</x:v>
      </x:c>
      <x:c r="I15" s="14" t="str">
        <x:v>Déplacement sans marche humanoïde.</x:v>
      </x:c>
      <x:c r="J15" s="14" t="str"/>
      <x:c r="K15" s="14" t="str">
        <x:v>content/lore/LOR-hanaris.json</x:v>
      </x:c>
      <x:c r="L15" s="14" t="str"/>
      <x:c r="M15" s="14" t="str"/>
      <x:c r="N15" s="14" t="str">
        <x:v>Nomenclature de couverture à vérifier dans le codex ME1 avant validation.</x:v>
      </x:c>
      <x:c r="O15" s="14" t="str">
        <x:v>https://www.ea.com/fr/games/mass-effect/mass-effect-legendary-edition</x:v>
      </x:c>
      <x:c r="P15" s="14" t="str">
        <x:v>Production ME1</x:v>
      </x:c>
      <x:c r="Q15" s="14" t="str"/>
    </x:row>
    <x:row r="16" ht="36" customHeight="1">
      <x:c r="A16" s="12" t="str">
        <x:v>LOR-veilleurs</x:v>
      </x:c>
      <x:c r="B16" s="7" t="str">
        <x:v>Veilleurs</x:v>
      </x:c>
      <x:c r="C16" s="10" t="str">
        <x:v>Défini</x:v>
      </x:c>
      <x:c r="D16" s="11" t="str">
        <x:v>À produire</x:v>
      </x:c>
      <x:c r="E16" s="9" t="str">
        <x:v>P1</x:v>
      </x:c>
      <x:c r="F16" s="9" t="str">
        <x:v>ME1</x:v>
      </x:c>
      <x:c r="G16" s="9" t="str">
        <x:v>Référence à vérifier</x:v>
      </x:c>
      <x:c r="H16" s="7" t="str">
        <x:v>Maintenance de la Citadelle.</x:v>
      </x:c>
      <x:c r="I16" s="7" t="str">
        <x:v>Présence ambiante, non combattante.</x:v>
      </x:c>
      <x:c r="J16" s="7" t="str"/>
      <x:c r="K16" s="7" t="str">
        <x:v>content/lore/LOR-veilleurs.json</x:v>
      </x:c>
      <x:c r="L16" s="7" t="str"/>
      <x:c r="M16" s="7" t="str"/>
      <x:c r="N16" s="7" t="str">
        <x:v>Nomenclature de couverture à vérifier dans le codex ME1 avant validation.</x:v>
      </x:c>
      <x:c r="O16" s="7" t="str">
        <x:v>https://www.ea.com/fr/games/mass-effect/mass-effect-legendary-edition</x:v>
      </x:c>
      <x:c r="P16" s="7" t="str">
        <x:v>Production ME1</x:v>
      </x:c>
      <x:c r="Q16" s="7" t="str"/>
    </x:row>
    <x:row r="17" ht="36" customHeight="1">
      <x:c r="A17" s="13" t="str">
        <x:v>LOR-butariens</x:v>
      </x:c>
      <x:c r="B17" s="14" t="str">
        <x:v>Butariens</x:v>
      </x:c>
      <x:c r="C17" s="10" t="str">
        <x:v>Défini</x:v>
      </x:c>
      <x:c r="D17" s="11" t="str">
        <x:v>À produire</x:v>
      </x:c>
      <x:c r="E17" s="15" t="str">
        <x:v>P1</x:v>
      </x:c>
      <x:c r="F17" s="15" t="str">
        <x:v>ME1</x:v>
      </x:c>
      <x:c r="G17" s="15" t="str">
        <x:v>Référence à vérifier</x:v>
      </x:c>
      <x:c r="H17" s="14" t="str">
        <x:v>Espèce à quatre yeux, présente notamment dans le DLC X57.</x:v>
      </x:c>
      <x:c r="I17" s="14" t="str">
        <x:v>Visages et équipement propres à l’époque.</x:v>
      </x:c>
      <x:c r="J17" s="14" t="str"/>
      <x:c r="K17" s="14" t="str">
        <x:v>content/lore/LOR-butariens.json</x:v>
      </x:c>
      <x:c r="L17" s="14" t="str"/>
      <x:c r="M17" s="14" t="str"/>
      <x:c r="N17" s="14" t="str">
        <x:v>Nomenclature de couverture à vérifier dans le codex ME1 avant validation.</x:v>
      </x:c>
      <x:c r="O17" s="14" t="str">
        <x:v>https://www.ea.com/fr/games/mass-effect/mass-effect-legendary-edition</x:v>
      </x:c>
      <x:c r="P17" s="14" t="str">
        <x:v>Production ME1</x:v>
      </x:c>
      <x:c r="Q17" s="14" t="str"/>
    </x:row>
    <x:row r="18" ht="36" customHeight="1">
      <x:c r="A18" s="12" t="str">
        <x:v>LOR-geth</x:v>
      </x:c>
      <x:c r="B18" s="7" t="str">
        <x:v>Geth</x:v>
      </x:c>
      <x:c r="C18" s="10" t="str">
        <x:v>Prototype</x:v>
      </x:c>
      <x:c r="D18" s="11" t="str">
        <x:v>Prototype</x:v>
      </x:c>
      <x:c r="E18" s="9" t="str">
        <x:v>P1</x:v>
      </x:c>
      <x:c r="F18" s="9" t="str">
        <x:v>ME1</x:v>
      </x:c>
      <x:c r="G18" s="9" t="str">
        <x:v>Référence à vérifier</x:v>
      </x:c>
      <x:c r="H18" s="7" t="str">
        <x:v>Intelligences synthétiques distribuées.</x:v>
      </x:c>
      <x:c r="I18" s="7" t="str">
        <x:v>Ne pas présenter tous les geth comme une personnalité unique.</x:v>
      </x:c>
      <x:c r="J18" s="7" t="str"/>
      <x:c r="K18" s="7" t="str">
        <x:v>content/lore/LOR-geth.json</x:v>
      </x:c>
      <x:c r="L18" s="7" t="str">
        <x:v>src/game-data.js</x:v>
      </x:c>
      <x:c r="M18" s="7" t="str">
        <x:v>CODEX.geth</x:v>
      </x:c>
      <x:c r="N18" s="7" t="str">
        <x:v>Nomenclature de couverture à vérifier dans le codex ME1 avant validation.</x:v>
      </x:c>
      <x:c r="O18" s="7" t="str">
        <x:v>https://www.ea.com/fr/games/mass-effect/mass-effect-legendary-edition</x:v>
      </x:c>
      <x:c r="P18" s="7" t="str">
        <x:v>Production ME1</x:v>
      </x:c>
      <x:c r="Q18" s="7" t="str">
        <x:v>Entrée de codex courte présente. Dossier encyclopédique et références détaillées à compléter.</x:v>
      </x:c>
    </x:row>
    <x:row r="19" ht="36" customHeight="1">
      <x:c r="A19" s="13" t="str">
        <x:v>LOR-rachni</x:v>
      </x:c>
      <x:c r="B19" s="14" t="str">
        <x:v>Rachni</x:v>
      </x:c>
      <x:c r="C19" s="10" t="str">
        <x:v>Défini</x:v>
      </x:c>
      <x:c r="D19" s="11" t="str">
        <x:v>À produire</x:v>
      </x:c>
      <x:c r="E19" s="15" t="str">
        <x:v>P1</x:v>
      </x:c>
      <x:c r="F19" s="15" t="str">
        <x:v>ME1</x:v>
      </x:c>
      <x:c r="G19" s="15" t="str">
        <x:v>Référence à vérifier</x:v>
      </x:c>
      <x:c r="H19" s="14" t="str">
        <x:v>Espèce insectoïde liée à Noveria.</x:v>
      </x:c>
      <x:c r="I19" s="14" t="str">
        <x:v>Travailleurs, soldats et reine clairement distincts.</x:v>
      </x:c>
      <x:c r="J19" s="14" t="str"/>
      <x:c r="K19" s="14" t="str">
        <x:v>content/lore/LOR-rachni.json</x:v>
      </x:c>
      <x:c r="L19" s="14" t="str"/>
      <x:c r="M19" s="14" t="str"/>
      <x:c r="N19" s="14" t="str">
        <x:v>Nomenclature de couverture à vérifier dans le codex ME1 avant validation.</x:v>
      </x:c>
      <x:c r="O19" s="14" t="str">
        <x:v>https://www.ea.com/fr/games/mass-effect/mass-effect-legendary-edition</x:v>
      </x:c>
      <x:c r="P19" s="14" t="str">
        <x:v>Production ME1</x:v>
      </x:c>
      <x:c r="Q19" s="14" t="str"/>
    </x:row>
    <x:row r="20" ht="36" customHeight="1">
      <x:c r="A20" s="12" t="str">
        <x:v>LOR-protheens</x:v>
      </x:c>
      <x:c r="B20" s="7" t="str">
        <x:v>Prothéens</x:v>
      </x:c>
      <x:c r="C20" s="10" t="str">
        <x:v>Défini</x:v>
      </x:c>
      <x:c r="D20" s="11" t="str">
        <x:v>À produire</x:v>
      </x:c>
      <x:c r="E20" s="9" t="str">
        <x:v>P1</x:v>
      </x:c>
      <x:c r="F20" s="9" t="str">
        <x:v>ME1</x:v>
      </x:c>
      <x:c r="G20" s="9" t="str">
        <x:v>Référence à vérifier</x:v>
      </x:c>
      <x:c r="H20" s="7" t="str">
        <x:v>Civilisation connue par les vestiges et révélations de ME1.</x:v>
      </x:c>
      <x:c r="I20" s="7" t="str">
        <x:v>Limiter les informations au savoir du chapitre.</x:v>
      </x:c>
      <x:c r="J20" s="7" t="str"/>
      <x:c r="K20" s="7" t="str">
        <x:v>content/lore/LOR-protheens.json</x:v>
      </x:c>
      <x:c r="L20" s="7" t="str"/>
      <x:c r="M20" s="7" t="str"/>
      <x:c r="N20" s="7" t="str">
        <x:v>Nomenclature de couverture à vérifier dans le codex ME1 avant validation.</x:v>
      </x:c>
      <x:c r="O20" s="7" t="str">
        <x:v>https://www.ea.com/fr/games/mass-effect/mass-effect-legendary-edition</x:v>
      </x:c>
      <x:c r="P20" s="7" t="str">
        <x:v>Production ME1</x:v>
      </x:c>
      <x:c r="Q20" s="7" t="str"/>
    </x:row>
    <x:row r="21" ht="36" customHeight="1">
      <x:c r="A21" s="13" t="str">
        <x:v>LOR-moissonneurs</x:v>
      </x:c>
      <x:c r="B21" s="14" t="str">
        <x:v>Moissonneurs</x:v>
      </x:c>
      <x:c r="C21" s="10" t="str">
        <x:v>Défini</x:v>
      </x:c>
      <x:c r="D21" s="11" t="str">
        <x:v>À produire</x:v>
      </x:c>
      <x:c r="E21" s="15" t="str">
        <x:v>P1</x:v>
      </x:c>
      <x:c r="F21" s="15" t="str">
        <x:v>ME1</x:v>
      </x:c>
      <x:c r="G21" s="15" t="str">
        <x:v>Référence à vérifier</x:v>
      </x:c>
      <x:c r="H21" s="14" t="str">
        <x:v>Menace révélée progressivement.</x:v>
      </x:c>
      <x:c r="I21" s="14" t="str">
        <x:v>Échelle et statut narratif conservés.</x:v>
      </x:c>
      <x:c r="J21" s="14" t="str"/>
      <x:c r="K21" s="14" t="str">
        <x:v>content/lore/LOR-moissonneurs.json</x:v>
      </x:c>
      <x:c r="L21" s="14" t="str"/>
      <x:c r="M21" s="14" t="str"/>
      <x:c r="N21" s="14" t="str">
        <x:v>Nomenclature de couverture à vérifier dans le codex ME1 avant validation.</x:v>
      </x:c>
      <x:c r="O21" s="14" t="str">
        <x:v>https://www.ea.com/fr/games/mass-effect/mass-effect-legendary-edition</x:v>
      </x:c>
      <x:c r="P21" s="14" t="str">
        <x:v>Production ME1</x:v>
      </x:c>
      <x:c r="Q21" s="14" t="str"/>
    </x:row>
    <x:row r="22" ht="36" customHeight="1">
      <x:c r="A22" s="12" t="str">
        <x:v>LOR-thorien</x:v>
      </x:c>
      <x:c r="B22" s="7" t="str">
        <x:v>Thorien</x:v>
      </x:c>
      <x:c r="C22" s="10" t="str">
        <x:v>Défini</x:v>
      </x:c>
      <x:c r="D22" s="11" t="str">
        <x:v>À produire</x:v>
      </x:c>
      <x:c r="E22" s="9" t="str">
        <x:v>P1</x:v>
      </x:c>
      <x:c r="F22" s="9" t="str">
        <x:v>ME1</x:v>
      </x:c>
      <x:c r="G22" s="9" t="str">
        <x:v>Référence à vérifier</x:v>
      </x:c>
      <x:c r="H22" s="7" t="str">
        <x:v>Entité liée à Feros.</x:v>
      </x:c>
      <x:c r="I22" s="7" t="str">
        <x:v>Présence et mécanismes biologiques vérifiés.</x:v>
      </x:c>
      <x:c r="J22" s="7" t="str"/>
      <x:c r="K22" s="7" t="str">
        <x:v>content/lore/LOR-thorien.json</x:v>
      </x:c>
      <x:c r="L22" s="7" t="str"/>
      <x:c r="M22" s="7" t="str"/>
      <x:c r="N22" s="7" t="str">
        <x:v>Nomenclature de couverture à vérifier dans le codex ME1 avant validation.</x:v>
      </x:c>
      <x:c r="O22" s="7" t="str">
        <x:v>https://www.ea.com/fr/games/mass-effect/mass-effect-legendary-edition</x:v>
      </x:c>
      <x:c r="P22" s="7" t="str">
        <x:v>Production ME1</x:v>
      </x:c>
      <x:c r="Q22" s="7" t="str"/>
    </x:row>
    <x:row r="23" ht="36" customHeight="1">
      <x:c r="A23" s="13" t="str">
        <x:v>LOR-varrens</x:v>
      </x:c>
      <x:c r="B23" s="14" t="str">
        <x:v>Varrens</x:v>
      </x:c>
      <x:c r="C23" s="10" t="str">
        <x:v>Défini</x:v>
      </x:c>
      <x:c r="D23" s="11" t="str">
        <x:v>À produire</x:v>
      </x:c>
      <x:c r="E23" s="15" t="str">
        <x:v>P1</x:v>
      </x:c>
      <x:c r="F23" s="15" t="str">
        <x:v>ME1</x:v>
      </x:c>
      <x:c r="G23" s="15" t="str">
        <x:v>Référence à vérifier</x:v>
      </x:c>
      <x:c r="H23" s="14" t="str">
        <x:v>Faune agressive rencontrée en exploration.</x:v>
      </x:c>
      <x:c r="I23" s="14" t="str">
        <x:v>Morphologie quadrupède et comportement de meute.</x:v>
      </x:c>
      <x:c r="J23" s="14" t="str"/>
      <x:c r="K23" s="14" t="str">
        <x:v>content/lore/LOR-varrens.json</x:v>
      </x:c>
      <x:c r="L23" s="14" t="str"/>
      <x:c r="M23" s="14" t="str"/>
      <x:c r="N23" s="14" t="str">
        <x:v>Nomenclature de couverture à vérifier dans le codex ME1 avant validation.</x:v>
      </x:c>
      <x:c r="O23" s="14" t="str">
        <x:v>https://www.ea.com/fr/games/mass-effect/mass-effect-legendary-edition</x:v>
      </x:c>
      <x:c r="P23" s="14" t="str">
        <x:v>Production ME1</x:v>
      </x:c>
      <x:c r="Q23" s="14" t="str"/>
    </x:row>
    <x:row r="24" ht="36" customHeight="1">
      <x:c r="A24" s="12" t="str">
        <x:v>LOR-devoreurs</x:v>
      </x:c>
      <x:c r="B24" s="7" t="str">
        <x:v>Dévoreurs</x:v>
      </x:c>
      <x:c r="C24" s="10" t="str">
        <x:v>Défini</x:v>
      </x:c>
      <x:c r="D24" s="11" t="str">
        <x:v>À produire</x:v>
      </x:c>
      <x:c r="E24" s="9" t="str">
        <x:v>P1</x:v>
      </x:c>
      <x:c r="F24" s="9" t="str">
        <x:v>ME1</x:v>
      </x:c>
      <x:c r="G24" s="9" t="str">
        <x:v>Référence à vérifier</x:v>
      </x:c>
      <x:c r="H24" s="7" t="str">
        <x:v>Prédateurs souterrains géants.</x:v>
      </x:c>
      <x:c r="I24" s="7" t="str">
        <x:v>Combat et danger conçus autour du Mako.</x:v>
      </x:c>
      <x:c r="J24" s="7" t="str"/>
      <x:c r="K24" s="7" t="str">
        <x:v>content/lore/LOR-devoreurs.json</x:v>
      </x:c>
      <x:c r="L24" s="7" t="str"/>
      <x:c r="M24" s="7" t="str"/>
      <x:c r="N24" s="7" t="str">
        <x:v>Nomenclature de couverture à vérifier dans le codex ME1 avant validation.</x:v>
      </x:c>
      <x:c r="O24" s="7" t="str">
        <x:v>https://www.ea.com/fr/games/mass-effect/mass-effect-legendary-edition</x:v>
      </x:c>
      <x:c r="P24" s="7" t="str">
        <x:v>Production ME1</x:v>
      </x:c>
      <x:c r="Q24" s="7" t="str"/>
    </x:row>
    <x:row r="25" ht="36" customHeight="1">
      <x:c r="A25" s="13" t="str">
        <x:v>LOR-alliance-interstellaire</x:v>
      </x:c>
      <x:c r="B25" s="14" t="str">
        <x:v>Alliance interstellaire</x:v>
      </x:c>
      <x:c r="C25" s="10" t="str">
        <x:v>Défini</x:v>
      </x:c>
      <x:c r="D25" s="11" t="str">
        <x:v>À produire</x:v>
      </x:c>
      <x:c r="E25" s="15" t="str">
        <x:v>P1</x:v>
      </x:c>
      <x:c r="F25" s="15" t="str">
        <x:v>ME1</x:v>
      </x:c>
      <x:c r="G25" s="15" t="str">
        <x:v>Référence à vérifier</x:v>
      </x:c>
      <x:c r="H25" s="14" t="str">
        <x:v>Organisation militaire et politique humaine.</x:v>
      </x:c>
      <x:c r="I25" s="14" t="str">
        <x:v>Rangs, insignes et matériels concordants.</x:v>
      </x:c>
      <x:c r="J25" s="14" t="str"/>
      <x:c r="K25" s="14" t="str">
        <x:v>content/lore/LOR-alliance-interstellaire.json</x:v>
      </x:c>
      <x:c r="L25" s="14" t="str"/>
      <x:c r="M25" s="14" t="str"/>
      <x:c r="N25" s="14" t="str">
        <x:v>Nomenclature de couverture à vérifier dans le codex ME1 avant validation.</x:v>
      </x:c>
      <x:c r="O25" s="14" t="str">
        <x:v>https://www.ea.com/fr/games/mass-effect/mass-effect-legendary-edition</x:v>
      </x:c>
      <x:c r="P25" s="14" t="str">
        <x:v>Production ME1</x:v>
      </x:c>
      <x:c r="Q25" s="14" t="str"/>
    </x:row>
    <x:row r="26" ht="36" customHeight="1">
      <x:c r="A26" s="12" t="str">
        <x:v>LOR-conseil-de-la-citadelle</x:v>
      </x:c>
      <x:c r="B26" s="7" t="str">
        <x:v>Conseil de la Citadelle</x:v>
      </x:c>
      <x:c r="C26" s="10" t="str">
        <x:v>Défini</x:v>
      </x:c>
      <x:c r="D26" s="11" t="str">
        <x:v>À produire</x:v>
      </x:c>
      <x:c r="E26" s="9" t="str">
        <x:v>P1</x:v>
      </x:c>
      <x:c r="F26" s="9" t="str">
        <x:v>ME1</x:v>
      </x:c>
      <x:c r="G26" s="9" t="str">
        <x:v>Référence à vérifier</x:v>
      </x:c>
      <x:c r="H26" s="7" t="str">
        <x:v>Autorité diplomatique.</x:v>
      </x:c>
      <x:c r="I26" s="7" t="str">
        <x:v>Composition liée à l’état narratif.</x:v>
      </x:c>
      <x:c r="J26" s="7" t="str"/>
      <x:c r="K26" s="7" t="str">
        <x:v>content/lore/LOR-conseil-de-la-citadelle.json</x:v>
      </x:c>
      <x:c r="L26" s="7" t="str"/>
      <x:c r="M26" s="7" t="str"/>
      <x:c r="N26" s="7" t="str">
        <x:v>Nomenclature de couverture à vérifier dans le codex ME1 avant validation.</x:v>
      </x:c>
      <x:c r="O26" s="7" t="str">
        <x:v>https://www.ea.com/fr/games/mass-effect/mass-effect-legendary-edition</x:v>
      </x:c>
      <x:c r="P26" s="7" t="str">
        <x:v>Production ME1</x:v>
      </x:c>
      <x:c r="Q26" s="7" t="str"/>
    </x:row>
    <x:row r="27" ht="36" customHeight="1">
      <x:c r="A27" s="13" t="str">
        <x:v>LOR-spectres</x:v>
      </x:c>
      <x:c r="B27" s="14" t="str">
        <x:v>Spectres</x:v>
      </x:c>
      <x:c r="C27" s="10" t="str">
        <x:v>Prototype</x:v>
      </x:c>
      <x:c r="D27" s="11" t="str">
        <x:v>Prototype</x:v>
      </x:c>
      <x:c r="E27" s="15" t="str">
        <x:v>P1</x:v>
      </x:c>
      <x:c r="F27" s="15" t="str">
        <x:v>ME1</x:v>
      </x:c>
      <x:c r="G27" s="15" t="str">
        <x:v>Référence à vérifier</x:v>
      </x:c>
      <x:c r="H27" s="14" t="str">
        <x:v>Agents dotés d’une grande autonomie.</x:v>
      </x:c>
      <x:c r="I27" s="14" t="str">
        <x:v>Statut débloqué lors de l’intronisation.</x:v>
      </x:c>
      <x:c r="J27" s="14" t="str"/>
      <x:c r="K27" s="14" t="str">
        <x:v>content/lore/LOR-spectres.json</x:v>
      </x:c>
      <x:c r="L27" s="14" t="str">
        <x:v>src/game-data.js</x:v>
      </x:c>
      <x:c r="M27" s="14" t="str">
        <x:v>CODEX.spectre</x:v>
      </x:c>
      <x:c r="N27" s="14" t="str">
        <x:v>Nomenclature de couverture à vérifier dans le codex ME1 avant validation.</x:v>
      </x:c>
      <x:c r="O27" s="14" t="str">
        <x:v>https://www.ea.com/fr/games/mass-effect/mass-effect-legendary-edition</x:v>
      </x:c>
      <x:c r="P27" s="14" t="str">
        <x:v>Production ME1</x:v>
      </x:c>
      <x:c r="Q27" s="14" t="str">
        <x:v>Entrée de codex courte présente. Dossier encyclopédique et références détaillées à compléter.</x:v>
      </x:c>
    </x:row>
    <x:row r="28" ht="36" customHeight="1">
      <x:c r="A28" s="12" t="str">
        <x:v>LOR-ssc</x:v>
      </x:c>
      <x:c r="B28" s="7" t="str">
        <x:v>SSC</x:v>
      </x:c>
      <x:c r="C28" s="10" t="str">
        <x:v>Défini</x:v>
      </x:c>
      <x:c r="D28" s="11" t="str">
        <x:v>À produire</x:v>
      </x:c>
      <x:c r="E28" s="9" t="str">
        <x:v>P1</x:v>
      </x:c>
      <x:c r="F28" s="9" t="str">
        <x:v>ME1</x:v>
      </x:c>
      <x:c r="G28" s="9" t="str">
        <x:v>Référence à vérifier</x:v>
      </x:c>
      <x:c r="H28" s="7" t="str">
        <x:v>Sécurité de la Citadelle.</x:v>
      </x:c>
      <x:c r="I28" s="7" t="str">
        <x:v>Uniformes et droits d’accès propres aux secteurs.</x:v>
      </x:c>
      <x:c r="J28" s="7" t="str"/>
      <x:c r="K28" s="7" t="str">
        <x:v>content/lore/LOR-ssc.json</x:v>
      </x:c>
      <x:c r="L28" s="7" t="str"/>
      <x:c r="M28" s="7" t="str"/>
      <x:c r="N28" s="7" t="str">
        <x:v>Nomenclature de couverture à vérifier dans le codex ME1 avant validation.</x:v>
      </x:c>
      <x:c r="O28" s="7" t="str">
        <x:v>https://www.ea.com/fr/games/mass-effect/mass-effect-legendary-edition</x:v>
      </x:c>
      <x:c r="P28" s="7" t="str">
        <x:v>Production ME1</x:v>
      </x:c>
      <x:c r="Q28" s="7" t="str"/>
    </x:row>
    <x:row r="29" ht="36" customHeight="1">
      <x:c r="A29" s="13" t="str">
        <x:v>LOR-stg</x:v>
      </x:c>
      <x:c r="B29" s="14" t="str">
        <x:v>STG</x:v>
      </x:c>
      <x:c r="C29" s="10" t="str">
        <x:v>Défini</x:v>
      </x:c>
      <x:c r="D29" s="11" t="str">
        <x:v>À produire</x:v>
      </x:c>
      <x:c r="E29" s="15" t="str">
        <x:v>P1</x:v>
      </x:c>
      <x:c r="F29" s="15" t="str">
        <x:v>ME1</x:v>
      </x:c>
      <x:c r="G29" s="15" t="str">
        <x:v>Référence à vérifier</x:v>
      </x:c>
      <x:c r="H29" s="14" t="str">
        <x:v>Groupes spéciaux galariens.</x:v>
      </x:c>
      <x:c r="I29" s="14" t="str">
        <x:v>Équipement et objectifs de l’opération Virmire.</x:v>
      </x:c>
      <x:c r="J29" s="14" t="str"/>
      <x:c r="K29" s="14" t="str">
        <x:v>content/lore/LOR-stg.json</x:v>
      </x:c>
      <x:c r="L29" s="14" t="str"/>
      <x:c r="M29" s="14" t="str"/>
      <x:c r="N29" s="14" t="str">
        <x:v>Nomenclature de couverture à vérifier dans le codex ME1 avant validation.</x:v>
      </x:c>
      <x:c r="O29" s="14" t="str">
        <x:v>https://www.ea.com/fr/games/mass-effect/mass-effect-legendary-edition</x:v>
      </x:c>
      <x:c r="P29" s="14" t="str">
        <x:v>Production ME1</x:v>
      </x:c>
      <x:c r="Q29" s="14" t="str"/>
    </x:row>
    <x:row r="30" ht="36" customHeight="1">
      <x:c r="A30" s="12" t="str">
        <x:v>LOR-cerberus-me1</x:v>
      </x:c>
      <x:c r="B30" s="7" t="str">
        <x:v>Cerberus ME1</x:v>
      </x:c>
      <x:c r="C30" s="10" t="str">
        <x:v>Défini</x:v>
      </x:c>
      <x:c r="D30" s="11" t="str">
        <x:v>À produire</x:v>
      </x:c>
      <x:c r="E30" s="9" t="str">
        <x:v>P1</x:v>
      </x:c>
      <x:c r="F30" s="9" t="str">
        <x:v>ME1</x:v>
      </x:c>
      <x:c r="G30" s="9" t="str">
        <x:v>Référence à vérifier</x:v>
      </x:c>
      <x:c r="H30" s="7" t="str">
        <x:v>Cellules clandestines rencontrées dans les missions annexes.</x:v>
      </x:c>
      <x:c r="I30" s="7" t="str">
        <x:v>Ne pas importer l’organisation alliée de ME2.</x:v>
      </x:c>
      <x:c r="J30" s="7" t="str"/>
      <x:c r="K30" s="7" t="str">
        <x:v>content/lore/LOR-cerberus-me1.json</x:v>
      </x:c>
      <x:c r="L30" s="7" t="str"/>
      <x:c r="M30" s="7" t="str"/>
      <x:c r="N30" s="7" t="str">
        <x:v>Nomenclature de couverture à vérifier dans le codex ME1 avant validation.</x:v>
      </x:c>
      <x:c r="O30" s="7" t="str">
        <x:v>https://www.ea.com/fr/games/mass-effect/mass-effect-legendary-edition</x:v>
      </x:c>
      <x:c r="P30" s="7" t="str">
        <x:v>Production ME1</x:v>
      </x:c>
      <x:c r="Q30" s="7" t="str"/>
    </x:row>
    <x:row r="31" ht="36" customHeight="1">
      <x:c r="A31" s="13" t="str">
        <x:v>LOR-exogeni</x:v>
      </x:c>
      <x:c r="B31" s="14" t="str">
        <x:v>ExoGeni</x:v>
      </x:c>
      <x:c r="C31" s="10" t="str">
        <x:v>Défini</x:v>
      </x:c>
      <x:c r="D31" s="11" t="str">
        <x:v>À produire</x:v>
      </x:c>
      <x:c r="E31" s="15" t="str">
        <x:v>P1</x:v>
      </x:c>
      <x:c r="F31" s="15" t="str">
        <x:v>ME1</x:v>
      </x:c>
      <x:c r="G31" s="15" t="str">
        <x:v>Référence à vérifier</x:v>
      </x:c>
      <x:c r="H31" s="14" t="str">
        <x:v>Entreprise liée à l’exploitation de Feros.</x:v>
      </x:c>
      <x:c r="I31" s="14" t="str">
        <x:v>Logo, terminaux et documents distincts.</x:v>
      </x:c>
      <x:c r="J31" s="14" t="str"/>
      <x:c r="K31" s="14" t="str">
        <x:v>content/lore/LOR-exogeni.json</x:v>
      </x:c>
      <x:c r="L31" s="14" t="str"/>
      <x:c r="M31" s="14" t="str"/>
      <x:c r="N31" s="14" t="str">
        <x:v>Nomenclature de couverture à vérifier dans le codex ME1 avant validation.</x:v>
      </x:c>
      <x:c r="O31" s="14" t="str">
        <x:v>https://www.ea.com/fr/games/mass-effect/mass-effect-legendary-edition</x:v>
      </x:c>
      <x:c r="P31" s="14" t="str">
        <x:v>Production ME1</x:v>
      </x:c>
      <x:c r="Q31" s="14" t="str"/>
    </x:row>
    <x:row r="32" ht="36" customHeight="1">
      <x:c r="A32" s="12" t="str">
        <x:v>LOR-binary-helix</x:v>
      </x:c>
      <x:c r="B32" s="7" t="str">
        <x:v>Binary Helix</x:v>
      </x:c>
      <x:c r="C32" s="10" t="str">
        <x:v>Défini</x:v>
      </x:c>
      <x:c r="D32" s="11" t="str">
        <x:v>À produire</x:v>
      </x:c>
      <x:c r="E32" s="9" t="str">
        <x:v>P1</x:v>
      </x:c>
      <x:c r="F32" s="9" t="str">
        <x:v>ME1</x:v>
      </x:c>
      <x:c r="G32" s="9" t="str">
        <x:v>Référence à vérifier</x:v>
      </x:c>
      <x:c r="H32" s="7" t="str">
        <x:v>Entreprise impliquée sur Noveria.</x:v>
      </x:c>
      <x:c r="I32" s="7" t="str">
        <x:v>Marquage des laboratoires rattaché au bon site.</x:v>
      </x:c>
      <x:c r="J32" s="7" t="str"/>
      <x:c r="K32" s="7" t="str">
        <x:v>content/lore/LOR-binary-helix.json</x:v>
      </x:c>
      <x:c r="L32" s="7" t="str"/>
      <x:c r="M32" s="7" t="str"/>
      <x:c r="N32" s="7" t="str">
        <x:v>Nomenclature de couverture à vérifier dans le codex ME1 avant validation.</x:v>
      </x:c>
      <x:c r="O32" s="7" t="str">
        <x:v>https://www.ea.com/fr/games/mass-effect/mass-effect-legendary-edition</x:v>
      </x:c>
      <x:c r="P32" s="7" t="str">
        <x:v>Production ME1</x:v>
      </x:c>
      <x:c r="Q32" s="7" t="str"/>
    </x:row>
    <x:row r="33" ht="36" customHeight="1">
      <x:c r="A33" s="13" t="str">
        <x:v>LOR-synthetic-insights</x:v>
      </x:c>
      <x:c r="B33" s="14" t="str">
        <x:v>Synthetic Insights</x:v>
      </x:c>
      <x:c r="C33" s="10" t="str">
        <x:v>Défini</x:v>
      </x:c>
      <x:c r="D33" s="11" t="str">
        <x:v>À produire</x:v>
      </x:c>
      <x:c r="E33" s="15" t="str">
        <x:v>P1</x:v>
      </x:c>
      <x:c r="F33" s="15" t="str">
        <x:v>ME1</x:v>
      </x:c>
      <x:c r="G33" s="15" t="str">
        <x:v>Référence à vérifier</x:v>
      </x:c>
      <x:c r="H33" s="14" t="str">
        <x:v>Entreprise de recherche sur Noveria.</x:v>
      </x:c>
      <x:c r="I33" s="14" t="str">
        <x:v>Architecture de bureaux et preuves correspondantes.</x:v>
      </x:c>
      <x:c r="J33" s="14" t="str"/>
      <x:c r="K33" s="14" t="str">
        <x:v>content/lore/LOR-synthetic-insights.json</x:v>
      </x:c>
      <x:c r="L33" s="14" t="str"/>
      <x:c r="M33" s="14" t="str"/>
      <x:c r="N33" s="14" t="str">
        <x:v>Nomenclature de couverture à vérifier dans le codex ME1 avant validation.</x:v>
      </x:c>
      <x:c r="O33" s="14" t="str">
        <x:v>https://www.ea.com/fr/games/mass-effect/mass-effect-legendary-edition</x:v>
      </x:c>
      <x:c r="P33" s="14" t="str">
        <x:v>Production ME1</x:v>
      </x:c>
      <x:c r="Q33" s="14" t="str"/>
    </x:row>
    <x:row r="34" ht="36" customHeight="1">
      <x:c r="A34" s="12" t="str">
        <x:v>LOR-courtier-de-l-ombre</x:v>
      </x:c>
      <x:c r="B34" s="7" t="str">
        <x:v>Courtier de l’Ombre</x:v>
      </x:c>
      <x:c r="C34" s="10" t="str">
        <x:v>Défini</x:v>
      </x:c>
      <x:c r="D34" s="11" t="str">
        <x:v>À produire</x:v>
      </x:c>
      <x:c r="E34" s="9" t="str">
        <x:v>P1</x:v>
      </x:c>
      <x:c r="F34" s="9" t="str">
        <x:v>ME1</x:v>
      </x:c>
      <x:c r="G34" s="9" t="str">
        <x:v>Référence à vérifier</x:v>
      </x:c>
      <x:c r="H34" s="7" t="str">
        <x:v>Réseau d’information dont l’identité reste cachée dans ME1.</x:v>
      </x:c>
      <x:c r="I34" s="7" t="str">
        <x:v>Aucune révélation de ME2 anticipée.</x:v>
      </x:c>
      <x:c r="J34" s="7" t="str"/>
      <x:c r="K34" s="7" t="str">
        <x:v>content/lore/LOR-courtier-de-l-ombre.json</x:v>
      </x:c>
      <x:c r="L34" s="7" t="str"/>
      <x:c r="M34" s="7" t="str"/>
      <x:c r="N34" s="7" t="str">
        <x:v>Nomenclature de couverture à vérifier dans le codex ME1 avant validation.</x:v>
      </x:c>
      <x:c r="O34" s="7" t="str">
        <x:v>https://www.ea.com/fr/games/mass-effect/mass-effect-legendary-edition</x:v>
      </x:c>
      <x:c r="P34" s="7" t="str">
        <x:v>Production ME1</x:v>
      </x:c>
      <x:c r="Q34" s="7" t="str"/>
    </x:row>
    <x:row r="35" ht="36" customHeight="1">
      <x:c r="A35" s="13" t="str">
        <x:v>LOR-flotte-nomade</x:v>
      </x:c>
      <x:c r="B35" s="14" t="str">
        <x:v>Flotte nomade</x:v>
      </x:c>
      <x:c r="C35" s="10" t="str">
        <x:v>Défini</x:v>
      </x:c>
      <x:c r="D35" s="11" t="str">
        <x:v>À produire</x:v>
      </x:c>
      <x:c r="E35" s="15" t="str">
        <x:v>P1</x:v>
      </x:c>
      <x:c r="F35" s="15" t="str">
        <x:v>ME1</x:v>
      </x:c>
      <x:c r="G35" s="15" t="str">
        <x:v>Référence à vérifier</x:v>
      </x:c>
      <x:c r="H35" s="14" t="str">
        <x:v>Communauté quarienne évoquée par Tali.</x:v>
      </x:c>
      <x:c r="I35" s="14" t="str">
        <x:v>Pas de visite inventée présentée comme mission ME1.</x:v>
      </x:c>
      <x:c r="J35" s="14" t="str"/>
      <x:c r="K35" s="14" t="str">
        <x:v>content/lore/LOR-flotte-nomade.json</x:v>
      </x:c>
      <x:c r="L35" s="14" t="str"/>
      <x:c r="M35" s="14" t="str"/>
      <x:c r="N35" s="14" t="str">
        <x:v>Nomenclature de couverture à vérifier dans le codex ME1 avant validation.</x:v>
      </x:c>
      <x:c r="O35" s="14" t="str">
        <x:v>https://www.ea.com/fr/games/mass-effect/mass-effect-legendary-edition</x:v>
      </x:c>
      <x:c r="P35" s="14" t="str">
        <x:v>Production ME1</x:v>
      </x:c>
      <x:c r="Q35" s="14" t="str"/>
    </x:row>
    <x:row r="36" ht="36" customHeight="1">
      <x:c r="A36" s="12" t="str">
        <x:v>LOR-hierarchie-turienne</x:v>
      </x:c>
      <x:c r="B36" s="7" t="str">
        <x:v>Hiérarchie turienne</x:v>
      </x:c>
      <x:c r="C36" s="10" t="str">
        <x:v>Défini</x:v>
      </x:c>
      <x:c r="D36" s="11" t="str">
        <x:v>À produire</x:v>
      </x:c>
      <x:c r="E36" s="9" t="str">
        <x:v>P1</x:v>
      </x:c>
      <x:c r="F36" s="9" t="str">
        <x:v>ME1</x:v>
      </x:c>
      <x:c r="G36" s="9" t="str">
        <x:v>Référence à vérifier</x:v>
      </x:c>
      <x:c r="H36" s="7" t="str">
        <x:v>Organisation militaire et politique turienne.</x:v>
      </x:c>
      <x:c r="I36" s="7" t="str">
        <x:v>Codex et dialogues de contexte vérifiés.</x:v>
      </x:c>
      <x:c r="J36" s="7" t="str"/>
      <x:c r="K36" s="7" t="str">
        <x:v>content/lore/LOR-hierarchie-turienne.json</x:v>
      </x:c>
      <x:c r="L36" s="7" t="str"/>
      <x:c r="M36" s="7" t="str"/>
      <x:c r="N36" s="7" t="str">
        <x:v>Nomenclature de couverture à vérifier dans le codex ME1 avant validation.</x:v>
      </x:c>
      <x:c r="O36" s="7" t="str">
        <x:v>https://www.ea.com/fr/games/mass-effect/mass-effect-legendary-edition</x:v>
      </x:c>
      <x:c r="P36" s="7" t="str">
        <x:v>Production ME1</x:v>
      </x:c>
      <x:c r="Q36" s="7" t="str"/>
    </x:row>
    <x:row r="37" ht="36" customHeight="1">
      <x:c r="A37" s="13" t="str">
        <x:v>LOR-clans-krogans</x:v>
      </x:c>
      <x:c r="B37" s="14" t="str">
        <x:v>Clans krogans</x:v>
      </x:c>
      <x:c r="C37" s="10" t="str">
        <x:v>Défini</x:v>
      </x:c>
      <x:c r="D37" s="11" t="str">
        <x:v>À produire</x:v>
      </x:c>
      <x:c r="E37" s="15" t="str">
        <x:v>P1</x:v>
      </x:c>
      <x:c r="F37" s="15" t="str">
        <x:v>ME1</x:v>
      </x:c>
      <x:c r="G37" s="15" t="str">
        <x:v>Référence à vérifier</x:v>
      </x:c>
      <x:c r="H37" s="14" t="str">
        <x:v>Structures claniques et tensions liées au génophage.</x:v>
      </x:c>
      <x:c r="I37" s="14" t="str">
        <x:v>Wrex n’est pas encore dans tous ses rôles futurs.</x:v>
      </x:c>
      <x:c r="J37" s="14" t="str"/>
      <x:c r="K37" s="14" t="str">
        <x:v>content/lore/LOR-clans-krogans.json</x:v>
      </x:c>
      <x:c r="L37" s="14" t="str"/>
      <x:c r="M37" s="14" t="str"/>
      <x:c r="N37" s="14" t="str">
        <x:v>Nomenclature de couverture à vérifier dans le codex ME1 avant validation.</x:v>
      </x:c>
      <x:c r="O37" s="14" t="str">
        <x:v>https://www.ea.com/fr/games/mass-effect/mass-effect-legendary-edition</x:v>
      </x:c>
      <x:c r="P37" s="14" t="str">
        <x:v>Production ME1</x:v>
      </x:c>
      <x:c r="Q37" s="14" t="str"/>
    </x:row>
    <x:row r="38" ht="36" customHeight="1">
      <x:c r="A38" s="12" t="str">
        <x:v>LOR-mercenaires-des-systemes-terminus</x:v>
      </x:c>
      <x:c r="B38" s="7" t="str">
        <x:v>Mercenaires des systèmes Terminus</x:v>
      </x:c>
      <x:c r="C38" s="10" t="str">
        <x:v>Défini</x:v>
      </x:c>
      <x:c r="D38" s="11" t="str">
        <x:v>À produire</x:v>
      </x:c>
      <x:c r="E38" s="9" t="str">
        <x:v>P1</x:v>
      </x:c>
      <x:c r="F38" s="9" t="str">
        <x:v>ME1</x:v>
      </x:c>
      <x:c r="G38" s="9" t="str">
        <x:v>Référence à vérifier</x:v>
      </x:c>
      <x:c r="H38" s="7" t="str">
        <x:v>Adversaires et contrats locaux.</x:v>
      </x:c>
      <x:c r="I38" s="7" t="str">
        <x:v>Éviter les trois grandes bandes de ME2 imposées à ME1.</x:v>
      </x:c>
      <x:c r="J38" s="7" t="str"/>
      <x:c r="K38" s="7" t="str">
        <x:v>content/lore/LOR-mercenaires-des-systemes-terminus.json</x:v>
      </x:c>
      <x:c r="L38" s="7" t="str"/>
      <x:c r="M38" s="7" t="str"/>
      <x:c r="N38" s="7" t="str">
        <x:v>Nomenclature de couverture à vérifier dans le codex ME1 avant validation.</x:v>
      </x:c>
      <x:c r="O38" s="7" t="str">
        <x:v>https://www.ea.com/fr/games/mass-effect/mass-effect-legendary-edition</x:v>
      </x:c>
      <x:c r="P38" s="7" t="str">
        <x:v>Production ME1</x:v>
      </x:c>
      <x:c r="Q38" s="7" t="str"/>
    </x:row>
    <x:row r="39" ht="36" customHeight="1">
      <x:c r="A39" s="13" t="str">
        <x:v>LOR-genophage</x:v>
      </x:c>
      <x:c r="B39" s="14" t="str">
        <x:v>Génophage</x:v>
      </x:c>
      <x:c r="C39" s="10" t="str">
        <x:v>Défini</x:v>
      </x:c>
      <x:c r="D39" s="11" t="str">
        <x:v>À produire</x:v>
      </x:c>
      <x:c r="E39" s="15" t="str">
        <x:v>P1</x:v>
      </x:c>
      <x:c r="F39" s="15" t="str">
        <x:v>ME1</x:v>
      </x:c>
      <x:c r="G39" s="15" t="str">
        <x:v>Référence à vérifier</x:v>
      </x:c>
      <x:c r="H39" s="14" t="str">
        <x:v>Sujet central de l’histoire krogane.</x:v>
      </x:c>
      <x:c r="I39" s="14" t="str">
        <x:v>Débat et conséquences sans solution importée de ME3.</x:v>
      </x:c>
      <x:c r="J39" s="14" t="str"/>
      <x:c r="K39" s="14" t="str">
        <x:v>content/lore/LOR-genophage.json</x:v>
      </x:c>
      <x:c r="L39" s="14" t="str"/>
      <x:c r="M39" s="14" t="str"/>
      <x:c r="N39" s="14" t="str">
        <x:v>Nomenclature de couverture à vérifier dans le codex ME1 avant validation.</x:v>
      </x:c>
      <x:c r="O39" s="14" t="str">
        <x:v>https://www.ea.com/fr/games/mass-effect/mass-effect-legendary-edition</x:v>
      </x:c>
      <x:c r="P39" s="14" t="str">
        <x:v>Production ME1</x:v>
      </x:c>
      <x:c r="Q39" s="14" t="str"/>
    </x:row>
    <x:row r="40" ht="36" customHeight="1">
      <x:c r="A40" s="12" t="str">
        <x:v>LOR-indoctrinement</x:v>
      </x:c>
      <x:c r="B40" s="7" t="str">
        <x:v>Indoctrinement</x:v>
      </x:c>
      <x:c r="C40" s="10" t="str">
        <x:v>Défini</x:v>
      </x:c>
      <x:c r="D40" s="11" t="str">
        <x:v>À produire</x:v>
      </x:c>
      <x:c r="E40" s="9" t="str">
        <x:v>P1</x:v>
      </x:c>
      <x:c r="F40" s="9" t="str">
        <x:v>ME1</x:v>
      </x:c>
      <x:c r="G40" s="9" t="str">
        <x:v>Référence à vérifier</x:v>
      </x:c>
      <x:c r="H40" s="7" t="str">
        <x:v>Influence liée aux Moissonneurs.</x:v>
      </x:c>
      <x:c r="I40" s="7" t="str">
        <x:v>Indices progressifs et absence de jauge révélant trop tôt le mystère.</x:v>
      </x:c>
      <x:c r="J40" s="7" t="str"/>
      <x:c r="K40" s="7" t="str">
        <x:v>content/lore/LOR-indoctrinement.json</x:v>
      </x:c>
      <x:c r="L40" s="7" t="str"/>
      <x:c r="M40" s="7" t="str"/>
      <x:c r="N40" s="7" t="str">
        <x:v>Nomenclature de couverture à vérifier dans le codex ME1 avant validation.</x:v>
      </x:c>
      <x:c r="O40" s="7" t="str">
        <x:v>https://www.ea.com/fr/games/mass-effect/mass-effect-legendary-edition</x:v>
      </x:c>
      <x:c r="P40" s="7" t="str">
        <x:v>Production ME1</x:v>
      </x:c>
      <x:c r="Q40" s="7" t="str"/>
    </x:row>
    <x:row r="41" ht="36" customHeight="1">
      <x:c r="A41" s="13" t="str">
        <x:v>LOR-relais-cosmodesiques</x:v>
      </x:c>
      <x:c r="B41" s="14" t="str">
        <x:v>Relais cosmodésiques</x:v>
      </x:c>
      <x:c r="C41" s="10" t="str">
        <x:v>Prototype</x:v>
      </x:c>
      <x:c r="D41" s="11" t="str">
        <x:v>Prototype</x:v>
      </x:c>
      <x:c r="E41" s="15" t="str">
        <x:v>P1</x:v>
      </x:c>
      <x:c r="F41" s="15" t="str">
        <x:v>ME1</x:v>
      </x:c>
      <x:c r="G41" s="15" t="str">
        <x:v>Référence à vérifier</x:v>
      </x:c>
      <x:c r="H41" s="14" t="str">
        <x:v>Réseau de déplacement galactique.</x:v>
      </x:c>
      <x:c r="I41" s="14" t="str">
        <x:v>Carte et accès distinguent amas, systèmes et planètes.</x:v>
      </x:c>
      <x:c r="J41" s="14" t="str"/>
      <x:c r="K41" s="14" t="str">
        <x:v>content/lore/LOR-relais-cosmodesiques.json</x:v>
      </x:c>
      <x:c r="L41" s="14" t="str">
        <x:v>src/game-data.js</x:v>
      </x:c>
      <x:c r="M41" s="14" t="str">
        <x:v>CODEX.relay</x:v>
      </x:c>
      <x:c r="N41" s="14" t="str">
        <x:v>Nomenclature de couverture à vérifier dans le codex ME1 avant validation.</x:v>
      </x:c>
      <x:c r="O41" s="14" t="str">
        <x:v>https://www.ea.com/fr/games/mass-effect/mass-effect-legendary-edition</x:v>
      </x:c>
      <x:c r="P41" s="14" t="str">
        <x:v>Production ME1</x:v>
      </x:c>
      <x:c r="Q41" s="14" t="str">
        <x:v>Entrée de codex courte présente. Dossier encyclopédique et références détaillées à compléter.</x:v>
      </x:c>
    </x:row>
    <x:row r="42" ht="36" customHeight="1">
      <x:c r="A42" s="12" t="str">
        <x:v>LOR-element-zero</x:v>
      </x:c>
      <x:c r="B42" s="7" t="str">
        <x:v>Élément zéro</x:v>
      </x:c>
      <x:c r="C42" s="10" t="str">
        <x:v>Défini</x:v>
      </x:c>
      <x:c r="D42" s="11" t="str">
        <x:v>À produire</x:v>
      </x:c>
      <x:c r="E42" s="9" t="str">
        <x:v>P1</x:v>
      </x:c>
      <x:c r="F42" s="9" t="str">
        <x:v>ME1</x:v>
      </x:c>
      <x:c r="G42" s="9" t="str">
        <x:v>Référence à vérifier</x:v>
      </x:c>
      <x:c r="H42" s="7" t="str">
        <x:v>Fondement des effets de masse.</x:v>
      </x:c>
      <x:c r="I42" s="7" t="str">
        <x:v>Descriptions et technologies vérifiées dans le codex.</x:v>
      </x:c>
      <x:c r="J42" s="7" t="str"/>
      <x:c r="K42" s="7" t="str">
        <x:v>content/lore/LOR-element-zero.json</x:v>
      </x:c>
      <x:c r="L42" s="7" t="str"/>
      <x:c r="M42" s="7" t="str"/>
      <x:c r="N42" s="7" t="str">
        <x:v>Nomenclature de couverture à vérifier dans le codex ME1 avant validation.</x:v>
      </x:c>
      <x:c r="O42" s="7" t="str">
        <x:v>https://www.ea.com/fr/games/mass-effect/mass-effect-legendary-edition</x:v>
      </x:c>
      <x:c r="P42" s="7" t="str">
        <x:v>Production ME1</x:v>
      </x:c>
      <x:c r="Q42" s="7" t="str"/>
    </x:row>
  </x:sheetData>
  <x:conditionalFormatting sqref="C7:C42">
    <x:cfRule type="cellIs" dxfId="270" priority="1" operator="equal">
      <x:formula>"Prototype"</x:formula>
    </x:cfRule>
    <x:cfRule type="cellIs" dxfId="271" priority="2" operator="equal">
      <x:formula>"Intégré"</x:formula>
    </x:cfRule>
    <x:cfRule type="cellIs" dxfId="272" priority="3" operator="equal">
      <x:formula>"Validé"</x:formula>
    </x:cfRule>
  </x:conditionalFormatting>
  <x:conditionalFormatting sqref="G7:G42">
    <x:cfRule type="cellIs" dxfId="273" priority="4" operator="equal">
      <x:formula>"Référence à vérifier"</x:formula>
    </x:cfRule>
  </x:conditionalFormatting>
  <x:conditionalFormatting sqref="E7:E42">
    <x:cfRule type="cellIs" dxfId="274" priority="5" operator="equal">
      <x:formula>"P0"</x:formula>
    </x:cfRule>
  </x:conditionalFormatting>
  <x:dataValidations count="5">
    <x:dataValidation type="list" sqref="C7:C42">
      <x:formula1>"Défini,Prototype,Intégré,Validé"</x:formula1>
    </x:dataValidation>
    <x:dataValidation type="list" sqref="D7:D42">
      <x:formula1>"À produire,Prototype,Disponible,Validé,Sans objet,Non planifié"</x:formula1>
    </x:dataValidation>
    <x:dataValidation type="list" sqref="E7:E42">
      <x:formula1>"P0,P1,P2"</x:formula1>
    </x:dataValidation>
    <x:dataValidation type="list" sqref="F7:F42">
      <x:formula1>"ME1,ME2,ME3,TRANSVERSE"</x:formula1>
    </x:dataValidation>
    <x:dataValidation type="list" sqref="G7:G42">
      <x:formula1>"Confirmé,Référence à vérifier,Adaptation"</x:formula1>
    </x:dataValidation>
  </x:dataValidations>
  <x:pageMargins left="0.7" right="0.7" top="0.75" bottom="0.75" header="0.3" footer="0.3"/>
  <x:tableParts count="1">
    <x:tablePart xmlns:r="http://schemas.openxmlformats.org/officeDocument/2006/relationships" r:id="Rc41389860816455f"/>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Mondes</x:v>
      </x:c>
      <x:c r="B2" s="2"/>
      <x:c r="C2" s="2"/>
      <x:c r="D2" s="2"/>
      <x:c r="E2" s="2"/>
      <x:c r="F2" s="2"/>
      <x:c r="G2" s="2"/>
      <x:c r="H2" s="2"/>
      <x:c r="I2" s="2"/>
      <x:c r="J2" s="2"/>
      <x:c r="K2" s="2"/>
      <x:c r="L2" s="2"/>
      <x:c r="M2" s="2"/>
      <x:c r="N2" s="2"/>
      <x:c r="O2" s="2"/>
      <x:c r="P2" s="2"/>
      <x:c r="Q2" s="2"/>
    </x:row>
    <x:row r="3" ht="22" customHeight="1">
      <x:c r="A3" s="4" t="str">
        <x:v>Destinations et identité environnementale</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88" customHeight="1">
      <x:c r="A7" s="13" t="str">
        <x:v>WRL-normandy-sr-1</x:v>
      </x:c>
      <x:c r="B7" s="14" t="str">
        <x:v>Normandy SR-1</x:v>
      </x:c>
      <x:c r="C7" s="10" t="str">
        <x:v>Prototype</x:v>
      </x:c>
      <x:c r="D7" s="11" t="str">
        <x:v>Prototype</x:v>
      </x:c>
      <x:c r="E7" s="15" t="str">
        <x:v>P1</x:v>
      </x:c>
      <x:c r="F7" s="15" t="str">
        <x:v>ME1</x:v>
      </x:c>
      <x:c r="G7" s="15" t="str">
        <x:v>Référence à vérifier</x:v>
      </x:c>
      <x:c r="H7" s="14" t="str">
        <x:v>Base mobile du premier épisode.</x:v>
      </x:c>
      <x:c r="I7" s="14" t="str">
        <x:v>Plan SR-1 et ponts cohérents ; aucune cabine du SR-2.</x:v>
      </x:c>
      <x:c r="J7" s="14" t="str"/>
      <x:c r="K7" s="14" t="str">
        <x:v>content/worlds/WRL-normandy-sr-1.json</x:v>
      </x:c>
      <x:c r="L7" s="14" t="str">
        <x:v>src/world-data.js</x:v>
      </x:c>
      <x:c r="M7" s="14" t="str">
        <x:v>normandy</x:v>
      </x:c>
      <x:c r="N7" s="14" t="str">
        <x:v>Planète et mission de référence à relever dans ME1 ; données de couverture non validées.</x:v>
      </x:c>
      <x:c r="O7" s="14" t="str">
        <x:v>https://na.llnet.bioware.cdn.ea.com/u/f/eagames/bioware/masseffect/prima/prima_guide_me_pc.pdf</x:v>
      </x:c>
      <x:c r="P7" s="14" t="str">
        <x:v>Production ME1</x:v>
      </x:c>
      <x:c r="Q7" s="14" t="str">
        <x:v>Décor 3D original et condensé dans src/world.js. Les sous-zones du plan de couverture restent à construire et les proportions canoniques à relever. Coque illustrée dans public/assets/vehicle-atlas.png, quadrant supérieur gauche ; l’intérieur condensé est prouvé par src/world-data.js. Aucun pilotage du vaisseau.</x:v>
      </x:c>
    </x:row>
    <x:row r="8" ht="49" customHeight="1">
      <x:c r="A8" s="12" t="str">
        <x:v>WRL-eden-prime</x:v>
      </x:c>
      <x:c r="B8" s="7" t="str">
        <x:v>Eden Prime</x:v>
      </x:c>
      <x:c r="C8" s="10" t="str">
        <x:v>Prototype</x:v>
      </x:c>
      <x:c r="D8" s="11" t="str">
        <x:v>Prototype</x:v>
      </x:c>
      <x:c r="E8" s="9" t="str">
        <x:v>P1</x:v>
      </x:c>
      <x:c r="F8" s="9" t="str">
        <x:v>ME1</x:v>
      </x:c>
      <x:c r="G8" s="9" t="str">
        <x:v>Référence à vérifier</x:v>
      </x:c>
      <x:c r="H8" s="7" t="str">
        <x:v>Colonie verte frappée par l’attaque geth.</x:v>
      </x:c>
      <x:c r="I8" s="7" t="str">
        <x:v>Végétation, fermes et ciel de bataille selon la référence choisie.</x:v>
      </x:c>
      <x:c r="J8" s="7" t="str"/>
      <x:c r="K8" s="7" t="str">
        <x:v>content/worlds/WRL-eden-prime.json</x:v>
      </x:c>
      <x:c r="L8" s="7" t="str">
        <x:v>src/world-data.js</x:v>
      </x:c>
      <x:c r="M8" s="7" t="str">
        <x:v>eden-prime</x:v>
      </x:c>
      <x:c r="N8" s="7" t="str">
        <x:v>Planète et mission de référence à relever dans ME1 ; données de couverture non validées.</x:v>
      </x:c>
      <x:c r="O8" s="7" t="str">
        <x:v>https://na.llnet.bioware.cdn.ea.com/u/f/eagames/bioware/masseffect/prima/prima_guide_me_pc.pdf</x:v>
      </x:c>
      <x:c r="P8" s="7" t="str">
        <x:v>Production ME1</x:v>
      </x:c>
      <x:c r="Q8" s="7" t="str">
        <x:v>Décor 3D original et condensé dans src/world.js. Les sous-zones du plan de couverture restent à construire et les proportions canoniques à relever.</x:v>
      </x:c>
    </x:row>
    <x:row r="9" ht="49" customHeight="1">
      <x:c r="A9" s="13" t="str">
        <x:v>WRL-citadelle</x:v>
      </x:c>
      <x:c r="B9" s="14" t="str">
        <x:v>Citadelle</x:v>
      </x:c>
      <x:c r="C9" s="10" t="str">
        <x:v>Prototype</x:v>
      </x:c>
      <x:c r="D9" s="11" t="str">
        <x:v>Prototype</x:v>
      </x:c>
      <x:c r="E9" s="15" t="str">
        <x:v>P1</x:v>
      </x:c>
      <x:c r="F9" s="15" t="str">
        <x:v>ME1</x:v>
      </x:c>
      <x:c r="G9" s="15" t="str">
        <x:v>Référence à vérifier</x:v>
      </x:c>
      <x:c r="H9" s="14" t="str">
        <x:v>Station avec Présidium, Secteurs et tour du Conseil.</x:v>
      </x:c>
      <x:c r="I9" s="14" t="str">
        <x:v>Échelle monumentale et axes spatiaux reconnaissables.</x:v>
      </x:c>
      <x:c r="J9" s="14" t="str"/>
      <x:c r="K9" s="14" t="str">
        <x:v>content/worlds/WRL-citadelle.json</x:v>
      </x:c>
      <x:c r="L9" s="14" t="str">
        <x:v>src/world-data.js</x:v>
      </x:c>
      <x:c r="M9" s="14" t="str">
        <x:v>citadel, citadel-finale</x:v>
      </x:c>
      <x:c r="N9" s="14" t="str">
        <x:v>Planète et mission de référence à relever dans ME1 ; données de couverture non validées.</x:v>
      </x:c>
      <x:c r="O9" s="14" t="str">
        <x:v>https://na.llnet.bioware.cdn.ea.com/u/f/eagames/bioware/masseffect/prima/prima_guide_me_pc.pdf</x:v>
      </x:c>
      <x:c r="P9" s="14" t="str">
        <x:v>Production ME1</x:v>
      </x:c>
      <x:c r="Q9" s="14" t="str">
        <x:v>Décor 3D original et condensé dans src/world.js. Les sous-zones du plan de couverture restent à construire et les proportions canoniques à relever.</x:v>
      </x:c>
    </x:row>
    <x:row r="10" ht="49" customHeight="1">
      <x:c r="A10" s="12" t="str">
        <x:v>WRL-therum</x:v>
      </x:c>
      <x:c r="B10" s="7" t="str">
        <x:v>Therum</x:v>
      </x:c>
      <x:c r="C10" s="10" t="str">
        <x:v>Prototype</x:v>
      </x:c>
      <x:c r="D10" s="11" t="str">
        <x:v>Prototype</x:v>
      </x:c>
      <x:c r="E10" s="9" t="str">
        <x:v>P1</x:v>
      </x:c>
      <x:c r="F10" s="9" t="str">
        <x:v>ME1</x:v>
      </x:c>
      <x:c r="G10" s="9" t="str">
        <x:v>Référence à vérifier</x:v>
      </x:c>
      <x:c r="H10" s="7" t="str">
        <x:v>Site volcanique d’excavation prothéenne.</x:v>
      </x:c>
      <x:c r="I10" s="7" t="str">
        <x:v>Lave, mines et accès à Liara reliés logiquement.</x:v>
      </x:c>
      <x:c r="J10" s="7" t="str"/>
      <x:c r="K10" s="7" t="str">
        <x:v>content/worlds/WRL-therum.json</x:v>
      </x:c>
      <x:c r="L10" s="7" t="str">
        <x:v>src/world-data.js</x:v>
      </x:c>
      <x:c r="M10" s="7" t="str">
        <x:v>therum</x:v>
      </x:c>
      <x:c r="N10" s="7" t="str">
        <x:v>Planète et mission de référence à relever dans ME1 ; données de couverture non validées.</x:v>
      </x:c>
      <x:c r="O10" s="7" t="str">
        <x:v>https://na.llnet.bioware.cdn.ea.com/u/f/eagames/bioware/masseffect/prima/prima_guide_me_pc.pdf</x:v>
      </x:c>
      <x:c r="P10" s="7" t="str">
        <x:v>Production ME1</x:v>
      </x:c>
      <x:c r="Q10" s="7" t="str">
        <x:v>Décor 3D original et condensé dans src/world.js. Les sous-zones du plan de couverture restent à construire et les proportions canoniques à relever.</x:v>
      </x:c>
    </x:row>
    <x:row r="11" ht="49" customHeight="1">
      <x:c r="A11" s="13" t="str">
        <x:v>WRL-feros</x:v>
      </x:c>
      <x:c r="B11" s="14" t="str">
        <x:v>Feros</x:v>
      </x:c>
      <x:c r="C11" s="10" t="str">
        <x:v>Prototype</x:v>
      </x:c>
      <x:c r="D11" s="11" t="str">
        <x:v>Prototype</x:v>
      </x:c>
      <x:c r="E11" s="15" t="str">
        <x:v>P1</x:v>
      </x:c>
      <x:c r="F11" s="15" t="str">
        <x:v>ME1</x:v>
      </x:c>
      <x:c r="G11" s="15" t="str">
        <x:v>Référence à vérifier</x:v>
      </x:c>
      <x:c r="H11" s="14" t="str">
        <x:v>Colonie de Zhu’s Hope dans des ruines anciennes.</x:v>
      </x:c>
      <x:c r="I11" s="14" t="str">
        <x:v>Verticalité et installations ExoGeni conservées.</x:v>
      </x:c>
      <x:c r="J11" s="14" t="str"/>
      <x:c r="K11" s="14" t="str">
        <x:v>content/worlds/WRL-feros.json</x:v>
      </x:c>
      <x:c r="L11" s="14" t="str">
        <x:v>src/world-data.js</x:v>
      </x:c>
      <x:c r="M11" s="14" t="str">
        <x:v>feros</x:v>
      </x:c>
      <x:c r="N11" s="14" t="str">
        <x:v>Planète et mission de référence à relever dans ME1 ; données de couverture non validées.</x:v>
      </x:c>
      <x:c r="O11" s="14" t="str">
        <x:v>https://na.llnet.bioware.cdn.ea.com/u/f/eagames/bioware/masseffect/prima/prima_guide_me_pc.pdf</x:v>
      </x:c>
      <x:c r="P11" s="14" t="str">
        <x:v>Production ME1</x:v>
      </x:c>
      <x:c r="Q11" s="14" t="str">
        <x:v>Décor 3D original et condensé dans src/world.js. Les sous-zones du plan de couverture restent à construire et les proportions canoniques à relever.</x:v>
      </x:c>
    </x:row>
    <x:row r="12" ht="49" customHeight="1">
      <x:c r="A12" s="12" t="str">
        <x:v>WRL-noveria</x:v>
      </x:c>
      <x:c r="B12" s="7" t="str">
        <x:v>Noveria</x:v>
      </x:c>
      <x:c r="C12" s="10" t="str">
        <x:v>Prototype</x:v>
      </x:c>
      <x:c r="D12" s="11" t="str">
        <x:v>Prototype</x:v>
      </x:c>
      <x:c r="E12" s="9" t="str">
        <x:v>P1</x:v>
      </x:c>
      <x:c r="F12" s="9" t="str">
        <x:v>ME1</x:v>
      </x:c>
      <x:c r="G12" s="9" t="str">
        <x:v>Référence à vérifier</x:v>
      </x:c>
      <x:c r="H12" s="7" t="str">
        <x:v>Monde glacial et installations de recherche.</x:v>
      </x:c>
      <x:c r="I12" s="7" t="str">
        <x:v>Port Hanshan, route et Peak 15 distingués.</x:v>
      </x:c>
      <x:c r="J12" s="7" t="str"/>
      <x:c r="K12" s="7" t="str">
        <x:v>content/worlds/WRL-noveria.json</x:v>
      </x:c>
      <x:c r="L12" s="7" t="str">
        <x:v>src/world-data.js</x:v>
      </x:c>
      <x:c r="M12" s="7" t="str">
        <x:v>noveria</x:v>
      </x:c>
      <x:c r="N12" s="7" t="str">
        <x:v>Planète et mission de référence à relever dans ME1 ; données de couverture non validées.</x:v>
      </x:c>
      <x:c r="O12" s="7" t="str">
        <x:v>https://na.llnet.bioware.cdn.ea.com/u/f/eagames/bioware/masseffect/prima/prima_guide_me_pc.pdf</x:v>
      </x:c>
      <x:c r="P12" s="7" t="str">
        <x:v>Production ME1</x:v>
      </x:c>
      <x:c r="Q12" s="7" t="str">
        <x:v>Décor 3D original et condensé dans src/world.js. Les sous-zones du plan de couverture restent à construire et les proportions canoniques à relever.</x:v>
      </x:c>
    </x:row>
    <x:row r="13" ht="49" customHeight="1">
      <x:c r="A13" s="13" t="str">
        <x:v>WRL-virmire</x:v>
      </x:c>
      <x:c r="B13" s="14" t="str">
        <x:v>Virmire</x:v>
      </x:c>
      <x:c r="C13" s="10" t="str">
        <x:v>Prototype</x:v>
      </x:c>
      <x:c r="D13" s="11" t="str">
        <x:v>Prototype</x:v>
      </x:c>
      <x:c r="E13" s="15" t="str">
        <x:v>P1</x:v>
      </x:c>
      <x:c r="F13" s="15" t="str">
        <x:v>ME1</x:v>
      </x:c>
      <x:c r="G13" s="15" t="str">
        <x:v>Référence à vérifier</x:v>
      </x:c>
      <x:c r="H13" s="14" t="str">
        <x:v>Littoral tropical et base de Saren.</x:v>
      </x:c>
      <x:c r="I13" s="14" t="str">
        <x:v>Progression depuis le camp STG jusqu’au site d’extraction.</x:v>
      </x:c>
      <x:c r="J13" s="14" t="str"/>
      <x:c r="K13" s="14" t="str">
        <x:v>content/worlds/WRL-virmire.json</x:v>
      </x:c>
      <x:c r="L13" s="14" t="str">
        <x:v>src/world-data.js</x:v>
      </x:c>
      <x:c r="M13" s="14" t="str">
        <x:v>virmire</x:v>
      </x:c>
      <x:c r="N13" s="14" t="str">
        <x:v>Planète et mission de référence à relever dans ME1 ; données de couverture non validées.</x:v>
      </x:c>
      <x:c r="O13" s="14" t="str">
        <x:v>https://na.llnet.bioware.cdn.ea.com/u/f/eagames/bioware/masseffect/prima/prima_guide_me_pc.pdf</x:v>
      </x:c>
      <x:c r="P13" s="14" t="str">
        <x:v>Production ME1</x:v>
      </x:c>
      <x:c r="Q13" s="14" t="str">
        <x:v>Décor 3D original et condensé dans src/world.js. Les sous-zones du plan de couverture restent à construire et les proportions canoniques à relever.</x:v>
      </x:c>
    </x:row>
    <x:row r="14" ht="49" customHeight="1">
      <x:c r="A14" s="12" t="str">
        <x:v>WRL-ilos</x:v>
      </x:c>
      <x:c r="B14" s="7" t="str">
        <x:v>Ilos</x:v>
      </x:c>
      <x:c r="C14" s="10" t="str">
        <x:v>Prototype</x:v>
      </x:c>
      <x:c r="D14" s="11" t="str">
        <x:v>Prototype</x:v>
      </x:c>
      <x:c r="E14" s="9" t="str">
        <x:v>P1</x:v>
      </x:c>
      <x:c r="F14" s="9" t="str">
        <x:v>ME1</x:v>
      </x:c>
      <x:c r="G14" s="9" t="str">
        <x:v>Référence à vérifier</x:v>
      </x:c>
      <x:c r="H14" s="7" t="str">
        <x:v>Vestiges prothéens envahis par la végétation.</x:v>
      </x:c>
      <x:c r="I14" s="7" t="str">
        <x:v>Révélations et parcours final au Mako préservés.</x:v>
      </x:c>
      <x:c r="J14" s="7" t="str"/>
      <x:c r="K14" s="7" t="str">
        <x:v>content/worlds/WRL-ilos.json</x:v>
      </x:c>
      <x:c r="L14" s="7" t="str">
        <x:v>src/world-data.js</x:v>
      </x:c>
      <x:c r="M14" s="7" t="str">
        <x:v>ilos</x:v>
      </x:c>
      <x:c r="N14" s="7" t="str">
        <x:v>Planète et mission de référence à relever dans ME1 ; données de couverture non validées.</x:v>
      </x:c>
      <x:c r="O14" s="7" t="str">
        <x:v>https://na.llnet.bioware.cdn.ea.com/u/f/eagames/bioware/masseffect/prima/prima_guide_me_pc.pdf</x:v>
      </x:c>
      <x:c r="P14" s="7" t="str">
        <x:v>Production ME1</x:v>
      </x:c>
      <x:c r="Q14" s="7" t="str">
        <x:v>Décor 3D original et condensé dans src/world.js. Les sous-zones du plan de couverture restent à construire et les proportions canoniques à relever.</x:v>
      </x:c>
    </x:row>
    <x:row r="15" ht="36" customHeight="1">
      <x:c r="A15" s="13" t="str">
        <x:v>WRL-asteroide-x57</x:v>
      </x:c>
      <x:c r="B15" s="14" t="str">
        <x:v>Astéroïde X57</x:v>
      </x:c>
      <x:c r="C15" s="10" t="str">
        <x:v>Défini</x:v>
      </x:c>
      <x:c r="D15" s="11" t="str">
        <x:v>À produire</x:v>
      </x:c>
      <x:c r="E15" s="15" t="str">
        <x:v>P1</x:v>
      </x:c>
      <x:c r="F15" s="15" t="str">
        <x:v>ME1</x:v>
      </x:c>
      <x:c r="G15" s="15" t="str">
        <x:v>Référence à vérifier</x:v>
      </x:c>
      <x:c r="H15" s="14" t="str">
        <x:v>Site du DLC Bring Down the Sky.</x:v>
      </x:c>
      <x:c r="I15" s="14" t="str">
        <x:v>Propulseurs et menace orbitale lisibles.</x:v>
      </x:c>
      <x:c r="J15" s="14" t="str"/>
      <x:c r="K15" s="14" t="str">
        <x:v>content/worlds/WRL-asteroide-x57.json</x:v>
      </x:c>
      <x:c r="L15" s="14" t="str"/>
      <x:c r="M15" s="14" t="str"/>
      <x:c r="N15" s="14" t="str">
        <x:v>Planète et mission de référence à relever dans ME1 ; données de couverture non validées.</x:v>
      </x:c>
      <x:c r="O15" s="14" t="str">
        <x:v>https://na.llnet.bioware.cdn.ea.com/u/f/eagames/bioware/masseffect/prima/prima_guide_me_pc.pdf</x:v>
      </x:c>
      <x:c r="P15" s="14" t="str">
        <x:v>Production ME1</x:v>
      </x:c>
      <x:c r="Q15" s="14" t="str"/>
    </x:row>
    <x:row r="16" ht="36" customHeight="1">
      <x:c r="A16" s="12" t="str">
        <x:v>WRL-station-pinnacle</x:v>
      </x:c>
      <x:c r="B16" s="7" t="str">
        <x:v>Station Pinnacle</x:v>
      </x:c>
      <x:c r="C16" s="10" t="str">
        <x:v>Défini</x:v>
      </x:c>
      <x:c r="D16" s="11" t="str">
        <x:v>À produire</x:v>
      </x:c>
      <x:c r="E16" s="9" t="str">
        <x:v>P1</x:v>
      </x:c>
      <x:c r="F16" s="9" t="str">
        <x:v>ME1</x:v>
      </x:c>
      <x:c r="G16" s="9" t="str">
        <x:v>Référence à vérifier</x:v>
      </x:c>
      <x:c r="H16" s="7" t="str">
        <x:v>Installation du DLC de simulation.</x:v>
      </x:c>
      <x:c r="I16" s="7" t="str">
        <x:v>Extension séparée ; non incluse par défaut dans Legendary Edition.</x:v>
      </x:c>
      <x:c r="J16" s="7" t="str"/>
      <x:c r="K16" s="7" t="str">
        <x:v>content/worlds/WRL-station-pinnacle.json</x:v>
      </x:c>
      <x:c r="L16" s="7" t="str"/>
      <x:c r="M16" s="7" t="str"/>
      <x:c r="N16" s="7" t="str">
        <x:v>Planète et mission de référence à relever dans ME1 ; données de couverture non validées.</x:v>
      </x:c>
      <x:c r="O16" s="7" t="str">
        <x:v>https://na.llnet.bioware.cdn.ea.com/u/f/eagames/bioware/masseffect/prima/prima_guide_me_pc.pdf</x:v>
      </x:c>
      <x:c r="P16" s="7" t="str">
        <x:v>Production ME1</x:v>
      </x:c>
      <x:c r="Q16" s="7" t="str"/>
    </x:row>
    <x:row r="17" ht="36" customHeight="1">
      <x:c r="A17" s="13" t="str">
        <x:v>WRL-luna</x:v>
      </x:c>
      <x:c r="B17" s="14" t="str">
        <x:v>Luna</x:v>
      </x:c>
      <x:c r="C17" s="10" t="str">
        <x:v>Défini</x:v>
      </x:c>
      <x:c r="D17" s="11" t="str">
        <x:v>À produire</x:v>
      </x:c>
      <x:c r="E17" s="15" t="str">
        <x:v>P1</x:v>
      </x:c>
      <x:c r="F17" s="15" t="str">
        <x:v>ME1</x:v>
      </x:c>
      <x:c r="G17" s="15" t="str">
        <x:v>Référence à vérifier</x:v>
      </x:c>
      <x:c r="H17" s="14" t="str">
        <x:v>Base d’entraînement et drones sur la Lune.</x:v>
      </x:c>
      <x:c r="I17" s="14" t="str">
        <x:v>Terre visible et environnement lunaire documenté.</x:v>
      </x:c>
      <x:c r="J17" s="14" t="str"/>
      <x:c r="K17" s="14" t="str">
        <x:v>content/worlds/WRL-luna.json</x:v>
      </x:c>
      <x:c r="L17" s="14" t="str"/>
      <x:c r="M17" s="14" t="str"/>
      <x:c r="N17" s="14" t="str">
        <x:v>Planète et mission de référence à relever dans ME1 ; données de couverture non validées.</x:v>
      </x:c>
      <x:c r="O17" s="14" t="str">
        <x:v>https://na.llnet.bioware.cdn.ea.com/u/f/eagames/bioware/masseffect/prima/prima_guide_me_pc.pdf</x:v>
      </x:c>
      <x:c r="P17" s="14" t="str">
        <x:v>Production ME1</x:v>
      </x:c>
      <x:c r="Q17" s="14" t="str"/>
    </x:row>
    <x:row r="18" ht="36" customHeight="1">
      <x:c r="A18" s="12" t="str">
        <x:v>WRL-eletania</x:v>
      </x:c>
      <x:c r="B18" s="7" t="str">
        <x:v>Eletania</x:v>
      </x:c>
      <x:c r="C18" s="10" t="str">
        <x:v>Défini</x:v>
      </x:c>
      <x:c r="D18" s="11" t="str">
        <x:v>À produire</x:v>
      </x:c>
      <x:c r="E18" s="9" t="str">
        <x:v>P1</x:v>
      </x:c>
      <x:c r="F18" s="9" t="str">
        <x:v>ME1</x:v>
      </x:c>
      <x:c r="G18" s="9" t="str">
        <x:v>Référence à vérifier</x:v>
      </x:c>
      <x:c r="H18" s="7" t="str">
        <x:v>Monde de la mission de module de données.</x:v>
      </x:c>
      <x:c r="I18" s="7" t="str">
        <x:v>Faune locale et artefact distincts.</x:v>
      </x:c>
      <x:c r="J18" s="7" t="str"/>
      <x:c r="K18" s="7" t="str">
        <x:v>content/worlds/WRL-eletania.json</x:v>
      </x:c>
      <x:c r="L18" s="7" t="str"/>
      <x:c r="M18" s="7" t="str"/>
      <x:c r="N18" s="7" t="str">
        <x:v>Planète et mission de référence à relever dans ME1 ; données de couverture non validées.</x:v>
      </x:c>
      <x:c r="O18" s="7" t="str">
        <x:v>https://na.llnet.bioware.cdn.ea.com/u/f/eagames/bioware/masseffect/prima/prima_guide_me_pc.pdf</x:v>
      </x:c>
      <x:c r="P18" s="7" t="str">
        <x:v>Production ME1</x:v>
      </x:c>
      <x:c r="Q18" s="7" t="str"/>
    </x:row>
    <x:row r="19" ht="36" customHeight="1">
      <x:c r="A19" s="13" t="str">
        <x:v>WRL-edolus</x:v>
      </x:c>
      <x:c r="B19" s="14" t="str">
        <x:v>Edolus</x:v>
      </x:c>
      <x:c r="C19" s="10" t="str">
        <x:v>Défini</x:v>
      </x:c>
      <x:c r="D19" s="11" t="str">
        <x:v>À produire</x:v>
      </x:c>
      <x:c r="E19" s="15" t="str">
        <x:v>P1</x:v>
      </x:c>
      <x:c r="F19" s="15" t="str">
        <x:v>ME1</x:v>
      </x:c>
      <x:c r="G19" s="15" t="str">
        <x:v>Référence à vérifier</x:v>
      </x:c>
      <x:c r="H19" s="14" t="str">
        <x:v>Monde de la mission d’équipe disparue.</x:v>
      </x:c>
      <x:c r="I19" s="14" t="str">
        <x:v>Danger souterrain et balise de détresse.</x:v>
      </x:c>
      <x:c r="J19" s="14" t="str"/>
      <x:c r="K19" s="14" t="str">
        <x:v>content/worlds/WRL-edolus.json</x:v>
      </x:c>
      <x:c r="L19" s="14" t="str"/>
      <x:c r="M19" s="14" t="str"/>
      <x:c r="N19" s="14" t="str">
        <x:v>Planète et mission de référence à relever dans ME1 ; données de couverture non validées.</x:v>
      </x:c>
      <x:c r="O19" s="14" t="str">
        <x:v>https://na.llnet.bioware.cdn.ea.com/u/f/eagames/bioware/masseffect/prima/prima_guide_me_pc.pdf</x:v>
      </x:c>
      <x:c r="P19" s="14" t="str">
        <x:v>Production ME1</x:v>
      </x:c>
      <x:c r="Q19" s="14" t="str"/>
    </x:row>
    <x:row r="20" ht="36" customHeight="1">
      <x:c r="A20" s="12" t="str">
        <x:v>WRL-antibaar</x:v>
      </x:c>
      <x:c r="B20" s="7" t="str">
        <x:v>Antibaar</x:v>
      </x:c>
      <x:c r="C20" s="10" t="str">
        <x:v>Défini</x:v>
      </x:c>
      <x:c r="D20" s="11" t="str">
        <x:v>À produire</x:v>
      </x:c>
      <x:c r="E20" s="9" t="str">
        <x:v>P1</x:v>
      </x:c>
      <x:c r="F20" s="9" t="str">
        <x:v>ME1</x:v>
      </x:c>
      <x:c r="G20" s="9" t="str">
        <x:v>Référence à vérifier</x:v>
      </x:c>
      <x:c r="H20" s="7" t="str">
        <x:v>Monde d’incursions geth.</x:v>
      </x:c>
      <x:c r="I20" s="7" t="str">
        <x:v>Camp et météo à relever dans le jeu.</x:v>
      </x:c>
      <x:c r="J20" s="7" t="str"/>
      <x:c r="K20" s="7" t="str">
        <x:v>content/worlds/WRL-antibaar.json</x:v>
      </x:c>
      <x:c r="L20" s="7" t="str"/>
      <x:c r="M20" s="7" t="str"/>
      <x:c r="N20" s="7" t="str">
        <x:v>Planète et mission de référence à relever dans ME1 ; données de couverture non validées.</x:v>
      </x:c>
      <x:c r="O20" s="7" t="str">
        <x:v>https://na.llnet.bioware.cdn.ea.com/u/f/eagames/bioware/masseffect/prima/prima_guide_me_pc.pdf</x:v>
      </x:c>
      <x:c r="P20" s="7" t="str">
        <x:v>Production ME1</x:v>
      </x:c>
      <x:c r="Q20" s="7" t="str"/>
    </x:row>
    <x:row r="21" ht="36" customHeight="1">
      <x:c r="A21" s="13" t="str">
        <x:v>WRL-casbin</x:v>
      </x:c>
      <x:c r="B21" s="14" t="str">
        <x:v>Casbin</x:v>
      </x:c>
      <x:c r="C21" s="10" t="str">
        <x:v>Défini</x:v>
      </x:c>
      <x:c r="D21" s="11" t="str">
        <x:v>À produire</x:v>
      </x:c>
      <x:c r="E21" s="15" t="str">
        <x:v>P1</x:v>
      </x:c>
      <x:c r="F21" s="15" t="str">
        <x:v>ME1</x:v>
      </x:c>
      <x:c r="G21" s="15" t="str">
        <x:v>Référence à vérifier</x:v>
      </x:c>
      <x:c r="H21" s="14" t="str">
        <x:v>Monde d’incursions geth.</x:v>
      </x:c>
      <x:c r="I21" s="14" t="str">
        <x:v>Zone d’atterrissage et défense à relever.</x:v>
      </x:c>
      <x:c r="J21" s="14" t="str"/>
      <x:c r="K21" s="14" t="str">
        <x:v>content/worlds/WRL-casbin.json</x:v>
      </x:c>
      <x:c r="L21" s="14" t="str"/>
      <x:c r="M21" s="14" t="str"/>
      <x:c r="N21" s="14" t="str">
        <x:v>Planète et mission de référence à relever dans ME1 ; données de couverture non validées.</x:v>
      </x:c>
      <x:c r="O21" s="14" t="str">
        <x:v>https://na.llnet.bioware.cdn.ea.com/u/f/eagames/bioware/masseffect/prima/prima_guide_me_pc.pdf</x:v>
      </x:c>
      <x:c r="P21" s="14" t="str">
        <x:v>Production ME1</x:v>
      </x:c>
      <x:c r="Q21" s="14" t="str"/>
    </x:row>
    <x:row r="22" ht="36" customHeight="1">
      <x:c r="A22" s="12" t="str">
        <x:v>WRL-maji</x:v>
      </x:c>
      <x:c r="B22" s="7" t="str">
        <x:v>Maji</x:v>
      </x:c>
      <x:c r="C22" s="10" t="str">
        <x:v>Défini</x:v>
      </x:c>
      <x:c r="D22" s="11" t="str">
        <x:v>À produire</x:v>
      </x:c>
      <x:c r="E22" s="9" t="str">
        <x:v>P1</x:v>
      </x:c>
      <x:c r="F22" s="9" t="str">
        <x:v>ME1</x:v>
      </x:c>
      <x:c r="G22" s="9" t="str">
        <x:v>Référence à vérifier</x:v>
      </x:c>
      <x:c r="H22" s="7" t="str">
        <x:v>Monde d’incursions geth.</x:v>
      </x:c>
      <x:c r="I22" s="7" t="str">
        <x:v>Plateforme ennemie à cartographier.</x:v>
      </x:c>
      <x:c r="J22" s="7" t="str"/>
      <x:c r="K22" s="7" t="str">
        <x:v>content/worlds/WRL-maji.json</x:v>
      </x:c>
      <x:c r="L22" s="7" t="str"/>
      <x:c r="M22" s="7" t="str"/>
      <x:c r="N22" s="7" t="str">
        <x:v>Planète et mission de référence à relever dans ME1 ; données de couverture non validées.</x:v>
      </x:c>
      <x:c r="O22" s="7" t="str">
        <x:v>https://na.llnet.bioware.cdn.ea.com/u/f/eagames/bioware/masseffect/prima/prima_guide_me_pc.pdf</x:v>
      </x:c>
      <x:c r="P22" s="7" t="str">
        <x:v>Production ME1</x:v>
      </x:c>
      <x:c r="Q22" s="7" t="str"/>
    </x:row>
    <x:row r="23" ht="36" customHeight="1">
      <x:c r="A23" s="13" t="str">
        <x:v>WRL-rayingri</x:v>
      </x:c>
      <x:c r="B23" s="14" t="str">
        <x:v>Rayingri</x:v>
      </x:c>
      <x:c r="C23" s="10" t="str">
        <x:v>Défini</x:v>
      </x:c>
      <x:c r="D23" s="11" t="str">
        <x:v>À produire</x:v>
      </x:c>
      <x:c r="E23" s="15" t="str">
        <x:v>P1</x:v>
      </x:c>
      <x:c r="F23" s="15" t="str">
        <x:v>ME1</x:v>
      </x:c>
      <x:c r="G23" s="15" t="str">
        <x:v>Référence à vérifier</x:v>
      </x:c>
      <x:c r="H23" s="14" t="str">
        <x:v>Monde d’incursions geth.</x:v>
      </x:c>
      <x:c r="I23" s="14" t="str">
        <x:v>Installation et assaut à documenter.</x:v>
      </x:c>
      <x:c r="J23" s="14" t="str"/>
      <x:c r="K23" s="14" t="str">
        <x:v>content/worlds/WRL-rayingri.json</x:v>
      </x:c>
      <x:c r="L23" s="14" t="str"/>
      <x:c r="M23" s="14" t="str"/>
      <x:c r="N23" s="14" t="str">
        <x:v>Planète et mission de référence à relever dans ME1 ; données de couverture non validées.</x:v>
      </x:c>
      <x:c r="O23" s="14" t="str">
        <x:v>https://na.llnet.bioware.cdn.ea.com/u/f/eagames/bioware/masseffect/prima/prima_guide_me_pc.pdf</x:v>
      </x:c>
      <x:c r="P23" s="14" t="str">
        <x:v>Production ME1</x:v>
      </x:c>
      <x:c r="Q23" s="14" t="str"/>
    </x:row>
    <x:row r="24" ht="36" customHeight="1">
      <x:c r="A24" s="12" t="str">
        <x:v>WRL-solcrum</x:v>
      </x:c>
      <x:c r="B24" s="7" t="str">
        <x:v>Solcrum</x:v>
      </x:c>
      <x:c r="C24" s="10" t="str">
        <x:v>Défini</x:v>
      </x:c>
      <x:c r="D24" s="11" t="str">
        <x:v>À produire</x:v>
      </x:c>
      <x:c r="E24" s="9" t="str">
        <x:v>P1</x:v>
      </x:c>
      <x:c r="F24" s="9" t="str">
        <x:v>ME1</x:v>
      </x:c>
      <x:c r="G24" s="9" t="str">
        <x:v>Référence à vérifier</x:v>
      </x:c>
      <x:c r="H24" s="7" t="str">
        <x:v>Base finale des incursions geth.</x:v>
      </x:c>
      <x:c r="I24" s="7" t="str">
        <x:v>Intérieur et serveur liés à la mission de Tali.</x:v>
      </x:c>
      <x:c r="J24" s="7" t="str"/>
      <x:c r="K24" s="7" t="str">
        <x:v>content/worlds/WRL-solcrum.json</x:v>
      </x:c>
      <x:c r="L24" s="7" t="str"/>
      <x:c r="M24" s="7" t="str"/>
      <x:c r="N24" s="7" t="str">
        <x:v>Planète et mission de référence à relever dans ME1 ; données de couverture non validées.</x:v>
      </x:c>
      <x:c r="O24" s="7" t="str">
        <x:v>https://na.llnet.bioware.cdn.ea.com/u/f/eagames/bioware/masseffect/prima/prima_guide_me_pc.pdf</x:v>
      </x:c>
      <x:c r="P24" s="7" t="str">
        <x:v>Production ME1</x:v>
      </x:c>
      <x:c r="Q24" s="7" t="str"/>
    </x:row>
    <x:row r="25" ht="36" customHeight="1">
      <x:c r="A25" s="13" t="str">
        <x:v>WRL-agebinium</x:v>
      </x:c>
      <x:c r="B25" s="14" t="str">
        <x:v>Agebinium</x:v>
      </x:c>
      <x:c r="C25" s="10" t="str">
        <x:v>Défini</x:v>
      </x:c>
      <x:c r="D25" s="11" t="str">
        <x:v>À produire</x:v>
      </x:c>
      <x:c r="E25" s="15" t="str">
        <x:v>P1</x:v>
      </x:c>
      <x:c r="F25" s="15" t="str">
        <x:v>ME1</x:v>
      </x:c>
      <x:c r="G25" s="15" t="str">
        <x:v>Référence à vérifier</x:v>
      </x:c>
      <x:c r="H25" s="14" t="str">
        <x:v>Monde du piège de la sonde d’espionnage.</x:v>
      </x:c>
      <x:c r="I25" s="14" t="str">
        <x:v>Mine, sortie et camp mercenaire cohérents.</x:v>
      </x:c>
      <x:c r="J25" s="14" t="str"/>
      <x:c r="K25" s="14" t="str">
        <x:v>content/worlds/WRL-agebinium.json</x:v>
      </x:c>
      <x:c r="L25" s="14" t="str"/>
      <x:c r="M25" s="14" t="str"/>
      <x:c r="N25" s="14" t="str">
        <x:v>Planète et mission de référence à relever dans ME1 ; données de couverture non validées.</x:v>
      </x:c>
      <x:c r="O25" s="14" t="str">
        <x:v>https://na.llnet.bioware.cdn.ea.com/u/f/eagames/bioware/masseffect/prima/prima_guide_me_pc.pdf</x:v>
      </x:c>
      <x:c r="P25" s="14" t="str">
        <x:v>Production ME1</x:v>
      </x:c>
      <x:c r="Q25" s="14" t="str"/>
    </x:row>
    <x:row r="26" ht="36" customHeight="1">
      <x:c r="A26" s="12" t="str">
        <x:v>WRL-klensal</x:v>
      </x:c>
      <x:c r="B26" s="7" t="str">
        <x:v>Klensal</x:v>
      </x:c>
      <x:c r="C26" s="10" t="str">
        <x:v>Défini</x:v>
      </x:c>
      <x:c r="D26" s="11" t="str">
        <x:v>À produire</x:v>
      </x:c>
      <x:c r="E26" s="9" t="str">
        <x:v>P1</x:v>
      </x:c>
      <x:c r="F26" s="9" t="str">
        <x:v>ME1</x:v>
      </x:c>
      <x:c r="G26" s="9" t="str">
        <x:v>Référence à vérifier</x:v>
      </x:c>
      <x:c r="H26" s="7" t="str">
        <x:v>Monde d’une mission de crime organisé.</x:v>
      </x:c>
      <x:c r="I26" s="7" t="str">
        <x:v>Camp et chef de bande à relever.</x:v>
      </x:c>
      <x:c r="J26" s="7" t="str"/>
      <x:c r="K26" s="7" t="str">
        <x:v>content/worlds/WRL-klensal.json</x:v>
      </x:c>
      <x:c r="L26" s="7" t="str"/>
      <x:c r="M26" s="7" t="str"/>
      <x:c r="N26" s="7" t="str">
        <x:v>Planète et mission de référence à relever dans ME1 ; données de couverture non validées.</x:v>
      </x:c>
      <x:c r="O26" s="7" t="str">
        <x:v>https://na.llnet.bioware.cdn.ea.com/u/f/eagames/bioware/masseffect/prima/prima_guide_me_pc.pdf</x:v>
      </x:c>
      <x:c r="P26" s="7" t="str">
        <x:v>Production ME1</x:v>
      </x:c>
      <x:c r="Q26" s="7" t="str"/>
    </x:row>
    <x:row r="27" ht="36" customHeight="1">
      <x:c r="A27" s="13" t="str">
        <x:v>WRL-mavigon</x:v>
      </x:c>
      <x:c r="B27" s="14" t="str">
        <x:v>Mavigon</x:v>
      </x:c>
      <x:c r="C27" s="10" t="str">
        <x:v>Défini</x:v>
      </x:c>
      <x:c r="D27" s="11" t="str">
        <x:v>À produire</x:v>
      </x:c>
      <x:c r="E27" s="15" t="str">
        <x:v>P1</x:v>
      </x:c>
      <x:c r="F27" s="15" t="str">
        <x:v>ME1</x:v>
      </x:c>
      <x:c r="G27" s="15" t="str">
        <x:v>Référence à vérifier</x:v>
      </x:c>
      <x:c r="H27" s="14" t="str">
        <x:v>Monde d’une mission de crime organisé.</x:v>
      </x:c>
      <x:c r="I27" s="14" t="str">
        <x:v>Froid et accès aux installations documentés.</x:v>
      </x:c>
      <x:c r="J27" s="14" t="str"/>
      <x:c r="K27" s="14" t="str">
        <x:v>content/worlds/WRL-mavigon.json</x:v>
      </x:c>
      <x:c r="L27" s="14" t="str"/>
      <x:c r="M27" s="14" t="str"/>
      <x:c r="N27" s="14" t="str">
        <x:v>Planète et mission de référence à relever dans ME1 ; données de couverture non validées.</x:v>
      </x:c>
      <x:c r="O27" s="14" t="str">
        <x:v>https://na.llnet.bioware.cdn.ea.com/u/f/eagames/bioware/masseffect/prima/prima_guide_me_pc.pdf</x:v>
      </x:c>
      <x:c r="P27" s="14" t="str">
        <x:v>Production ME1</x:v>
      </x:c>
      <x:c r="Q27" s="14" t="str"/>
    </x:row>
    <x:row r="28" ht="36" customHeight="1">
      <x:c r="A28" s="12" t="str">
        <x:v>WRL-amaranthine</x:v>
      </x:c>
      <x:c r="B28" s="7" t="str">
        <x:v>Amaranthine</x:v>
      </x:c>
      <x:c r="C28" s="10" t="str">
        <x:v>Défini</x:v>
      </x:c>
      <x:c r="D28" s="11" t="str">
        <x:v>À produire</x:v>
      </x:c>
      <x:c r="E28" s="9" t="str">
        <x:v>P1</x:v>
      </x:c>
      <x:c r="F28" s="9" t="str">
        <x:v>ME1</x:v>
      </x:c>
      <x:c r="G28" s="9" t="str">
        <x:v>Référence à vérifier</x:v>
      </x:c>
      <x:c r="H28" s="7" t="str">
        <x:v>Destination de confrontation avec Helena Blake.</x:v>
      </x:c>
      <x:c r="I28" s="7" t="str">
        <x:v>Branches de dialogue et combat distinctes.</x:v>
      </x:c>
      <x:c r="J28" s="7" t="str"/>
      <x:c r="K28" s="7" t="str">
        <x:v>content/worlds/WRL-amaranthine.json</x:v>
      </x:c>
      <x:c r="L28" s="7" t="str"/>
      <x:c r="M28" s="7" t="str"/>
      <x:c r="N28" s="7" t="str">
        <x:v>Planète et mission de référence à relever dans ME1 ; données de couverture non validées.</x:v>
      </x:c>
      <x:c r="O28" s="7" t="str">
        <x:v>https://na.llnet.bioware.cdn.ea.com/u/f/eagames/bioware/masseffect/prima/prima_guide_me_pc.pdf</x:v>
      </x:c>
      <x:c r="P28" s="7" t="str">
        <x:v>Production ME1</x:v>
      </x:c>
      <x:c r="Q28" s="7" t="str"/>
    </x:row>
    <x:row r="29" ht="36" customHeight="1">
      <x:c r="A29" s="13" t="str">
        <x:v>WRL-ontarom</x:v>
      </x:c>
      <x:c r="B29" s="14" t="str">
        <x:v>Ontarom</x:v>
      </x:c>
      <x:c r="C29" s="10" t="str">
        <x:v>Défini</x:v>
      </x:c>
      <x:c r="D29" s="11" t="str">
        <x:v>À produire</x:v>
      </x:c>
      <x:c r="E29" s="15" t="str">
        <x:v>P1</x:v>
      </x:c>
      <x:c r="F29" s="15" t="str">
        <x:v>ME1</x:v>
      </x:c>
      <x:c r="G29" s="15" t="str">
        <x:v>Référence à vérifier</x:v>
      </x:c>
      <x:c r="H29" s="14" t="str">
        <x:v>Destination de la mission du scientifique mort.</x:v>
      </x:c>
      <x:c r="I29" s="14" t="str">
        <x:v>Ferme et prise d’otage à vérifier.</x:v>
      </x:c>
      <x:c r="J29" s="14" t="str"/>
      <x:c r="K29" s="14" t="str">
        <x:v>content/worlds/WRL-ontarom.json</x:v>
      </x:c>
      <x:c r="L29" s="14" t="str"/>
      <x:c r="M29" s="14" t="str"/>
      <x:c r="N29" s="14" t="str">
        <x:v>Planète et mission de référence à relever dans ME1 ; données de couverture non validées.</x:v>
      </x:c>
      <x:c r="O29" s="14" t="str">
        <x:v>https://na.llnet.bioware.cdn.ea.com/u/f/eagames/bioware/masseffect/prima/prima_guide_me_pc.pdf</x:v>
      </x:c>
      <x:c r="P29" s="14" t="str">
        <x:v>Production ME1</x:v>
      </x:c>
      <x:c r="Q29" s="14" t="str"/>
    </x:row>
    <x:row r="30" ht="36" customHeight="1">
      <x:c r="A30" s="12" t="str">
        <x:v>WRL-nepheron</x:v>
      </x:c>
      <x:c r="B30" s="7" t="str">
        <x:v>Nepheron</x:v>
      </x:c>
      <x:c r="C30" s="10" t="str">
        <x:v>Défini</x:v>
      </x:c>
      <x:c r="D30" s="11" t="str">
        <x:v>À produire</x:v>
      </x:c>
      <x:c r="E30" s="9" t="str">
        <x:v>P1</x:v>
      </x:c>
      <x:c r="F30" s="9" t="str">
        <x:v>ME1</x:v>
      </x:c>
      <x:c r="G30" s="9" t="str">
        <x:v>Référence à vérifier</x:v>
      </x:c>
      <x:c r="H30" s="7" t="str">
        <x:v>Site d’expériences Cerberus.</x:v>
      </x:c>
      <x:c r="I30" s="7" t="str">
        <x:v>Bases et vagues documentées.</x:v>
      </x:c>
      <x:c r="J30" s="7" t="str"/>
      <x:c r="K30" s="7" t="str">
        <x:v>content/worlds/WRL-nepheron.json</x:v>
      </x:c>
      <x:c r="L30" s="7" t="str"/>
      <x:c r="M30" s="7" t="str"/>
      <x:c r="N30" s="7" t="str">
        <x:v>Planète et mission de référence à relever dans ME1 ; données de couverture non validées.</x:v>
      </x:c>
      <x:c r="O30" s="7" t="str">
        <x:v>https://na.llnet.bioware.cdn.ea.com/u/f/eagames/bioware/masseffect/prima/prima_guide_me_pc.pdf</x:v>
      </x:c>
      <x:c r="P30" s="7" t="str">
        <x:v>Production ME1</x:v>
      </x:c>
      <x:c r="Q30" s="7" t="str"/>
    </x:row>
    <x:row r="31" ht="36" customHeight="1">
      <x:c r="A31" s="13" t="str">
        <x:v>WRL-binthu</x:v>
      </x:c>
      <x:c r="B31" s="14" t="str">
        <x:v>Binthu</x:v>
      </x:c>
      <x:c r="C31" s="10" t="str">
        <x:v>Défini</x:v>
      </x:c>
      <x:c r="D31" s="11" t="str">
        <x:v>À produire</x:v>
      </x:c>
      <x:c r="E31" s="15" t="str">
        <x:v>P1</x:v>
      </x:c>
      <x:c r="F31" s="15" t="str">
        <x:v>ME1</x:v>
      </x:c>
      <x:c r="G31" s="15" t="str">
        <x:v>Référence à vérifier</x:v>
      </x:c>
      <x:c r="H31" s="14" t="str">
        <x:v>Site lié aux chiens de l’enfer.</x:v>
      </x:c>
      <x:c r="I31" s="14" t="str">
        <x:v>Installations et révélation à documenter.</x:v>
      </x:c>
      <x:c r="J31" s="14" t="str"/>
      <x:c r="K31" s="14" t="str">
        <x:v>content/worlds/WRL-binthu.json</x:v>
      </x:c>
      <x:c r="L31" s="14" t="str"/>
      <x:c r="M31" s="14" t="str"/>
      <x:c r="N31" s="14" t="str">
        <x:v>Planète et mission de référence à relever dans ME1 ; données de couverture non validées.</x:v>
      </x:c>
      <x:c r="O31" s="14" t="str">
        <x:v>https://na.llnet.bioware.cdn.ea.com/u/f/eagames/bioware/masseffect/prima/prima_guide_me_pc.pdf</x:v>
      </x:c>
      <x:c r="P31" s="14" t="str">
        <x:v>Production ME1</x:v>
      </x:c>
      <x:c r="Q31" s="14" t="str"/>
    </x:row>
    <x:row r="32" ht="36" customHeight="1">
      <x:c r="A32" s="12" t="str">
        <x:v>WRL-chasca</x:v>
      </x:c>
      <x:c r="B32" s="7" t="str">
        <x:v>Chasca</x:v>
      </x:c>
      <x:c r="C32" s="10" t="str">
        <x:v>Défini</x:v>
      </x:c>
      <x:c r="D32" s="11" t="str">
        <x:v>À produire</x:v>
      </x:c>
      <x:c r="E32" s="9" t="str">
        <x:v>P1</x:v>
      </x:c>
      <x:c r="F32" s="9" t="str">
        <x:v>ME1</x:v>
      </x:c>
      <x:c r="G32" s="9" t="str">
        <x:v>Référence à vérifier</x:v>
      </x:c>
      <x:c r="H32" s="7" t="str">
        <x:v>Colonie silencieuse liée aux cadavres.</x:v>
      </x:c>
      <x:c r="I32" s="7" t="str">
        <x:v>Bâtiments et menace répertoriés.</x:v>
      </x:c>
      <x:c r="J32" s="7" t="str"/>
      <x:c r="K32" s="7" t="str">
        <x:v>content/worlds/WRL-chasca.json</x:v>
      </x:c>
      <x:c r="L32" s="7" t="str"/>
      <x:c r="M32" s="7" t="str"/>
      <x:c r="N32" s="7" t="str">
        <x:v>Planète et mission de référence à relever dans ME1 ; données de couverture non validées.</x:v>
      </x:c>
      <x:c r="O32" s="7" t="str">
        <x:v>https://na.llnet.bioware.cdn.ea.com/u/f/eagames/bioware/masseffect/prima/prima_guide_me_pc.pdf</x:v>
      </x:c>
      <x:c r="P32" s="7" t="str">
        <x:v>Production ME1</x:v>
      </x:c>
      <x:c r="Q32" s="7" t="str"/>
    </x:row>
    <x:row r="33" ht="36" customHeight="1">
      <x:c r="A33" s="13" t="str">
        <x:v>WRL-nodacrux</x:v>
      </x:c>
      <x:c r="B33" s="14" t="str">
        <x:v>Nodacrux</x:v>
      </x:c>
      <x:c r="C33" s="10" t="str">
        <x:v>Défini</x:v>
      </x:c>
      <x:c r="D33" s="11" t="str">
        <x:v>À produire</x:v>
      </x:c>
      <x:c r="E33" s="15" t="str">
        <x:v>P1</x:v>
      </x:c>
      <x:c r="F33" s="15" t="str">
        <x:v>ME1</x:v>
      </x:c>
      <x:c r="G33" s="15" t="str">
        <x:v>Référence à vérifier</x:v>
      </x:c>
      <x:c r="H33" s="14" t="str">
        <x:v>Destination d’un indice trouvé sur Feros.</x:v>
      </x:c>
      <x:c r="I33" s="14" t="str">
        <x:v>Développement ExoGeni à documenter.</x:v>
      </x:c>
      <x:c r="J33" s="14" t="str"/>
      <x:c r="K33" s="14" t="str">
        <x:v>content/worlds/WRL-nodacrux.json</x:v>
      </x:c>
      <x:c r="L33" s="14" t="str"/>
      <x:c r="M33" s="14" t="str"/>
      <x:c r="N33" s="14" t="str">
        <x:v>Planète et mission de référence à relever dans ME1 ; données de couverture non validées.</x:v>
      </x:c>
      <x:c r="O33" s="14" t="str">
        <x:v>https://na.llnet.bioware.cdn.ea.com/u/f/eagames/bioware/masseffect/prima/prima_guide_me_pc.pdf</x:v>
      </x:c>
      <x:c r="P33" s="14" t="str">
        <x:v>Production ME1</x:v>
      </x:c>
      <x:c r="Q33" s="14" t="str"/>
    </x:row>
    <x:row r="34" ht="36" customHeight="1">
      <x:c r="A34" s="12" t="str">
        <x:v>WRL-presrop</x:v>
      </x:c>
      <x:c r="B34" s="7" t="str">
        <x:v>Presrop</x:v>
      </x:c>
      <x:c r="C34" s="10" t="str">
        <x:v>Défini</x:v>
      </x:c>
      <x:c r="D34" s="11" t="str">
        <x:v>À produire</x:v>
      </x:c>
      <x:c r="E34" s="9" t="str">
        <x:v>P1</x:v>
      </x:c>
      <x:c r="F34" s="9" t="str">
        <x:v>ME1</x:v>
      </x:c>
      <x:c r="G34" s="9" t="str">
        <x:v>Référence à vérifier</x:v>
      </x:c>
      <x:c r="H34" s="7" t="str">
        <x:v>Base du Major Kyle.</x:v>
      </x:c>
      <x:c r="I34" s="7" t="str">
        <x:v>Approche diplomatique et enceintes séparées.</x:v>
      </x:c>
      <x:c r="J34" s="7" t="str"/>
      <x:c r="K34" s="7" t="str">
        <x:v>content/worlds/WRL-presrop.json</x:v>
      </x:c>
      <x:c r="L34" s="7" t="str"/>
      <x:c r="M34" s="7" t="str"/>
      <x:c r="N34" s="7" t="str">
        <x:v>Planète et mission de référence à relever dans ME1 ; données de couverture non validées.</x:v>
      </x:c>
      <x:c r="O34" s="7" t="str">
        <x:v>https://na.llnet.bioware.cdn.ea.com/u/f/eagames/bioware/masseffect/prima/prima_guide_me_pc.pdf</x:v>
      </x:c>
      <x:c r="P34" s="7" t="str">
        <x:v>Production ME1</x:v>
      </x:c>
      <x:c r="Q34" s="7" t="str"/>
    </x:row>
    <x:row r="35" ht="36" customHeight="1">
      <x:c r="A35" s="13" t="str">
        <x:v>WRL-sharjila</x:v>
      </x:c>
      <x:c r="B35" s="14" t="str">
        <x:v>Sharjila</x:v>
      </x:c>
      <x:c r="C35" s="10" t="str">
        <x:v>Défini</x:v>
      </x:c>
      <x:c r="D35" s="11" t="str">
        <x:v>À produire</x:v>
      </x:c>
      <x:c r="E35" s="15" t="str">
        <x:v>P1</x:v>
      </x:c>
      <x:c r="F35" s="15" t="str">
        <x:v>ME1</x:v>
      </x:c>
      <x:c r="G35" s="15" t="str">
        <x:v>Référence à vérifier</x:v>
      </x:c>
      <x:c r="H35" s="14" t="str">
        <x:v>Destination de la mission de Nassana.</x:v>
      </x:c>
      <x:c r="I35" s="14" t="str">
        <x:v>Forteresse et sœur de la commanditaire à vérifier.</x:v>
      </x:c>
      <x:c r="J35" s="14" t="str"/>
      <x:c r="K35" s="14" t="str">
        <x:v>content/worlds/WRL-sharjila.json</x:v>
      </x:c>
      <x:c r="L35" s="14" t="str"/>
      <x:c r="M35" s="14" t="str"/>
      <x:c r="N35" s="14" t="str">
        <x:v>Planète et mission de référence à relever dans ME1 ; données de couverture non validées.</x:v>
      </x:c>
      <x:c r="O35" s="14" t="str">
        <x:v>https://na.llnet.bioware.cdn.ea.com/u/f/eagames/bioware/masseffect/prima/prima_guide_me_pc.pdf</x:v>
      </x:c>
      <x:c r="P35" s="14" t="str">
        <x:v>Production ME1</x:v>
      </x:c>
      <x:c r="Q35" s="14" t="str"/>
    </x:row>
    <x:row r="36" ht="36" customHeight="1">
      <x:c r="A36" s="12" t="str">
        <x:v>WRL-trebin</x:v>
      </x:c>
      <x:c r="B36" s="7" t="str">
        <x:v>Trebin</x:v>
      </x:c>
      <x:c r="C36" s="10" t="str">
        <x:v>Défini</x:v>
      </x:c>
      <x:c r="D36" s="11" t="str">
        <x:v>À produire</x:v>
      </x:c>
      <x:c r="E36" s="9" t="str">
        <x:v>P1</x:v>
      </x:c>
      <x:c r="F36" s="9" t="str">
        <x:v>ME1</x:v>
      </x:c>
      <x:c r="G36" s="9" t="str">
        <x:v>Référence à vérifier</x:v>
      </x:c>
      <x:c r="H36" s="7" t="str">
        <x:v>Site de la mission de scientifiques disparus.</x:v>
      </x:c>
      <x:c r="I36" s="7" t="str">
        <x:v>Camp vide et fouilles liés.</x:v>
      </x:c>
      <x:c r="J36" s="7" t="str"/>
      <x:c r="K36" s="7" t="str">
        <x:v>content/worlds/WRL-trebin.json</x:v>
      </x:c>
      <x:c r="L36" s="7" t="str"/>
      <x:c r="M36" s="7" t="str"/>
      <x:c r="N36" s="7" t="str">
        <x:v>Planète et mission de référence à relever dans ME1 ; données de couverture non validées.</x:v>
      </x:c>
      <x:c r="O36" s="7" t="str">
        <x:v>https://na.llnet.bioware.cdn.ea.com/u/f/eagames/bioware/masseffect/prima/prima_guide_me_pc.pdf</x:v>
      </x:c>
      <x:c r="P36" s="7" t="str">
        <x:v>Production ME1</x:v>
      </x:c>
      <x:c r="Q36" s="7" t="str"/>
    </x:row>
    <x:row r="37" ht="36" customHeight="1">
      <x:c r="A37" s="13" t="str">
        <x:v>WRL-xawin</x:v>
      </x:c>
      <x:c r="B37" s="14" t="str">
        <x:v>Xawin</x:v>
      </x:c>
      <x:c r="C37" s="10" t="str">
        <x:v>Défini</x:v>
      </x:c>
      <x:c r="D37" s="11" t="str">
        <x:v>À produire</x:v>
      </x:c>
      <x:c r="E37" s="15" t="str">
        <x:v>P1</x:v>
      </x:c>
      <x:c r="F37" s="15" t="str">
        <x:v>ME1</x:v>
      </x:c>
      <x:c r="G37" s="15" t="str">
        <x:v>Référence à vérifier</x:v>
      </x:c>
      <x:c r="H37" s="14" t="str">
        <x:v>Destination d’un vaisseau marchand disparu.</x:v>
      </x:c>
      <x:c r="I37" s="14" t="str">
        <x:v>Camp, données et sort des occupants documentés.</x:v>
      </x:c>
      <x:c r="J37" s="14" t="str"/>
      <x:c r="K37" s="14" t="str">
        <x:v>content/worlds/WRL-xawin.json</x:v>
      </x:c>
      <x:c r="L37" s="14" t="str"/>
      <x:c r="M37" s="14" t="str"/>
      <x:c r="N37" s="14" t="str">
        <x:v>Planète et mission de référence à relever dans ME1 ; données de couverture non validées.</x:v>
      </x:c>
      <x:c r="O37" s="14" t="str">
        <x:v>https://na.llnet.bioware.cdn.ea.com/u/f/eagames/bioware/masseffect/prima/prima_guide_me_pc.pdf</x:v>
      </x:c>
      <x:c r="P37" s="14" t="str">
        <x:v>Production ME1</x:v>
      </x:c>
      <x:c r="Q37" s="14" t="str"/>
    </x:row>
    <x:row r="38" ht="36" customHeight="1">
      <x:c r="A38" s="12" t="str">
        <x:v>WRL-nonuel</x:v>
      </x:c>
      <x:c r="B38" s="7" t="str">
        <x:v>Nonuel</x:v>
      </x:c>
      <x:c r="C38" s="10" t="str">
        <x:v>Défini</x:v>
      </x:c>
      <x:c r="D38" s="11" t="str">
        <x:v>À produire</x:v>
      </x:c>
      <x:c r="E38" s="9" t="str">
        <x:v>P1</x:v>
      </x:c>
      <x:c r="F38" s="9" t="str">
        <x:v>ME1</x:v>
      </x:c>
      <x:c r="G38" s="9" t="str">
        <x:v>Référence à vérifier</x:v>
      </x:c>
      <x:c r="H38" s="7" t="str">
        <x:v>Destination d’une négociation de l’Alliance.</x:v>
      </x:c>
      <x:c r="I38" s="7" t="str">
        <x:v>Conditions de déblocage liées au profil moral.</x:v>
      </x:c>
      <x:c r="J38" s="7" t="str"/>
      <x:c r="K38" s="7" t="str">
        <x:v>content/worlds/WRL-nonuel.json</x:v>
      </x:c>
      <x:c r="L38" s="7" t="str"/>
      <x:c r="M38" s="7" t="str"/>
      <x:c r="N38" s="7" t="str">
        <x:v>Planète et mission de référence à relever dans ME1 ; données de couverture non validées.</x:v>
      </x:c>
      <x:c r="O38" s="7" t="str">
        <x:v>https://na.llnet.bioware.cdn.ea.com/u/f/eagames/bioware/masseffect/prima/prima_guide_me_pc.pdf</x:v>
      </x:c>
      <x:c r="P38" s="7" t="str">
        <x:v>Production ME1</x:v>
      </x:c>
      <x:c r="Q38" s="7" t="str"/>
    </x:row>
  </x:sheetData>
  <x:conditionalFormatting sqref="C7:C38">
    <x:cfRule type="cellIs" dxfId="275" priority="1" operator="equal">
      <x:formula>"Prototype"</x:formula>
    </x:cfRule>
    <x:cfRule type="cellIs" dxfId="276" priority="2" operator="equal">
      <x:formula>"Intégré"</x:formula>
    </x:cfRule>
    <x:cfRule type="cellIs" dxfId="277" priority="3" operator="equal">
      <x:formula>"Validé"</x:formula>
    </x:cfRule>
  </x:conditionalFormatting>
  <x:conditionalFormatting sqref="G7:G38">
    <x:cfRule type="cellIs" dxfId="278" priority="4" operator="equal">
      <x:formula>"Référence à vérifier"</x:formula>
    </x:cfRule>
  </x:conditionalFormatting>
  <x:conditionalFormatting sqref="E7:E38">
    <x:cfRule type="cellIs" dxfId="279" priority="5" operator="equal">
      <x:formula>"P0"</x:formula>
    </x:cfRule>
  </x:conditionalFormatting>
  <x:dataValidations count="5">
    <x:dataValidation type="list" sqref="C7:C38">
      <x:formula1>"Défini,Prototype,Intégré,Validé"</x:formula1>
    </x:dataValidation>
    <x:dataValidation type="list" sqref="D7:D38">
      <x:formula1>"À produire,Prototype,Disponible,Validé,Sans objet,Non planifié"</x:formula1>
    </x:dataValidation>
    <x:dataValidation type="list" sqref="E7:E38">
      <x:formula1>"P0,P1,P2"</x:formula1>
    </x:dataValidation>
    <x:dataValidation type="list" sqref="F7:F38">
      <x:formula1>"ME1,ME2,ME3,TRANSVERSE"</x:formula1>
    </x:dataValidation>
    <x:dataValidation type="list" sqref="G7:G38">
      <x:formula1>"Confirmé,Référence à vérifier,Adaptation"</x:formula1>
    </x:dataValidation>
  </x:dataValidations>
  <x:pageMargins left="0.7" right="0.7" top="0.75" bottom="0.75" header="0.3" footer="0.3"/>
  <x:tableParts count="1">
    <x:tablePart xmlns:r="http://schemas.openxmlformats.org/officeDocument/2006/relationships" r:id="Rea96ace24630437e"/>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Zones</x:v>
      </x:c>
      <x:c r="B2" s="2"/>
      <x:c r="C2" s="2"/>
      <x:c r="D2" s="2"/>
      <x:c r="E2" s="2"/>
      <x:c r="F2" s="2"/>
      <x:c r="G2" s="2"/>
      <x:c r="H2" s="2"/>
      <x:c r="I2" s="2"/>
      <x:c r="J2" s="2"/>
      <x:c r="K2" s="2"/>
      <x:c r="L2" s="2"/>
      <x:c r="M2" s="2"/>
      <x:c r="N2" s="2"/>
      <x:c r="O2" s="2"/>
      <x:c r="P2" s="2"/>
      <x:c r="Q2" s="2"/>
    </x:row>
    <x:row r="3" ht="22" customHeight="1">
      <x:c r="A3" s="4" t="str">
        <x:v>Pièces, espaces extérieurs et points de passage</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ZON-normandy-sr-1-cockpit</x:v>
      </x:c>
      <x:c r="B7" s="14" t="str">
        <x:v>Normandy SR-1 — Cockpit</x:v>
      </x:c>
      <x:c r="C7" s="10" t="str">
        <x:v>Défini</x:v>
      </x:c>
      <x:c r="D7" s="11" t="str">
        <x:v>À produire</x:v>
      </x:c>
      <x:c r="E7" s="15" t="str">
        <x:v>P1</x:v>
      </x:c>
      <x:c r="F7" s="15" t="str">
        <x:v>ME1</x:v>
      </x:c>
      <x:c r="G7" s="15" t="str">
        <x:v>Référence à vérifier</x:v>
      </x:c>
      <x:c r="H7" s="14" t="str">
        <x:v>Pilotage et dialogue avec Joker</x:v>
      </x:c>
      <x:c r="I7" s="14" t="str">
        <x:v>Entrées, sorties, volumes et personnages cartographiés sur captures de référence.</x:v>
      </x:c>
      <x:c r="J7" s="14" t="str">
        <x:v>WRL-normandy-sr-1</x:v>
      </x:c>
      <x:c r="K7" s="14" t="str">
        <x:v>content/maps/normandy-sr-1/cockpit.json</x:v>
      </x:c>
      <x:c r="L7" s="14" t="str"/>
      <x:c r="M7" s="14" t="str"/>
      <x:c r="N7" s="14" t="str">
        <x:v>Relevé de Normandy SR-1 dans ME1 requis ; noms descriptifs pour la production.</x:v>
      </x:c>
      <x:c r="O7" s="14" t="str">
        <x:v>https://na.llnet.bioware.cdn.ea.com/u/f/eagames/bioware/masseffect/prima/prima_guide_me_pc.pdf</x:v>
      </x:c>
      <x:c r="P7" s="14" t="str">
        <x:v>Production ME1</x:v>
      </x:c>
      <x:c r="Q7" s="14" t="str"/>
    </x:row>
    <x:row r="8" ht="36" customHeight="1">
      <x:c r="A8" s="12" t="str">
        <x:v>ZON-normandy-sr-1-passerelle</x:v>
      </x:c>
      <x:c r="B8" s="7" t="str">
        <x:v>Normandy SR-1 — Passerelle</x:v>
      </x:c>
      <x:c r="C8" s="10" t="str">
        <x:v>Défini</x:v>
      </x:c>
      <x:c r="D8" s="11" t="str">
        <x:v>À produire</x:v>
      </x:c>
      <x:c r="E8" s="9" t="str">
        <x:v>P1</x:v>
      </x:c>
      <x:c r="F8" s="9" t="str">
        <x:v>ME1</x:v>
      </x:c>
      <x:c r="G8" s="9" t="str">
        <x:v>Référence à vérifier</x:v>
      </x:c>
      <x:c r="H8" s="7" t="str">
        <x:v>Navigation et équipage</x:v>
      </x:c>
      <x:c r="I8" s="7" t="str">
        <x:v>Entrées, sorties, volumes et personnages cartographiés sur captures de référence.</x:v>
      </x:c>
      <x:c r="J8" s="7" t="str">
        <x:v>WRL-normandy-sr-1</x:v>
      </x:c>
      <x:c r="K8" s="7" t="str">
        <x:v>content/maps/normandy-sr-1/passerelle.json</x:v>
      </x:c>
      <x:c r="L8" s="7" t="str"/>
      <x:c r="M8" s="7" t="str"/>
      <x:c r="N8" s="7" t="str">
        <x:v>Relevé de Normandy SR-1 dans ME1 requis ; noms descriptifs pour la production.</x:v>
      </x:c>
      <x:c r="O8" s="7" t="str">
        <x:v>https://na.llnet.bioware.cdn.ea.com/u/f/eagames/bioware/masseffect/prima/prima_guide_me_pc.pdf</x:v>
      </x:c>
      <x:c r="P8" s="7" t="str">
        <x:v>Production ME1</x:v>
      </x:c>
      <x:c r="Q8" s="7" t="str"/>
    </x:row>
    <x:row r="9" ht="36" customHeight="1">
      <x:c r="A9" s="13" t="str">
        <x:v>ZON-normandy-sr-1-cic</x:v>
      </x:c>
      <x:c r="B9" s="14" t="str">
        <x:v>Normandy SR-1 — CIC</x:v>
      </x:c>
      <x:c r="C9" s="10" t="str">
        <x:v>Défini</x:v>
      </x:c>
      <x:c r="D9" s="11" t="str">
        <x:v>À produire</x:v>
      </x:c>
      <x:c r="E9" s="15" t="str">
        <x:v>P1</x:v>
      </x:c>
      <x:c r="F9" s="15" t="str">
        <x:v>ME1</x:v>
      </x:c>
      <x:c r="G9" s="15" t="str">
        <x:v>Référence à vérifier</x:v>
      </x:c>
      <x:c r="H9" s="14" t="str">
        <x:v>Carte galactique et commandement</x:v>
      </x:c>
      <x:c r="I9" s="14" t="str">
        <x:v>Entrées, sorties, volumes et personnages cartographiés sur captures de référence.</x:v>
      </x:c>
      <x:c r="J9" s="14" t="str">
        <x:v>WRL-normandy-sr-1</x:v>
      </x:c>
      <x:c r="K9" s="14" t="str">
        <x:v>content/maps/normandy-sr-1/cic.json</x:v>
      </x:c>
      <x:c r="L9" s="14" t="str"/>
      <x:c r="M9" s="14" t="str"/>
      <x:c r="N9" s="14" t="str">
        <x:v>Relevé de Normandy SR-1 dans ME1 requis ; noms descriptifs pour la production.</x:v>
      </x:c>
      <x:c r="O9" s="14" t="str">
        <x:v>https://na.llnet.bioware.cdn.ea.com/u/f/eagames/bioware/masseffect/prima/prima_guide_me_pc.pdf</x:v>
      </x:c>
      <x:c r="P9" s="14" t="str">
        <x:v>Production ME1</x:v>
      </x:c>
      <x:c r="Q9" s="14" t="str"/>
    </x:row>
    <x:row r="10" ht="36" customHeight="1">
      <x:c r="A10" s="12" t="str">
        <x:v>ZON-normandy-sr-1-salle-de-communication</x:v>
      </x:c>
      <x:c r="B10" s="7" t="str">
        <x:v>Normandy SR-1 — Salle de communication</x:v>
      </x:c>
      <x:c r="C10" s="10" t="str">
        <x:v>Défini</x:v>
      </x:c>
      <x:c r="D10" s="11" t="str">
        <x:v>À produire</x:v>
      </x:c>
      <x:c r="E10" s="9" t="str">
        <x:v>P1</x:v>
      </x:c>
      <x:c r="F10" s="9" t="str">
        <x:v>ME1</x:v>
      </x:c>
      <x:c r="G10" s="9" t="str">
        <x:v>Référence à vérifier</x:v>
      </x:c>
      <x:c r="H10" s="7" t="str">
        <x:v>Briefings et transmission au Conseil</x:v>
      </x:c>
      <x:c r="I10" s="7" t="str">
        <x:v>Entrées, sorties, volumes et personnages cartographiés sur captures de référence.</x:v>
      </x:c>
      <x:c r="J10" s="7" t="str">
        <x:v>WRL-normandy-sr-1</x:v>
      </x:c>
      <x:c r="K10" s="7" t="str">
        <x:v>content/maps/normandy-sr-1/salle-de-communication.json</x:v>
      </x:c>
      <x:c r="L10" s="7" t="str"/>
      <x:c r="M10" s="7" t="str"/>
      <x:c r="N10" s="7" t="str">
        <x:v>Relevé de Normandy SR-1 dans ME1 requis ; noms descriptifs pour la production.</x:v>
      </x:c>
      <x:c r="O10" s="7" t="str">
        <x:v>https://na.llnet.bioware.cdn.ea.com/u/f/eagames/bioware/masseffect/prima/prima_guide_me_pc.pdf</x:v>
      </x:c>
      <x:c r="P10" s="7" t="str">
        <x:v>Production ME1</x:v>
      </x:c>
      <x:c r="Q10" s="7" t="str"/>
    </x:row>
    <x:row r="11" ht="36" customHeight="1">
      <x:c r="A11" s="13" t="str">
        <x:v>ZON-normandy-sr-1-mess</x:v>
      </x:c>
      <x:c r="B11" s="14" t="str">
        <x:v>Normandy SR-1 — Mess</x:v>
      </x:c>
      <x:c r="C11" s="10" t="str">
        <x:v>Défini</x:v>
      </x:c>
      <x:c r="D11" s="11" t="str">
        <x:v>À produire</x:v>
      </x:c>
      <x:c r="E11" s="15" t="str">
        <x:v>P1</x:v>
      </x:c>
      <x:c r="F11" s="15" t="str">
        <x:v>ME1</x:v>
      </x:c>
      <x:c r="G11" s="15" t="str">
        <x:v>Référence à vérifier</x:v>
      </x:c>
      <x:c r="H11" s="14" t="str">
        <x:v>Échanges avec les équipiers</x:v>
      </x:c>
      <x:c r="I11" s="14" t="str">
        <x:v>Entrées, sorties, volumes et personnages cartographiés sur captures de référence.</x:v>
      </x:c>
      <x:c r="J11" s="14" t="str">
        <x:v>WRL-normandy-sr-1</x:v>
      </x:c>
      <x:c r="K11" s="14" t="str">
        <x:v>content/maps/normandy-sr-1/mess.json</x:v>
      </x:c>
      <x:c r="L11" s="14" t="str"/>
      <x:c r="M11" s="14" t="str"/>
      <x:c r="N11" s="14" t="str">
        <x:v>Relevé de Normandy SR-1 dans ME1 requis ; noms descriptifs pour la production.</x:v>
      </x:c>
      <x:c r="O11" s="14" t="str">
        <x:v>https://na.llnet.bioware.cdn.ea.com/u/f/eagames/bioware/masseffect/prima/prima_guide_me_pc.pdf</x:v>
      </x:c>
      <x:c r="P11" s="14" t="str">
        <x:v>Production ME1</x:v>
      </x:c>
      <x:c r="Q11" s="14" t="str"/>
    </x:row>
    <x:row r="12" ht="36" customHeight="1">
      <x:c r="A12" s="12" t="str">
        <x:v>ZON-normandy-sr-1-infirmerie</x:v>
      </x:c>
      <x:c r="B12" s="7" t="str">
        <x:v>Normandy SR-1 — Infirmerie</x:v>
      </x:c>
      <x:c r="C12" s="10" t="str">
        <x:v>Défini</x:v>
      </x:c>
      <x:c r="D12" s="11" t="str">
        <x:v>À produire</x:v>
      </x:c>
      <x:c r="E12" s="9" t="str">
        <x:v>P1</x:v>
      </x:c>
      <x:c r="F12" s="9" t="str">
        <x:v>ME1</x:v>
      </x:c>
      <x:c r="G12" s="9" t="str">
        <x:v>Référence à vérifier</x:v>
      </x:c>
      <x:c r="H12" s="7" t="str">
        <x:v>Chakwas et repos</x:v>
      </x:c>
      <x:c r="I12" s="7" t="str">
        <x:v>Entrées, sorties, volumes et personnages cartographiés sur captures de référence.</x:v>
      </x:c>
      <x:c r="J12" s="7" t="str">
        <x:v>WRL-normandy-sr-1</x:v>
      </x:c>
      <x:c r="K12" s="7" t="str">
        <x:v>content/maps/normandy-sr-1/infirmerie.json</x:v>
      </x:c>
      <x:c r="L12" s="7" t="str"/>
      <x:c r="M12" s="7" t="str"/>
      <x:c r="N12" s="7" t="str">
        <x:v>Relevé de Normandy SR-1 dans ME1 requis ; noms descriptifs pour la production.</x:v>
      </x:c>
      <x:c r="O12" s="7" t="str">
        <x:v>https://na.llnet.bioware.cdn.ea.com/u/f/eagames/bioware/masseffect/prima/prima_guide_me_pc.pdf</x:v>
      </x:c>
      <x:c r="P12" s="7" t="str">
        <x:v>Production ME1</x:v>
      </x:c>
      <x:c r="Q12" s="7" t="str"/>
    </x:row>
    <x:row r="13" ht="36" customHeight="1">
      <x:c r="A13" s="13" t="str">
        <x:v>ZON-normandy-sr-1-quartiers-du-commandant</x:v>
      </x:c>
      <x:c r="B13" s="14" t="str">
        <x:v>Normandy SR-1 — Quartiers du commandant</x:v>
      </x:c>
      <x:c r="C13" s="10" t="str">
        <x:v>Défini</x:v>
      </x:c>
      <x:c r="D13" s="11" t="str">
        <x:v>À produire</x:v>
      </x:c>
      <x:c r="E13" s="15" t="str">
        <x:v>P1</x:v>
      </x:c>
      <x:c r="F13" s="15" t="str">
        <x:v>ME1</x:v>
      </x:c>
      <x:c r="G13" s="15" t="str">
        <x:v>Référence à vérifier</x:v>
      </x:c>
      <x:c r="H13" s="14" t="str">
        <x:v>Espace personnel du SR-1</x:v>
      </x:c>
      <x:c r="I13" s="14" t="str">
        <x:v>Entrées, sorties, volumes et personnages cartographiés sur captures de référence.</x:v>
      </x:c>
      <x:c r="J13" s="14" t="str">
        <x:v>WRL-normandy-sr-1</x:v>
      </x:c>
      <x:c r="K13" s="14" t="str">
        <x:v>content/maps/normandy-sr-1/quartiers-du-commandant.json</x:v>
      </x:c>
      <x:c r="L13" s="14" t="str"/>
      <x:c r="M13" s="14" t="str"/>
      <x:c r="N13" s="14" t="str">
        <x:v>Relevé de Normandy SR-1 dans ME1 requis ; noms descriptifs pour la production.</x:v>
      </x:c>
      <x:c r="O13" s="14" t="str">
        <x:v>https://na.llnet.bioware.cdn.ea.com/u/f/eagames/bioware/masseffect/prima/prima_guide_me_pc.pdf</x:v>
      </x:c>
      <x:c r="P13" s="14" t="str">
        <x:v>Production ME1</x:v>
      </x:c>
      <x:c r="Q13" s="14" t="str"/>
    </x:row>
    <x:row r="14" ht="36" customHeight="1">
      <x:c r="A14" s="12" t="str">
        <x:v>ZON-normandy-sr-1-baie-technique</x:v>
      </x:c>
      <x:c r="B14" s="7" t="str">
        <x:v>Normandy SR-1 — Baie technique</x:v>
      </x:c>
      <x:c r="C14" s="10" t="str">
        <x:v>Défini</x:v>
      </x:c>
      <x:c r="D14" s="11" t="str">
        <x:v>À produire</x:v>
      </x:c>
      <x:c r="E14" s="9" t="str">
        <x:v>P1</x:v>
      </x:c>
      <x:c r="F14" s="9" t="str">
        <x:v>ME1</x:v>
      </x:c>
      <x:c r="G14" s="9" t="str">
        <x:v>Référence à vérifier</x:v>
      </x:c>
      <x:c r="H14" s="7" t="str">
        <x:v>Propulsion et Adams</x:v>
      </x:c>
      <x:c r="I14" s="7" t="str">
        <x:v>Entrées, sorties, volumes et personnages cartographiés sur captures de référence.</x:v>
      </x:c>
      <x:c r="J14" s="7" t="str">
        <x:v>WRL-normandy-sr-1</x:v>
      </x:c>
      <x:c r="K14" s="7" t="str">
        <x:v>content/maps/normandy-sr-1/baie-technique.json</x:v>
      </x:c>
      <x:c r="L14" s="7" t="str"/>
      <x:c r="M14" s="7" t="str"/>
      <x:c r="N14" s="7" t="str">
        <x:v>Relevé de Normandy SR-1 dans ME1 requis ; noms descriptifs pour la production.</x:v>
      </x:c>
      <x:c r="O14" s="7" t="str">
        <x:v>https://na.llnet.bioware.cdn.ea.com/u/f/eagames/bioware/masseffect/prima/prima_guide_me_pc.pdf</x:v>
      </x:c>
      <x:c r="P14" s="7" t="str">
        <x:v>Production ME1</x:v>
      </x:c>
      <x:c r="Q14" s="7" t="str"/>
    </x:row>
    <x:row r="15" ht="36" customHeight="1">
      <x:c r="A15" s="13" t="str">
        <x:v>ZON-normandy-sr-1-soute-mako</x:v>
      </x:c>
      <x:c r="B15" s="14" t="str">
        <x:v>Normandy SR-1 — Soute Mako</x:v>
      </x:c>
      <x:c r="C15" s="10" t="str">
        <x:v>Défini</x:v>
      </x:c>
      <x:c r="D15" s="11" t="str">
        <x:v>À produire</x:v>
      </x:c>
      <x:c r="E15" s="15" t="str">
        <x:v>P1</x:v>
      </x:c>
      <x:c r="F15" s="15" t="str">
        <x:v>ME1</x:v>
      </x:c>
      <x:c r="G15" s="15" t="str">
        <x:v>Référence à vérifier</x:v>
      </x:c>
      <x:c r="H15" s="14" t="str">
        <x:v>Véhicule, armurerie et réquisitions</x:v>
      </x:c>
      <x:c r="I15" s="14" t="str">
        <x:v>Entrées, sorties, volumes et personnages cartographiés sur captures de référence.</x:v>
      </x:c>
      <x:c r="J15" s="14" t="str">
        <x:v>WRL-normandy-sr-1</x:v>
      </x:c>
      <x:c r="K15" s="14" t="str">
        <x:v>content/maps/normandy-sr-1/soute-mako.json</x:v>
      </x:c>
      <x:c r="L15" s="14" t="str"/>
      <x:c r="M15" s="14" t="str"/>
      <x:c r="N15" s="14" t="str">
        <x:v>Relevé de Normandy SR-1 dans ME1 requis ; noms descriptifs pour la production.</x:v>
      </x:c>
      <x:c r="O15" s="14" t="str">
        <x:v>https://na.llnet.bioware.cdn.ea.com/u/f/eagames/bioware/masseffect/prima/prima_guide_me_pc.pdf</x:v>
      </x:c>
      <x:c r="P15" s="14" t="str">
        <x:v>Production ME1</x:v>
      </x:c>
      <x:c r="Q15" s="14" t="str"/>
    </x:row>
    <x:row r="16" ht="36" customHeight="1">
      <x:c r="A16" s="12" t="str">
        <x:v>ZON-normandy-sr-1-sas-de-debarquement</x:v>
      </x:c>
      <x:c r="B16" s="7" t="str">
        <x:v>Normandy SR-1 — Sas de débarquement</x:v>
      </x:c>
      <x:c r="C16" s="10" t="str">
        <x:v>Défini</x:v>
      </x:c>
      <x:c r="D16" s="11" t="str">
        <x:v>À produire</x:v>
      </x:c>
      <x:c r="E16" s="9" t="str">
        <x:v>P1</x:v>
      </x:c>
      <x:c r="F16" s="9" t="str">
        <x:v>ME1</x:v>
      </x:c>
      <x:c r="G16" s="9" t="str">
        <x:v>Référence à vérifier</x:v>
      </x:c>
      <x:c r="H16" s="7" t="str">
        <x:v>Sélection du commando</x:v>
      </x:c>
      <x:c r="I16" s="7" t="str">
        <x:v>Entrées, sorties, volumes et personnages cartographiés sur captures de référence.</x:v>
      </x:c>
      <x:c r="J16" s="7" t="str">
        <x:v>WRL-normandy-sr-1</x:v>
      </x:c>
      <x:c r="K16" s="7" t="str">
        <x:v>content/maps/normandy-sr-1/sas-de-debarquement.json</x:v>
      </x:c>
      <x:c r="L16" s="7" t="str"/>
      <x:c r="M16" s="7" t="str"/>
      <x:c r="N16" s="7" t="str">
        <x:v>Relevé de Normandy SR-1 dans ME1 requis ; noms descriptifs pour la production.</x:v>
      </x:c>
      <x:c r="O16" s="7" t="str">
        <x:v>https://na.llnet.bioware.cdn.ea.com/u/f/eagames/bioware/masseffect/prima/prima_guide_me_pc.pdf</x:v>
      </x:c>
      <x:c r="P16" s="7" t="str">
        <x:v>Production ME1</x:v>
      </x:c>
      <x:c r="Q16" s="7" t="str"/>
    </x:row>
    <x:row r="17" ht="36" customHeight="1">
      <x:c r="A17" s="13" t="str">
        <x:v>ZON-eden-prime-zone-de-largage</x:v>
      </x:c>
      <x:c r="B17" s="14" t="str">
        <x:v>Eden Prime — Zone de largage</x:v>
      </x:c>
      <x:c r="C17" s="10" t="str">
        <x:v>Défini</x:v>
      </x:c>
      <x:c r="D17" s="11" t="str">
        <x:v>À produire</x:v>
      </x:c>
      <x:c r="E17" s="15" t="str">
        <x:v>P1</x:v>
      </x:c>
      <x:c r="F17" s="15" t="str">
        <x:v>ME1</x:v>
      </x:c>
      <x:c r="G17" s="15" t="str">
        <x:v>Référence à vérifier</x:v>
      </x:c>
      <x:c r="H17" s="14" t="str">
        <x:v>Arrivée du commando</x:v>
      </x:c>
      <x:c r="I17" s="14" t="str">
        <x:v>Entrées, sorties, volumes et personnages cartographiés sur captures de référence.</x:v>
      </x:c>
      <x:c r="J17" s="14" t="str">
        <x:v>WRL-eden-prime</x:v>
      </x:c>
      <x:c r="K17" s="14" t="str">
        <x:v>content/maps/eden-prime/zone-de-largage.json</x:v>
      </x:c>
      <x:c r="L17" s="14" t="str"/>
      <x:c r="M17" s="14" t="str"/>
      <x:c r="N17" s="14" t="str">
        <x:v>Relevé de Eden Prime dans ME1 requis ; noms descriptifs pour la production.</x:v>
      </x:c>
      <x:c r="O17" s="14" t="str">
        <x:v>https://na.llnet.bioware.cdn.ea.com/u/f/eagames/bioware/masseffect/prima/prima_guide_me_pc.pdf</x:v>
      </x:c>
      <x:c r="P17" s="14" t="str">
        <x:v>Production ME1</x:v>
      </x:c>
      <x:c r="Q17" s="14" t="str"/>
    </x:row>
    <x:row r="18" ht="36" customHeight="1">
      <x:c r="A18" s="12" t="str">
        <x:v>ZON-eden-prime-sentier-des-drones</x:v>
      </x:c>
      <x:c r="B18" s="7" t="str">
        <x:v>Eden Prime — Sentier des drones</x:v>
      </x:c>
      <x:c r="C18" s="10" t="str">
        <x:v>Défini</x:v>
      </x:c>
      <x:c r="D18" s="11" t="str">
        <x:v>À produire</x:v>
      </x:c>
      <x:c r="E18" s="9" t="str">
        <x:v>P1</x:v>
      </x:c>
      <x:c r="F18" s="9" t="str">
        <x:v>ME1</x:v>
      </x:c>
      <x:c r="G18" s="9" t="str">
        <x:v>Référence à vérifier</x:v>
      </x:c>
      <x:c r="H18" s="7" t="str">
        <x:v>Premier affrontement et Jenkins</x:v>
      </x:c>
      <x:c r="I18" s="7" t="str">
        <x:v>Entrées, sorties, volumes et personnages cartographiés sur captures de référence.</x:v>
      </x:c>
      <x:c r="J18" s="7" t="str">
        <x:v>WRL-eden-prime</x:v>
      </x:c>
      <x:c r="K18" s="7" t="str">
        <x:v>content/maps/eden-prime/sentier-des-drones.json</x:v>
      </x:c>
      <x:c r="L18" s="7" t="str"/>
      <x:c r="M18" s="7" t="str"/>
      <x:c r="N18" s="7" t="str">
        <x:v>Relevé de Eden Prime dans ME1 requis ; noms descriptifs pour la production.</x:v>
      </x:c>
      <x:c r="O18" s="7" t="str">
        <x:v>https://na.llnet.bioware.cdn.ea.com/u/f/eagames/bioware/masseffect/prima/prima_guide_me_pc.pdf</x:v>
      </x:c>
      <x:c r="P18" s="7" t="str">
        <x:v>Production ME1</x:v>
      </x:c>
      <x:c r="Q18" s="7" t="str"/>
    </x:row>
    <x:row r="19" ht="36" customHeight="1">
      <x:c r="A19" s="13" t="str">
        <x:v>ZON-eden-prime-ferme-attaquee</x:v>
      </x:c>
      <x:c r="B19" s="14" t="str">
        <x:v>Eden Prime — Ferme attaquée</x:v>
      </x:c>
      <x:c r="C19" s="10" t="str">
        <x:v>Défini</x:v>
      </x:c>
      <x:c r="D19" s="11" t="str">
        <x:v>À produire</x:v>
      </x:c>
      <x:c r="E19" s="15" t="str">
        <x:v>P1</x:v>
      </x:c>
      <x:c r="F19" s="15" t="str">
        <x:v>ME1</x:v>
      </x:c>
      <x:c r="G19" s="15" t="str">
        <x:v>Référence à vérifier</x:v>
      </x:c>
      <x:c r="H19" s="14" t="str">
        <x:v>Survivants et arrivée d’Ashley</x:v>
      </x:c>
      <x:c r="I19" s="14" t="str">
        <x:v>Entrées, sorties, volumes et personnages cartographiés sur captures de référence.</x:v>
      </x:c>
      <x:c r="J19" s="14" t="str">
        <x:v>WRL-eden-prime</x:v>
      </x:c>
      <x:c r="K19" s="14" t="str">
        <x:v>content/maps/eden-prime/ferme-attaquee.json</x:v>
      </x:c>
      <x:c r="L19" s="14" t="str"/>
      <x:c r="M19" s="14" t="str"/>
      <x:c r="N19" s="14" t="str">
        <x:v>Relevé de Eden Prime dans ME1 requis ; noms descriptifs pour la production.</x:v>
      </x:c>
      <x:c r="O19" s="14" t="str">
        <x:v>https://na.llnet.bioware.cdn.ea.com/u/f/eagames/bioware/masseffect/prima/prima_guide_me_pc.pdf</x:v>
      </x:c>
      <x:c r="P19" s="14" t="str">
        <x:v>Production ME1</x:v>
      </x:c>
      <x:c r="Q19" s="14" t="str"/>
    </x:row>
    <x:row r="20" ht="36" customHeight="1">
      <x:c r="A20" s="12" t="str">
        <x:v>ZON-eden-prime-site-de-fouille</x:v>
      </x:c>
      <x:c r="B20" s="7" t="str">
        <x:v>Eden Prime — Site de fouille</x:v>
      </x:c>
      <x:c r="C20" s="10" t="str">
        <x:v>Défini</x:v>
      </x:c>
      <x:c r="D20" s="11" t="str">
        <x:v>À produire</x:v>
      </x:c>
      <x:c r="E20" s="9" t="str">
        <x:v>P1</x:v>
      </x:c>
      <x:c r="F20" s="9" t="str">
        <x:v>ME1</x:v>
      </x:c>
      <x:c r="G20" s="9" t="str">
        <x:v>Référence à vérifier</x:v>
      </x:c>
      <x:c r="H20" s="7" t="str">
        <x:v>Emplacement initial de la balise</x:v>
      </x:c>
      <x:c r="I20" s="7" t="str">
        <x:v>Entrées, sorties, volumes et personnages cartographiés sur captures de référence.</x:v>
      </x:c>
      <x:c r="J20" s="7" t="str">
        <x:v>WRL-eden-prime</x:v>
      </x:c>
      <x:c r="K20" s="7" t="str">
        <x:v>content/maps/eden-prime/site-de-fouille.json</x:v>
      </x:c>
      <x:c r="L20" s="7" t="str"/>
      <x:c r="M20" s="7" t="str"/>
      <x:c r="N20" s="7" t="str">
        <x:v>Relevé de Eden Prime dans ME1 requis ; noms descriptifs pour la production.</x:v>
      </x:c>
      <x:c r="O20" s="7" t="str">
        <x:v>https://na.llnet.bioware.cdn.ea.com/u/f/eagames/bioware/masseffect/prima/prima_guide_me_pc.pdf</x:v>
      </x:c>
      <x:c r="P20" s="7" t="str">
        <x:v>Production ME1</x:v>
      </x:c>
      <x:c r="Q20" s="7" t="str"/>
    </x:row>
    <x:row r="21" ht="36" customHeight="1">
      <x:c r="A21" s="13" t="str">
        <x:v>ZON-eden-prime-campement-scientifique</x:v>
      </x:c>
      <x:c r="B21" s="14" t="str">
        <x:v>Eden Prime — Campement scientifique</x:v>
      </x:c>
      <x:c r="C21" s="10" t="str">
        <x:v>Défini</x:v>
      </x:c>
      <x:c r="D21" s="11" t="str">
        <x:v>À produire</x:v>
      </x:c>
      <x:c r="E21" s="15" t="str">
        <x:v>P1</x:v>
      </x:c>
      <x:c r="F21" s="15" t="str">
        <x:v>ME1</x:v>
      </x:c>
      <x:c r="G21" s="15" t="str">
        <x:v>Référence à vérifier</x:v>
      </x:c>
      <x:c r="H21" s="14" t="str">
        <x:v>Abris et témoignages</x:v>
      </x:c>
      <x:c r="I21" s="14" t="str">
        <x:v>Entrées, sorties, volumes et personnages cartographiés sur captures de référence.</x:v>
      </x:c>
      <x:c r="J21" s="14" t="str">
        <x:v>WRL-eden-prime</x:v>
      </x:c>
      <x:c r="K21" s="14" t="str">
        <x:v>content/maps/eden-prime/campement-scientifique.json</x:v>
      </x:c>
      <x:c r="L21" s="14" t="str"/>
      <x:c r="M21" s="14" t="str"/>
      <x:c r="N21" s="14" t="str">
        <x:v>Relevé de Eden Prime dans ME1 requis ; noms descriptifs pour la production.</x:v>
      </x:c>
      <x:c r="O21" s="14" t="str">
        <x:v>https://na.llnet.bioware.cdn.ea.com/u/f/eagames/bioware/masseffect/prima/prima_guide_me_pc.pdf</x:v>
      </x:c>
      <x:c r="P21" s="14" t="str">
        <x:v>Production ME1</x:v>
      </x:c>
      <x:c r="Q21" s="14" t="str"/>
    </x:row>
    <x:row r="22" ht="36" customHeight="1">
      <x:c r="A22" s="12" t="str">
        <x:v>ZON-eden-prime-quai-ferroviaire</x:v>
      </x:c>
      <x:c r="B22" s="7" t="str">
        <x:v>Eden Prime — Quai ferroviaire</x:v>
      </x:c>
      <x:c r="C22" s="10" t="str">
        <x:v>Défini</x:v>
      </x:c>
      <x:c r="D22" s="11" t="str">
        <x:v>À produire</x:v>
      </x:c>
      <x:c r="E22" s="9" t="str">
        <x:v>P1</x:v>
      </x:c>
      <x:c r="F22" s="9" t="str">
        <x:v>ME1</x:v>
      </x:c>
      <x:c r="G22" s="9" t="str">
        <x:v>Référence à vérifier</x:v>
      </x:c>
      <x:c r="H22" s="7" t="str">
        <x:v>Nihlus et témoins</x:v>
      </x:c>
      <x:c r="I22" s="7" t="str">
        <x:v>Entrées, sorties, volumes et personnages cartographiés sur captures de référence.</x:v>
      </x:c>
      <x:c r="J22" s="7" t="str">
        <x:v>WRL-eden-prime</x:v>
      </x:c>
      <x:c r="K22" s="7" t="str">
        <x:v>content/maps/eden-prime/quai-ferroviaire.json</x:v>
      </x:c>
      <x:c r="L22" s="7" t="str"/>
      <x:c r="M22" s="7" t="str"/>
      <x:c r="N22" s="7" t="str">
        <x:v>Relevé de Eden Prime dans ME1 requis ; noms descriptifs pour la production.</x:v>
      </x:c>
      <x:c r="O22" s="7" t="str">
        <x:v>https://na.llnet.bioware.cdn.ea.com/u/f/eagames/bioware/masseffect/prima/prima_guide_me_pc.pdf</x:v>
      </x:c>
      <x:c r="P22" s="7" t="str">
        <x:v>Production ME1</x:v>
      </x:c>
      <x:c r="Q22" s="7" t="str"/>
    </x:row>
    <x:row r="23" ht="36" customHeight="1">
      <x:c r="A23" s="13" t="str">
        <x:v>ZON-eden-prime-train-de-fret</x:v>
      </x:c>
      <x:c r="B23" s="14" t="str">
        <x:v>Eden Prime — Train de fret</x:v>
      </x:c>
      <x:c r="C23" s="10" t="str">
        <x:v>Défini</x:v>
      </x:c>
      <x:c r="D23" s="11" t="str">
        <x:v>À produire</x:v>
      </x:c>
      <x:c r="E23" s="15" t="str">
        <x:v>P1</x:v>
      </x:c>
      <x:c r="F23" s="15" t="str">
        <x:v>ME1</x:v>
      </x:c>
      <x:c r="G23" s="15" t="str">
        <x:v>Référence à vérifier</x:v>
      </x:c>
      <x:c r="H23" s="14" t="str">
        <x:v>Progression entre les quais</x:v>
      </x:c>
      <x:c r="I23" s="14" t="str">
        <x:v>Entrées, sorties, volumes et personnages cartographiés sur captures de référence.</x:v>
      </x:c>
      <x:c r="J23" s="14" t="str">
        <x:v>WRL-eden-prime</x:v>
      </x:c>
      <x:c r="K23" s="14" t="str">
        <x:v>content/maps/eden-prime/train-de-fret.json</x:v>
      </x:c>
      <x:c r="L23" s="14" t="str"/>
      <x:c r="M23" s="14" t="str"/>
      <x:c r="N23" s="14" t="str">
        <x:v>Relevé de Eden Prime dans ME1 requis ; noms descriptifs pour la production.</x:v>
      </x:c>
      <x:c r="O23" s="14" t="str">
        <x:v>https://na.llnet.bioware.cdn.ea.com/u/f/eagames/bioware/masseffect/prima/prima_guide_me_pc.pdf</x:v>
      </x:c>
      <x:c r="P23" s="14" t="str">
        <x:v>Production ME1</x:v>
      </x:c>
      <x:c r="Q23" s="14" t="str"/>
    </x:row>
    <x:row r="24" ht="36" customHeight="1">
      <x:c r="A24" s="12" t="str">
        <x:v>ZON-eden-prime-plateforme-de-desamorcage</x:v>
      </x:c>
      <x:c r="B24" s="7" t="str">
        <x:v>Eden Prime — Plateforme de désamorçage</x:v>
      </x:c>
      <x:c r="C24" s="10" t="str">
        <x:v>Défini</x:v>
      </x:c>
      <x:c r="D24" s="11" t="str">
        <x:v>À produire</x:v>
      </x:c>
      <x:c r="E24" s="9" t="str">
        <x:v>P1</x:v>
      </x:c>
      <x:c r="F24" s="9" t="str">
        <x:v>ME1</x:v>
      </x:c>
      <x:c r="G24" s="9" t="str">
        <x:v>Référence à vérifier</x:v>
      </x:c>
      <x:c r="H24" s="7" t="str">
        <x:v>Charges geth et chronomètre</x:v>
      </x:c>
      <x:c r="I24" s="7" t="str">
        <x:v>Entrées, sorties, volumes et personnages cartographiés sur captures de référence.</x:v>
      </x:c>
      <x:c r="J24" s="7" t="str">
        <x:v>WRL-eden-prime</x:v>
      </x:c>
      <x:c r="K24" s="7" t="str">
        <x:v>content/maps/eden-prime/plateforme-de-desamorcage.json</x:v>
      </x:c>
      <x:c r="L24" s="7" t="str"/>
      <x:c r="M24" s="7" t="str"/>
      <x:c r="N24" s="7" t="str">
        <x:v>Relevé de Eden Prime dans ME1 requis ; noms descriptifs pour la production.</x:v>
      </x:c>
      <x:c r="O24" s="7" t="str">
        <x:v>https://na.llnet.bioware.cdn.ea.com/u/f/eagames/bioware/masseffect/prima/prima_guide_me_pc.pdf</x:v>
      </x:c>
      <x:c r="P24" s="7" t="str">
        <x:v>Production ME1</x:v>
      </x:c>
      <x:c r="Q24" s="7" t="str"/>
    </x:row>
    <x:row r="25" ht="36" customHeight="1">
      <x:c r="A25" s="13" t="str">
        <x:v>ZON-eden-prime-plateforme-de-la-balise</x:v>
      </x:c>
      <x:c r="B25" s="14" t="str">
        <x:v>Eden Prime — Plateforme de la balise</x:v>
      </x:c>
      <x:c r="C25" s="10" t="str">
        <x:v>Défini</x:v>
      </x:c>
      <x:c r="D25" s="11" t="str">
        <x:v>À produire</x:v>
      </x:c>
      <x:c r="E25" s="15" t="str">
        <x:v>P1</x:v>
      </x:c>
      <x:c r="F25" s="15" t="str">
        <x:v>ME1</x:v>
      </x:c>
      <x:c r="G25" s="15" t="str">
        <x:v>Référence à vérifier</x:v>
      </x:c>
      <x:c r="H25" s="14" t="str">
        <x:v>Contact final avec la balise</x:v>
      </x:c>
      <x:c r="I25" s="14" t="str">
        <x:v>Entrées, sorties, volumes et personnages cartographiés sur captures de référence.</x:v>
      </x:c>
      <x:c r="J25" s="14" t="str">
        <x:v>WRL-eden-prime</x:v>
      </x:c>
      <x:c r="K25" s="14" t="str">
        <x:v>content/maps/eden-prime/plateforme-de-la-balise.json</x:v>
      </x:c>
      <x:c r="L25" s="14" t="str"/>
      <x:c r="M25" s="14" t="str"/>
      <x:c r="N25" s="14" t="str">
        <x:v>Relevé de Eden Prime dans ME1 requis ; noms descriptifs pour la production.</x:v>
      </x:c>
      <x:c r="O25" s="14" t="str">
        <x:v>https://na.llnet.bioware.cdn.ea.com/u/f/eagames/bioware/masseffect/prima/prima_guide_me_pc.pdf</x:v>
      </x:c>
      <x:c r="P25" s="14" t="str">
        <x:v>Production ME1</x:v>
      </x:c>
      <x:c r="Q25" s="14" t="str"/>
    </x:row>
    <x:row r="26" ht="36" customHeight="1">
      <x:c r="A26" s="12" t="str">
        <x:v>ZON-citadelle-dock-du-normandy</x:v>
      </x:c>
      <x:c r="B26" s="7" t="str">
        <x:v>Citadelle — Dock du Normandy</x:v>
      </x:c>
      <x:c r="C26" s="10" t="str">
        <x:v>Défini</x:v>
      </x:c>
      <x:c r="D26" s="11" t="str">
        <x:v>À produire</x:v>
      </x:c>
      <x:c r="E26" s="9" t="str">
        <x:v>P1</x:v>
      </x:c>
      <x:c r="F26" s="9" t="str">
        <x:v>ME1</x:v>
      </x:c>
      <x:c r="G26" s="9" t="str">
        <x:v>Référence à vérifier</x:v>
      </x:c>
      <x:c r="H26" s="7" t="str">
        <x:v>Arrivée et départ</x:v>
      </x:c>
      <x:c r="I26" s="7" t="str">
        <x:v>Entrées, sorties, volumes et personnages cartographiés sur captures de référence.</x:v>
      </x:c>
      <x:c r="J26" s="7" t="str">
        <x:v>WRL-citadelle</x:v>
      </x:c>
      <x:c r="K26" s="7" t="str">
        <x:v>content/maps/citadelle/dock-du-normandy.json</x:v>
      </x:c>
      <x:c r="L26" s="7" t="str"/>
      <x:c r="M26" s="7" t="str"/>
      <x:c r="N26" s="7" t="str">
        <x:v>Relevé de Citadelle dans ME1 requis ; noms descriptifs pour la production.</x:v>
      </x:c>
      <x:c r="O26" s="7" t="str">
        <x:v>https://na.llnet.bioware.cdn.ea.com/u/f/eagames/bioware/masseffect/prima/prima_guide_me_pc.pdf</x:v>
      </x:c>
      <x:c r="P26" s="7" t="str">
        <x:v>Production ME1</x:v>
      </x:c>
      <x:c r="Q26" s="7" t="str"/>
    </x:row>
    <x:row r="27" ht="36" customHeight="1">
      <x:c r="A27" s="13" t="str">
        <x:v>ZON-citadelle-hall-des-ambassades</x:v>
      </x:c>
      <x:c r="B27" s="14" t="str">
        <x:v>Citadelle — Hall des ambassades</x:v>
      </x:c>
      <x:c r="C27" s="10" t="str">
        <x:v>Défini</x:v>
      </x:c>
      <x:c r="D27" s="11" t="str">
        <x:v>À produire</x:v>
      </x:c>
      <x:c r="E27" s="15" t="str">
        <x:v>P1</x:v>
      </x:c>
      <x:c r="F27" s="15" t="str">
        <x:v>ME1</x:v>
      </x:c>
      <x:c r="G27" s="15" t="str">
        <x:v>Référence à vérifier</x:v>
      </x:c>
      <x:c r="H27" s="14" t="str">
        <x:v>Accès diplomatiques</x:v>
      </x:c>
      <x:c r="I27" s="14" t="str">
        <x:v>Entrées, sorties, volumes et personnages cartographiés sur captures de référence.</x:v>
      </x:c>
      <x:c r="J27" s="14" t="str">
        <x:v>WRL-citadelle</x:v>
      </x:c>
      <x:c r="K27" s="14" t="str">
        <x:v>content/maps/citadelle/hall-des-ambassades.json</x:v>
      </x:c>
      <x:c r="L27" s="14" t="str"/>
      <x:c r="M27" s="14" t="str"/>
      <x:c r="N27" s="14" t="str">
        <x:v>Relevé de Citadelle dans ME1 requis ; noms descriptifs pour la production.</x:v>
      </x:c>
      <x:c r="O27" s="14" t="str">
        <x:v>https://na.llnet.bioware.cdn.ea.com/u/f/eagames/bioware/masseffect/prima/prima_guide_me_pc.pdf</x:v>
      </x:c>
      <x:c r="P27" s="14" t="str">
        <x:v>Production ME1</x:v>
      </x:c>
      <x:c r="Q27" s="14" t="str"/>
    </x:row>
    <x:row r="28" ht="36" customHeight="1">
      <x:c r="A28" s="12" t="str">
        <x:v>ZON-citadelle-bureau-d-udina</x:v>
      </x:c>
      <x:c r="B28" s="7" t="str">
        <x:v>Citadelle — Bureau d’Udina</x:v>
      </x:c>
      <x:c r="C28" s="10" t="str">
        <x:v>Défini</x:v>
      </x:c>
      <x:c r="D28" s="11" t="str">
        <x:v>À produire</x:v>
      </x:c>
      <x:c r="E28" s="9" t="str">
        <x:v>P1</x:v>
      </x:c>
      <x:c r="F28" s="9" t="str">
        <x:v>ME1</x:v>
      </x:c>
      <x:c r="G28" s="9" t="str">
        <x:v>Référence à vérifier</x:v>
      </x:c>
      <x:c r="H28" s="7" t="str">
        <x:v>Briefings politiques</x:v>
      </x:c>
      <x:c r="I28" s="7" t="str">
        <x:v>Entrées, sorties, volumes et personnages cartographiés sur captures de référence.</x:v>
      </x:c>
      <x:c r="J28" s="7" t="str">
        <x:v>WRL-citadelle</x:v>
      </x:c>
      <x:c r="K28" s="7" t="str">
        <x:v>content/maps/citadelle/bureau-d-udina.json</x:v>
      </x:c>
      <x:c r="L28" s="7" t="str"/>
      <x:c r="M28" s="7" t="str"/>
      <x:c r="N28" s="7" t="str">
        <x:v>Relevé de Citadelle dans ME1 requis ; noms descriptifs pour la production.</x:v>
      </x:c>
      <x:c r="O28" s="7" t="str">
        <x:v>https://na.llnet.bioware.cdn.ea.com/u/f/eagames/bioware/masseffect/prima/prima_guide_me_pc.pdf</x:v>
      </x:c>
      <x:c r="P28" s="7" t="str">
        <x:v>Production ME1</x:v>
      </x:c>
      <x:c r="Q28" s="7" t="str"/>
    </x:row>
    <x:row r="29" ht="36" customHeight="1">
      <x:c r="A29" s="13" t="str">
        <x:v>ZON-citadelle-salon-elcor-volus</x:v>
      </x:c>
      <x:c r="B29" s="14" t="str">
        <x:v>Citadelle — Salon elcor-volus</x:v>
      </x:c>
      <x:c r="C29" s="10" t="str">
        <x:v>Défini</x:v>
      </x:c>
      <x:c r="D29" s="11" t="str">
        <x:v>À produire</x:v>
      </x:c>
      <x:c r="E29" s="15" t="str">
        <x:v>P1</x:v>
      </x:c>
      <x:c r="F29" s="15" t="str">
        <x:v>ME1</x:v>
      </x:c>
      <x:c r="G29" s="15" t="str">
        <x:v>Référence à vérifier</x:v>
      </x:c>
      <x:c r="H29" s="14" t="str">
        <x:v>Rencontres diplomatiques</x:v>
      </x:c>
      <x:c r="I29" s="14" t="str">
        <x:v>Entrées, sorties, volumes et personnages cartographiés sur captures de référence.</x:v>
      </x:c>
      <x:c r="J29" s="14" t="str">
        <x:v>WRL-citadelle</x:v>
      </x:c>
      <x:c r="K29" s="14" t="str">
        <x:v>content/maps/citadelle/salon-elcor-volus.json</x:v>
      </x:c>
      <x:c r="L29" s="14" t="str"/>
      <x:c r="M29" s="14" t="str"/>
      <x:c r="N29" s="14" t="str">
        <x:v>Relevé de Citadelle dans ME1 requis ; noms descriptifs pour la production.</x:v>
      </x:c>
      <x:c r="O29" s="14" t="str">
        <x:v>https://na.llnet.bioware.cdn.ea.com/u/f/eagames/bioware/masseffect/prima/prima_guide_me_pc.pdf</x:v>
      </x:c>
      <x:c r="P29" s="14" t="str">
        <x:v>Production ME1</x:v>
      </x:c>
      <x:c r="Q29" s="14" t="str"/>
    </x:row>
    <x:row r="30" ht="36" customHeight="1">
      <x:c r="A30" s="12" t="str">
        <x:v>ZON-citadelle-tour-du-conseil</x:v>
      </x:c>
      <x:c r="B30" s="7" t="str">
        <x:v>Citadelle — Tour du Conseil</x:v>
      </x:c>
      <x:c r="C30" s="10" t="str">
        <x:v>Défini</x:v>
      </x:c>
      <x:c r="D30" s="11" t="str">
        <x:v>À produire</x:v>
      </x:c>
      <x:c r="E30" s="9" t="str">
        <x:v>P1</x:v>
      </x:c>
      <x:c r="F30" s="9" t="str">
        <x:v>ME1</x:v>
      </x:c>
      <x:c r="G30" s="9" t="str">
        <x:v>Référence à vérifier</x:v>
      </x:c>
      <x:c r="H30" s="7" t="str">
        <x:v>Audiences</x:v>
      </x:c>
      <x:c r="I30" s="7" t="str">
        <x:v>Entrées, sorties, volumes et personnages cartographiés sur captures de référence.</x:v>
      </x:c>
      <x:c r="J30" s="7" t="str">
        <x:v>WRL-citadelle</x:v>
      </x:c>
      <x:c r="K30" s="7" t="str">
        <x:v>content/maps/citadelle/tour-du-conseil.json</x:v>
      </x:c>
      <x:c r="L30" s="7" t="str"/>
      <x:c r="M30" s="7" t="str"/>
      <x:c r="N30" s="7" t="str">
        <x:v>Relevé de Citadelle dans ME1 requis ; noms descriptifs pour la production.</x:v>
      </x:c>
      <x:c r="O30" s="7" t="str">
        <x:v>https://na.llnet.bioware.cdn.ea.com/u/f/eagames/bioware/masseffect/prima/prima_guide_me_pc.pdf</x:v>
      </x:c>
      <x:c r="P30" s="7" t="str">
        <x:v>Production ME1</x:v>
      </x:c>
      <x:c r="Q30" s="7" t="str"/>
    </x:row>
    <x:row r="31" ht="36" customHeight="1">
      <x:c r="A31" s="13" t="str">
        <x:v>ZON-citadelle-jardins-du-presidium</x:v>
      </x:c>
      <x:c r="B31" s="14" t="str">
        <x:v>Citadelle — Jardins du Présidium</x:v>
      </x:c>
      <x:c r="C31" s="10" t="str">
        <x:v>Défini</x:v>
      </x:c>
      <x:c r="D31" s="11" t="str">
        <x:v>À produire</x:v>
      </x:c>
      <x:c r="E31" s="15" t="str">
        <x:v>P1</x:v>
      </x:c>
      <x:c r="F31" s="15" t="str">
        <x:v>ME1</x:v>
      </x:c>
      <x:c r="G31" s="15" t="str">
        <x:v>Référence à vérifier</x:v>
      </x:c>
      <x:c r="H31" s="14" t="str">
        <x:v>Promenade et Veilleurs</x:v>
      </x:c>
      <x:c r="I31" s="14" t="str">
        <x:v>Entrées, sorties, volumes et personnages cartographiés sur captures de référence.</x:v>
      </x:c>
      <x:c r="J31" s="14" t="str">
        <x:v>WRL-citadelle</x:v>
      </x:c>
      <x:c r="K31" s="14" t="str">
        <x:v>content/maps/citadelle/jardins-du-presidium.json</x:v>
      </x:c>
      <x:c r="L31" s="14" t="str"/>
      <x:c r="M31" s="14" t="str"/>
      <x:c r="N31" s="14" t="str">
        <x:v>Relevé de Citadelle dans ME1 requis ; noms descriptifs pour la production.</x:v>
      </x:c>
      <x:c r="O31" s="14" t="str">
        <x:v>https://na.llnet.bioware.cdn.ea.com/u/f/eagames/bioware/masseffect/prima/prima_guide_me_pc.pdf</x:v>
      </x:c>
      <x:c r="P31" s="14" t="str">
        <x:v>Production ME1</x:v>
      </x:c>
      <x:c r="Q31" s="14" t="str"/>
    </x:row>
    <x:row r="32" ht="36" customHeight="1">
      <x:c r="A32" s="12" t="str">
        <x:v>ZON-citadelle-banque-de-barla-von</x:v>
      </x:c>
      <x:c r="B32" s="7" t="str">
        <x:v>Citadelle — Banque de Barla Von</x:v>
      </x:c>
      <x:c r="C32" s="10" t="str">
        <x:v>Défini</x:v>
      </x:c>
      <x:c r="D32" s="11" t="str">
        <x:v>À produire</x:v>
      </x:c>
      <x:c r="E32" s="9" t="str">
        <x:v>P1</x:v>
      </x:c>
      <x:c r="F32" s="9" t="str">
        <x:v>ME1</x:v>
      </x:c>
      <x:c r="G32" s="9" t="str">
        <x:v>Référence à vérifier</x:v>
      </x:c>
      <x:c r="H32" s="7" t="str">
        <x:v>Informations financières</x:v>
      </x:c>
      <x:c r="I32" s="7" t="str">
        <x:v>Entrées, sorties, volumes et personnages cartographiés sur captures de référence.</x:v>
      </x:c>
      <x:c r="J32" s="7" t="str">
        <x:v>WRL-citadelle</x:v>
      </x:c>
      <x:c r="K32" s="7" t="str">
        <x:v>content/maps/citadelle/banque-de-barla-von.json</x:v>
      </x:c>
      <x:c r="L32" s="7" t="str"/>
      <x:c r="M32" s="7" t="str"/>
      <x:c r="N32" s="7" t="str">
        <x:v>Relevé de Citadelle dans ME1 requis ; noms descriptifs pour la production.</x:v>
      </x:c>
      <x:c r="O32" s="7" t="str">
        <x:v>https://na.llnet.bioware.cdn.ea.com/u/f/eagames/bioware/masseffect/prima/prima_guide_me_pc.pdf</x:v>
      </x:c>
      <x:c r="P32" s="7" t="str">
        <x:v>Production ME1</x:v>
      </x:c>
      <x:c r="Q32" s="7" t="str"/>
    </x:row>
    <x:row r="33" ht="36" customHeight="1">
      <x:c r="A33" s="13" t="str">
        <x:v>ZON-citadelle-chambres-de-la-consort</x:v>
      </x:c>
      <x:c r="B33" s="14" t="str">
        <x:v>Citadelle — Chambres de la Consort</x:v>
      </x:c>
      <x:c r="C33" s="10" t="str">
        <x:v>Défini</x:v>
      </x:c>
      <x:c r="D33" s="11" t="str">
        <x:v>À produire</x:v>
      </x:c>
      <x:c r="E33" s="15" t="str">
        <x:v>P1</x:v>
      </x:c>
      <x:c r="F33" s="15" t="str">
        <x:v>ME1</x:v>
      </x:c>
      <x:c r="G33" s="15" t="str">
        <x:v>Référence à vérifier</x:v>
      </x:c>
      <x:c r="H33" s="14" t="str">
        <x:v>Quête de Sha’ira</x:v>
      </x:c>
      <x:c r="I33" s="14" t="str">
        <x:v>Entrées, sorties, volumes et personnages cartographiés sur captures de référence.</x:v>
      </x:c>
      <x:c r="J33" s="14" t="str">
        <x:v>WRL-citadelle</x:v>
      </x:c>
      <x:c r="K33" s="14" t="str">
        <x:v>content/maps/citadelle/chambres-de-la-consort.json</x:v>
      </x:c>
      <x:c r="L33" s="14" t="str"/>
      <x:c r="M33" s="14" t="str"/>
      <x:c r="N33" s="14" t="str">
        <x:v>Relevé de Citadelle dans ME1 requis ; noms descriptifs pour la production.</x:v>
      </x:c>
      <x:c r="O33" s="14" t="str">
        <x:v>https://na.llnet.bioware.cdn.ea.com/u/f/eagames/bioware/masseffect/prima/prima_guide_me_pc.pdf</x:v>
      </x:c>
      <x:c r="P33" s="14" t="str">
        <x:v>Production ME1</x:v>
      </x:c>
      <x:c r="Q33" s="14" t="str"/>
    </x:row>
    <x:row r="34" ht="36" customHeight="1">
      <x:c r="A34" s="12" t="str">
        <x:v>ZON-citadelle-emporium</x:v>
      </x:c>
      <x:c r="B34" s="7" t="str">
        <x:v>Citadelle — Emporium</x:v>
      </x:c>
      <x:c r="C34" s="10" t="str">
        <x:v>Défini</x:v>
      </x:c>
      <x:c r="D34" s="11" t="str">
        <x:v>À produire</x:v>
      </x:c>
      <x:c r="E34" s="9" t="str">
        <x:v>P1</x:v>
      </x:c>
      <x:c r="F34" s="9" t="str">
        <x:v>ME1</x:v>
      </x:c>
      <x:c r="G34" s="9" t="str">
        <x:v>Référence à vérifier</x:v>
      </x:c>
      <x:c r="H34" s="7" t="str">
        <x:v>Commerce du Présidium</x:v>
      </x:c>
      <x:c r="I34" s="7" t="str">
        <x:v>Entrées, sorties, volumes et personnages cartographiés sur captures de référence.</x:v>
      </x:c>
      <x:c r="J34" s="7" t="str">
        <x:v>WRL-citadelle</x:v>
      </x:c>
      <x:c r="K34" s="7" t="str">
        <x:v>content/maps/citadelle/emporium.json</x:v>
      </x:c>
      <x:c r="L34" s="7" t="str"/>
      <x:c r="M34" s="7" t="str"/>
      <x:c r="N34" s="7" t="str">
        <x:v>Relevé de Citadelle dans ME1 requis ; noms descriptifs pour la production.</x:v>
      </x:c>
      <x:c r="O34" s="7" t="str">
        <x:v>https://na.llnet.bioware.cdn.ea.com/u/f/eagames/bioware/masseffect/prima/prima_guide_me_pc.pdf</x:v>
      </x:c>
      <x:c r="P34" s="7" t="str">
        <x:v>Production ME1</x:v>
      </x:c>
      <x:c r="Q34" s="7" t="str"/>
    </x:row>
    <x:row r="35" ht="36" customHeight="1">
      <x:c r="A35" s="13" t="str">
        <x:v>ZON-citadelle-transition-des-secteurs</x:v>
      </x:c>
      <x:c r="B35" s="14" t="str">
        <x:v>Citadelle — Transition des Secteurs</x:v>
      </x:c>
      <x:c r="C35" s="10" t="str">
        <x:v>Défini</x:v>
      </x:c>
      <x:c r="D35" s="11" t="str">
        <x:v>À produire</x:v>
      </x:c>
      <x:c r="E35" s="15" t="str">
        <x:v>P1</x:v>
      </x:c>
      <x:c r="F35" s="15" t="str">
        <x:v>ME1</x:v>
      </x:c>
      <x:c r="G35" s="15" t="str">
        <x:v>Référence à vérifier</x:v>
      </x:c>
      <x:c r="H35" s="14" t="str">
        <x:v>Ascenseurs et contrôles</x:v>
      </x:c>
      <x:c r="I35" s="14" t="str">
        <x:v>Entrées, sorties, volumes et personnages cartographiés sur captures de référence.</x:v>
      </x:c>
      <x:c r="J35" s="14" t="str">
        <x:v>WRL-citadelle</x:v>
      </x:c>
      <x:c r="K35" s="14" t="str">
        <x:v>content/maps/citadelle/transition-des-secteurs.json</x:v>
      </x:c>
      <x:c r="L35" s="14" t="str"/>
      <x:c r="M35" s="14" t="str"/>
      <x:c r="N35" s="14" t="str">
        <x:v>Relevé de Citadelle dans ME1 requis ; noms descriptifs pour la production.</x:v>
      </x:c>
      <x:c r="O35" s="14" t="str">
        <x:v>https://na.llnet.bioware.cdn.ea.com/u/f/eagames/bioware/masseffect/prima/prima_guide_me_pc.pdf</x:v>
      </x:c>
      <x:c r="P35" s="14" t="str">
        <x:v>Production ME1</x:v>
      </x:c>
      <x:c r="Q35" s="14" t="str"/>
    </x:row>
    <x:row r="36" ht="36" customHeight="1">
      <x:c r="A36" s="12" t="str">
        <x:v>ZON-citadelle-marche-des-secteurs</x:v>
      </x:c>
      <x:c r="B36" s="7" t="str">
        <x:v>Citadelle — Marché des Secteurs</x:v>
      </x:c>
      <x:c r="C36" s="10" t="str">
        <x:v>Défini</x:v>
      </x:c>
      <x:c r="D36" s="11" t="str">
        <x:v>À produire</x:v>
      </x:c>
      <x:c r="E36" s="9" t="str">
        <x:v>P1</x:v>
      </x:c>
      <x:c r="F36" s="9" t="str">
        <x:v>ME1</x:v>
      </x:c>
      <x:c r="G36" s="9" t="str">
        <x:v>Référence à vérifier</x:v>
      </x:c>
      <x:c r="H36" s="7" t="str">
        <x:v>Commerçants et passants</x:v>
      </x:c>
      <x:c r="I36" s="7" t="str">
        <x:v>Entrées, sorties, volumes et personnages cartographiés sur captures de référence.</x:v>
      </x:c>
      <x:c r="J36" s="7" t="str">
        <x:v>WRL-citadelle</x:v>
      </x:c>
      <x:c r="K36" s="7" t="str">
        <x:v>content/maps/citadelle/marche-des-secteurs.json</x:v>
      </x:c>
      <x:c r="L36" s="7" t="str"/>
      <x:c r="M36" s="7" t="str"/>
      <x:c r="N36" s="7" t="str">
        <x:v>Relevé de Citadelle dans ME1 requis ; noms descriptifs pour la production.</x:v>
      </x:c>
      <x:c r="O36" s="7" t="str">
        <x:v>https://na.llnet.bioware.cdn.ea.com/u/f/eagames/bioware/masseffect/prima/prima_guide_me_pc.pdf</x:v>
      </x:c>
      <x:c r="P36" s="7" t="str">
        <x:v>Production ME1</x:v>
      </x:c>
      <x:c r="Q36" s="7" t="str"/>
    </x:row>
    <x:row r="37" ht="36" customHeight="1">
      <x:c r="A37" s="13" t="str">
        <x:v>ZON-citadelle-clinique-de-michel</x:v>
      </x:c>
      <x:c r="B37" s="14" t="str">
        <x:v>Citadelle — Clinique de Michel</x:v>
      </x:c>
      <x:c r="C37" s="10" t="str">
        <x:v>Défini</x:v>
      </x:c>
      <x:c r="D37" s="11" t="str">
        <x:v>À produire</x:v>
      </x:c>
      <x:c r="E37" s="15" t="str">
        <x:v>P1</x:v>
      </x:c>
      <x:c r="F37" s="15" t="str">
        <x:v>ME1</x:v>
      </x:c>
      <x:c r="G37" s="15" t="str">
        <x:v>Référence à vérifier</x:v>
      </x:c>
      <x:c r="H37" s="14" t="str">
        <x:v>Enquête et soins</x:v>
      </x:c>
      <x:c r="I37" s="14" t="str">
        <x:v>Entrées, sorties, volumes et personnages cartographiés sur captures de référence.</x:v>
      </x:c>
      <x:c r="J37" s="14" t="str">
        <x:v>WRL-citadelle</x:v>
      </x:c>
      <x:c r="K37" s="14" t="str">
        <x:v>content/maps/citadelle/clinique-de-michel.json</x:v>
      </x:c>
      <x:c r="L37" s="14" t="str"/>
      <x:c r="M37" s="14" t="str"/>
      <x:c r="N37" s="14" t="str">
        <x:v>Relevé de Citadelle dans ME1 requis ; noms descriptifs pour la production.</x:v>
      </x:c>
      <x:c r="O37" s="14" t="str">
        <x:v>https://na.llnet.bioware.cdn.ea.com/u/f/eagames/bioware/masseffect/prima/prima_guide_me_pc.pdf</x:v>
      </x:c>
      <x:c r="P37" s="14" t="str">
        <x:v>Production ME1</x:v>
      </x:c>
      <x:c r="Q37" s="14" t="str"/>
    </x:row>
    <x:row r="38" ht="36" customHeight="1">
      <x:c r="A38" s="12" t="str">
        <x:v>ZON-citadelle-chora-s-den</x:v>
      </x:c>
      <x:c r="B38" s="7" t="str">
        <x:v>Citadelle — Chora’s Den</x:v>
      </x:c>
      <x:c r="C38" s="10" t="str">
        <x:v>Défini</x:v>
      </x:c>
      <x:c r="D38" s="11" t="str">
        <x:v>À produire</x:v>
      </x:c>
      <x:c r="E38" s="9" t="str">
        <x:v>P1</x:v>
      </x:c>
      <x:c r="F38" s="9" t="str">
        <x:v>ME1</x:v>
      </x:c>
      <x:c r="G38" s="9" t="str">
        <x:v>Référence à vérifier</x:v>
      </x:c>
      <x:c r="H38" s="7" t="str">
        <x:v>Fist et Harkin</x:v>
      </x:c>
      <x:c r="I38" s="7" t="str">
        <x:v>Entrées, sorties, volumes et personnages cartographiés sur captures de référence.</x:v>
      </x:c>
      <x:c r="J38" s="7" t="str">
        <x:v>WRL-citadelle</x:v>
      </x:c>
      <x:c r="K38" s="7" t="str">
        <x:v>content/maps/citadelle/chora-s-den.json</x:v>
      </x:c>
      <x:c r="L38" s="7" t="str"/>
      <x:c r="M38" s="7" t="str"/>
      <x:c r="N38" s="7" t="str">
        <x:v>Relevé de Citadelle dans ME1 requis ; noms descriptifs pour la production.</x:v>
      </x:c>
      <x:c r="O38" s="7" t="str">
        <x:v>https://na.llnet.bioware.cdn.ea.com/u/f/eagames/bioware/masseffect/prima/prima_guide_me_pc.pdf</x:v>
      </x:c>
      <x:c r="P38" s="7" t="str">
        <x:v>Production ME1</x:v>
      </x:c>
      <x:c r="Q38" s="7" t="str"/>
    </x:row>
    <x:row r="39" ht="36" customHeight="1">
      <x:c r="A39" s="13" t="str">
        <x:v>ZON-citadelle-allee-de-tali</x:v>
      </x:c>
      <x:c r="B39" s="14" t="str">
        <x:v>Citadelle — Allée de Tali</x:v>
      </x:c>
      <x:c r="C39" s="10" t="str">
        <x:v>Défini</x:v>
      </x:c>
      <x:c r="D39" s="11" t="str">
        <x:v>À produire</x:v>
      </x:c>
      <x:c r="E39" s="15" t="str">
        <x:v>P1</x:v>
      </x:c>
      <x:c r="F39" s="15" t="str">
        <x:v>ME1</x:v>
      </x:c>
      <x:c r="G39" s="15" t="str">
        <x:v>Référence à vérifier</x:v>
      </x:c>
      <x:c r="H39" s="14" t="str">
        <x:v>Sauvetage et recrutement</x:v>
      </x:c>
      <x:c r="I39" s="14" t="str">
        <x:v>Entrées, sorties, volumes et personnages cartographiés sur captures de référence.</x:v>
      </x:c>
      <x:c r="J39" s="14" t="str">
        <x:v>WRL-citadelle</x:v>
      </x:c>
      <x:c r="K39" s="14" t="str">
        <x:v>content/maps/citadelle/allee-de-tali.json</x:v>
      </x:c>
      <x:c r="L39" s="14" t="str"/>
      <x:c r="M39" s="14" t="str"/>
      <x:c r="N39" s="14" t="str">
        <x:v>Relevé de Citadelle dans ME1 requis ; noms descriptifs pour la production.</x:v>
      </x:c>
      <x:c r="O39" s="14" t="str">
        <x:v>https://na.llnet.bioware.cdn.ea.com/u/f/eagames/bioware/masseffect/prima/prima_guide_me_pc.pdf</x:v>
      </x:c>
      <x:c r="P39" s="14" t="str">
        <x:v>Production ME1</x:v>
      </x:c>
      <x:c r="Q39" s="14" t="str"/>
    </x:row>
    <x:row r="40" ht="36" customHeight="1">
      <x:c r="A40" s="12" t="str">
        <x:v>ZON-citadelle-flux</x:v>
      </x:c>
      <x:c r="B40" s="7" t="str">
        <x:v>Citadelle — Flux</x:v>
      </x:c>
      <x:c r="C40" s="10" t="str">
        <x:v>Défini</x:v>
      </x:c>
      <x:c r="D40" s="11" t="str">
        <x:v>À produire</x:v>
      </x:c>
      <x:c r="E40" s="9" t="str">
        <x:v>P1</x:v>
      </x:c>
      <x:c r="F40" s="9" t="str">
        <x:v>ME1</x:v>
      </x:c>
      <x:c r="G40" s="9" t="str">
        <x:v>Référence à vérifier</x:v>
      </x:c>
      <x:c r="H40" s="7" t="str">
        <x:v>Bar, détente et enquêtes</x:v>
      </x:c>
      <x:c r="I40" s="7" t="str">
        <x:v>Entrées, sorties, volumes et personnages cartographiés sur captures de référence.</x:v>
      </x:c>
      <x:c r="J40" s="7" t="str">
        <x:v>WRL-citadelle</x:v>
      </x:c>
      <x:c r="K40" s="7" t="str">
        <x:v>content/maps/citadelle/flux.json</x:v>
      </x:c>
      <x:c r="L40" s="7" t="str"/>
      <x:c r="M40" s="7" t="str"/>
      <x:c r="N40" s="7" t="str">
        <x:v>Relevé de Citadelle dans ME1 requis ; noms descriptifs pour la production.</x:v>
      </x:c>
      <x:c r="O40" s="7" t="str">
        <x:v>https://na.llnet.bioware.cdn.ea.com/u/f/eagames/bioware/masseffect/prima/prima_guide_me_pc.pdf</x:v>
      </x:c>
      <x:c r="P40" s="7" t="str">
        <x:v>Production ME1</x:v>
      </x:c>
      <x:c r="Q40" s="7" t="str"/>
    </x:row>
    <x:row r="41" ht="36" customHeight="1">
      <x:c r="A41" s="13" t="str">
        <x:v>ZON-citadelle-academie-du-ssc</x:v>
      </x:c>
      <x:c r="B41" s="14" t="str">
        <x:v>Citadelle — Académie du SSC</x:v>
      </x:c>
      <x:c r="C41" s="10" t="str">
        <x:v>Défini</x:v>
      </x:c>
      <x:c r="D41" s="11" t="str">
        <x:v>À produire</x:v>
      </x:c>
      <x:c r="E41" s="15" t="str">
        <x:v>P1</x:v>
      </x:c>
      <x:c r="F41" s="15" t="str">
        <x:v>ME1</x:v>
      </x:c>
      <x:c r="G41" s="15" t="str">
        <x:v>Référence à vérifier</x:v>
      </x:c>
      <x:c r="H41" s="14" t="str">
        <x:v>Sécurité et Wrex</x:v>
      </x:c>
      <x:c r="I41" s="14" t="str">
        <x:v>Entrées, sorties, volumes et personnages cartographiés sur captures de référence.</x:v>
      </x:c>
      <x:c r="J41" s="14" t="str">
        <x:v>WRL-citadelle</x:v>
      </x:c>
      <x:c r="K41" s="14" t="str">
        <x:v>content/maps/citadelle/academie-du-ssc.json</x:v>
      </x:c>
      <x:c r="L41" s="14" t="str"/>
      <x:c r="M41" s="14" t="str"/>
      <x:c r="N41" s="14" t="str">
        <x:v>Relevé de Citadelle dans ME1 requis ; noms descriptifs pour la production.</x:v>
      </x:c>
      <x:c r="O41" s="14" t="str">
        <x:v>https://na.llnet.bioware.cdn.ea.com/u/f/eagames/bioware/masseffect/prima/prima_guide_me_pc.pdf</x:v>
      </x:c>
      <x:c r="P41" s="14" t="str">
        <x:v>Production ME1</x:v>
      </x:c>
      <x:c r="Q41" s="14" t="str"/>
    </x:row>
    <x:row r="42" ht="36" customHeight="1">
      <x:c r="A42" s="12" t="str">
        <x:v>ZON-citadelle-bureaux-du-ssc</x:v>
      </x:c>
      <x:c r="B42" s="7" t="str">
        <x:v>Citadelle — Bureaux du SSC</x:v>
      </x:c>
      <x:c r="C42" s="10" t="str">
        <x:v>Défini</x:v>
      </x:c>
      <x:c r="D42" s="11" t="str">
        <x:v>À produire</x:v>
      </x:c>
      <x:c r="E42" s="9" t="str">
        <x:v>P1</x:v>
      </x:c>
      <x:c r="F42" s="9" t="str">
        <x:v>ME1</x:v>
      </x:c>
      <x:c r="G42" s="9" t="str">
        <x:v>Référence à vérifier</x:v>
      </x:c>
      <x:c r="H42" s="7" t="str">
        <x:v>Enquêtes et recrutement</x:v>
      </x:c>
      <x:c r="I42" s="7" t="str">
        <x:v>Entrées, sorties, volumes et personnages cartographiés sur captures de référence.</x:v>
      </x:c>
      <x:c r="J42" s="7" t="str">
        <x:v>WRL-citadelle</x:v>
      </x:c>
      <x:c r="K42" s="7" t="str">
        <x:v>content/maps/citadelle/bureaux-du-ssc.json</x:v>
      </x:c>
      <x:c r="L42" s="7" t="str"/>
      <x:c r="M42" s="7" t="str"/>
      <x:c r="N42" s="7" t="str">
        <x:v>Relevé de Citadelle dans ME1 requis ; noms descriptifs pour la production.</x:v>
      </x:c>
      <x:c r="O42" s="7" t="str">
        <x:v>https://na.llnet.bioware.cdn.ea.com/u/f/eagames/bioware/masseffect/prima/prima_guide_me_pc.pdf</x:v>
      </x:c>
      <x:c r="P42" s="7" t="str">
        <x:v>Production ME1</x:v>
      </x:c>
      <x:c r="Q42" s="7" t="str"/>
    </x:row>
    <x:row r="43" ht="36" customHeight="1">
      <x:c r="A43" s="13" t="str">
        <x:v>ZON-citadelle-baie-de-trafic</x:v>
      </x:c>
      <x:c r="B43" s="14" t="str">
        <x:v>Citadelle — Baie de trafic</x:v>
      </x:c>
      <x:c r="C43" s="10" t="str">
        <x:v>Défini</x:v>
      </x:c>
      <x:c r="D43" s="11" t="str">
        <x:v>À produire</x:v>
      </x:c>
      <x:c r="E43" s="15" t="str">
        <x:v>P1</x:v>
      </x:c>
      <x:c r="F43" s="15" t="str">
        <x:v>ME1</x:v>
      </x:c>
      <x:c r="G43" s="15" t="str">
        <x:v>Référence à vérifier</x:v>
      </x:c>
      <x:c r="H43" s="14" t="str">
        <x:v>Quêtes de contrebande</x:v>
      </x:c>
      <x:c r="I43" s="14" t="str">
        <x:v>Entrées, sorties, volumes et personnages cartographiés sur captures de référence.</x:v>
      </x:c>
      <x:c r="J43" s="14" t="str">
        <x:v>WRL-citadelle</x:v>
      </x:c>
      <x:c r="K43" s="14" t="str">
        <x:v>content/maps/citadelle/baie-de-trafic.json</x:v>
      </x:c>
      <x:c r="L43" s="14" t="str"/>
      <x:c r="M43" s="14" t="str"/>
      <x:c r="N43" s="14" t="str">
        <x:v>Relevé de Citadelle dans ME1 requis ; noms descriptifs pour la production.</x:v>
      </x:c>
      <x:c r="O43" s="14" t="str">
        <x:v>https://na.llnet.bioware.cdn.ea.com/u/f/eagames/bioware/masseffect/prima/prima_guide_me_pc.pdf</x:v>
      </x:c>
      <x:c r="P43" s="14" t="str">
        <x:v>Production ME1</x:v>
      </x:c>
      <x:c r="Q43" s="14" t="str"/>
    </x:row>
    <x:row r="44" ht="36" customHeight="1">
      <x:c r="A44" s="12" t="str">
        <x:v>ZON-citadelle-ascenseur-de-la-tour</x:v>
      </x:c>
      <x:c r="B44" s="7" t="str">
        <x:v>Citadelle — Ascenseur de la tour</x:v>
      </x:c>
      <x:c r="C44" s="10" t="str">
        <x:v>Défini</x:v>
      </x:c>
      <x:c r="D44" s="11" t="str">
        <x:v>À produire</x:v>
      </x:c>
      <x:c r="E44" s="9" t="str">
        <x:v>P1</x:v>
      </x:c>
      <x:c r="F44" s="9" t="str">
        <x:v>ME1</x:v>
      </x:c>
      <x:c r="G44" s="9" t="str">
        <x:v>Référence à vérifier</x:v>
      </x:c>
      <x:c r="H44" s="7" t="str">
        <x:v>Transition finale</x:v>
      </x:c>
      <x:c r="I44" s="7" t="str">
        <x:v>Entrées, sorties, volumes et personnages cartographiés sur captures de référence.</x:v>
      </x:c>
      <x:c r="J44" s="7" t="str">
        <x:v>WRL-citadelle</x:v>
      </x:c>
      <x:c r="K44" s="7" t="str">
        <x:v>content/maps/citadelle/ascenseur-de-la-tour.json</x:v>
      </x:c>
      <x:c r="L44" s="7" t="str"/>
      <x:c r="M44" s="7" t="str"/>
      <x:c r="N44" s="7" t="str">
        <x:v>Relevé de Citadelle dans ME1 requis ; noms descriptifs pour la production.</x:v>
      </x:c>
      <x:c r="O44" s="7" t="str">
        <x:v>https://na.llnet.bioware.cdn.ea.com/u/f/eagames/bioware/masseffect/prima/prima_guide_me_pc.pdf</x:v>
      </x:c>
      <x:c r="P44" s="7" t="str">
        <x:v>Production ME1</x:v>
      </x:c>
      <x:c r="Q44" s="7" t="str"/>
    </x:row>
    <x:row r="45" ht="36" customHeight="1">
      <x:c r="A45" s="13" t="str">
        <x:v>ZON-citadelle-exterieur-de-la-tour</x:v>
      </x:c>
      <x:c r="B45" s="14" t="str">
        <x:v>Citadelle — Extérieur de la tour</x:v>
      </x:c>
      <x:c r="C45" s="10" t="str">
        <x:v>Défini</x:v>
      </x:c>
      <x:c r="D45" s="11" t="str">
        <x:v>À produire</x:v>
      </x:c>
      <x:c r="E45" s="15" t="str">
        <x:v>P1</x:v>
      </x:c>
      <x:c r="F45" s="15" t="str">
        <x:v>ME1</x:v>
      </x:c>
      <x:c r="G45" s="15" t="str">
        <x:v>Référence à vérifier</x:v>
      </x:c>
      <x:c r="H45" s="14" t="str">
        <x:v>Assaut final en gravité maîtrisée</x:v>
      </x:c>
      <x:c r="I45" s="14" t="str">
        <x:v>Entrées, sorties, volumes et personnages cartographiés sur captures de référence.</x:v>
      </x:c>
      <x:c r="J45" s="14" t="str">
        <x:v>WRL-citadelle</x:v>
      </x:c>
      <x:c r="K45" s="14" t="str">
        <x:v>content/maps/citadelle/exterieur-de-la-tour.json</x:v>
      </x:c>
      <x:c r="L45" s="14" t="str"/>
      <x:c r="M45" s="14" t="str"/>
      <x:c r="N45" s="14" t="str">
        <x:v>Relevé de Citadelle dans ME1 requis ; noms descriptifs pour la production.</x:v>
      </x:c>
      <x:c r="O45" s="14" t="str">
        <x:v>https://na.llnet.bioware.cdn.ea.com/u/f/eagames/bioware/masseffect/prima/prima_guide_me_pc.pdf</x:v>
      </x:c>
      <x:c r="P45" s="14" t="str">
        <x:v>Production ME1</x:v>
      </x:c>
      <x:c r="Q45" s="14" t="str"/>
    </x:row>
    <x:row r="46" ht="36" customHeight="1">
      <x:c r="A46" s="12" t="str">
        <x:v>ZON-therum-plaine-d-atterrissage</x:v>
      </x:c>
      <x:c r="B46" s="7" t="str">
        <x:v>Therum — Plaine d’atterrissage</x:v>
      </x:c>
      <x:c r="C46" s="10" t="str">
        <x:v>Défini</x:v>
      </x:c>
      <x:c r="D46" s="11" t="str">
        <x:v>À produire</x:v>
      </x:c>
      <x:c r="E46" s="9" t="str">
        <x:v>P1</x:v>
      </x:c>
      <x:c r="F46" s="9" t="str">
        <x:v>ME1</x:v>
      </x:c>
      <x:c r="G46" s="9" t="str">
        <x:v>Référence à vérifier</x:v>
      </x:c>
      <x:c r="H46" s="7" t="str">
        <x:v>Départ en Mako</x:v>
      </x:c>
      <x:c r="I46" s="7" t="str">
        <x:v>Entrées, sorties, volumes et personnages cartographiés sur captures de référence.</x:v>
      </x:c>
      <x:c r="J46" s="7" t="str">
        <x:v>WRL-therum</x:v>
      </x:c>
      <x:c r="K46" s="7" t="str">
        <x:v>content/maps/therum/plaine-d-atterrissage.json</x:v>
      </x:c>
      <x:c r="L46" s="7" t="str"/>
      <x:c r="M46" s="7" t="str"/>
      <x:c r="N46" s="7" t="str">
        <x:v>Relevé de Therum dans ME1 requis ; noms descriptifs pour la production.</x:v>
      </x:c>
      <x:c r="O46" s="7" t="str">
        <x:v>https://na.llnet.bioware.cdn.ea.com/u/f/eagames/bioware/masseffect/prima/prima_guide_me_pc.pdf</x:v>
      </x:c>
      <x:c r="P46" s="7" t="str">
        <x:v>Production ME1</x:v>
      </x:c>
      <x:c r="Q46" s="7" t="str"/>
    </x:row>
    <x:row r="47" ht="36" customHeight="1">
      <x:c r="A47" s="13" t="str">
        <x:v>ZON-therum-canyon-de-lave</x:v>
      </x:c>
      <x:c r="B47" s="14" t="str">
        <x:v>Therum — Canyon de lave</x:v>
      </x:c>
      <x:c r="C47" s="10" t="str">
        <x:v>Défini</x:v>
      </x:c>
      <x:c r="D47" s="11" t="str">
        <x:v>À produire</x:v>
      </x:c>
      <x:c r="E47" s="15" t="str">
        <x:v>P1</x:v>
      </x:c>
      <x:c r="F47" s="15" t="str">
        <x:v>ME1</x:v>
      </x:c>
      <x:c r="G47" s="15" t="str">
        <x:v>Référence à vérifier</x:v>
      </x:c>
      <x:c r="H47" s="14" t="str">
        <x:v>Trajet sous le feu geth</x:v>
      </x:c>
      <x:c r="I47" s="14" t="str">
        <x:v>Entrées, sorties, volumes et personnages cartographiés sur captures de référence.</x:v>
      </x:c>
      <x:c r="J47" s="14" t="str">
        <x:v>WRL-therum</x:v>
      </x:c>
      <x:c r="K47" s="14" t="str">
        <x:v>content/maps/therum/canyon-de-lave.json</x:v>
      </x:c>
      <x:c r="L47" s="14" t="str"/>
      <x:c r="M47" s="14" t="str"/>
      <x:c r="N47" s="14" t="str">
        <x:v>Relevé de Therum dans ME1 requis ; noms descriptifs pour la production.</x:v>
      </x:c>
      <x:c r="O47" s="14" t="str">
        <x:v>https://na.llnet.bioware.cdn.ea.com/u/f/eagames/bioware/masseffect/prima/prima_guide_me_pc.pdf</x:v>
      </x:c>
      <x:c r="P47" s="14" t="str">
        <x:v>Production ME1</x:v>
      </x:c>
      <x:c r="Q47" s="14" t="str"/>
    </x:row>
    <x:row r="48" ht="36" customHeight="1">
      <x:c r="A48" s="12" t="str">
        <x:v>ZON-therum-poste-de-raffinerie</x:v>
      </x:c>
      <x:c r="B48" s="7" t="str">
        <x:v>Therum — Poste de raffinerie</x:v>
      </x:c>
      <x:c r="C48" s="10" t="str">
        <x:v>Défini</x:v>
      </x:c>
      <x:c r="D48" s="11" t="str">
        <x:v>À produire</x:v>
      </x:c>
      <x:c r="E48" s="9" t="str">
        <x:v>P1</x:v>
      </x:c>
      <x:c r="F48" s="9" t="str">
        <x:v>ME1</x:v>
      </x:c>
      <x:c r="G48" s="9" t="str">
        <x:v>Référence à vérifier</x:v>
      </x:c>
      <x:c r="H48" s="7" t="str">
        <x:v>Défenses et portes</x:v>
      </x:c>
      <x:c r="I48" s="7" t="str">
        <x:v>Entrées, sorties, volumes et personnages cartographiés sur captures de référence.</x:v>
      </x:c>
      <x:c r="J48" s="7" t="str">
        <x:v>WRL-therum</x:v>
      </x:c>
      <x:c r="K48" s="7" t="str">
        <x:v>content/maps/therum/poste-de-raffinerie.json</x:v>
      </x:c>
      <x:c r="L48" s="7" t="str"/>
      <x:c r="M48" s="7" t="str"/>
      <x:c r="N48" s="7" t="str">
        <x:v>Relevé de Therum dans ME1 requis ; noms descriptifs pour la production.</x:v>
      </x:c>
      <x:c r="O48" s="7" t="str">
        <x:v>https://na.llnet.bioware.cdn.ea.com/u/f/eagames/bioware/masseffect/prima/prima_guide_me_pc.pdf</x:v>
      </x:c>
      <x:c r="P48" s="7" t="str">
        <x:v>Production ME1</x:v>
      </x:c>
      <x:c r="Q48" s="7" t="str"/>
    </x:row>
    <x:row r="49" ht="36" customHeight="1">
      <x:c r="A49" s="13" t="str">
        <x:v>ZON-therum-acces-de-la-mine</x:v>
      </x:c>
      <x:c r="B49" s="14" t="str">
        <x:v>Therum — Accès de la mine</x:v>
      </x:c>
      <x:c r="C49" s="10" t="str">
        <x:v>Défini</x:v>
      </x:c>
      <x:c r="D49" s="11" t="str">
        <x:v>À produire</x:v>
      </x:c>
      <x:c r="E49" s="15" t="str">
        <x:v>P1</x:v>
      </x:c>
      <x:c r="F49" s="15" t="str">
        <x:v>ME1</x:v>
      </x:c>
      <x:c r="G49" s="15" t="str">
        <x:v>Référence à vérifier</x:v>
      </x:c>
      <x:c r="H49" s="14" t="str">
        <x:v>Progression à pied</x:v>
      </x:c>
      <x:c r="I49" s="14" t="str">
        <x:v>Entrées, sorties, volumes et personnages cartographiés sur captures de référence.</x:v>
      </x:c>
      <x:c r="J49" s="14" t="str">
        <x:v>WRL-therum</x:v>
      </x:c>
      <x:c r="K49" s="14" t="str">
        <x:v>content/maps/therum/acces-de-la-mine.json</x:v>
      </x:c>
      <x:c r="L49" s="14" t="str"/>
      <x:c r="M49" s="14" t="str"/>
      <x:c r="N49" s="14" t="str">
        <x:v>Relevé de Therum dans ME1 requis ; noms descriptifs pour la production.</x:v>
      </x:c>
      <x:c r="O49" s="14" t="str">
        <x:v>https://na.llnet.bioware.cdn.ea.com/u/f/eagames/bioware/masseffect/prima/prima_guide_me_pc.pdf</x:v>
      </x:c>
      <x:c r="P49" s="14" t="str">
        <x:v>Production ME1</x:v>
      </x:c>
      <x:c r="Q49" s="14" t="str"/>
    </x:row>
    <x:row r="50" ht="36" customHeight="1">
      <x:c r="A50" s="12" t="str">
        <x:v>ZON-therum-galerie-d-excavation</x:v>
      </x:c>
      <x:c r="B50" s="7" t="str">
        <x:v>Therum — Galerie d’excavation</x:v>
      </x:c>
      <x:c r="C50" s="10" t="str">
        <x:v>Défini</x:v>
      </x:c>
      <x:c r="D50" s="11" t="str">
        <x:v>À produire</x:v>
      </x:c>
      <x:c r="E50" s="9" t="str">
        <x:v>P1</x:v>
      </x:c>
      <x:c r="F50" s="9" t="str">
        <x:v>ME1</x:v>
      </x:c>
      <x:c r="G50" s="9" t="str">
        <x:v>Référence à vérifier</x:v>
      </x:c>
      <x:c r="H50" s="7" t="str">
        <x:v>Geth et archéologie</x:v>
      </x:c>
      <x:c r="I50" s="7" t="str">
        <x:v>Entrées, sorties, volumes et personnages cartographiés sur captures de référence.</x:v>
      </x:c>
      <x:c r="J50" s="7" t="str">
        <x:v>WRL-therum</x:v>
      </x:c>
      <x:c r="K50" s="7" t="str">
        <x:v>content/maps/therum/galerie-d-excavation.json</x:v>
      </x:c>
      <x:c r="L50" s="7" t="str"/>
      <x:c r="M50" s="7" t="str"/>
      <x:c r="N50" s="7" t="str">
        <x:v>Relevé de Therum dans ME1 requis ; noms descriptifs pour la production.</x:v>
      </x:c>
      <x:c r="O50" s="7" t="str">
        <x:v>https://na.llnet.bioware.cdn.ea.com/u/f/eagames/bioware/masseffect/prima/prima_guide_me_pc.pdf</x:v>
      </x:c>
      <x:c r="P50" s="7" t="str">
        <x:v>Production ME1</x:v>
      </x:c>
      <x:c r="Q50" s="7" t="str"/>
    </x:row>
    <x:row r="51" ht="36" customHeight="1">
      <x:c r="A51" s="13" t="str">
        <x:v>ZON-therum-barriere-protheenne</x:v>
      </x:c>
      <x:c r="B51" s="14" t="str">
        <x:v>Therum — Barrière prothéenne</x:v>
      </x:c>
      <x:c r="C51" s="10" t="str">
        <x:v>Défini</x:v>
      </x:c>
      <x:c r="D51" s="11" t="str">
        <x:v>À produire</x:v>
      </x:c>
      <x:c r="E51" s="15" t="str">
        <x:v>P1</x:v>
      </x:c>
      <x:c r="F51" s="15" t="str">
        <x:v>ME1</x:v>
      </x:c>
      <x:c r="G51" s="15" t="str">
        <x:v>Référence à vérifier</x:v>
      </x:c>
      <x:c r="H51" s="14" t="str">
        <x:v>Liara immobilisée</x:v>
      </x:c>
      <x:c r="I51" s="14" t="str">
        <x:v>Entrées, sorties, volumes et personnages cartographiés sur captures de référence.</x:v>
      </x:c>
      <x:c r="J51" s="14" t="str">
        <x:v>WRL-therum</x:v>
      </x:c>
      <x:c r="K51" s="14" t="str">
        <x:v>content/maps/therum/barriere-protheenne.json</x:v>
      </x:c>
      <x:c r="L51" s="14" t="str"/>
      <x:c r="M51" s="14" t="str"/>
      <x:c r="N51" s="14" t="str">
        <x:v>Relevé de Therum dans ME1 requis ; noms descriptifs pour la production.</x:v>
      </x:c>
      <x:c r="O51" s="14" t="str">
        <x:v>https://na.llnet.bioware.cdn.ea.com/u/f/eagames/bioware/masseffect/prima/prima_guide_me_pc.pdf</x:v>
      </x:c>
      <x:c r="P51" s="14" t="str">
        <x:v>Production ME1</x:v>
      </x:c>
      <x:c r="Q51" s="14" t="str"/>
    </x:row>
    <x:row r="52" ht="36" customHeight="1">
      <x:c r="A52" s="12" t="str">
        <x:v>ZON-therum-ascenseur-de-sortie</x:v>
      </x:c>
      <x:c r="B52" s="7" t="str">
        <x:v>Therum — Ascenseur de sortie</x:v>
      </x:c>
      <x:c r="C52" s="10" t="str">
        <x:v>Défini</x:v>
      </x:c>
      <x:c r="D52" s="11" t="str">
        <x:v>À produire</x:v>
      </x:c>
      <x:c r="E52" s="9" t="str">
        <x:v>P1</x:v>
      </x:c>
      <x:c r="F52" s="9" t="str">
        <x:v>ME1</x:v>
      </x:c>
      <x:c r="G52" s="9" t="str">
        <x:v>Référence à vérifier</x:v>
      </x:c>
      <x:c r="H52" s="7" t="str">
        <x:v>Confrontation et extraction</x:v>
      </x:c>
      <x:c r="I52" s="7" t="str">
        <x:v>Entrées, sorties, volumes et personnages cartographiés sur captures de référence.</x:v>
      </x:c>
      <x:c r="J52" s="7" t="str">
        <x:v>WRL-therum</x:v>
      </x:c>
      <x:c r="K52" s="7" t="str">
        <x:v>content/maps/therum/ascenseur-de-sortie.json</x:v>
      </x:c>
      <x:c r="L52" s="7" t="str"/>
      <x:c r="M52" s="7" t="str"/>
      <x:c r="N52" s="7" t="str">
        <x:v>Relevé de Therum dans ME1 requis ; noms descriptifs pour la production.</x:v>
      </x:c>
      <x:c r="O52" s="7" t="str">
        <x:v>https://na.llnet.bioware.cdn.ea.com/u/f/eagames/bioware/masseffect/prima/prima_guide_me_pc.pdf</x:v>
      </x:c>
      <x:c r="P52" s="7" t="str">
        <x:v>Production ME1</x:v>
      </x:c>
      <x:c r="Q52" s="7" t="str"/>
    </x:row>
    <x:row r="53" ht="36" customHeight="1">
      <x:c r="A53" s="13" t="str">
        <x:v>ZON-feros-port-de-zhu-s-hope</x:v>
      </x:c>
      <x:c r="B53" s="14" t="str">
        <x:v>Feros — Port de Zhu’s Hope</x:v>
      </x:c>
      <x:c r="C53" s="10" t="str">
        <x:v>Défini</x:v>
      </x:c>
      <x:c r="D53" s="11" t="str">
        <x:v>À produire</x:v>
      </x:c>
      <x:c r="E53" s="15" t="str">
        <x:v>P1</x:v>
      </x:c>
      <x:c r="F53" s="15" t="str">
        <x:v>ME1</x:v>
      </x:c>
      <x:c r="G53" s="15" t="str">
        <x:v>Référence à vérifier</x:v>
      </x:c>
      <x:c r="H53" s="14" t="str">
        <x:v>Arrivée dans la colonie</x:v>
      </x:c>
      <x:c r="I53" s="14" t="str">
        <x:v>Entrées, sorties, volumes et personnages cartographiés sur captures de référence.</x:v>
      </x:c>
      <x:c r="J53" s="14" t="str">
        <x:v>WRL-feros</x:v>
      </x:c>
      <x:c r="K53" s="14" t="str">
        <x:v>content/maps/feros/port-de-zhu-s-hope.json</x:v>
      </x:c>
      <x:c r="L53" s="14" t="str"/>
      <x:c r="M53" s="14" t="str"/>
      <x:c r="N53" s="14" t="str">
        <x:v>Relevé de Feros dans ME1 requis ; noms descriptifs pour la production.</x:v>
      </x:c>
      <x:c r="O53" s="14" t="str">
        <x:v>https://na.llnet.bioware.cdn.ea.com/u/f/eagames/bioware/masseffect/prima/prima_guide_me_pc.pdf</x:v>
      </x:c>
      <x:c r="P53" s="14" t="str">
        <x:v>Production ME1</x:v>
      </x:c>
      <x:c r="Q53" s="14" t="str"/>
    </x:row>
    <x:row r="54" ht="36" customHeight="1">
      <x:c r="A54" s="12" t="str">
        <x:v>ZON-feros-abri-des-colons</x:v>
      </x:c>
      <x:c r="B54" s="7" t="str">
        <x:v>Feros — Abri des colons</x:v>
      </x:c>
      <x:c r="C54" s="10" t="str">
        <x:v>Défini</x:v>
      </x:c>
      <x:c r="D54" s="11" t="str">
        <x:v>À produire</x:v>
      </x:c>
      <x:c r="E54" s="9" t="str">
        <x:v>P1</x:v>
      </x:c>
      <x:c r="F54" s="9" t="str">
        <x:v>ME1</x:v>
      </x:c>
      <x:c r="G54" s="9" t="str">
        <x:v>Référence à vérifier</x:v>
      </x:c>
      <x:c r="H54" s="7" t="str">
        <x:v>Discussions et services</x:v>
      </x:c>
      <x:c r="I54" s="7" t="str">
        <x:v>Entrées, sorties, volumes et personnages cartographiés sur captures de référence.</x:v>
      </x:c>
      <x:c r="J54" s="7" t="str">
        <x:v>WRL-feros</x:v>
      </x:c>
      <x:c r="K54" s="7" t="str">
        <x:v>content/maps/feros/abri-des-colons.json</x:v>
      </x:c>
      <x:c r="L54" s="7" t="str"/>
      <x:c r="M54" s="7" t="str"/>
      <x:c r="N54" s="7" t="str">
        <x:v>Relevé de Feros dans ME1 requis ; noms descriptifs pour la production.</x:v>
      </x:c>
      <x:c r="O54" s="7" t="str">
        <x:v>https://na.llnet.bioware.cdn.ea.com/u/f/eagames/bioware/masseffect/prima/prima_guide_me_pc.pdf</x:v>
      </x:c>
      <x:c r="P54" s="7" t="str">
        <x:v>Production ME1</x:v>
      </x:c>
      <x:c r="Q54" s="7" t="str"/>
    </x:row>
    <x:row r="55" ht="36" customHeight="1">
      <x:c r="A55" s="13" t="str">
        <x:v>ZON-feros-tunnels-de-maintenance</x:v>
      </x:c>
      <x:c r="B55" s="14" t="str">
        <x:v>Feros — Tunnels de maintenance</x:v>
      </x:c>
      <x:c r="C55" s="10" t="str">
        <x:v>Défini</x:v>
      </x:c>
      <x:c r="D55" s="11" t="str">
        <x:v>À produire</x:v>
      </x:c>
      <x:c r="E55" s="15" t="str">
        <x:v>P1</x:v>
      </x:c>
      <x:c r="F55" s="15" t="str">
        <x:v>ME1</x:v>
      </x:c>
      <x:c r="G55" s="15" t="str">
        <x:v>Référence à vérifier</x:v>
      </x:c>
      <x:c r="H55" s="14" t="str">
        <x:v>Eau et infestation</x:v>
      </x:c>
      <x:c r="I55" s="14" t="str">
        <x:v>Entrées, sorties, volumes et personnages cartographiés sur captures de référence.</x:v>
      </x:c>
      <x:c r="J55" s="14" t="str">
        <x:v>WRL-feros</x:v>
      </x:c>
      <x:c r="K55" s="14" t="str">
        <x:v>content/maps/feros/tunnels-de-maintenance.json</x:v>
      </x:c>
      <x:c r="L55" s="14" t="str"/>
      <x:c r="M55" s="14" t="str"/>
      <x:c r="N55" s="14" t="str">
        <x:v>Relevé de Feros dans ME1 requis ; noms descriptifs pour la production.</x:v>
      </x:c>
      <x:c r="O55" s="14" t="str">
        <x:v>https://na.llnet.bioware.cdn.ea.com/u/f/eagames/bioware/masseffect/prima/prima_guide_me_pc.pdf</x:v>
      </x:c>
      <x:c r="P55" s="14" t="str">
        <x:v>Production ME1</x:v>
      </x:c>
      <x:c r="Q55" s="14" t="str"/>
    </x:row>
    <x:row r="56" ht="36" customHeight="1">
      <x:c r="A56" s="12" t="str">
        <x:v>ZON-feros-pont-effondre</x:v>
      </x:c>
      <x:c r="B56" s="7" t="str">
        <x:v>Feros — Pont effondré</x:v>
      </x:c>
      <x:c r="C56" s="10" t="str">
        <x:v>Défini</x:v>
      </x:c>
      <x:c r="D56" s="11" t="str">
        <x:v>À produire</x:v>
      </x:c>
      <x:c r="E56" s="9" t="str">
        <x:v>P1</x:v>
      </x:c>
      <x:c r="F56" s="9" t="str">
        <x:v>ME1</x:v>
      </x:c>
      <x:c r="G56" s="9" t="str">
        <x:v>Référence à vérifier</x:v>
      </x:c>
      <x:c r="H56" s="7" t="str">
        <x:v>Énergie et varrens</x:v>
      </x:c>
      <x:c r="I56" s="7" t="str">
        <x:v>Entrées, sorties, volumes et personnages cartographiés sur captures de référence.</x:v>
      </x:c>
      <x:c r="J56" s="7" t="str">
        <x:v>WRL-feros</x:v>
      </x:c>
      <x:c r="K56" s="7" t="str">
        <x:v>content/maps/feros/pont-effondre.json</x:v>
      </x:c>
      <x:c r="L56" s="7" t="str"/>
      <x:c r="M56" s="7" t="str"/>
      <x:c r="N56" s="7" t="str">
        <x:v>Relevé de Feros dans ME1 requis ; noms descriptifs pour la production.</x:v>
      </x:c>
      <x:c r="O56" s="7" t="str">
        <x:v>https://na.llnet.bioware.cdn.ea.com/u/f/eagames/bioware/masseffect/prima/prima_guide_me_pc.pdf</x:v>
      </x:c>
      <x:c r="P56" s="7" t="str">
        <x:v>Production ME1</x:v>
      </x:c>
      <x:c r="Q56" s="7" t="str"/>
    </x:row>
    <x:row r="57" ht="36" customHeight="1">
      <x:c r="A57" s="13" t="str">
        <x:v>ZON-feros-voie-aerienne</x:v>
      </x:c>
      <x:c r="B57" s="14" t="str">
        <x:v>Feros — Voie aérienne</x:v>
      </x:c>
      <x:c r="C57" s="10" t="str">
        <x:v>Défini</x:v>
      </x:c>
      <x:c r="D57" s="11" t="str">
        <x:v>À produire</x:v>
      </x:c>
      <x:c r="E57" s="15" t="str">
        <x:v>P1</x:v>
      </x:c>
      <x:c r="F57" s="15" t="str">
        <x:v>ME1</x:v>
      </x:c>
      <x:c r="G57" s="15" t="str">
        <x:v>Référence à vérifier</x:v>
      </x:c>
      <x:c r="H57" s="14" t="str">
        <x:v>Parcours Mako vers ExoGeni</x:v>
      </x:c>
      <x:c r="I57" s="14" t="str">
        <x:v>Entrées, sorties, volumes et personnages cartographiés sur captures de référence.</x:v>
      </x:c>
      <x:c r="J57" s="14" t="str">
        <x:v>WRL-feros</x:v>
      </x:c>
      <x:c r="K57" s="14" t="str">
        <x:v>content/maps/feros/voie-aerienne.json</x:v>
      </x:c>
      <x:c r="L57" s="14" t="str"/>
      <x:c r="M57" s="14" t="str"/>
      <x:c r="N57" s="14" t="str">
        <x:v>Relevé de Feros dans ME1 requis ; noms descriptifs pour la production.</x:v>
      </x:c>
      <x:c r="O57" s="14" t="str">
        <x:v>https://na.llnet.bioware.cdn.ea.com/u/f/eagames/bioware/masseffect/prima/prima_guide_me_pc.pdf</x:v>
      </x:c>
      <x:c r="P57" s="14" t="str">
        <x:v>Production ME1</x:v>
      </x:c>
      <x:c r="Q57" s="14" t="str"/>
    </x:row>
    <x:row r="58" ht="36" customHeight="1">
      <x:c r="A58" s="12" t="str">
        <x:v>ZON-feros-camp-de-refugies</x:v>
      </x:c>
      <x:c r="B58" s="7" t="str">
        <x:v>Feros — Camp de réfugiés</x:v>
      </x:c>
      <x:c r="C58" s="10" t="str">
        <x:v>Défini</x:v>
      </x:c>
      <x:c r="D58" s="11" t="str">
        <x:v>À produire</x:v>
      </x:c>
      <x:c r="E58" s="9" t="str">
        <x:v>P1</x:v>
      </x:c>
      <x:c r="F58" s="9" t="str">
        <x:v>ME1</x:v>
      </x:c>
      <x:c r="G58" s="9" t="str">
        <x:v>Référence à vérifier</x:v>
      </x:c>
      <x:c r="H58" s="7" t="str">
        <x:v>Juliana et Jeong</x:v>
      </x:c>
      <x:c r="I58" s="7" t="str">
        <x:v>Entrées, sorties, volumes et personnages cartographiés sur captures de référence.</x:v>
      </x:c>
      <x:c r="J58" s="7" t="str">
        <x:v>WRL-feros</x:v>
      </x:c>
      <x:c r="K58" s="7" t="str">
        <x:v>content/maps/feros/camp-de-refugies.json</x:v>
      </x:c>
      <x:c r="L58" s="7" t="str"/>
      <x:c r="M58" s="7" t="str"/>
      <x:c r="N58" s="7" t="str">
        <x:v>Relevé de Feros dans ME1 requis ; noms descriptifs pour la production.</x:v>
      </x:c>
      <x:c r="O58" s="7" t="str">
        <x:v>https://na.llnet.bioware.cdn.ea.com/u/f/eagames/bioware/masseffect/prima/prima_guide_me_pc.pdf</x:v>
      </x:c>
      <x:c r="P58" s="7" t="str">
        <x:v>Production ME1</x:v>
      </x:c>
      <x:c r="Q58" s="7" t="str"/>
    </x:row>
    <x:row r="59" ht="36" customHeight="1">
      <x:c r="A59" s="13" t="str">
        <x:v>ZON-feros-rez-de-chaussee-exogeni</x:v>
      </x:c>
      <x:c r="B59" s="14" t="str">
        <x:v>Feros — Rez-de-chaussée ExoGeni</x:v>
      </x:c>
      <x:c r="C59" s="10" t="str">
        <x:v>Défini</x:v>
      </x:c>
      <x:c r="D59" s="11" t="str">
        <x:v>À produire</x:v>
      </x:c>
      <x:c r="E59" s="15" t="str">
        <x:v>P1</x:v>
      </x:c>
      <x:c r="F59" s="15" t="str">
        <x:v>ME1</x:v>
      </x:c>
      <x:c r="G59" s="15" t="str">
        <x:v>Référence à vérifier</x:v>
      </x:c>
      <x:c r="H59" s="14" t="str">
        <x:v>Accès détruit</x:v>
      </x:c>
      <x:c r="I59" s="14" t="str">
        <x:v>Entrées, sorties, volumes et personnages cartographiés sur captures de référence.</x:v>
      </x:c>
      <x:c r="J59" s="14" t="str">
        <x:v>WRL-feros</x:v>
      </x:c>
      <x:c r="K59" s="14" t="str">
        <x:v>content/maps/feros/rez-de-chaussee-exogeni.json</x:v>
      </x:c>
      <x:c r="L59" s="14" t="str"/>
      <x:c r="M59" s="14" t="str"/>
      <x:c r="N59" s="14" t="str">
        <x:v>Relevé de Feros dans ME1 requis ; noms descriptifs pour la production.</x:v>
      </x:c>
      <x:c r="O59" s="14" t="str">
        <x:v>https://na.llnet.bioware.cdn.ea.com/u/f/eagames/bioware/masseffect/prima/prima_guide_me_pc.pdf</x:v>
      </x:c>
      <x:c r="P59" s="14" t="str">
        <x:v>Production ME1</x:v>
      </x:c>
      <x:c r="Q59" s="14" t="str"/>
    </x:row>
    <x:row r="60" ht="36" customHeight="1">
      <x:c r="A60" s="12" t="str">
        <x:v>ZON-feros-salle-de-lizbeth</x:v>
      </x:c>
      <x:c r="B60" s="7" t="str">
        <x:v>Feros — Salle de Lizbeth</x:v>
      </x:c>
      <x:c r="C60" s="10" t="str">
        <x:v>Défini</x:v>
      </x:c>
      <x:c r="D60" s="11" t="str">
        <x:v>À produire</x:v>
      </x:c>
      <x:c r="E60" s="9" t="str">
        <x:v>P1</x:v>
      </x:c>
      <x:c r="F60" s="9" t="str">
        <x:v>ME1</x:v>
      </x:c>
      <x:c r="G60" s="9" t="str">
        <x:v>Référence à vérifier</x:v>
      </x:c>
      <x:c r="H60" s="7" t="str">
        <x:v>Survivante et récit</x:v>
      </x:c>
      <x:c r="I60" s="7" t="str">
        <x:v>Entrées, sorties, volumes et personnages cartographiés sur captures de référence.</x:v>
      </x:c>
      <x:c r="J60" s="7" t="str">
        <x:v>WRL-feros</x:v>
      </x:c>
      <x:c r="K60" s="7" t="str">
        <x:v>content/maps/feros/salle-de-lizbeth.json</x:v>
      </x:c>
      <x:c r="L60" s="7" t="str"/>
      <x:c r="M60" s="7" t="str"/>
      <x:c r="N60" s="7" t="str">
        <x:v>Relevé de Feros dans ME1 requis ; noms descriptifs pour la production.</x:v>
      </x:c>
      <x:c r="O60" s="7" t="str">
        <x:v>https://na.llnet.bioware.cdn.ea.com/u/f/eagames/bioware/masseffect/prima/prima_guide_me_pc.pdf</x:v>
      </x:c>
      <x:c r="P60" s="7" t="str">
        <x:v>Production ME1</x:v>
      </x:c>
      <x:c r="Q60" s="7" t="str"/>
    </x:row>
    <x:row r="61" ht="36" customHeight="1">
      <x:c r="A61" s="13" t="str">
        <x:v>ZON-feros-bureaux-exogeni</x:v>
      </x:c>
      <x:c r="B61" s="14" t="str">
        <x:v>Feros — Bureaux ExoGeni</x:v>
      </x:c>
      <x:c r="C61" s="10" t="str">
        <x:v>Défini</x:v>
      </x:c>
      <x:c r="D61" s="11" t="str">
        <x:v>À produire</x:v>
      </x:c>
      <x:c r="E61" s="15" t="str">
        <x:v>P1</x:v>
      </x:c>
      <x:c r="F61" s="15" t="str">
        <x:v>ME1</x:v>
      </x:c>
      <x:c r="G61" s="15" t="str">
        <x:v>Référence à vérifier</x:v>
      </x:c>
      <x:c r="H61" s="14" t="str">
        <x:v>Terminaux et données</x:v>
      </x:c>
      <x:c r="I61" s="14" t="str">
        <x:v>Entrées, sorties, volumes et personnages cartographiés sur captures de référence.</x:v>
      </x:c>
      <x:c r="J61" s="14" t="str">
        <x:v>WRL-feros</x:v>
      </x:c>
      <x:c r="K61" s="14" t="str">
        <x:v>content/maps/feros/bureaux-exogeni.json</x:v>
      </x:c>
      <x:c r="L61" s="14" t="str"/>
      <x:c r="M61" s="14" t="str"/>
      <x:c r="N61" s="14" t="str">
        <x:v>Relevé de Feros dans ME1 requis ; noms descriptifs pour la production.</x:v>
      </x:c>
      <x:c r="O61" s="14" t="str">
        <x:v>https://na.llnet.bioware.cdn.ea.com/u/f/eagames/bioware/masseffect/prima/prima_guide_me_pc.pdf</x:v>
      </x:c>
      <x:c r="P61" s="14" t="str">
        <x:v>Production ME1</x:v>
      </x:c>
      <x:c r="Q61" s="14" t="str"/>
    </x:row>
    <x:row r="62" ht="36" customHeight="1">
      <x:c r="A62" s="12" t="str">
        <x:v>ZON-feros-ancrage-du-vaisseau-geth</x:v>
      </x:c>
      <x:c r="B62" s="7" t="str">
        <x:v>Feros — Ancrage du vaisseau geth</x:v>
      </x:c>
      <x:c r="C62" s="10" t="str">
        <x:v>Défini</x:v>
      </x:c>
      <x:c r="D62" s="11" t="str">
        <x:v>À produire</x:v>
      </x:c>
      <x:c r="E62" s="9" t="str">
        <x:v>P1</x:v>
      </x:c>
      <x:c r="F62" s="9" t="str">
        <x:v>ME1</x:v>
      </x:c>
      <x:c r="G62" s="9" t="str">
        <x:v>Référence à vérifier</x:v>
      </x:c>
      <x:c r="H62" s="7" t="str">
        <x:v>Mécanisme de dégagement</x:v>
      </x:c>
      <x:c r="I62" s="7" t="str">
        <x:v>Entrées, sorties, volumes et personnages cartographiés sur captures de référence.</x:v>
      </x:c>
      <x:c r="J62" s="7" t="str">
        <x:v>WRL-feros</x:v>
      </x:c>
      <x:c r="K62" s="7" t="str">
        <x:v>content/maps/feros/ancrage-du-vaisseau-geth.json</x:v>
      </x:c>
      <x:c r="L62" s="7" t="str"/>
      <x:c r="M62" s="7" t="str"/>
      <x:c r="N62" s="7" t="str">
        <x:v>Relevé de Feros dans ME1 requis ; noms descriptifs pour la production.</x:v>
      </x:c>
      <x:c r="O62" s="7" t="str">
        <x:v>https://na.llnet.bioware.cdn.ea.com/u/f/eagames/bioware/masseffect/prima/prima_guide_me_pc.pdf</x:v>
      </x:c>
      <x:c r="P62" s="7" t="str">
        <x:v>Production ME1</x:v>
      </x:c>
      <x:c r="Q62" s="7" t="str"/>
    </x:row>
    <x:row r="63" ht="36" customHeight="1">
      <x:c r="A63" s="13" t="str">
        <x:v>ZON-feros-retour-a-zhu-s-hope</x:v>
      </x:c>
      <x:c r="B63" s="14" t="str">
        <x:v>Feros — Retour à Zhu’s Hope</x:v>
      </x:c>
      <x:c r="C63" s="10" t="str">
        <x:v>Défini</x:v>
      </x:c>
      <x:c r="D63" s="11" t="str">
        <x:v>À produire</x:v>
      </x:c>
      <x:c r="E63" s="15" t="str">
        <x:v>P1</x:v>
      </x:c>
      <x:c r="F63" s="15" t="str">
        <x:v>ME1</x:v>
      </x:c>
      <x:c r="G63" s="15" t="str">
        <x:v>Référence à vérifier</x:v>
      </x:c>
      <x:c r="H63" s="14" t="str">
        <x:v>Colons sous influence</x:v>
      </x:c>
      <x:c r="I63" s="14" t="str">
        <x:v>Entrées, sorties, volumes et personnages cartographiés sur captures de référence.</x:v>
      </x:c>
      <x:c r="J63" s="14" t="str">
        <x:v>WRL-feros</x:v>
      </x:c>
      <x:c r="K63" s="14" t="str">
        <x:v>content/maps/feros/retour-a-zhu-s-hope.json</x:v>
      </x:c>
      <x:c r="L63" s="14" t="str"/>
      <x:c r="M63" s="14" t="str"/>
      <x:c r="N63" s="14" t="str">
        <x:v>Relevé de Feros dans ME1 requis ; noms descriptifs pour la production.</x:v>
      </x:c>
      <x:c r="O63" s="14" t="str">
        <x:v>https://na.llnet.bioware.cdn.ea.com/u/f/eagames/bioware/masseffect/prima/prima_guide_me_pc.pdf</x:v>
      </x:c>
      <x:c r="P63" s="14" t="str">
        <x:v>Production ME1</x:v>
      </x:c>
      <x:c r="Q63" s="14" t="str"/>
    </x:row>
    <x:row r="64" ht="36" customHeight="1">
      <x:c r="A64" s="12" t="str">
        <x:v>ZON-feros-sous-sol-du-thorian</x:v>
      </x:c>
      <x:c r="B64" s="7" t="str">
        <x:v>Feros — Sous-sol du Thorian</x:v>
      </x:c>
      <x:c r="C64" s="10" t="str">
        <x:v>Défini</x:v>
      </x:c>
      <x:c r="D64" s="11" t="str">
        <x:v>À produire</x:v>
      </x:c>
      <x:c r="E64" s="9" t="str">
        <x:v>P1</x:v>
      </x:c>
      <x:c r="F64" s="9" t="str">
        <x:v>ME1</x:v>
      </x:c>
      <x:c r="G64" s="9" t="str">
        <x:v>Référence à vérifier</x:v>
      </x:c>
      <x:c r="H64" s="7" t="str">
        <x:v>Combat et révélation</x:v>
      </x:c>
      <x:c r="I64" s="7" t="str">
        <x:v>Entrées, sorties, volumes et personnages cartographiés sur captures de référence.</x:v>
      </x:c>
      <x:c r="J64" s="7" t="str">
        <x:v>WRL-feros</x:v>
      </x:c>
      <x:c r="K64" s="7" t="str">
        <x:v>content/maps/feros/sous-sol-du-thorian.json</x:v>
      </x:c>
      <x:c r="L64" s="7" t="str"/>
      <x:c r="M64" s="7" t="str"/>
      <x:c r="N64" s="7" t="str">
        <x:v>Relevé de Feros dans ME1 requis ; noms descriptifs pour la production.</x:v>
      </x:c>
      <x:c r="O64" s="7" t="str">
        <x:v>https://na.llnet.bioware.cdn.ea.com/u/f/eagames/bioware/masseffect/prima/prima_guide_me_pc.pdf</x:v>
      </x:c>
      <x:c r="P64" s="7" t="str">
        <x:v>Production ME1</x:v>
      </x:c>
      <x:c r="Q64" s="7" t="str"/>
    </x:row>
    <x:row r="65" ht="36" customHeight="1">
      <x:c r="A65" s="13" t="str">
        <x:v>ZON-noveria-controle-de-port-hanshan</x:v>
      </x:c>
      <x:c r="B65" s="14" t="str">
        <x:v>Noveria — Contrôle de Port Hanshan</x:v>
      </x:c>
      <x:c r="C65" s="10" t="str">
        <x:v>Défini</x:v>
      </x:c>
      <x:c r="D65" s="11" t="str">
        <x:v>À produire</x:v>
      </x:c>
      <x:c r="E65" s="15" t="str">
        <x:v>P1</x:v>
      </x:c>
      <x:c r="F65" s="15" t="str">
        <x:v>ME1</x:v>
      </x:c>
      <x:c r="G65" s="15" t="str">
        <x:v>Référence à vérifier</x:v>
      </x:c>
      <x:c r="H65" s="14" t="str">
        <x:v>Inspection initiale</x:v>
      </x:c>
      <x:c r="I65" s="14" t="str">
        <x:v>Entrées, sorties, volumes et personnages cartographiés sur captures de référence.</x:v>
      </x:c>
      <x:c r="J65" s="14" t="str">
        <x:v>WRL-noveria</x:v>
      </x:c>
      <x:c r="K65" s="14" t="str">
        <x:v>content/maps/noveria/controle-de-port-hanshan.json</x:v>
      </x:c>
      <x:c r="L65" s="14" t="str"/>
      <x:c r="M65" s="14" t="str"/>
      <x:c r="N65" s="14" t="str">
        <x:v>Relevé de Noveria dans ME1 requis ; noms descriptifs pour la production.</x:v>
      </x:c>
      <x:c r="O65" s="14" t="str">
        <x:v>https://na.llnet.bioware.cdn.ea.com/u/f/eagames/bioware/masseffect/prima/prima_guide_me_pc.pdf</x:v>
      </x:c>
      <x:c r="P65" s="14" t="str">
        <x:v>Production ME1</x:v>
      </x:c>
      <x:c r="Q65" s="14" t="str"/>
    </x:row>
    <x:row r="66" ht="36" customHeight="1">
      <x:c r="A66" s="12" t="str">
        <x:v>ZON-noveria-hall-de-port-hanshan</x:v>
      </x:c>
      <x:c r="B66" s="7" t="str">
        <x:v>Noveria — Hall de Port Hanshan</x:v>
      </x:c>
      <x:c r="C66" s="10" t="str">
        <x:v>Défini</x:v>
      </x:c>
      <x:c r="D66" s="11" t="str">
        <x:v>À produire</x:v>
      </x:c>
      <x:c r="E66" s="9" t="str">
        <x:v>P1</x:v>
      </x:c>
      <x:c r="F66" s="9" t="str">
        <x:v>ME1</x:v>
      </x:c>
      <x:c r="G66" s="9" t="str">
        <x:v>Référence à vérifier</x:v>
      </x:c>
      <x:c r="H66" s="7" t="str">
        <x:v>Administration et commerce</x:v>
      </x:c>
      <x:c r="I66" s="7" t="str">
        <x:v>Entrées, sorties, volumes et personnages cartographiés sur captures de référence.</x:v>
      </x:c>
      <x:c r="J66" s="7" t="str">
        <x:v>WRL-noveria</x:v>
      </x:c>
      <x:c r="K66" s="7" t="str">
        <x:v>content/maps/noveria/hall-de-port-hanshan.json</x:v>
      </x:c>
      <x:c r="L66" s="7" t="str"/>
      <x:c r="M66" s="7" t="str"/>
      <x:c r="N66" s="7" t="str">
        <x:v>Relevé de Noveria dans ME1 requis ; noms descriptifs pour la production.</x:v>
      </x:c>
      <x:c r="O66" s="7" t="str">
        <x:v>https://na.llnet.bioware.cdn.ea.com/u/f/eagames/bioware/masseffect/prima/prima_guide_me_pc.pdf</x:v>
      </x:c>
      <x:c r="P66" s="7" t="str">
        <x:v>Production ME1</x:v>
      </x:c>
      <x:c r="Q66" s="7" t="str"/>
    </x:row>
    <x:row r="67" ht="36" customHeight="1">
      <x:c r="A67" s="13" t="str">
        <x:v>ZON-noveria-bureau-d-anoleis</x:v>
      </x:c>
      <x:c r="B67" s="14" t="str">
        <x:v>Noveria — Bureau d’Anoleis</x:v>
      </x:c>
      <x:c r="C67" s="10" t="str">
        <x:v>Défini</x:v>
      </x:c>
      <x:c r="D67" s="11" t="str">
        <x:v>À produire</x:v>
      </x:c>
      <x:c r="E67" s="15" t="str">
        <x:v>P1</x:v>
      </x:c>
      <x:c r="F67" s="15" t="str">
        <x:v>ME1</x:v>
      </x:c>
      <x:c r="G67" s="15" t="str">
        <x:v>Référence à vérifier</x:v>
      </x:c>
      <x:c r="H67" s="14" t="str">
        <x:v>Négociation du laissez-passer</x:v>
      </x:c>
      <x:c r="I67" s="14" t="str">
        <x:v>Entrées, sorties, volumes et personnages cartographiés sur captures de référence.</x:v>
      </x:c>
      <x:c r="J67" s="14" t="str">
        <x:v>WRL-noveria</x:v>
      </x:c>
      <x:c r="K67" s="14" t="str">
        <x:v>content/maps/noveria/bureau-d-anoleis.json</x:v>
      </x:c>
      <x:c r="L67" s="14" t="str"/>
      <x:c r="M67" s="14" t="str"/>
      <x:c r="N67" s="14" t="str">
        <x:v>Relevé de Noveria dans ME1 requis ; noms descriptifs pour la production.</x:v>
      </x:c>
      <x:c r="O67" s="14" t="str">
        <x:v>https://na.llnet.bioware.cdn.ea.com/u/f/eagames/bioware/masseffect/prima/prima_guide_me_pc.pdf</x:v>
      </x:c>
      <x:c r="P67" s="14" t="str">
        <x:v>Production ME1</x:v>
      </x:c>
      <x:c r="Q67" s="14" t="str"/>
    </x:row>
    <x:row r="68" ht="36" customHeight="1">
      <x:c r="A68" s="12" t="str">
        <x:v>ZON-noveria-hotel</x:v>
      </x:c>
      <x:c r="B68" s="7" t="str">
        <x:v>Noveria — Hôtel</x:v>
      </x:c>
      <x:c r="C68" s="10" t="str">
        <x:v>Défini</x:v>
      </x:c>
      <x:c r="D68" s="11" t="str">
        <x:v>À produire</x:v>
      </x:c>
      <x:c r="E68" s="9" t="str">
        <x:v>P1</x:v>
      </x:c>
      <x:c r="F68" s="9" t="str">
        <x:v>ME1</x:v>
      </x:c>
      <x:c r="G68" s="9" t="str">
        <x:v>Référence à vérifier</x:v>
      </x:c>
      <x:c r="H68" s="7" t="str">
        <x:v>Rencontres et affaire Lorik</x:v>
      </x:c>
      <x:c r="I68" s="7" t="str">
        <x:v>Entrées, sorties, volumes et personnages cartographiés sur captures de référence.</x:v>
      </x:c>
      <x:c r="J68" s="7" t="str">
        <x:v>WRL-noveria</x:v>
      </x:c>
      <x:c r="K68" s="7" t="str">
        <x:v>content/maps/noveria/hotel.json</x:v>
      </x:c>
      <x:c r="L68" s="7" t="str"/>
      <x:c r="M68" s="7" t="str"/>
      <x:c r="N68" s="7" t="str">
        <x:v>Relevé de Noveria dans ME1 requis ; noms descriptifs pour la production.</x:v>
      </x:c>
      <x:c r="O68" s="7" t="str">
        <x:v>https://na.llnet.bioware.cdn.ea.com/u/f/eagames/bioware/masseffect/prima/prima_guide_me_pc.pdf</x:v>
      </x:c>
      <x:c r="P68" s="7" t="str">
        <x:v>Production ME1</x:v>
      </x:c>
      <x:c r="Q68" s="7" t="str"/>
    </x:row>
    <x:row r="69" ht="36" customHeight="1">
      <x:c r="A69" s="13" t="str">
        <x:v>ZON-noveria-synthetic-insights</x:v>
      </x:c>
      <x:c r="B69" s="14" t="str">
        <x:v>Noveria — Synthetic Insights</x:v>
      </x:c>
      <x:c r="C69" s="10" t="str">
        <x:v>Défini</x:v>
      </x:c>
      <x:c r="D69" s="11" t="str">
        <x:v>À produire</x:v>
      </x:c>
      <x:c r="E69" s="15" t="str">
        <x:v>P1</x:v>
      </x:c>
      <x:c r="F69" s="15" t="str">
        <x:v>ME1</x:v>
      </x:c>
      <x:c r="G69" s="15" t="str">
        <x:v>Référence à vérifier</x:v>
      </x:c>
      <x:c r="H69" s="14" t="str">
        <x:v>Recherche des preuves</x:v>
      </x:c>
      <x:c r="I69" s="14" t="str">
        <x:v>Entrées, sorties, volumes et personnages cartographiés sur captures de référence.</x:v>
      </x:c>
      <x:c r="J69" s="14" t="str">
        <x:v>WRL-noveria</x:v>
      </x:c>
      <x:c r="K69" s="14" t="str">
        <x:v>content/maps/noveria/synthetic-insights.json</x:v>
      </x:c>
      <x:c r="L69" s="14" t="str"/>
      <x:c r="M69" s="14" t="str"/>
      <x:c r="N69" s="14" t="str">
        <x:v>Relevé de Noveria dans ME1 requis ; noms descriptifs pour la production.</x:v>
      </x:c>
      <x:c r="O69" s="14" t="str">
        <x:v>https://na.llnet.bioware.cdn.ea.com/u/f/eagames/bioware/masseffect/prima/prima_guide_me_pc.pdf</x:v>
      </x:c>
      <x:c r="P69" s="14" t="str">
        <x:v>Production ME1</x:v>
      </x:c>
      <x:c r="Q69" s="14" t="str"/>
    </x:row>
    <x:row r="70" ht="36" customHeight="1">
      <x:c r="A70" s="12" t="str">
        <x:v>ZON-noveria-garage</x:v>
      </x:c>
      <x:c r="B70" s="7" t="str">
        <x:v>Noveria — Garage</x:v>
      </x:c>
      <x:c r="C70" s="10" t="str">
        <x:v>Défini</x:v>
      </x:c>
      <x:c r="D70" s="11" t="str">
        <x:v>À produire</x:v>
      </x:c>
      <x:c r="E70" s="9" t="str">
        <x:v>P1</x:v>
      </x:c>
      <x:c r="F70" s="9" t="str">
        <x:v>ME1</x:v>
      </x:c>
      <x:c r="G70" s="9" t="str">
        <x:v>Référence à vérifier</x:v>
      </x:c>
      <x:c r="H70" s="7" t="str">
        <x:v>Départ au Mako</x:v>
      </x:c>
      <x:c r="I70" s="7" t="str">
        <x:v>Entrées, sorties, volumes et personnages cartographiés sur captures de référence.</x:v>
      </x:c>
      <x:c r="J70" s="7" t="str">
        <x:v>WRL-noveria</x:v>
      </x:c>
      <x:c r="K70" s="7" t="str">
        <x:v>content/maps/noveria/garage.json</x:v>
      </x:c>
      <x:c r="L70" s="7" t="str"/>
      <x:c r="M70" s="7" t="str"/>
      <x:c r="N70" s="7" t="str">
        <x:v>Relevé de Noveria dans ME1 requis ; noms descriptifs pour la production.</x:v>
      </x:c>
      <x:c r="O70" s="7" t="str">
        <x:v>https://na.llnet.bioware.cdn.ea.com/u/f/eagames/bioware/masseffect/prima/prima_guide_me_pc.pdf</x:v>
      </x:c>
      <x:c r="P70" s="7" t="str">
        <x:v>Production ME1</x:v>
      </x:c>
      <x:c r="Q70" s="7" t="str"/>
    </x:row>
    <x:row r="71" ht="36" customHeight="1">
      <x:c r="A71" s="13" t="str">
        <x:v>ZON-noveria-route-de-peak-15</x:v>
      </x:c>
      <x:c r="B71" s="14" t="str">
        <x:v>Noveria — Route de Peak 15</x:v>
      </x:c>
      <x:c r="C71" s="10" t="str">
        <x:v>Défini</x:v>
      </x:c>
      <x:c r="D71" s="11" t="str">
        <x:v>À produire</x:v>
      </x:c>
      <x:c r="E71" s="15" t="str">
        <x:v>P1</x:v>
      </x:c>
      <x:c r="F71" s="15" t="str">
        <x:v>ME1</x:v>
      </x:c>
      <x:c r="G71" s="15" t="str">
        <x:v>Référence à vérifier</x:v>
      </x:c>
      <x:c r="H71" s="14" t="str">
        <x:v>Blizzard, ponts et combats</x:v>
      </x:c>
      <x:c r="I71" s="14" t="str">
        <x:v>Entrées, sorties, volumes et personnages cartographiés sur captures de référence.</x:v>
      </x:c>
      <x:c r="J71" s="14" t="str">
        <x:v>WRL-noveria</x:v>
      </x:c>
      <x:c r="K71" s="14" t="str">
        <x:v>content/maps/noveria/route-de-peak-15.json</x:v>
      </x:c>
      <x:c r="L71" s="14" t="str"/>
      <x:c r="M71" s="14" t="str"/>
      <x:c r="N71" s="14" t="str">
        <x:v>Relevé de Noveria dans ME1 requis ; noms descriptifs pour la production.</x:v>
      </x:c>
      <x:c r="O71" s="14" t="str">
        <x:v>https://na.llnet.bioware.cdn.ea.com/u/f/eagames/bioware/masseffect/prima/prima_guide_me_pc.pdf</x:v>
      </x:c>
      <x:c r="P71" s="14" t="str">
        <x:v>Production ME1</x:v>
      </x:c>
      <x:c r="Q71" s="14" t="str"/>
    </x:row>
    <x:row r="72" ht="36" customHeight="1">
      <x:c r="A72" s="12" t="str">
        <x:v>ZON-noveria-garage-peak-15</x:v>
      </x:c>
      <x:c r="B72" s="7" t="str">
        <x:v>Noveria — Garage Peak 15</x:v>
      </x:c>
      <x:c r="C72" s="10" t="str">
        <x:v>Défini</x:v>
      </x:c>
      <x:c r="D72" s="11" t="str">
        <x:v>À produire</x:v>
      </x:c>
      <x:c r="E72" s="9" t="str">
        <x:v>P1</x:v>
      </x:c>
      <x:c r="F72" s="9" t="str">
        <x:v>ME1</x:v>
      </x:c>
      <x:c r="G72" s="9" t="str">
        <x:v>Référence à vérifier</x:v>
      </x:c>
      <x:c r="H72" s="7" t="str">
        <x:v>Infiltration de l’installation</x:v>
      </x:c>
      <x:c r="I72" s="7" t="str">
        <x:v>Entrées, sorties, volumes et personnages cartographiés sur captures de référence.</x:v>
      </x:c>
      <x:c r="J72" s="7" t="str">
        <x:v>WRL-noveria</x:v>
      </x:c>
      <x:c r="K72" s="7" t="str">
        <x:v>content/maps/noveria/garage-peak-15.json</x:v>
      </x:c>
      <x:c r="L72" s="7" t="str"/>
      <x:c r="M72" s="7" t="str"/>
      <x:c r="N72" s="7" t="str">
        <x:v>Relevé de Noveria dans ME1 requis ; noms descriptifs pour la production.</x:v>
      </x:c>
      <x:c r="O72" s="7" t="str">
        <x:v>https://na.llnet.bioware.cdn.ea.com/u/f/eagames/bioware/masseffect/prima/prima_guide_me_pc.pdf</x:v>
      </x:c>
      <x:c r="P72" s="7" t="str">
        <x:v>Production ME1</x:v>
      </x:c>
      <x:c r="Q72" s="7" t="str"/>
    </x:row>
    <x:row r="73" ht="36" customHeight="1">
      <x:c r="A73" s="13" t="str">
        <x:v>ZON-noveria-c-ur-de-mira</x:v>
      </x:c>
      <x:c r="B73" s="14" t="str">
        <x:v>Noveria — Cœur de Mira</x:v>
      </x:c>
      <x:c r="C73" s="10" t="str">
        <x:v>Défini</x:v>
      </x:c>
      <x:c r="D73" s="11" t="str">
        <x:v>À produire</x:v>
      </x:c>
      <x:c r="E73" s="15" t="str">
        <x:v>P1</x:v>
      </x:c>
      <x:c r="F73" s="15" t="str">
        <x:v>ME1</x:v>
      </x:c>
      <x:c r="G73" s="15" t="str">
        <x:v>Référence à vérifier</x:v>
      </x:c>
      <x:c r="H73" s="14" t="str">
        <x:v>Réactivation de l’IV</x:v>
      </x:c>
      <x:c r="I73" s="14" t="str">
        <x:v>Entrées, sorties, volumes et personnages cartographiés sur captures de référence.</x:v>
      </x:c>
      <x:c r="J73" s="14" t="str">
        <x:v>WRL-noveria</x:v>
      </x:c>
      <x:c r="K73" s="14" t="str">
        <x:v>content/maps/noveria/c-ur-de-mira.json</x:v>
      </x:c>
      <x:c r="L73" s="14" t="str"/>
      <x:c r="M73" s="14" t="str"/>
      <x:c r="N73" s="14" t="str">
        <x:v>Relevé de Noveria dans ME1 requis ; noms descriptifs pour la production.</x:v>
      </x:c>
      <x:c r="O73" s="14" t="str">
        <x:v>https://na.llnet.bioware.cdn.ea.com/u/f/eagames/bioware/masseffect/prima/prima_guide_me_pc.pdf</x:v>
      </x:c>
      <x:c r="P73" s="14" t="str">
        <x:v>Production ME1</x:v>
      </x:c>
      <x:c r="Q73" s="14" t="str"/>
    </x:row>
    <x:row r="74" ht="36" customHeight="1">
      <x:c r="A74" s="12" t="str">
        <x:v>ZON-noveria-reacteur</x:v>
      </x:c>
      <x:c r="B74" s="7" t="str">
        <x:v>Noveria — Réacteur</x:v>
      </x:c>
      <x:c r="C74" s="10" t="str">
        <x:v>Défini</x:v>
      </x:c>
      <x:c r="D74" s="11" t="str">
        <x:v>À produire</x:v>
      </x:c>
      <x:c r="E74" s="9" t="str">
        <x:v>P1</x:v>
      </x:c>
      <x:c r="F74" s="9" t="str">
        <x:v>ME1</x:v>
      </x:c>
      <x:c r="G74" s="9" t="str">
        <x:v>Référence à vérifier</x:v>
      </x:c>
      <x:c r="H74" s="7" t="str">
        <x:v>Rétablissement de l’énergie</x:v>
      </x:c>
      <x:c r="I74" s="7" t="str">
        <x:v>Entrées, sorties, volumes et personnages cartographiés sur captures de référence.</x:v>
      </x:c>
      <x:c r="J74" s="7" t="str">
        <x:v>WRL-noveria</x:v>
      </x:c>
      <x:c r="K74" s="7" t="str">
        <x:v>content/maps/noveria/reacteur.json</x:v>
      </x:c>
      <x:c r="L74" s="7" t="str"/>
      <x:c r="M74" s="7" t="str"/>
      <x:c r="N74" s="7" t="str">
        <x:v>Relevé de Noveria dans ME1 requis ; noms descriptifs pour la production.</x:v>
      </x:c>
      <x:c r="O74" s="7" t="str">
        <x:v>https://na.llnet.bioware.cdn.ea.com/u/f/eagames/bioware/masseffect/prima/prima_guide_me_pc.pdf</x:v>
      </x:c>
      <x:c r="P74" s="7" t="str">
        <x:v>Production ME1</x:v>
      </x:c>
      <x:c r="Q74" s="7" t="str"/>
    </x:row>
    <x:row r="75" ht="36" customHeight="1">
      <x:c r="A75" s="13" t="str">
        <x:v>ZON-noveria-toit-et-antenne</x:v>
      </x:c>
      <x:c r="B75" s="14" t="str">
        <x:v>Noveria — Toit et antenne</x:v>
      </x:c>
      <x:c r="C75" s="10" t="str">
        <x:v>Défini</x:v>
      </x:c>
      <x:c r="D75" s="11" t="str">
        <x:v>À produire</x:v>
      </x:c>
      <x:c r="E75" s="15" t="str">
        <x:v>P1</x:v>
      </x:c>
      <x:c r="F75" s="15" t="str">
        <x:v>ME1</x:v>
      </x:c>
      <x:c r="G75" s="15" t="str">
        <x:v>Référence à vérifier</x:v>
      </x:c>
      <x:c r="H75" s="14" t="str">
        <x:v>Réparation des communications</x:v>
      </x:c>
      <x:c r="I75" s="14" t="str">
        <x:v>Entrées, sorties, volumes et personnages cartographiés sur captures de référence.</x:v>
      </x:c>
      <x:c r="J75" s="14" t="str">
        <x:v>WRL-noveria</x:v>
      </x:c>
      <x:c r="K75" s="14" t="str">
        <x:v>content/maps/noveria/toit-et-antenne.json</x:v>
      </x:c>
      <x:c r="L75" s="14" t="str"/>
      <x:c r="M75" s="14" t="str"/>
      <x:c r="N75" s="14" t="str">
        <x:v>Relevé de Noveria dans ME1 requis ; noms descriptifs pour la production.</x:v>
      </x:c>
      <x:c r="O75" s="14" t="str">
        <x:v>https://na.llnet.bioware.cdn.ea.com/u/f/eagames/bioware/masseffect/prima/prima_guide_me_pc.pdf</x:v>
      </x:c>
      <x:c r="P75" s="14" t="str">
        <x:v>Production ME1</x:v>
      </x:c>
      <x:c r="Q75" s="14" t="str"/>
    </x:row>
    <x:row r="76" ht="36" customHeight="1">
      <x:c r="A76" s="12" t="str">
        <x:v>ZON-noveria-tram-de-la-station</x:v>
      </x:c>
      <x:c r="B76" s="7" t="str">
        <x:v>Noveria — Tram de la station</x:v>
      </x:c>
      <x:c r="C76" s="10" t="str">
        <x:v>Défini</x:v>
      </x:c>
      <x:c r="D76" s="11" t="str">
        <x:v>À produire</x:v>
      </x:c>
      <x:c r="E76" s="9" t="str">
        <x:v>P1</x:v>
      </x:c>
      <x:c r="F76" s="9" t="str">
        <x:v>ME1</x:v>
      </x:c>
      <x:c r="G76" s="9" t="str">
        <x:v>Référence à vérifier</x:v>
      </x:c>
      <x:c r="H76" s="7" t="str">
        <x:v>Transport intérieur</x:v>
      </x:c>
      <x:c r="I76" s="7" t="str">
        <x:v>Entrées, sorties, volumes et personnages cartographiés sur captures de référence.</x:v>
      </x:c>
      <x:c r="J76" s="7" t="str">
        <x:v>WRL-noveria</x:v>
      </x:c>
      <x:c r="K76" s="7" t="str">
        <x:v>content/maps/noveria/tram-de-la-station.json</x:v>
      </x:c>
      <x:c r="L76" s="7" t="str"/>
      <x:c r="M76" s="7" t="str"/>
      <x:c r="N76" s="7" t="str">
        <x:v>Relevé de Noveria dans ME1 requis ; noms descriptifs pour la production.</x:v>
      </x:c>
      <x:c r="O76" s="7" t="str">
        <x:v>https://na.llnet.bioware.cdn.ea.com/u/f/eagames/bioware/masseffect/prima/prima_guide_me_pc.pdf</x:v>
      </x:c>
      <x:c r="P76" s="7" t="str">
        <x:v>Production ME1</x:v>
      </x:c>
      <x:c r="Q76" s="7" t="str"/>
    </x:row>
    <x:row r="77" ht="36" customHeight="1">
      <x:c r="A77" s="13" t="str">
        <x:v>ZON-noveria-poste-de-securite-rift</x:v>
      </x:c>
      <x:c r="B77" s="14" t="str">
        <x:v>Noveria — Poste de sécurité Rift</x:v>
      </x:c>
      <x:c r="C77" s="10" t="str">
        <x:v>Défini</x:v>
      </x:c>
      <x:c r="D77" s="11" t="str">
        <x:v>À produire</x:v>
      </x:c>
      <x:c r="E77" s="15" t="str">
        <x:v>P1</x:v>
      </x:c>
      <x:c r="F77" s="15" t="str">
        <x:v>ME1</x:v>
      </x:c>
      <x:c r="G77" s="15" t="str">
        <x:v>Référence à vérifier</x:v>
      </x:c>
      <x:c r="H77" s="14" t="str">
        <x:v>Personnel survivant</x:v>
      </x:c>
      <x:c r="I77" s="14" t="str">
        <x:v>Entrées, sorties, volumes et personnages cartographiés sur captures de référence.</x:v>
      </x:c>
      <x:c r="J77" s="14" t="str">
        <x:v>WRL-noveria</x:v>
      </x:c>
      <x:c r="K77" s="14" t="str">
        <x:v>content/maps/noveria/poste-de-securite-rift.json</x:v>
      </x:c>
      <x:c r="L77" s="14" t="str"/>
      <x:c r="M77" s="14" t="str"/>
      <x:c r="N77" s="14" t="str">
        <x:v>Relevé de Noveria dans ME1 requis ; noms descriptifs pour la production.</x:v>
      </x:c>
      <x:c r="O77" s="14" t="str">
        <x:v>https://na.llnet.bioware.cdn.ea.com/u/f/eagames/bioware/masseffect/prima/prima_guide_me_pc.pdf</x:v>
      </x:c>
      <x:c r="P77" s="14" t="str">
        <x:v>Production ME1</x:v>
      </x:c>
      <x:c r="Q77" s="14" t="str"/>
    </x:row>
    <x:row r="78" ht="36" customHeight="1">
      <x:c r="A78" s="12" t="str">
        <x:v>ZON-noveria-laboratoire-medical</x:v>
      </x:c>
      <x:c r="B78" s="7" t="str">
        <x:v>Noveria — Laboratoire médical</x:v>
      </x:c>
      <x:c r="C78" s="10" t="str">
        <x:v>Défini</x:v>
      </x:c>
      <x:c r="D78" s="11" t="str">
        <x:v>À produire</x:v>
      </x:c>
      <x:c r="E78" s="9" t="str">
        <x:v>P1</x:v>
      </x:c>
      <x:c r="F78" s="9" t="str">
        <x:v>ME1</x:v>
      </x:c>
      <x:c r="G78" s="9" t="str">
        <x:v>Référence à vérifier</x:v>
      </x:c>
      <x:c r="H78" s="7" t="str">
        <x:v>Traitement et accès</x:v>
      </x:c>
      <x:c r="I78" s="7" t="str">
        <x:v>Entrées, sorties, volumes et personnages cartographiés sur captures de référence.</x:v>
      </x:c>
      <x:c r="J78" s="7" t="str">
        <x:v>WRL-noveria</x:v>
      </x:c>
      <x:c r="K78" s="7" t="str">
        <x:v>content/maps/noveria/laboratoire-medical.json</x:v>
      </x:c>
      <x:c r="L78" s="7" t="str"/>
      <x:c r="M78" s="7" t="str"/>
      <x:c r="N78" s="7" t="str">
        <x:v>Relevé de Noveria dans ME1 requis ; noms descriptifs pour la production.</x:v>
      </x:c>
      <x:c r="O78" s="7" t="str">
        <x:v>https://na.llnet.bioware.cdn.ea.com/u/f/eagames/bioware/masseffect/prima/prima_guide_me_pc.pdf</x:v>
      </x:c>
      <x:c r="P78" s="7" t="str">
        <x:v>Production ME1</x:v>
      </x:c>
      <x:c r="Q78" s="7" t="str"/>
    </x:row>
    <x:row r="79" ht="36" customHeight="1">
      <x:c r="A79" s="13" t="str">
        <x:v>ZON-noveria-laboratoires-chauds</x:v>
      </x:c>
      <x:c r="B79" s="14" t="str">
        <x:v>Noveria — Laboratoires chauds</x:v>
      </x:c>
      <x:c r="C79" s="10" t="str">
        <x:v>Défini</x:v>
      </x:c>
      <x:c r="D79" s="11" t="str">
        <x:v>À produire</x:v>
      </x:c>
      <x:c r="E79" s="15" t="str">
        <x:v>P1</x:v>
      </x:c>
      <x:c r="F79" s="15" t="str">
        <x:v>ME1</x:v>
      </x:c>
      <x:c r="G79" s="15" t="str">
        <x:v>Référence à vérifier</x:v>
      </x:c>
      <x:c r="H79" s="14" t="str">
        <x:v>Purge et rachni</x:v>
      </x:c>
      <x:c r="I79" s="14" t="str">
        <x:v>Entrées, sorties, volumes et personnages cartographiés sur captures de référence.</x:v>
      </x:c>
      <x:c r="J79" s="14" t="str">
        <x:v>WRL-noveria</x:v>
      </x:c>
      <x:c r="K79" s="14" t="str">
        <x:v>content/maps/noveria/laboratoires-chauds.json</x:v>
      </x:c>
      <x:c r="L79" s="14" t="str"/>
      <x:c r="M79" s="14" t="str"/>
      <x:c r="N79" s="14" t="str">
        <x:v>Relevé de Noveria dans ME1 requis ; noms descriptifs pour la production.</x:v>
      </x:c>
      <x:c r="O79" s="14" t="str">
        <x:v>https://na.llnet.bioware.cdn.ea.com/u/f/eagames/bioware/masseffect/prima/prima_guide_me_pc.pdf</x:v>
      </x:c>
      <x:c r="P79" s="14" t="str">
        <x:v>Production ME1</x:v>
      </x:c>
      <x:c r="Q79" s="14" t="str"/>
    </x:row>
    <x:row r="80" ht="36" customHeight="1">
      <x:c r="A80" s="12" t="str">
        <x:v>ZON-noveria-chambre-de-benezia</x:v>
      </x:c>
      <x:c r="B80" s="7" t="str">
        <x:v>Noveria — Chambre de Benezia</x:v>
      </x:c>
      <x:c r="C80" s="10" t="str">
        <x:v>Défini</x:v>
      </x:c>
      <x:c r="D80" s="11" t="str">
        <x:v>À produire</x:v>
      </x:c>
      <x:c r="E80" s="9" t="str">
        <x:v>P1</x:v>
      </x:c>
      <x:c r="F80" s="9" t="str">
        <x:v>ME1</x:v>
      </x:c>
      <x:c r="G80" s="9" t="str">
        <x:v>Référence à vérifier</x:v>
      </x:c>
      <x:c r="H80" s="7" t="str">
        <x:v>Confrontation biotique</x:v>
      </x:c>
      <x:c r="I80" s="7" t="str">
        <x:v>Entrées, sorties, volumes et personnages cartographiés sur captures de référence.</x:v>
      </x:c>
      <x:c r="J80" s="7" t="str">
        <x:v>WRL-noveria</x:v>
      </x:c>
      <x:c r="K80" s="7" t="str">
        <x:v>content/maps/noveria/chambre-de-benezia.json</x:v>
      </x:c>
      <x:c r="L80" s="7" t="str"/>
      <x:c r="M80" s="7" t="str"/>
      <x:c r="N80" s="7" t="str">
        <x:v>Relevé de Noveria dans ME1 requis ; noms descriptifs pour la production.</x:v>
      </x:c>
      <x:c r="O80" s="7" t="str">
        <x:v>https://na.llnet.bioware.cdn.ea.com/u/f/eagames/bioware/masseffect/prima/prima_guide_me_pc.pdf</x:v>
      </x:c>
      <x:c r="P80" s="7" t="str">
        <x:v>Production ME1</x:v>
      </x:c>
      <x:c r="Q80" s="7" t="str"/>
    </x:row>
    <x:row r="81" ht="36" customHeight="1">
      <x:c r="A81" s="13" t="str">
        <x:v>ZON-noveria-chambre-de-la-reine</x:v>
      </x:c>
      <x:c r="B81" s="14" t="str">
        <x:v>Noveria — Chambre de la reine</x:v>
      </x:c>
      <x:c r="C81" s="10" t="str">
        <x:v>Défini</x:v>
      </x:c>
      <x:c r="D81" s="11" t="str">
        <x:v>À produire</x:v>
      </x:c>
      <x:c r="E81" s="15" t="str">
        <x:v>P1</x:v>
      </x:c>
      <x:c r="F81" s="15" t="str">
        <x:v>ME1</x:v>
      </x:c>
      <x:c r="G81" s="15" t="str">
        <x:v>Référence à vérifier</x:v>
      </x:c>
      <x:c r="H81" s="14" t="str">
        <x:v>Choix rachni</x:v>
      </x:c>
      <x:c r="I81" s="14" t="str">
        <x:v>Entrées, sorties, volumes et personnages cartographiés sur captures de référence.</x:v>
      </x:c>
      <x:c r="J81" s="14" t="str">
        <x:v>WRL-noveria</x:v>
      </x:c>
      <x:c r="K81" s="14" t="str">
        <x:v>content/maps/noveria/chambre-de-la-reine.json</x:v>
      </x:c>
      <x:c r="L81" s="14" t="str"/>
      <x:c r="M81" s="14" t="str"/>
      <x:c r="N81" s="14" t="str">
        <x:v>Relevé de Noveria dans ME1 requis ; noms descriptifs pour la production.</x:v>
      </x:c>
      <x:c r="O81" s="14" t="str">
        <x:v>https://na.llnet.bioware.cdn.ea.com/u/f/eagames/bioware/masseffect/prima/prima_guide_me_pc.pdf</x:v>
      </x:c>
      <x:c r="P81" s="14" t="str">
        <x:v>Production ME1</x:v>
      </x:c>
      <x:c r="Q81" s="14" t="str"/>
    </x:row>
    <x:row r="82" ht="36" customHeight="1">
      <x:c r="A82" s="12" t="str">
        <x:v>ZON-virmire-littoral-d-atterrissage</x:v>
      </x:c>
      <x:c r="B82" s="7" t="str">
        <x:v>Virmire — Littoral d’atterrissage</x:v>
      </x:c>
      <x:c r="C82" s="10" t="str">
        <x:v>Défini</x:v>
      </x:c>
      <x:c r="D82" s="11" t="str">
        <x:v>À produire</x:v>
      </x:c>
      <x:c r="E82" s="9" t="str">
        <x:v>P1</x:v>
      </x:c>
      <x:c r="F82" s="9" t="str">
        <x:v>ME1</x:v>
      </x:c>
      <x:c r="G82" s="9" t="str">
        <x:v>Référence à vérifier</x:v>
      </x:c>
      <x:c r="H82" s="7" t="str">
        <x:v>Arrivée en Mako</x:v>
      </x:c>
      <x:c r="I82" s="7" t="str">
        <x:v>Entrées, sorties, volumes et personnages cartographiés sur captures de référence.</x:v>
      </x:c>
      <x:c r="J82" s="7" t="str">
        <x:v>WRL-virmire</x:v>
      </x:c>
      <x:c r="K82" s="7" t="str">
        <x:v>content/maps/virmire/littoral-d-atterrissage.json</x:v>
      </x:c>
      <x:c r="L82" s="7" t="str"/>
      <x:c r="M82" s="7" t="str"/>
      <x:c r="N82" s="7" t="str">
        <x:v>Relevé de Virmire dans ME1 requis ; noms descriptifs pour la production.</x:v>
      </x:c>
      <x:c r="O82" s="7" t="str">
        <x:v>https://na.llnet.bioware.cdn.ea.com/u/f/eagames/bioware/masseffect/prima/prima_guide_me_pc.pdf</x:v>
      </x:c>
      <x:c r="P82" s="7" t="str">
        <x:v>Production ME1</x:v>
      </x:c>
      <x:c r="Q82" s="7" t="str"/>
    </x:row>
    <x:row r="83" ht="36" customHeight="1">
      <x:c r="A83" s="13" t="str">
        <x:v>ZON-virmire-poste-de-barrage</x:v>
      </x:c>
      <x:c r="B83" s="14" t="str">
        <x:v>Virmire — Poste de barrage</x:v>
      </x:c>
      <x:c r="C83" s="10" t="str">
        <x:v>Défini</x:v>
      </x:c>
      <x:c r="D83" s="11" t="str">
        <x:v>À produire</x:v>
      </x:c>
      <x:c r="E83" s="15" t="str">
        <x:v>P1</x:v>
      </x:c>
      <x:c r="F83" s="15" t="str">
        <x:v>ME1</x:v>
      </x:c>
      <x:c r="G83" s="15" t="str">
        <x:v>Référence à vérifier</x:v>
      </x:c>
      <x:c r="H83" s="14" t="str">
        <x:v>Défenses côtières</x:v>
      </x:c>
      <x:c r="I83" s="14" t="str">
        <x:v>Entrées, sorties, volumes et personnages cartographiés sur captures de référence.</x:v>
      </x:c>
      <x:c r="J83" s="14" t="str">
        <x:v>WRL-virmire</x:v>
      </x:c>
      <x:c r="K83" s="14" t="str">
        <x:v>content/maps/virmire/poste-de-barrage.json</x:v>
      </x:c>
      <x:c r="L83" s="14" t="str"/>
      <x:c r="M83" s="14" t="str"/>
      <x:c r="N83" s="14" t="str">
        <x:v>Relevé de Virmire dans ME1 requis ; noms descriptifs pour la production.</x:v>
      </x:c>
      <x:c r="O83" s="14" t="str">
        <x:v>https://na.llnet.bioware.cdn.ea.com/u/f/eagames/bioware/masseffect/prima/prima_guide_me_pc.pdf</x:v>
      </x:c>
      <x:c r="P83" s="14" t="str">
        <x:v>Production ME1</x:v>
      </x:c>
      <x:c r="Q83" s="14" t="str"/>
    </x:row>
    <x:row r="84" ht="36" customHeight="1">
      <x:c r="A84" s="12" t="str">
        <x:v>ZON-virmire-camp-galarien</x:v>
      </x:c>
      <x:c r="B84" s="7" t="str">
        <x:v>Virmire — Camp galarien</x:v>
      </x:c>
      <x:c r="C84" s="10" t="str">
        <x:v>Défini</x:v>
      </x:c>
      <x:c r="D84" s="11" t="str">
        <x:v>À produire</x:v>
      </x:c>
      <x:c r="E84" s="9" t="str">
        <x:v>P1</x:v>
      </x:c>
      <x:c r="F84" s="9" t="str">
        <x:v>ME1</x:v>
      </x:c>
      <x:c r="G84" s="9" t="str">
        <x:v>Référence à vérifier</x:v>
      </x:c>
      <x:c r="H84" s="7" t="str">
        <x:v>Briefing et confrontation Wrex</x:v>
      </x:c>
      <x:c r="I84" s="7" t="str">
        <x:v>Entrées, sorties, volumes et personnages cartographiés sur captures de référence.</x:v>
      </x:c>
      <x:c r="J84" s="7" t="str">
        <x:v>WRL-virmire</x:v>
      </x:c>
      <x:c r="K84" s="7" t="str">
        <x:v>content/maps/virmire/camp-galarien.json</x:v>
      </x:c>
      <x:c r="L84" s="7" t="str"/>
      <x:c r="M84" s="7" t="str"/>
      <x:c r="N84" s="7" t="str">
        <x:v>Relevé de Virmire dans ME1 requis ; noms descriptifs pour la production.</x:v>
      </x:c>
      <x:c r="O84" s="7" t="str">
        <x:v>https://na.llnet.bioware.cdn.ea.com/u/f/eagames/bioware/masseffect/prima/prima_guide_me_pc.pdf</x:v>
      </x:c>
      <x:c r="P84" s="7" t="str">
        <x:v>Production ME1</x:v>
      </x:c>
      <x:c r="Q84" s="7" t="str"/>
    </x:row>
    <x:row r="85" ht="36" customHeight="1">
      <x:c r="A85" s="13" t="str">
        <x:v>ZON-virmire-voie-d-infiltration</x:v>
      </x:c>
      <x:c r="B85" s="14" t="str">
        <x:v>Virmire — Voie d’infiltration</x:v>
      </x:c>
      <x:c r="C85" s="10" t="str">
        <x:v>Défini</x:v>
      </x:c>
      <x:c r="D85" s="11" t="str">
        <x:v>À produire</x:v>
      </x:c>
      <x:c r="E85" s="15" t="str">
        <x:v>P1</x:v>
      </x:c>
      <x:c r="F85" s="15" t="str">
        <x:v>ME1</x:v>
      </x:c>
      <x:c r="G85" s="15" t="str">
        <x:v>Référence à vérifier</x:v>
      </x:c>
      <x:c r="H85" s="14" t="str">
        <x:v>Choix de soutien au STG</x:v>
      </x:c>
      <x:c r="I85" s="14" t="str">
        <x:v>Entrées, sorties, volumes et personnages cartographiés sur captures de référence.</x:v>
      </x:c>
      <x:c r="J85" s="14" t="str">
        <x:v>WRL-virmire</x:v>
      </x:c>
      <x:c r="K85" s="14" t="str">
        <x:v>content/maps/virmire/voie-d-infiltration.json</x:v>
      </x:c>
      <x:c r="L85" s="14" t="str"/>
      <x:c r="M85" s="14" t="str"/>
      <x:c r="N85" s="14" t="str">
        <x:v>Relevé de Virmire dans ME1 requis ; noms descriptifs pour la production.</x:v>
      </x:c>
      <x:c r="O85" s="14" t="str">
        <x:v>https://na.llnet.bioware.cdn.ea.com/u/f/eagames/bioware/masseffect/prima/prima_guide_me_pc.pdf</x:v>
      </x:c>
      <x:c r="P85" s="14" t="str">
        <x:v>Production ME1</x:v>
      </x:c>
      <x:c r="Q85" s="14" t="str"/>
    </x:row>
    <x:row r="86" ht="36" customHeight="1">
      <x:c r="A86" s="12" t="str">
        <x:v>ZON-virmire-tour-de-communication</x:v>
      </x:c>
      <x:c r="B86" s="7" t="str">
        <x:v>Virmire — Tour de communication</x:v>
      </x:c>
      <x:c r="C86" s="10" t="str">
        <x:v>Défini</x:v>
      </x:c>
      <x:c r="D86" s="11" t="str">
        <x:v>À produire</x:v>
      </x:c>
      <x:c r="E86" s="9" t="str">
        <x:v>P1</x:v>
      </x:c>
      <x:c r="F86" s="9" t="str">
        <x:v>ME1</x:v>
      </x:c>
      <x:c r="G86" s="9" t="str">
        <x:v>Référence à vérifier</x:v>
      </x:c>
      <x:c r="H86" s="7" t="str">
        <x:v>Sabotage de soutien</x:v>
      </x:c>
      <x:c r="I86" s="7" t="str">
        <x:v>Entrées, sorties, volumes et personnages cartographiés sur captures de référence.</x:v>
      </x:c>
      <x:c r="J86" s="7" t="str">
        <x:v>WRL-virmire</x:v>
      </x:c>
      <x:c r="K86" s="7" t="str">
        <x:v>content/maps/virmire/tour-de-communication.json</x:v>
      </x:c>
      <x:c r="L86" s="7" t="str"/>
      <x:c r="M86" s="7" t="str"/>
      <x:c r="N86" s="7" t="str">
        <x:v>Relevé de Virmire dans ME1 requis ; noms descriptifs pour la production.</x:v>
      </x:c>
      <x:c r="O86" s="7" t="str">
        <x:v>https://na.llnet.bioware.cdn.ea.com/u/f/eagames/bioware/masseffect/prima/prima_guide_me_pc.pdf</x:v>
      </x:c>
      <x:c r="P86" s="7" t="str">
        <x:v>Production ME1</x:v>
      </x:c>
      <x:c r="Q86" s="7" t="str"/>
    </x:row>
    <x:row r="87" ht="36" customHeight="1">
      <x:c r="A87" s="13" t="str">
        <x:v>ZON-virmire-plateforme-de-ravitaillement</x:v>
      </x:c>
      <x:c r="B87" s="14" t="str">
        <x:v>Virmire — Plateforme de ravitaillement</x:v>
      </x:c>
      <x:c r="C87" s="10" t="str">
        <x:v>Défini</x:v>
      </x:c>
      <x:c r="D87" s="11" t="str">
        <x:v>À produire</x:v>
      </x:c>
      <x:c r="E87" s="15" t="str">
        <x:v>P1</x:v>
      </x:c>
      <x:c r="F87" s="15" t="str">
        <x:v>ME1</x:v>
      </x:c>
      <x:c r="G87" s="15" t="str">
        <x:v>Référence à vérifier</x:v>
      </x:c>
      <x:c r="H87" s="14" t="str">
        <x:v>Cibles de soutien</x:v>
      </x:c>
      <x:c r="I87" s="14" t="str">
        <x:v>Entrées, sorties, volumes et personnages cartographiés sur captures de référence.</x:v>
      </x:c>
      <x:c r="J87" s="14" t="str">
        <x:v>WRL-virmire</x:v>
      </x:c>
      <x:c r="K87" s="14" t="str">
        <x:v>content/maps/virmire/plateforme-de-ravitaillement.json</x:v>
      </x:c>
      <x:c r="L87" s="14" t="str"/>
      <x:c r="M87" s="14" t="str"/>
      <x:c r="N87" s="14" t="str">
        <x:v>Relevé de Virmire dans ME1 requis ; noms descriptifs pour la production.</x:v>
      </x:c>
      <x:c r="O87" s="14" t="str">
        <x:v>https://na.llnet.bioware.cdn.ea.com/u/f/eagames/bioware/masseffect/prima/prima_guide_me_pc.pdf</x:v>
      </x:c>
      <x:c r="P87" s="14" t="str">
        <x:v>Production ME1</x:v>
      </x:c>
      <x:c r="Q87" s="14" t="str"/>
    </x:row>
    <x:row r="88" ht="36" customHeight="1">
      <x:c r="A88" s="12" t="str">
        <x:v>ZON-virmire-entree-du-laboratoire</x:v>
      </x:c>
      <x:c r="B88" s="7" t="str">
        <x:v>Virmire — Entrée du laboratoire</x:v>
      </x:c>
      <x:c r="C88" s="10" t="str">
        <x:v>Défini</x:v>
      </x:c>
      <x:c r="D88" s="11" t="str">
        <x:v>À produire</x:v>
      </x:c>
      <x:c r="E88" s="9" t="str">
        <x:v>P1</x:v>
      </x:c>
      <x:c r="F88" s="9" t="str">
        <x:v>ME1</x:v>
      </x:c>
      <x:c r="G88" s="9" t="str">
        <x:v>Référence à vérifier</x:v>
      </x:c>
      <x:c r="H88" s="7" t="str">
        <x:v>Personnel et prisonniers</x:v>
      </x:c>
      <x:c r="I88" s="7" t="str">
        <x:v>Entrées, sorties, volumes et personnages cartographiés sur captures de référence.</x:v>
      </x:c>
      <x:c r="J88" s="7" t="str">
        <x:v>WRL-virmire</x:v>
      </x:c>
      <x:c r="K88" s="7" t="str">
        <x:v>content/maps/virmire/entree-du-laboratoire.json</x:v>
      </x:c>
      <x:c r="L88" s="7" t="str"/>
      <x:c r="M88" s="7" t="str"/>
      <x:c r="N88" s="7" t="str">
        <x:v>Relevé de Virmire dans ME1 requis ; noms descriptifs pour la production.</x:v>
      </x:c>
      <x:c r="O88" s="7" t="str">
        <x:v>https://na.llnet.bioware.cdn.ea.com/u/f/eagames/bioware/masseffect/prima/prima_guide_me_pc.pdf</x:v>
      </x:c>
      <x:c r="P88" s="7" t="str">
        <x:v>Production ME1</x:v>
      </x:c>
      <x:c r="Q88" s="7" t="str"/>
    </x:row>
    <x:row r="89" ht="36" customHeight="1">
      <x:c r="A89" s="13" t="str">
        <x:v>ZON-virmire-laboratoire-de-reproduction</x:v>
      </x:c>
      <x:c r="B89" s="14" t="str">
        <x:v>Virmire — Laboratoire de reproduction</x:v>
      </x:c>
      <x:c r="C89" s="10" t="str">
        <x:v>Défini</x:v>
      </x:c>
      <x:c r="D89" s="11" t="str">
        <x:v>À produire</x:v>
      </x:c>
      <x:c r="E89" s="15" t="str">
        <x:v>P1</x:v>
      </x:c>
      <x:c r="F89" s="15" t="str">
        <x:v>ME1</x:v>
      </x:c>
      <x:c r="G89" s="15" t="str">
        <x:v>Référence à vérifier</x:v>
      </x:c>
      <x:c r="H89" s="14" t="str">
        <x:v>Découverte des expériences</x:v>
      </x:c>
      <x:c r="I89" s="14" t="str">
        <x:v>Entrées, sorties, volumes et personnages cartographiés sur captures de référence.</x:v>
      </x:c>
      <x:c r="J89" s="14" t="str">
        <x:v>WRL-virmire</x:v>
      </x:c>
      <x:c r="K89" s="14" t="str">
        <x:v>content/maps/virmire/laboratoire-de-reproduction.json</x:v>
      </x:c>
      <x:c r="L89" s="14" t="str"/>
      <x:c r="M89" s="14" t="str"/>
      <x:c r="N89" s="14" t="str">
        <x:v>Relevé de Virmire dans ME1 requis ; noms descriptifs pour la production.</x:v>
      </x:c>
      <x:c r="O89" s="14" t="str">
        <x:v>https://na.llnet.bioware.cdn.ea.com/u/f/eagames/bioware/masseffect/prima/prima_guide_me_pc.pdf</x:v>
      </x:c>
      <x:c r="P89" s="14" t="str">
        <x:v>Production ME1</x:v>
      </x:c>
      <x:c r="Q89" s="14" t="str"/>
    </x:row>
    <x:row r="90" ht="36" customHeight="1">
      <x:c r="A90" s="12" t="str">
        <x:v>ZON-virmire-salle-de-sovereign</x:v>
      </x:c>
      <x:c r="B90" s="7" t="str">
        <x:v>Virmire — Salle de Sovereign</x:v>
      </x:c>
      <x:c r="C90" s="10" t="str">
        <x:v>Défini</x:v>
      </x:c>
      <x:c r="D90" s="11" t="str">
        <x:v>À produire</x:v>
      </x:c>
      <x:c r="E90" s="9" t="str">
        <x:v>P1</x:v>
      </x:c>
      <x:c r="F90" s="9" t="str">
        <x:v>ME1</x:v>
      </x:c>
      <x:c r="G90" s="9" t="str">
        <x:v>Référence à vérifier</x:v>
      </x:c>
      <x:c r="H90" s="7" t="str">
        <x:v>Communication et révélation</x:v>
      </x:c>
      <x:c r="I90" s="7" t="str">
        <x:v>Entrées, sorties, volumes et personnages cartographiés sur captures de référence.</x:v>
      </x:c>
      <x:c r="J90" s="7" t="str">
        <x:v>WRL-virmire</x:v>
      </x:c>
      <x:c r="K90" s="7" t="str">
        <x:v>content/maps/virmire/salle-de-sovereign.json</x:v>
      </x:c>
      <x:c r="L90" s="7" t="str"/>
      <x:c r="M90" s="7" t="str"/>
      <x:c r="N90" s="7" t="str">
        <x:v>Relevé de Virmire dans ME1 requis ; noms descriptifs pour la production.</x:v>
      </x:c>
      <x:c r="O90" s="7" t="str">
        <x:v>https://na.llnet.bioware.cdn.ea.com/u/f/eagames/bioware/masseffect/prima/prima_guide_me_pc.pdf</x:v>
      </x:c>
      <x:c r="P90" s="7" t="str">
        <x:v>Production ME1</x:v>
      </x:c>
      <x:c r="Q90" s="7" t="str"/>
    </x:row>
    <x:row r="91" ht="36" customHeight="1">
      <x:c r="A91" s="13" t="str">
        <x:v>ZON-virmire-tour-antiaerienne</x:v>
      </x:c>
      <x:c r="B91" s="14" t="str">
        <x:v>Virmire — Tour antiaérienne</x:v>
      </x:c>
      <x:c r="C91" s="10" t="str">
        <x:v>Défini</x:v>
      </x:c>
      <x:c r="D91" s="11" t="str">
        <x:v>À produire</x:v>
      </x:c>
      <x:c r="E91" s="15" t="str">
        <x:v>P1</x:v>
      </x:c>
      <x:c r="F91" s="15" t="str">
        <x:v>ME1</x:v>
      </x:c>
      <x:c r="G91" s="15" t="str">
        <x:v>Référence à vérifier</x:v>
      </x:c>
      <x:c r="H91" s="14" t="str">
        <x:v>Objectif d’assaut</x:v>
      </x:c>
      <x:c r="I91" s="14" t="str">
        <x:v>Entrées, sorties, volumes et personnages cartographiés sur captures de référence.</x:v>
      </x:c>
      <x:c r="J91" s="14" t="str">
        <x:v>WRL-virmire</x:v>
      </x:c>
      <x:c r="K91" s="14" t="str">
        <x:v>content/maps/virmire/tour-antiaerienne.json</x:v>
      </x:c>
      <x:c r="L91" s="14" t="str"/>
      <x:c r="M91" s="14" t="str"/>
      <x:c r="N91" s="14" t="str">
        <x:v>Relevé de Virmire dans ME1 requis ; noms descriptifs pour la production.</x:v>
      </x:c>
      <x:c r="O91" s="14" t="str">
        <x:v>https://na.llnet.bioware.cdn.ea.com/u/f/eagames/bioware/masseffect/prima/prima_guide_me_pc.pdf</x:v>
      </x:c>
      <x:c r="P91" s="14" t="str">
        <x:v>Production ME1</x:v>
      </x:c>
      <x:c r="Q91" s="14" t="str"/>
    </x:row>
    <x:row r="92" ht="36" customHeight="1">
      <x:c r="A92" s="12" t="str">
        <x:v>ZON-virmire-site-de-la-bombe</x:v>
      </x:c>
      <x:c r="B92" s="7" t="str">
        <x:v>Virmire — Site de la bombe</x:v>
      </x:c>
      <x:c r="C92" s="10" t="str">
        <x:v>Défini</x:v>
      </x:c>
      <x:c r="D92" s="11" t="str">
        <x:v>À produire</x:v>
      </x:c>
      <x:c r="E92" s="9" t="str">
        <x:v>P1</x:v>
      </x:c>
      <x:c r="F92" s="9" t="str">
        <x:v>ME1</x:v>
      </x:c>
      <x:c r="G92" s="9" t="str">
        <x:v>Référence à vérifier</x:v>
      </x:c>
      <x:c r="H92" s="7" t="str">
        <x:v>Armement et protection</x:v>
      </x:c>
      <x:c r="I92" s="7" t="str">
        <x:v>Entrées, sorties, volumes et personnages cartographiés sur captures de référence.</x:v>
      </x:c>
      <x:c r="J92" s="7" t="str">
        <x:v>WRL-virmire</x:v>
      </x:c>
      <x:c r="K92" s="7" t="str">
        <x:v>content/maps/virmire/site-de-la-bombe.json</x:v>
      </x:c>
      <x:c r="L92" s="7" t="str"/>
      <x:c r="M92" s="7" t="str"/>
      <x:c r="N92" s="7" t="str">
        <x:v>Relevé de Virmire dans ME1 requis ; noms descriptifs pour la production.</x:v>
      </x:c>
      <x:c r="O92" s="7" t="str">
        <x:v>https://na.llnet.bioware.cdn.ea.com/u/f/eagames/bioware/masseffect/prima/prima_guide_me_pc.pdf</x:v>
      </x:c>
      <x:c r="P92" s="7" t="str">
        <x:v>Production ME1</x:v>
      </x:c>
      <x:c r="Q92" s="7" t="str"/>
    </x:row>
    <x:row r="93" ht="36" customHeight="1">
      <x:c r="A93" s="13" t="str">
        <x:v>ZON-virmire-zone-de-sauvetage</x:v>
      </x:c>
      <x:c r="B93" s="14" t="str">
        <x:v>Virmire — Zone de sauvetage</x:v>
      </x:c>
      <x:c r="C93" s="10" t="str">
        <x:v>Défini</x:v>
      </x:c>
      <x:c r="D93" s="11" t="str">
        <x:v>À produire</x:v>
      </x:c>
      <x:c r="E93" s="15" t="str">
        <x:v>P1</x:v>
      </x:c>
      <x:c r="F93" s="15" t="str">
        <x:v>ME1</x:v>
      </x:c>
      <x:c r="G93" s="15" t="str">
        <x:v>Référence à vérifier</x:v>
      </x:c>
      <x:c r="H93" s="14" t="str">
        <x:v>Choix du survivant</x:v>
      </x:c>
      <x:c r="I93" s="14" t="str">
        <x:v>Entrées, sorties, volumes et personnages cartographiés sur captures de référence.</x:v>
      </x:c>
      <x:c r="J93" s="14" t="str">
        <x:v>WRL-virmire</x:v>
      </x:c>
      <x:c r="K93" s="14" t="str">
        <x:v>content/maps/virmire/zone-de-sauvetage.json</x:v>
      </x:c>
      <x:c r="L93" s="14" t="str"/>
      <x:c r="M93" s="14" t="str"/>
      <x:c r="N93" s="14" t="str">
        <x:v>Relevé de Virmire dans ME1 requis ; noms descriptifs pour la production.</x:v>
      </x:c>
      <x:c r="O93" s="14" t="str">
        <x:v>https://na.llnet.bioware.cdn.ea.com/u/f/eagames/bioware/masseffect/prima/prima_guide_me_pc.pdf</x:v>
      </x:c>
      <x:c r="P93" s="14" t="str">
        <x:v>Production ME1</x:v>
      </x:c>
      <x:c r="Q93" s="14" t="str"/>
    </x:row>
    <x:row r="94" ht="36" customHeight="1">
      <x:c r="A94" s="12" t="str">
        <x:v>ZON-virmire-plateforme-d-extraction</x:v>
      </x:c>
      <x:c r="B94" s="7" t="str">
        <x:v>Virmire — Plateforme d’extraction</x:v>
      </x:c>
      <x:c r="C94" s="10" t="str">
        <x:v>Défini</x:v>
      </x:c>
      <x:c r="D94" s="11" t="str">
        <x:v>À produire</x:v>
      </x:c>
      <x:c r="E94" s="9" t="str">
        <x:v>P1</x:v>
      </x:c>
      <x:c r="F94" s="9" t="str">
        <x:v>ME1</x:v>
      </x:c>
      <x:c r="G94" s="9" t="str">
        <x:v>Référence à vérifier</x:v>
      </x:c>
      <x:c r="H94" s="7" t="str">
        <x:v>Saren et évacuation</x:v>
      </x:c>
      <x:c r="I94" s="7" t="str">
        <x:v>Entrées, sorties, volumes et personnages cartographiés sur captures de référence.</x:v>
      </x:c>
      <x:c r="J94" s="7" t="str">
        <x:v>WRL-virmire</x:v>
      </x:c>
      <x:c r="K94" s="7" t="str">
        <x:v>content/maps/virmire/plateforme-d-extraction.json</x:v>
      </x:c>
      <x:c r="L94" s="7" t="str"/>
      <x:c r="M94" s="7" t="str"/>
      <x:c r="N94" s="7" t="str">
        <x:v>Relevé de Virmire dans ME1 requis ; noms descriptifs pour la production.</x:v>
      </x:c>
      <x:c r="O94" s="7" t="str">
        <x:v>https://na.llnet.bioware.cdn.ea.com/u/f/eagames/bioware/masseffect/prima/prima_guide_me_pc.pdf</x:v>
      </x:c>
      <x:c r="P94" s="7" t="str">
        <x:v>Production ME1</x:v>
      </x:c>
      <x:c r="Q94" s="7" t="str"/>
    </x:row>
    <x:row r="95" ht="36" customHeight="1">
      <x:c r="A95" s="13" t="str">
        <x:v>ZON-ilos-ruines-d-arrivee</x:v>
      </x:c>
      <x:c r="B95" s="14" t="str">
        <x:v>Ilos — Ruines d’arrivée</x:v>
      </x:c>
      <x:c r="C95" s="10" t="str">
        <x:v>Défini</x:v>
      </x:c>
      <x:c r="D95" s="11" t="str">
        <x:v>À produire</x:v>
      </x:c>
      <x:c r="E95" s="15" t="str">
        <x:v>P1</x:v>
      </x:c>
      <x:c r="F95" s="15" t="str">
        <x:v>ME1</x:v>
      </x:c>
      <x:c r="G95" s="15" t="str">
        <x:v>Référence à vérifier</x:v>
      </x:c>
      <x:c r="H95" s="14" t="str">
        <x:v>Poursuite de Saren</x:v>
      </x:c>
      <x:c r="I95" s="14" t="str">
        <x:v>Entrées, sorties, volumes et personnages cartographiés sur captures de référence.</x:v>
      </x:c>
      <x:c r="J95" s="14" t="str">
        <x:v>WRL-ilos</x:v>
      </x:c>
      <x:c r="K95" s="14" t="str">
        <x:v>content/maps/ilos/ruines-d-arrivee.json</x:v>
      </x:c>
      <x:c r="L95" s="14" t="str"/>
      <x:c r="M95" s="14" t="str"/>
      <x:c r="N95" s="14" t="str">
        <x:v>Relevé de Ilos dans ME1 requis ; noms descriptifs pour la production.</x:v>
      </x:c>
      <x:c r="O95" s="14" t="str">
        <x:v>https://na.llnet.bioware.cdn.ea.com/u/f/eagames/bioware/masseffect/prima/prima_guide_me_pc.pdf</x:v>
      </x:c>
      <x:c r="P95" s="14" t="str">
        <x:v>Production ME1</x:v>
      </x:c>
      <x:c r="Q95" s="14" t="str"/>
    </x:row>
    <x:row r="96" ht="36" customHeight="1">
      <x:c r="A96" s="12" t="str">
        <x:v>ZON-ilos-cour-des-statues</x:v>
      </x:c>
      <x:c r="B96" s="7" t="str">
        <x:v>Ilos — Cour des statues</x:v>
      </x:c>
      <x:c r="C96" s="10" t="str">
        <x:v>Défini</x:v>
      </x:c>
      <x:c r="D96" s="11" t="str">
        <x:v>À produire</x:v>
      </x:c>
      <x:c r="E96" s="9" t="str">
        <x:v>P1</x:v>
      </x:c>
      <x:c r="F96" s="9" t="str">
        <x:v>ME1</x:v>
      </x:c>
      <x:c r="G96" s="9" t="str">
        <x:v>Référence à vérifier</x:v>
      </x:c>
      <x:c r="H96" s="7" t="str">
        <x:v>Combat et exploration</x:v>
      </x:c>
      <x:c r="I96" s="7" t="str">
        <x:v>Entrées, sorties, volumes et personnages cartographiés sur captures de référence.</x:v>
      </x:c>
      <x:c r="J96" s="7" t="str">
        <x:v>WRL-ilos</x:v>
      </x:c>
      <x:c r="K96" s="7" t="str">
        <x:v>content/maps/ilos/cour-des-statues.json</x:v>
      </x:c>
      <x:c r="L96" s="7" t="str"/>
      <x:c r="M96" s="7" t="str"/>
      <x:c r="N96" s="7" t="str">
        <x:v>Relevé de Ilos dans ME1 requis ; noms descriptifs pour la production.</x:v>
      </x:c>
      <x:c r="O96" s="7" t="str">
        <x:v>https://na.llnet.bioware.cdn.ea.com/u/f/eagames/bioware/masseffect/prima/prima_guide_me_pc.pdf</x:v>
      </x:c>
      <x:c r="P96" s="7" t="str">
        <x:v>Production ME1</x:v>
      </x:c>
      <x:c r="Q96" s="7" t="str"/>
    </x:row>
    <x:row r="97" ht="36" customHeight="1">
      <x:c r="A97" s="13" t="str">
        <x:v>ZON-ilos-archives-protheennes</x:v>
      </x:c>
      <x:c r="B97" s="14" t="str">
        <x:v>Ilos — Archives prothéennes</x:v>
      </x:c>
      <x:c r="C97" s="10" t="str">
        <x:v>Défini</x:v>
      </x:c>
      <x:c r="D97" s="11" t="str">
        <x:v>À produire</x:v>
      </x:c>
      <x:c r="E97" s="15" t="str">
        <x:v>P1</x:v>
      </x:c>
      <x:c r="F97" s="15" t="str">
        <x:v>ME1</x:v>
      </x:c>
      <x:c r="G97" s="15" t="str">
        <x:v>Référence à vérifier</x:v>
      </x:c>
      <x:c r="H97" s="14" t="str">
        <x:v>Mécanisme des portes</x:v>
      </x:c>
      <x:c r="I97" s="14" t="str">
        <x:v>Entrées, sorties, volumes et personnages cartographiés sur captures de référence.</x:v>
      </x:c>
      <x:c r="J97" s="14" t="str">
        <x:v>WRL-ilos</x:v>
      </x:c>
      <x:c r="K97" s="14" t="str">
        <x:v>content/maps/ilos/archives-protheennes.json</x:v>
      </x:c>
      <x:c r="L97" s="14" t="str"/>
      <x:c r="M97" s="14" t="str"/>
      <x:c r="N97" s="14" t="str">
        <x:v>Relevé de Ilos dans ME1 requis ; noms descriptifs pour la production.</x:v>
      </x:c>
      <x:c r="O97" s="14" t="str">
        <x:v>https://na.llnet.bioware.cdn.ea.com/u/f/eagames/bioware/masseffect/prima/prima_guide_me_pc.pdf</x:v>
      </x:c>
      <x:c r="P97" s="14" t="str">
        <x:v>Production ME1</x:v>
      </x:c>
      <x:c r="Q97" s="14" t="str"/>
    </x:row>
    <x:row r="98" ht="36" customHeight="1">
      <x:c r="A98" s="12" t="str">
        <x:v>ZON-ilos-couloir-de-la-veille</x:v>
      </x:c>
      <x:c r="B98" s="7" t="str">
        <x:v>Ilos — Couloir de la veille</x:v>
      </x:c>
      <x:c r="C98" s="10" t="str">
        <x:v>Défini</x:v>
      </x:c>
      <x:c r="D98" s="11" t="str">
        <x:v>À produire</x:v>
      </x:c>
      <x:c r="E98" s="9" t="str">
        <x:v>P1</x:v>
      </x:c>
      <x:c r="F98" s="9" t="str">
        <x:v>ME1</x:v>
      </x:c>
      <x:c r="G98" s="9" t="str">
        <x:v>Référence à vérifier</x:v>
      </x:c>
      <x:c r="H98" s="7" t="str">
        <x:v>Accès aux installations</x:v>
      </x:c>
      <x:c r="I98" s="7" t="str">
        <x:v>Entrées, sorties, volumes et personnages cartographiés sur captures de référence.</x:v>
      </x:c>
      <x:c r="J98" s="7" t="str">
        <x:v>WRL-ilos</x:v>
      </x:c>
      <x:c r="K98" s="7" t="str">
        <x:v>content/maps/ilos/couloir-de-la-veille.json</x:v>
      </x:c>
      <x:c r="L98" s="7" t="str"/>
      <x:c r="M98" s="7" t="str"/>
      <x:c r="N98" s="7" t="str">
        <x:v>Relevé de Ilos dans ME1 requis ; noms descriptifs pour la production.</x:v>
      </x:c>
      <x:c r="O98" s="7" t="str">
        <x:v>https://na.llnet.bioware.cdn.ea.com/u/f/eagames/bioware/masseffect/prima/prima_guide_me_pc.pdf</x:v>
      </x:c>
      <x:c r="P98" s="7" t="str">
        <x:v>Production ME1</x:v>
      </x:c>
      <x:c r="Q98" s="7" t="str"/>
    </x:row>
    <x:row r="99" ht="36" customHeight="1">
      <x:c r="A99" s="13" t="str">
        <x:v>ZON-ilos-salle-de-vigil</x:v>
      </x:c>
      <x:c r="B99" s="14" t="str">
        <x:v>Ilos — Salle de Vigil</x:v>
      </x:c>
      <x:c r="C99" s="10" t="str">
        <x:v>Défini</x:v>
      </x:c>
      <x:c r="D99" s="11" t="str">
        <x:v>À produire</x:v>
      </x:c>
      <x:c r="E99" s="15" t="str">
        <x:v>P1</x:v>
      </x:c>
      <x:c r="F99" s="15" t="str">
        <x:v>ME1</x:v>
      </x:c>
      <x:c r="G99" s="15" t="str">
        <x:v>Référence à vérifier</x:v>
      </x:c>
      <x:c r="H99" s="14" t="str">
        <x:v>Révélation historique</x:v>
      </x:c>
      <x:c r="I99" s="14" t="str">
        <x:v>Entrées, sorties, volumes et personnages cartographiés sur captures de référence.</x:v>
      </x:c>
      <x:c r="J99" s="14" t="str">
        <x:v>WRL-ilos</x:v>
      </x:c>
      <x:c r="K99" s="14" t="str">
        <x:v>content/maps/ilos/salle-de-vigil.json</x:v>
      </x:c>
      <x:c r="L99" s="14" t="str"/>
      <x:c r="M99" s="14" t="str"/>
      <x:c r="N99" s="14" t="str">
        <x:v>Relevé de Ilos dans ME1 requis ; noms descriptifs pour la production.</x:v>
      </x:c>
      <x:c r="O99" s="14" t="str">
        <x:v>https://na.llnet.bioware.cdn.ea.com/u/f/eagames/bioware/masseffect/prima/prima_guide_me_pc.pdf</x:v>
      </x:c>
      <x:c r="P99" s="14" t="str">
        <x:v>Production ME1</x:v>
      </x:c>
      <x:c r="Q99" s="14" t="str"/>
    </x:row>
    <x:row r="100" ht="36" customHeight="1">
      <x:c r="A100" s="12" t="str">
        <x:v>ZON-ilos-canal-de-convergence</x:v>
      </x:c>
      <x:c r="B100" s="7" t="str">
        <x:v>Ilos — Canal de convergence</x:v>
      </x:c>
      <x:c r="C100" s="10" t="str">
        <x:v>Défini</x:v>
      </x:c>
      <x:c r="D100" s="11" t="str">
        <x:v>À produire</x:v>
      </x:c>
      <x:c r="E100" s="9" t="str">
        <x:v>P1</x:v>
      </x:c>
      <x:c r="F100" s="9" t="str">
        <x:v>ME1</x:v>
      </x:c>
      <x:c r="G100" s="9" t="str">
        <x:v>Référence à vérifier</x:v>
      </x:c>
      <x:c r="H100" s="7" t="str">
        <x:v>Course en Mako</x:v>
      </x:c>
      <x:c r="I100" s="7" t="str">
        <x:v>Entrées, sorties, volumes et personnages cartographiés sur captures de référence.</x:v>
      </x:c>
      <x:c r="J100" s="7" t="str">
        <x:v>WRL-ilos</x:v>
      </x:c>
      <x:c r="K100" s="7" t="str">
        <x:v>content/maps/ilos/canal-de-convergence.json</x:v>
      </x:c>
      <x:c r="L100" s="7" t="str"/>
      <x:c r="M100" s="7" t="str"/>
      <x:c r="N100" s="7" t="str">
        <x:v>Relevé de Ilos dans ME1 requis ; noms descriptifs pour la production.</x:v>
      </x:c>
      <x:c r="O100" s="7" t="str">
        <x:v>https://na.llnet.bioware.cdn.ea.com/u/f/eagames/bioware/masseffect/prima/prima_guide_me_pc.pdf</x:v>
      </x:c>
      <x:c r="P100" s="7" t="str">
        <x:v>Production ME1</x:v>
      </x:c>
      <x:c r="Q100" s="7" t="str"/>
    </x:row>
    <x:row r="101" ht="36" customHeight="1">
      <x:c r="A101" s="13" t="str">
        <x:v>ZON-ilos-le-conduit</x:v>
      </x:c>
      <x:c r="B101" s="14" t="str">
        <x:v>Ilos — Le Conduit</x:v>
      </x:c>
      <x:c r="C101" s="10" t="str">
        <x:v>Défini</x:v>
      </x:c>
      <x:c r="D101" s="11" t="str">
        <x:v>À produire</x:v>
      </x:c>
      <x:c r="E101" s="15" t="str">
        <x:v>P1</x:v>
      </x:c>
      <x:c r="F101" s="15" t="str">
        <x:v>ME1</x:v>
      </x:c>
      <x:c r="G101" s="15" t="str">
        <x:v>Référence à vérifier</x:v>
      </x:c>
      <x:c r="H101" s="14" t="str">
        <x:v>Passage final vers la Citadelle</x:v>
      </x:c>
      <x:c r="I101" s="14" t="str">
        <x:v>Entrées, sorties, volumes et personnages cartographiés sur captures de référence.</x:v>
      </x:c>
      <x:c r="J101" s="14" t="str">
        <x:v>WRL-ilos</x:v>
      </x:c>
      <x:c r="K101" s="14" t="str">
        <x:v>content/maps/ilos/le-conduit.json</x:v>
      </x:c>
      <x:c r="L101" s="14" t="str"/>
      <x:c r="M101" s="14" t="str"/>
      <x:c r="N101" s="14" t="str">
        <x:v>Relevé de Ilos dans ME1 requis ; noms descriptifs pour la production.</x:v>
      </x:c>
      <x:c r="O101" s="14" t="str">
        <x:v>https://na.llnet.bioware.cdn.ea.com/u/f/eagames/bioware/masseffect/prima/prima_guide_me_pc.pdf</x:v>
      </x:c>
      <x:c r="P101" s="14" t="str">
        <x:v>Production ME1</x:v>
      </x:c>
      <x:c r="Q101" s="14" t="str"/>
    </x:row>
    <x:row r="102" ht="36" customHeight="1">
      <x:c r="A102" s="12" t="str">
        <x:v>ZON-asteroide-x57-propulseur-ouest</x:v>
      </x:c>
      <x:c r="B102" s="7" t="str">
        <x:v>Astéroïde X57 — Propulseur ouest</x:v>
      </x:c>
      <x:c r="C102" s="10" t="str">
        <x:v>Défini</x:v>
      </x:c>
      <x:c r="D102" s="11" t="str">
        <x:v>À produire</x:v>
      </x:c>
      <x:c r="E102" s="9" t="str">
        <x:v>P1</x:v>
      </x:c>
      <x:c r="F102" s="9" t="str">
        <x:v>ME1</x:v>
      </x:c>
      <x:c r="G102" s="9" t="str">
        <x:v>Référence à vérifier</x:v>
      </x:c>
      <x:c r="H102" s="7" t="str">
        <x:v>Désactivation et otages</x:v>
      </x:c>
      <x:c r="I102" s="7" t="str">
        <x:v>Entrées, sorties, volumes et personnages cartographiés sur captures de référence.</x:v>
      </x:c>
      <x:c r="J102" s="7" t="str">
        <x:v>WRL-asteroide-x57</x:v>
      </x:c>
      <x:c r="K102" s="7" t="str">
        <x:v>content/maps/asteroide-x57/propulseur-ouest.json</x:v>
      </x:c>
      <x:c r="L102" s="7" t="str"/>
      <x:c r="M102" s="7" t="str"/>
      <x:c r="N102" s="7" t="str">
        <x:v>Relevé de Astéroïde X57 dans ME1 requis ; noms descriptifs pour la production.</x:v>
      </x:c>
      <x:c r="O102" s="7" t="str">
        <x:v>https://na.llnet.bioware.cdn.ea.com/u/f/eagames/bioware/masseffect/prima/prima_guide_me_pc.pdf</x:v>
      </x:c>
      <x:c r="P102" s="7" t="str">
        <x:v>Production ME1</x:v>
      </x:c>
      <x:c r="Q102" s="7" t="str"/>
    </x:row>
    <x:row r="103" ht="36" customHeight="1">
      <x:c r="A103" s="13" t="str">
        <x:v>ZON-asteroide-x57-propulseur-central</x:v>
      </x:c>
      <x:c r="B103" s="14" t="str">
        <x:v>Astéroïde X57 — Propulseur central</x:v>
      </x:c>
      <x:c r="C103" s="10" t="str">
        <x:v>Défini</x:v>
      </x:c>
      <x:c r="D103" s="11" t="str">
        <x:v>À produire</x:v>
      </x:c>
      <x:c r="E103" s="15" t="str">
        <x:v>P1</x:v>
      </x:c>
      <x:c r="F103" s="15" t="str">
        <x:v>ME1</x:v>
      </x:c>
      <x:c r="G103" s="15" t="str">
        <x:v>Référence à vérifier</x:v>
      </x:c>
      <x:c r="H103" s="14" t="str">
        <x:v>Mines de proximité</x:v>
      </x:c>
      <x:c r="I103" s="14" t="str">
        <x:v>Entrées, sorties, volumes et personnages cartographiés sur captures de référence.</x:v>
      </x:c>
      <x:c r="J103" s="14" t="str">
        <x:v>WRL-asteroide-x57</x:v>
      </x:c>
      <x:c r="K103" s="14" t="str">
        <x:v>content/maps/asteroide-x57/propulseur-central.json</x:v>
      </x:c>
      <x:c r="L103" s="14" t="str"/>
      <x:c r="M103" s="14" t="str"/>
      <x:c r="N103" s="14" t="str">
        <x:v>Relevé de Astéroïde X57 dans ME1 requis ; noms descriptifs pour la production.</x:v>
      </x:c>
      <x:c r="O103" s="14" t="str">
        <x:v>https://na.llnet.bioware.cdn.ea.com/u/f/eagames/bioware/masseffect/prima/prima_guide_me_pc.pdf</x:v>
      </x:c>
      <x:c r="P103" s="14" t="str">
        <x:v>Production ME1</x:v>
      </x:c>
      <x:c r="Q103" s="14" t="str"/>
    </x:row>
    <x:row r="104" ht="36" customHeight="1">
      <x:c r="A104" s="12" t="str">
        <x:v>ZON-asteroide-x57-propulseur-est</x:v>
      </x:c>
      <x:c r="B104" s="7" t="str">
        <x:v>Astéroïde X57 — Propulseur est</x:v>
      </x:c>
      <x:c r="C104" s="10" t="str">
        <x:v>Défini</x:v>
      </x:c>
      <x:c r="D104" s="11" t="str">
        <x:v>À produire</x:v>
      </x:c>
      <x:c r="E104" s="9" t="str">
        <x:v>P1</x:v>
      </x:c>
      <x:c r="F104" s="9" t="str">
        <x:v>ME1</x:v>
      </x:c>
      <x:c r="G104" s="9" t="str">
        <x:v>Référence à vérifier</x:v>
      </x:c>
      <x:c r="H104" s="7" t="str">
        <x:v>Défenses butariennes</x:v>
      </x:c>
      <x:c r="I104" s="7" t="str">
        <x:v>Entrées, sorties, volumes et personnages cartographiés sur captures de référence.</x:v>
      </x:c>
      <x:c r="J104" s="7" t="str">
        <x:v>WRL-asteroide-x57</x:v>
      </x:c>
      <x:c r="K104" s="7" t="str">
        <x:v>content/maps/asteroide-x57/propulseur-est.json</x:v>
      </x:c>
      <x:c r="L104" s="7" t="str"/>
      <x:c r="M104" s="7" t="str"/>
      <x:c r="N104" s="7" t="str">
        <x:v>Relevé de Astéroïde X57 dans ME1 requis ; noms descriptifs pour la production.</x:v>
      </x:c>
      <x:c r="O104" s="7" t="str">
        <x:v>https://na.llnet.bioware.cdn.ea.com/u/f/eagames/bioware/masseffect/prima/prima_guide_me_pc.pdf</x:v>
      </x:c>
      <x:c r="P104" s="7" t="str">
        <x:v>Production ME1</x:v>
      </x:c>
      <x:c r="Q104" s="7" t="str"/>
    </x:row>
    <x:row r="105" ht="36" customHeight="1">
      <x:c r="A105" s="13" t="str">
        <x:v>ZON-asteroide-x57-batiment-principal</x:v>
      </x:c>
      <x:c r="B105" s="14" t="str">
        <x:v>Astéroïde X57 — Bâtiment principal</x:v>
      </x:c>
      <x:c r="C105" s="10" t="str">
        <x:v>Défini</x:v>
      </x:c>
      <x:c r="D105" s="11" t="str">
        <x:v>À produire</x:v>
      </x:c>
      <x:c r="E105" s="15" t="str">
        <x:v>P1</x:v>
      </x:c>
      <x:c r="F105" s="15" t="str">
        <x:v>ME1</x:v>
      </x:c>
      <x:c r="G105" s="15" t="str">
        <x:v>Référence à vérifier</x:v>
      </x:c>
      <x:c r="H105" s="14" t="str">
        <x:v>Confrontation avec Balak</x:v>
      </x:c>
      <x:c r="I105" s="14" t="str">
        <x:v>Entrées, sorties, volumes et personnages cartographiés sur captures de référence.</x:v>
      </x:c>
      <x:c r="J105" s="14" t="str">
        <x:v>WRL-asteroide-x57</x:v>
      </x:c>
      <x:c r="K105" s="14" t="str">
        <x:v>content/maps/asteroide-x57/batiment-principal.json</x:v>
      </x:c>
      <x:c r="L105" s="14" t="str"/>
      <x:c r="M105" s="14" t="str"/>
      <x:c r="N105" s="14" t="str">
        <x:v>Relevé de Astéroïde X57 dans ME1 requis ; noms descriptifs pour la production.</x:v>
      </x:c>
      <x:c r="O105" s="14" t="str">
        <x:v>https://na.llnet.bioware.cdn.ea.com/u/f/eagames/bioware/masseffect/prima/prima_guide_me_pc.pdf</x:v>
      </x:c>
      <x:c r="P105" s="14" t="str">
        <x:v>Production ME1</x:v>
      </x:c>
      <x:c r="Q105" s="14" t="str"/>
    </x:row>
    <x:row r="106" ht="36" customHeight="1">
      <x:c r="A106" s="12" t="str">
        <x:v>ZON-asteroide-x57-poste-de-surveillance</x:v>
      </x:c>
      <x:c r="B106" s="7" t="str">
        <x:v>Astéroïde X57 — Poste de surveillance</x:v>
      </x:c>
      <x:c r="C106" s="10" t="str">
        <x:v>Défini</x:v>
      </x:c>
      <x:c r="D106" s="11" t="str">
        <x:v>À produire</x:v>
      </x:c>
      <x:c r="E106" s="9" t="str">
        <x:v>P1</x:v>
      </x:c>
      <x:c r="F106" s="9" t="str">
        <x:v>ME1</x:v>
      </x:c>
      <x:c r="G106" s="9" t="str">
        <x:v>Référence à vérifier</x:v>
      </x:c>
      <x:c r="H106" s="7" t="str">
        <x:v>Victimes et indices</x:v>
      </x:c>
      <x:c r="I106" s="7" t="str">
        <x:v>Entrées, sorties, volumes et personnages cartographiés sur captures de référence.</x:v>
      </x:c>
      <x:c r="J106" s="7" t="str">
        <x:v>WRL-asteroide-x57</x:v>
      </x:c>
      <x:c r="K106" s="7" t="str">
        <x:v>content/maps/asteroide-x57/poste-de-surveillance.json</x:v>
      </x:c>
      <x:c r="L106" s="7" t="str"/>
      <x:c r="M106" s="7" t="str"/>
      <x:c r="N106" s="7" t="str">
        <x:v>Relevé de Astéroïde X57 dans ME1 requis ; noms descriptifs pour la production.</x:v>
      </x:c>
      <x:c r="O106" s="7" t="str">
        <x:v>https://na.llnet.bioware.cdn.ea.com/u/f/eagames/bioware/masseffect/prima/prima_guide_me_pc.pdf</x:v>
      </x:c>
      <x:c r="P106" s="7" t="str">
        <x:v>Production ME1</x:v>
      </x:c>
      <x:c r="Q106" s="7" t="str"/>
    </x:row>
  </x:sheetData>
  <x:conditionalFormatting sqref="C7:C106">
    <x:cfRule type="cellIs" dxfId="280" priority="1" operator="equal">
      <x:formula>"Prototype"</x:formula>
    </x:cfRule>
    <x:cfRule type="cellIs" dxfId="281" priority="2" operator="equal">
      <x:formula>"Intégré"</x:formula>
    </x:cfRule>
    <x:cfRule type="cellIs" dxfId="282" priority="3" operator="equal">
      <x:formula>"Validé"</x:formula>
    </x:cfRule>
  </x:conditionalFormatting>
  <x:conditionalFormatting sqref="G7:G106">
    <x:cfRule type="cellIs" dxfId="283" priority="4" operator="equal">
      <x:formula>"Référence à vérifier"</x:formula>
    </x:cfRule>
  </x:conditionalFormatting>
  <x:conditionalFormatting sqref="E7:E106">
    <x:cfRule type="cellIs" dxfId="284" priority="5" operator="equal">
      <x:formula>"P0"</x:formula>
    </x:cfRule>
  </x:conditionalFormatting>
  <x:dataValidations count="5">
    <x:dataValidation type="list" sqref="C7:C106">
      <x:formula1>"Défini,Prototype,Intégré,Validé"</x:formula1>
    </x:dataValidation>
    <x:dataValidation type="list" sqref="D7:D106">
      <x:formula1>"À produire,Prototype,Disponible,Validé,Sans objet,Non planifié"</x:formula1>
    </x:dataValidation>
    <x:dataValidation type="list" sqref="E7:E106">
      <x:formula1>"P0,P1,P2"</x:formula1>
    </x:dataValidation>
    <x:dataValidation type="list" sqref="F7:F106">
      <x:formula1>"ME1,ME2,ME3,TRANSVERSE"</x:formula1>
    </x:dataValidation>
    <x:dataValidation type="list" sqref="G7:G106">
      <x:formula1>"Confirmé,Référence à vérifier,Adaptation"</x:formula1>
    </x:dataValidation>
  </x:dataValidations>
  <x:pageMargins left="0.7" right="0.7" top="0.75" bottom="0.75" header="0.3" footer="0.3"/>
  <x:tableParts count="1">
    <x:tablePart xmlns:r="http://schemas.openxmlformats.org/officeDocument/2006/relationships" r:id="R96ae3abb61b24a7b"/>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Liaisons</x:v>
      </x:c>
      <x:c r="B2" s="2"/>
      <x:c r="C2" s="2"/>
      <x:c r="D2" s="2"/>
      <x:c r="E2" s="2"/>
      <x:c r="F2" s="2"/>
      <x:c r="G2" s="2"/>
      <x:c r="H2" s="2"/>
      <x:c r="I2" s="2"/>
      <x:c r="J2" s="2"/>
      <x:c r="K2" s="2"/>
      <x:c r="L2" s="2"/>
      <x:c r="M2" s="2"/>
      <x:c r="N2" s="2"/>
      <x:c r="O2" s="2"/>
      <x:c r="P2" s="2"/>
      <x:c r="Q2" s="2"/>
    </x:row>
    <x:row r="3" ht="22" customHeight="1">
      <x:c r="A3" s="4" t="str">
        <x:v>Continuité spatiale et conditions de passage</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49" customHeight="1">
      <x:c r="A7" s="13" t="str">
        <x:v>LNK-normandy-sr-1-1</x:v>
      </x:c>
      <x:c r="B7" s="14" t="str">
        <x:v>Cockpit ↔ Passerelle</x:v>
      </x:c>
      <x:c r="C7" s="10" t="str">
        <x:v>Défini</x:v>
      </x:c>
      <x:c r="D7" s="11" t="str">
        <x:v>À produire</x:v>
      </x:c>
      <x:c r="E7" s="15" t="str">
        <x:v>P1</x:v>
      </x:c>
      <x:c r="F7" s="15" t="str">
        <x:v>ME1</x:v>
      </x:c>
      <x:c r="G7" s="15" t="str">
        <x:v>Adaptation</x:v>
      </x:c>
      <x:c r="H7" s="14" t="str">
        <x:v>Liaison de travail pour le découpage de Normandy SR-1. Adjacence exacte à confirmer sur le plan de référence.</x:v>
      </x:c>
      <x:c r="I7" s="14" t="str">
        <x:v>Vérifier les deux sens, orientation, seuils, état des portes et raccord des caméras.</x:v>
      </x:c>
      <x:c r="J7" s="14" t="str">
        <x:v>ZON-normandy-sr-1-cockpit, ZON-normandy-sr-1-passerelle</x:v>
      </x:c>
      <x:c r="K7" s="14" t="str">
        <x:v>content/links/LNK-normandy-sr-1-1.json</x:v>
      </x:c>
      <x:c r="L7" s="14" t="str"/>
      <x:c r="M7" s="14" t="str"/>
      <x:c r="N7" s="14" t="str">
        <x:v>Décisions du fan game ; aucune prétention de canon officiel</x:v>
      </x:c>
      <x:c r="O7" s="14" t="str"/>
      <x:c r="P7" s="14" t="str">
        <x:v>Production ME1</x:v>
      </x:c>
      <x:c r="Q7" s="14" t="str">
        <x:v>Adjacence proposée pour préparation du plan ; ne constitue pas un relevé canonique validé.</x:v>
      </x:c>
    </x:row>
    <x:row r="8" ht="49" customHeight="1">
      <x:c r="A8" s="12" t="str">
        <x:v>LNK-normandy-sr-1-2</x:v>
      </x:c>
      <x:c r="B8" s="7" t="str">
        <x:v>Passerelle ↔ CIC</x:v>
      </x:c>
      <x:c r="C8" s="10" t="str">
        <x:v>Défini</x:v>
      </x:c>
      <x:c r="D8" s="11" t="str">
        <x:v>À produire</x:v>
      </x:c>
      <x:c r="E8" s="9" t="str">
        <x:v>P1</x:v>
      </x:c>
      <x:c r="F8" s="9" t="str">
        <x:v>ME1</x:v>
      </x:c>
      <x:c r="G8" s="9" t="str">
        <x:v>Adaptation</x:v>
      </x:c>
      <x:c r="H8" s="7" t="str">
        <x:v>Liaison de travail pour le découpage de Normandy SR-1. Adjacence exacte à confirmer sur le plan de référence.</x:v>
      </x:c>
      <x:c r="I8" s="7" t="str">
        <x:v>Vérifier les deux sens, orientation, seuils, état des portes et raccord des caméras.</x:v>
      </x:c>
      <x:c r="J8" s="7" t="str">
        <x:v>ZON-normandy-sr-1-passerelle, ZON-normandy-sr-1-cic</x:v>
      </x:c>
      <x:c r="K8" s="7" t="str">
        <x:v>content/links/LNK-normandy-sr-1-2.json</x:v>
      </x:c>
      <x:c r="L8" s="7" t="str"/>
      <x:c r="M8" s="7" t="str"/>
      <x:c r="N8" s="7" t="str">
        <x:v>Décisions du fan game ; aucune prétention de canon officiel</x:v>
      </x:c>
      <x:c r="O8" s="7" t="str"/>
      <x:c r="P8" s="7" t="str">
        <x:v>Production ME1</x:v>
      </x:c>
      <x:c r="Q8" s="7" t="str">
        <x:v>Adjacence proposée pour préparation du plan ; ne constitue pas un relevé canonique validé.</x:v>
      </x:c>
    </x:row>
    <x:row r="9" ht="49" customHeight="1">
      <x:c r="A9" s="13" t="str">
        <x:v>LNK-normandy-sr-1-3</x:v>
      </x:c>
      <x:c r="B9" s="14" t="str">
        <x:v>CIC ↔ Salle de communication</x:v>
      </x:c>
      <x:c r="C9" s="10" t="str">
        <x:v>Défini</x:v>
      </x:c>
      <x:c r="D9" s="11" t="str">
        <x:v>À produire</x:v>
      </x:c>
      <x:c r="E9" s="15" t="str">
        <x:v>P1</x:v>
      </x:c>
      <x:c r="F9" s="15" t="str">
        <x:v>ME1</x:v>
      </x:c>
      <x:c r="G9" s="15" t="str">
        <x:v>Adaptation</x:v>
      </x:c>
      <x:c r="H9" s="14" t="str">
        <x:v>Liaison de travail pour le découpage de Normandy SR-1. Adjacence exacte à confirmer sur le plan de référence.</x:v>
      </x:c>
      <x:c r="I9" s="14" t="str">
        <x:v>Vérifier les deux sens, orientation, seuils, état des portes et raccord des caméras.</x:v>
      </x:c>
      <x:c r="J9" s="14" t="str">
        <x:v>ZON-normandy-sr-1-cic, ZON-normandy-sr-1-salle-de-communication</x:v>
      </x:c>
      <x:c r="K9" s="14" t="str">
        <x:v>content/links/LNK-normandy-sr-1-3.json</x:v>
      </x:c>
      <x:c r="L9" s="14" t="str"/>
      <x:c r="M9" s="14" t="str"/>
      <x:c r="N9" s="14" t="str">
        <x:v>Décisions du fan game ; aucune prétention de canon officiel</x:v>
      </x:c>
      <x:c r="O9" s="14" t="str"/>
      <x:c r="P9" s="14" t="str">
        <x:v>Production ME1</x:v>
      </x:c>
      <x:c r="Q9" s="14" t="str">
        <x:v>Adjacence proposée pour préparation du plan ; ne constitue pas un relevé canonique validé.</x:v>
      </x:c>
    </x:row>
    <x:row r="10" ht="49" customHeight="1">
      <x:c r="A10" s="12" t="str">
        <x:v>LNK-normandy-sr-1-4</x:v>
      </x:c>
      <x:c r="B10" s="7" t="str">
        <x:v>Salle de communication ↔ Mess</x:v>
      </x:c>
      <x:c r="C10" s="10" t="str">
        <x:v>Défini</x:v>
      </x:c>
      <x:c r="D10" s="11" t="str">
        <x:v>À produire</x:v>
      </x:c>
      <x:c r="E10" s="9" t="str">
        <x:v>P1</x:v>
      </x:c>
      <x:c r="F10" s="9" t="str">
        <x:v>ME1</x:v>
      </x:c>
      <x:c r="G10" s="9" t="str">
        <x:v>Adaptation</x:v>
      </x:c>
      <x:c r="H10" s="7" t="str">
        <x:v>Liaison de travail pour le découpage de Normandy SR-1. Adjacence exacte à confirmer sur le plan de référence.</x:v>
      </x:c>
      <x:c r="I10" s="7" t="str">
        <x:v>Vérifier les deux sens, orientation, seuils, état des portes et raccord des caméras.</x:v>
      </x:c>
      <x:c r="J10" s="7" t="str">
        <x:v>ZON-normandy-sr-1-salle-de-communication, ZON-normandy-sr-1-mess</x:v>
      </x:c>
      <x:c r="K10" s="7" t="str">
        <x:v>content/links/LNK-normandy-sr-1-4.json</x:v>
      </x:c>
      <x:c r="L10" s="7" t="str"/>
      <x:c r="M10" s="7" t="str"/>
      <x:c r="N10" s="7" t="str">
        <x:v>Décisions du fan game ; aucune prétention de canon officiel</x:v>
      </x:c>
      <x:c r="O10" s="7" t="str"/>
      <x:c r="P10" s="7" t="str">
        <x:v>Production ME1</x:v>
      </x:c>
      <x:c r="Q10" s="7" t="str">
        <x:v>Adjacence proposée pour préparation du plan ; ne constitue pas un relevé canonique validé.</x:v>
      </x:c>
    </x:row>
    <x:row r="11" ht="49" customHeight="1">
      <x:c r="A11" s="13" t="str">
        <x:v>LNK-normandy-sr-1-5</x:v>
      </x:c>
      <x:c r="B11" s="14" t="str">
        <x:v>Mess ↔ Infirmerie</x:v>
      </x:c>
      <x:c r="C11" s="10" t="str">
        <x:v>Défini</x:v>
      </x:c>
      <x:c r="D11" s="11" t="str">
        <x:v>À produire</x:v>
      </x:c>
      <x:c r="E11" s="15" t="str">
        <x:v>P1</x:v>
      </x:c>
      <x:c r="F11" s="15" t="str">
        <x:v>ME1</x:v>
      </x:c>
      <x:c r="G11" s="15" t="str">
        <x:v>Adaptation</x:v>
      </x:c>
      <x:c r="H11" s="14" t="str">
        <x:v>Liaison de travail pour le découpage de Normandy SR-1. Adjacence exacte à confirmer sur le plan de référence.</x:v>
      </x:c>
      <x:c r="I11" s="14" t="str">
        <x:v>Vérifier les deux sens, orientation, seuils, état des portes et raccord des caméras.</x:v>
      </x:c>
      <x:c r="J11" s="14" t="str">
        <x:v>ZON-normandy-sr-1-mess, ZON-normandy-sr-1-infirmerie</x:v>
      </x:c>
      <x:c r="K11" s="14" t="str">
        <x:v>content/links/LNK-normandy-sr-1-5.json</x:v>
      </x:c>
      <x:c r="L11" s="14" t="str"/>
      <x:c r="M11" s="14" t="str"/>
      <x:c r="N11" s="14" t="str">
        <x:v>Décisions du fan game ; aucune prétention de canon officiel</x:v>
      </x:c>
      <x:c r="O11" s="14" t="str"/>
      <x:c r="P11" s="14" t="str">
        <x:v>Production ME1</x:v>
      </x:c>
      <x:c r="Q11" s="14" t="str">
        <x:v>Adjacence proposée pour préparation du plan ; ne constitue pas un relevé canonique validé.</x:v>
      </x:c>
    </x:row>
    <x:row r="12" ht="49" customHeight="1">
      <x:c r="A12" s="12" t="str">
        <x:v>LNK-normandy-sr-1-6</x:v>
      </x:c>
      <x:c r="B12" s="7" t="str">
        <x:v>Infirmerie ↔ Quartiers du commandant</x:v>
      </x:c>
      <x:c r="C12" s="10" t="str">
        <x:v>Défini</x:v>
      </x:c>
      <x:c r="D12" s="11" t="str">
        <x:v>À produire</x:v>
      </x:c>
      <x:c r="E12" s="9" t="str">
        <x:v>P1</x:v>
      </x:c>
      <x:c r="F12" s="9" t="str">
        <x:v>ME1</x:v>
      </x:c>
      <x:c r="G12" s="9" t="str">
        <x:v>Adaptation</x:v>
      </x:c>
      <x:c r="H12" s="7" t="str">
        <x:v>Liaison de travail pour le découpage de Normandy SR-1. Adjacence exacte à confirmer sur le plan de référence.</x:v>
      </x:c>
      <x:c r="I12" s="7" t="str">
        <x:v>Vérifier les deux sens, orientation, seuils, état des portes et raccord des caméras.</x:v>
      </x:c>
      <x:c r="J12" s="7" t="str">
        <x:v>ZON-normandy-sr-1-infirmerie, ZON-normandy-sr-1-quartiers-du-commandant</x:v>
      </x:c>
      <x:c r="K12" s="7" t="str">
        <x:v>content/links/LNK-normandy-sr-1-6.json</x:v>
      </x:c>
      <x:c r="L12" s="7" t="str"/>
      <x:c r="M12" s="7" t="str"/>
      <x:c r="N12" s="7" t="str">
        <x:v>Décisions du fan game ; aucune prétention de canon officiel</x:v>
      </x:c>
      <x:c r="O12" s="7" t="str"/>
      <x:c r="P12" s="7" t="str">
        <x:v>Production ME1</x:v>
      </x:c>
      <x:c r="Q12" s="7" t="str">
        <x:v>Adjacence proposée pour préparation du plan ; ne constitue pas un relevé canonique validé.</x:v>
      </x:c>
    </x:row>
    <x:row r="13" ht="49" customHeight="1">
      <x:c r="A13" s="13" t="str">
        <x:v>LNK-normandy-sr-1-7</x:v>
      </x:c>
      <x:c r="B13" s="14" t="str">
        <x:v>Quartiers du commandant ↔ Baie technique</x:v>
      </x:c>
      <x:c r="C13" s="10" t="str">
        <x:v>Défini</x:v>
      </x:c>
      <x:c r="D13" s="11" t="str">
        <x:v>À produire</x:v>
      </x:c>
      <x:c r="E13" s="15" t="str">
        <x:v>P1</x:v>
      </x:c>
      <x:c r="F13" s="15" t="str">
        <x:v>ME1</x:v>
      </x:c>
      <x:c r="G13" s="15" t="str">
        <x:v>Adaptation</x:v>
      </x:c>
      <x:c r="H13" s="14" t="str">
        <x:v>Liaison de travail pour le découpage de Normandy SR-1. Adjacence exacte à confirmer sur le plan de référence.</x:v>
      </x:c>
      <x:c r="I13" s="14" t="str">
        <x:v>Vérifier les deux sens, orientation, seuils, état des portes et raccord des caméras.</x:v>
      </x:c>
      <x:c r="J13" s="14" t="str">
        <x:v>ZON-normandy-sr-1-quartiers-du-commandant, ZON-normandy-sr-1-baie-technique</x:v>
      </x:c>
      <x:c r="K13" s="14" t="str">
        <x:v>content/links/LNK-normandy-sr-1-7.json</x:v>
      </x:c>
      <x:c r="L13" s="14" t="str"/>
      <x:c r="M13" s="14" t="str"/>
      <x:c r="N13" s="14" t="str">
        <x:v>Décisions du fan game ; aucune prétention de canon officiel</x:v>
      </x:c>
      <x:c r="O13" s="14" t="str"/>
      <x:c r="P13" s="14" t="str">
        <x:v>Production ME1</x:v>
      </x:c>
      <x:c r="Q13" s="14" t="str">
        <x:v>Adjacence proposée pour préparation du plan ; ne constitue pas un relevé canonique validé.</x:v>
      </x:c>
    </x:row>
    <x:row r="14" ht="49" customHeight="1">
      <x:c r="A14" s="12" t="str">
        <x:v>LNK-normandy-sr-1-8</x:v>
      </x:c>
      <x:c r="B14" s="7" t="str">
        <x:v>Baie technique ↔ Soute Mako</x:v>
      </x:c>
      <x:c r="C14" s="10" t="str">
        <x:v>Défini</x:v>
      </x:c>
      <x:c r="D14" s="11" t="str">
        <x:v>À produire</x:v>
      </x:c>
      <x:c r="E14" s="9" t="str">
        <x:v>P1</x:v>
      </x:c>
      <x:c r="F14" s="9" t="str">
        <x:v>ME1</x:v>
      </x:c>
      <x:c r="G14" s="9" t="str">
        <x:v>Adaptation</x:v>
      </x:c>
      <x:c r="H14" s="7" t="str">
        <x:v>Liaison de travail pour le découpage de Normandy SR-1. Adjacence exacte à confirmer sur le plan de référence.</x:v>
      </x:c>
      <x:c r="I14" s="7" t="str">
        <x:v>Vérifier les deux sens, orientation, seuils, état des portes et raccord des caméras.</x:v>
      </x:c>
      <x:c r="J14" s="7" t="str">
        <x:v>ZON-normandy-sr-1-baie-technique, ZON-normandy-sr-1-soute-mako</x:v>
      </x:c>
      <x:c r="K14" s="7" t="str">
        <x:v>content/links/LNK-normandy-sr-1-8.json</x:v>
      </x:c>
      <x:c r="L14" s="7" t="str"/>
      <x:c r="M14" s="7" t="str"/>
      <x:c r="N14" s="7" t="str">
        <x:v>Décisions du fan game ; aucune prétention de canon officiel</x:v>
      </x:c>
      <x:c r="O14" s="7" t="str"/>
      <x:c r="P14" s="7" t="str">
        <x:v>Production ME1</x:v>
      </x:c>
      <x:c r="Q14" s="7" t="str">
        <x:v>Adjacence proposée pour préparation du plan ; ne constitue pas un relevé canonique validé.</x:v>
      </x:c>
    </x:row>
    <x:row r="15" ht="49" customHeight="1">
      <x:c r="A15" s="13" t="str">
        <x:v>LNK-normandy-sr-1-9</x:v>
      </x:c>
      <x:c r="B15" s="14" t="str">
        <x:v>Soute Mako ↔ Sas de débarquement</x:v>
      </x:c>
      <x:c r="C15" s="10" t="str">
        <x:v>Défini</x:v>
      </x:c>
      <x:c r="D15" s="11" t="str">
        <x:v>À produire</x:v>
      </x:c>
      <x:c r="E15" s="15" t="str">
        <x:v>P1</x:v>
      </x:c>
      <x:c r="F15" s="15" t="str">
        <x:v>ME1</x:v>
      </x:c>
      <x:c r="G15" s="15" t="str">
        <x:v>Adaptation</x:v>
      </x:c>
      <x:c r="H15" s="14" t="str">
        <x:v>Liaison de travail pour le découpage de Normandy SR-1. Adjacence exacte à confirmer sur le plan de référence.</x:v>
      </x:c>
      <x:c r="I15" s="14" t="str">
        <x:v>Vérifier les deux sens, orientation, seuils, état des portes et raccord des caméras.</x:v>
      </x:c>
      <x:c r="J15" s="14" t="str">
        <x:v>ZON-normandy-sr-1-soute-mako, ZON-normandy-sr-1-sas-de-debarquement</x:v>
      </x:c>
      <x:c r="K15" s="14" t="str">
        <x:v>content/links/LNK-normandy-sr-1-9.json</x:v>
      </x:c>
      <x:c r="L15" s="14" t="str"/>
      <x:c r="M15" s="14" t="str"/>
      <x:c r="N15" s="14" t="str">
        <x:v>Décisions du fan game ; aucune prétention de canon officiel</x:v>
      </x:c>
      <x:c r="O15" s="14" t="str"/>
      <x:c r="P15" s="14" t="str">
        <x:v>Production ME1</x:v>
      </x:c>
      <x:c r="Q15" s="14" t="str">
        <x:v>Adjacence proposée pour préparation du plan ; ne constitue pas un relevé canonique validé.</x:v>
      </x:c>
    </x:row>
    <x:row r="16" ht="49" customHeight="1">
      <x:c r="A16" s="12" t="str">
        <x:v>LNK-eden-prime-1</x:v>
      </x:c>
      <x:c r="B16" s="7" t="str">
        <x:v>Zone de largage ↔ Sentier des drones</x:v>
      </x:c>
      <x:c r="C16" s="10" t="str">
        <x:v>Défini</x:v>
      </x:c>
      <x:c r="D16" s="11" t="str">
        <x:v>À produire</x:v>
      </x:c>
      <x:c r="E16" s="9" t="str">
        <x:v>P1</x:v>
      </x:c>
      <x:c r="F16" s="9" t="str">
        <x:v>ME1</x:v>
      </x:c>
      <x:c r="G16" s="9" t="str">
        <x:v>Adaptation</x:v>
      </x:c>
      <x:c r="H16" s="7" t="str">
        <x:v>Liaison de travail pour le découpage de Eden Prime. Adjacence exacte à confirmer sur le plan de référence.</x:v>
      </x:c>
      <x:c r="I16" s="7" t="str">
        <x:v>Vérifier les deux sens, orientation, seuils, état des portes et raccord des caméras.</x:v>
      </x:c>
      <x:c r="J16" s="7" t="str">
        <x:v>ZON-eden-prime-zone-de-largage, ZON-eden-prime-sentier-des-drones</x:v>
      </x:c>
      <x:c r="K16" s="7" t="str">
        <x:v>content/links/LNK-eden-prime-1.json</x:v>
      </x:c>
      <x:c r="L16" s="7" t="str"/>
      <x:c r="M16" s="7" t="str"/>
      <x:c r="N16" s="7" t="str">
        <x:v>Décisions du fan game ; aucune prétention de canon officiel</x:v>
      </x:c>
      <x:c r="O16" s="7" t="str"/>
      <x:c r="P16" s="7" t="str">
        <x:v>Production ME1</x:v>
      </x:c>
      <x:c r="Q16" s="7" t="str">
        <x:v>Adjacence proposée pour préparation du plan ; ne constitue pas un relevé canonique validé.</x:v>
      </x:c>
    </x:row>
    <x:row r="17" ht="49" customHeight="1">
      <x:c r="A17" s="13" t="str">
        <x:v>LNK-eden-prime-2</x:v>
      </x:c>
      <x:c r="B17" s="14" t="str">
        <x:v>Sentier des drones ↔ Ferme attaquée</x:v>
      </x:c>
      <x:c r="C17" s="10" t="str">
        <x:v>Défini</x:v>
      </x:c>
      <x:c r="D17" s="11" t="str">
        <x:v>À produire</x:v>
      </x:c>
      <x:c r="E17" s="15" t="str">
        <x:v>P1</x:v>
      </x:c>
      <x:c r="F17" s="15" t="str">
        <x:v>ME1</x:v>
      </x:c>
      <x:c r="G17" s="15" t="str">
        <x:v>Adaptation</x:v>
      </x:c>
      <x:c r="H17" s="14" t="str">
        <x:v>Liaison de travail pour le découpage de Eden Prime. Adjacence exacte à confirmer sur le plan de référence.</x:v>
      </x:c>
      <x:c r="I17" s="14" t="str">
        <x:v>Vérifier les deux sens, orientation, seuils, état des portes et raccord des caméras.</x:v>
      </x:c>
      <x:c r="J17" s="14" t="str">
        <x:v>ZON-eden-prime-sentier-des-drones, ZON-eden-prime-ferme-attaquee</x:v>
      </x:c>
      <x:c r="K17" s="14" t="str">
        <x:v>content/links/LNK-eden-prime-2.json</x:v>
      </x:c>
      <x:c r="L17" s="14" t="str"/>
      <x:c r="M17" s="14" t="str"/>
      <x:c r="N17" s="14" t="str">
        <x:v>Décisions du fan game ; aucune prétention de canon officiel</x:v>
      </x:c>
      <x:c r="O17" s="14" t="str"/>
      <x:c r="P17" s="14" t="str">
        <x:v>Production ME1</x:v>
      </x:c>
      <x:c r="Q17" s="14" t="str">
        <x:v>Adjacence proposée pour préparation du plan ; ne constitue pas un relevé canonique validé.</x:v>
      </x:c>
    </x:row>
    <x:row r="18" ht="49" customHeight="1">
      <x:c r="A18" s="12" t="str">
        <x:v>LNK-eden-prime-3</x:v>
      </x:c>
      <x:c r="B18" s="7" t="str">
        <x:v>Ferme attaquée ↔ Site de fouille</x:v>
      </x:c>
      <x:c r="C18" s="10" t="str">
        <x:v>Défini</x:v>
      </x:c>
      <x:c r="D18" s="11" t="str">
        <x:v>À produire</x:v>
      </x:c>
      <x:c r="E18" s="9" t="str">
        <x:v>P1</x:v>
      </x:c>
      <x:c r="F18" s="9" t="str">
        <x:v>ME1</x:v>
      </x:c>
      <x:c r="G18" s="9" t="str">
        <x:v>Adaptation</x:v>
      </x:c>
      <x:c r="H18" s="7" t="str">
        <x:v>Liaison de travail pour le découpage de Eden Prime. Adjacence exacte à confirmer sur le plan de référence.</x:v>
      </x:c>
      <x:c r="I18" s="7" t="str">
        <x:v>Vérifier les deux sens, orientation, seuils, état des portes et raccord des caméras.</x:v>
      </x:c>
      <x:c r="J18" s="7" t="str">
        <x:v>ZON-eden-prime-ferme-attaquee, ZON-eden-prime-site-de-fouille</x:v>
      </x:c>
      <x:c r="K18" s="7" t="str">
        <x:v>content/links/LNK-eden-prime-3.json</x:v>
      </x:c>
      <x:c r="L18" s="7" t="str"/>
      <x:c r="M18" s="7" t="str"/>
      <x:c r="N18" s="7" t="str">
        <x:v>Décisions du fan game ; aucune prétention de canon officiel</x:v>
      </x:c>
      <x:c r="O18" s="7" t="str"/>
      <x:c r="P18" s="7" t="str">
        <x:v>Production ME1</x:v>
      </x:c>
      <x:c r="Q18" s="7" t="str">
        <x:v>Adjacence proposée pour préparation du plan ; ne constitue pas un relevé canonique validé.</x:v>
      </x:c>
    </x:row>
    <x:row r="19" ht="49" customHeight="1">
      <x:c r="A19" s="13" t="str">
        <x:v>LNK-eden-prime-4</x:v>
      </x:c>
      <x:c r="B19" s="14" t="str">
        <x:v>Site de fouille ↔ Campement scientifique</x:v>
      </x:c>
      <x:c r="C19" s="10" t="str">
        <x:v>Défini</x:v>
      </x:c>
      <x:c r="D19" s="11" t="str">
        <x:v>À produire</x:v>
      </x:c>
      <x:c r="E19" s="15" t="str">
        <x:v>P1</x:v>
      </x:c>
      <x:c r="F19" s="15" t="str">
        <x:v>ME1</x:v>
      </x:c>
      <x:c r="G19" s="15" t="str">
        <x:v>Adaptation</x:v>
      </x:c>
      <x:c r="H19" s="14" t="str">
        <x:v>Liaison de travail pour le découpage de Eden Prime. Adjacence exacte à confirmer sur le plan de référence.</x:v>
      </x:c>
      <x:c r="I19" s="14" t="str">
        <x:v>Vérifier les deux sens, orientation, seuils, état des portes et raccord des caméras.</x:v>
      </x:c>
      <x:c r="J19" s="14" t="str">
        <x:v>ZON-eden-prime-site-de-fouille, ZON-eden-prime-campement-scientifique</x:v>
      </x:c>
      <x:c r="K19" s="14" t="str">
        <x:v>content/links/LNK-eden-prime-4.json</x:v>
      </x:c>
      <x:c r="L19" s="14" t="str"/>
      <x:c r="M19" s="14" t="str"/>
      <x:c r="N19" s="14" t="str">
        <x:v>Décisions du fan game ; aucune prétention de canon officiel</x:v>
      </x:c>
      <x:c r="O19" s="14" t="str"/>
      <x:c r="P19" s="14" t="str">
        <x:v>Production ME1</x:v>
      </x:c>
      <x:c r="Q19" s="14" t="str">
        <x:v>Adjacence proposée pour préparation du plan ; ne constitue pas un relevé canonique validé.</x:v>
      </x:c>
    </x:row>
    <x:row r="20" ht="49" customHeight="1">
      <x:c r="A20" s="12" t="str">
        <x:v>LNK-eden-prime-5</x:v>
      </x:c>
      <x:c r="B20" s="7" t="str">
        <x:v>Campement scientifique ↔ Quai ferroviaire</x:v>
      </x:c>
      <x:c r="C20" s="10" t="str">
        <x:v>Défini</x:v>
      </x:c>
      <x:c r="D20" s="11" t="str">
        <x:v>À produire</x:v>
      </x:c>
      <x:c r="E20" s="9" t="str">
        <x:v>P1</x:v>
      </x:c>
      <x:c r="F20" s="9" t="str">
        <x:v>ME1</x:v>
      </x:c>
      <x:c r="G20" s="9" t="str">
        <x:v>Adaptation</x:v>
      </x:c>
      <x:c r="H20" s="7" t="str">
        <x:v>Liaison de travail pour le découpage de Eden Prime. Adjacence exacte à confirmer sur le plan de référence.</x:v>
      </x:c>
      <x:c r="I20" s="7" t="str">
        <x:v>Vérifier les deux sens, orientation, seuils, état des portes et raccord des caméras.</x:v>
      </x:c>
      <x:c r="J20" s="7" t="str">
        <x:v>ZON-eden-prime-campement-scientifique, ZON-eden-prime-quai-ferroviaire</x:v>
      </x:c>
      <x:c r="K20" s="7" t="str">
        <x:v>content/links/LNK-eden-prime-5.json</x:v>
      </x:c>
      <x:c r="L20" s="7" t="str"/>
      <x:c r="M20" s="7" t="str"/>
      <x:c r="N20" s="7" t="str">
        <x:v>Décisions du fan game ; aucune prétention de canon officiel</x:v>
      </x:c>
      <x:c r="O20" s="7" t="str"/>
      <x:c r="P20" s="7" t="str">
        <x:v>Production ME1</x:v>
      </x:c>
      <x:c r="Q20" s="7" t="str">
        <x:v>Adjacence proposée pour préparation du plan ; ne constitue pas un relevé canonique validé.</x:v>
      </x:c>
    </x:row>
    <x:row r="21" ht="49" customHeight="1">
      <x:c r="A21" s="13" t="str">
        <x:v>LNK-eden-prime-6</x:v>
      </x:c>
      <x:c r="B21" s="14" t="str">
        <x:v>Quai ferroviaire ↔ Train de fret</x:v>
      </x:c>
      <x:c r="C21" s="10" t="str">
        <x:v>Défini</x:v>
      </x:c>
      <x:c r="D21" s="11" t="str">
        <x:v>À produire</x:v>
      </x:c>
      <x:c r="E21" s="15" t="str">
        <x:v>P1</x:v>
      </x:c>
      <x:c r="F21" s="15" t="str">
        <x:v>ME1</x:v>
      </x:c>
      <x:c r="G21" s="15" t="str">
        <x:v>Adaptation</x:v>
      </x:c>
      <x:c r="H21" s="14" t="str">
        <x:v>Liaison de travail pour le découpage de Eden Prime. Adjacence exacte à confirmer sur le plan de référence.</x:v>
      </x:c>
      <x:c r="I21" s="14" t="str">
        <x:v>Vérifier les deux sens, orientation, seuils, état des portes et raccord des caméras.</x:v>
      </x:c>
      <x:c r="J21" s="14" t="str">
        <x:v>ZON-eden-prime-quai-ferroviaire, ZON-eden-prime-train-de-fret</x:v>
      </x:c>
      <x:c r="K21" s="14" t="str">
        <x:v>content/links/LNK-eden-prime-6.json</x:v>
      </x:c>
      <x:c r="L21" s="14" t="str"/>
      <x:c r="M21" s="14" t="str"/>
      <x:c r="N21" s="14" t="str">
        <x:v>Décisions du fan game ; aucune prétention de canon officiel</x:v>
      </x:c>
      <x:c r="O21" s="14" t="str"/>
      <x:c r="P21" s="14" t="str">
        <x:v>Production ME1</x:v>
      </x:c>
      <x:c r="Q21" s="14" t="str">
        <x:v>Adjacence proposée pour préparation du plan ; ne constitue pas un relevé canonique validé.</x:v>
      </x:c>
    </x:row>
    <x:row r="22" ht="49" customHeight="1">
      <x:c r="A22" s="12" t="str">
        <x:v>LNK-eden-prime-7</x:v>
      </x:c>
      <x:c r="B22" s="7" t="str">
        <x:v>Train de fret ↔ Plateforme de désamorçage</x:v>
      </x:c>
      <x:c r="C22" s="10" t="str">
        <x:v>Défini</x:v>
      </x:c>
      <x:c r="D22" s="11" t="str">
        <x:v>À produire</x:v>
      </x:c>
      <x:c r="E22" s="9" t="str">
        <x:v>P1</x:v>
      </x:c>
      <x:c r="F22" s="9" t="str">
        <x:v>ME1</x:v>
      </x:c>
      <x:c r="G22" s="9" t="str">
        <x:v>Adaptation</x:v>
      </x:c>
      <x:c r="H22" s="7" t="str">
        <x:v>Liaison de travail pour le découpage de Eden Prime. Adjacence exacte à confirmer sur le plan de référence.</x:v>
      </x:c>
      <x:c r="I22" s="7" t="str">
        <x:v>Vérifier les deux sens, orientation, seuils, état des portes et raccord des caméras.</x:v>
      </x:c>
      <x:c r="J22" s="7" t="str">
        <x:v>ZON-eden-prime-train-de-fret, ZON-eden-prime-plateforme-de-desamorcage</x:v>
      </x:c>
      <x:c r="K22" s="7" t="str">
        <x:v>content/links/LNK-eden-prime-7.json</x:v>
      </x:c>
      <x:c r="L22" s="7" t="str"/>
      <x:c r="M22" s="7" t="str"/>
      <x:c r="N22" s="7" t="str">
        <x:v>Décisions du fan game ; aucune prétention de canon officiel</x:v>
      </x:c>
      <x:c r="O22" s="7" t="str"/>
      <x:c r="P22" s="7" t="str">
        <x:v>Production ME1</x:v>
      </x:c>
      <x:c r="Q22" s="7" t="str">
        <x:v>Adjacence proposée pour préparation du plan ; ne constitue pas un relevé canonique validé.</x:v>
      </x:c>
    </x:row>
    <x:row r="23" ht="49" customHeight="1">
      <x:c r="A23" s="13" t="str">
        <x:v>LNK-eden-prime-8</x:v>
      </x:c>
      <x:c r="B23" s="14" t="str">
        <x:v>Plateforme de désamorçage ↔ Plateforme de la balise</x:v>
      </x:c>
      <x:c r="C23" s="10" t="str">
        <x:v>Défini</x:v>
      </x:c>
      <x:c r="D23" s="11" t="str">
        <x:v>À produire</x:v>
      </x:c>
      <x:c r="E23" s="15" t="str">
        <x:v>P1</x:v>
      </x:c>
      <x:c r="F23" s="15" t="str">
        <x:v>ME1</x:v>
      </x:c>
      <x:c r="G23" s="15" t="str">
        <x:v>Adaptation</x:v>
      </x:c>
      <x:c r="H23" s="14" t="str">
        <x:v>Liaison de travail pour le découpage de Eden Prime. Adjacence exacte à confirmer sur le plan de référence.</x:v>
      </x:c>
      <x:c r="I23" s="14" t="str">
        <x:v>Vérifier les deux sens, orientation, seuils, état des portes et raccord des caméras.</x:v>
      </x:c>
      <x:c r="J23" s="14" t="str">
        <x:v>ZON-eden-prime-plateforme-de-desamorcage, ZON-eden-prime-plateforme-de-la-balise</x:v>
      </x:c>
      <x:c r="K23" s="14" t="str">
        <x:v>content/links/LNK-eden-prime-8.json</x:v>
      </x:c>
      <x:c r="L23" s="14" t="str"/>
      <x:c r="M23" s="14" t="str"/>
      <x:c r="N23" s="14" t="str">
        <x:v>Décisions du fan game ; aucune prétention de canon officiel</x:v>
      </x:c>
      <x:c r="O23" s="14" t="str"/>
      <x:c r="P23" s="14" t="str">
        <x:v>Production ME1</x:v>
      </x:c>
      <x:c r="Q23" s="14" t="str">
        <x:v>Adjacence proposée pour préparation du plan ; ne constitue pas un relevé canonique validé.</x:v>
      </x:c>
    </x:row>
    <x:row r="24" ht="49" customHeight="1">
      <x:c r="A24" s="12" t="str">
        <x:v>LNK-citadelle-1</x:v>
      </x:c>
      <x:c r="B24" s="7" t="str">
        <x:v>Dock du Normandy ↔ Hall des ambassades</x:v>
      </x:c>
      <x:c r="C24" s="10" t="str">
        <x:v>Défini</x:v>
      </x:c>
      <x:c r="D24" s="11" t="str">
        <x:v>À produire</x:v>
      </x:c>
      <x:c r="E24" s="9" t="str">
        <x:v>P1</x:v>
      </x:c>
      <x:c r="F24" s="9" t="str">
        <x:v>ME1</x:v>
      </x:c>
      <x:c r="G24" s="9" t="str">
        <x:v>Adaptation</x:v>
      </x:c>
      <x:c r="H24" s="7" t="str">
        <x:v>Liaison de travail pour le découpage de Citadelle. Adjacence exacte à confirmer sur le plan de référence.</x:v>
      </x:c>
      <x:c r="I24" s="7" t="str">
        <x:v>Vérifier les deux sens, orientation, seuils, état des portes et raccord des caméras.</x:v>
      </x:c>
      <x:c r="J24" s="7" t="str">
        <x:v>ZON-citadelle-dock-du-normandy, ZON-citadelle-hall-des-ambassades</x:v>
      </x:c>
      <x:c r="K24" s="7" t="str">
        <x:v>content/links/LNK-citadelle-1.json</x:v>
      </x:c>
      <x:c r="L24" s="7" t="str"/>
      <x:c r="M24" s="7" t="str"/>
      <x:c r="N24" s="7" t="str">
        <x:v>Décisions du fan game ; aucune prétention de canon officiel</x:v>
      </x:c>
      <x:c r="O24" s="7" t="str"/>
      <x:c r="P24" s="7" t="str">
        <x:v>Production ME1</x:v>
      </x:c>
      <x:c r="Q24" s="7" t="str">
        <x:v>Adjacence proposée pour préparation du plan ; ne constitue pas un relevé canonique validé.</x:v>
      </x:c>
    </x:row>
    <x:row r="25" ht="49" customHeight="1">
      <x:c r="A25" s="13" t="str">
        <x:v>LNK-citadelle-2</x:v>
      </x:c>
      <x:c r="B25" s="14" t="str">
        <x:v>Hall des ambassades ↔ Bureau d’Udina</x:v>
      </x:c>
      <x:c r="C25" s="10" t="str">
        <x:v>Défini</x:v>
      </x:c>
      <x:c r="D25" s="11" t="str">
        <x:v>À produire</x:v>
      </x:c>
      <x:c r="E25" s="15" t="str">
        <x:v>P1</x:v>
      </x:c>
      <x:c r="F25" s="15" t="str">
        <x:v>ME1</x:v>
      </x:c>
      <x:c r="G25" s="15" t="str">
        <x:v>Adaptation</x:v>
      </x:c>
      <x:c r="H25" s="14" t="str">
        <x:v>Liaison de travail pour le découpage de Citadelle. Adjacence exacte à confirmer sur le plan de référence.</x:v>
      </x:c>
      <x:c r="I25" s="14" t="str">
        <x:v>Vérifier les deux sens, orientation, seuils, état des portes et raccord des caméras.</x:v>
      </x:c>
      <x:c r="J25" s="14" t="str">
        <x:v>ZON-citadelle-hall-des-ambassades, ZON-citadelle-bureau-d-udina</x:v>
      </x:c>
      <x:c r="K25" s="14" t="str">
        <x:v>content/links/LNK-citadelle-2.json</x:v>
      </x:c>
      <x:c r="L25" s="14" t="str"/>
      <x:c r="M25" s="14" t="str"/>
      <x:c r="N25" s="14" t="str">
        <x:v>Décisions du fan game ; aucune prétention de canon officiel</x:v>
      </x:c>
      <x:c r="O25" s="14" t="str"/>
      <x:c r="P25" s="14" t="str">
        <x:v>Production ME1</x:v>
      </x:c>
      <x:c r="Q25" s="14" t="str">
        <x:v>Adjacence proposée pour préparation du plan ; ne constitue pas un relevé canonique validé.</x:v>
      </x:c>
    </x:row>
    <x:row r="26" ht="49" customHeight="1">
      <x:c r="A26" s="12" t="str">
        <x:v>LNK-citadelle-3</x:v>
      </x:c>
      <x:c r="B26" s="7" t="str">
        <x:v>Bureau d’Udina ↔ Salon elcor-volus</x:v>
      </x:c>
      <x:c r="C26" s="10" t="str">
        <x:v>Défini</x:v>
      </x:c>
      <x:c r="D26" s="11" t="str">
        <x:v>À produire</x:v>
      </x:c>
      <x:c r="E26" s="9" t="str">
        <x:v>P1</x:v>
      </x:c>
      <x:c r="F26" s="9" t="str">
        <x:v>ME1</x:v>
      </x:c>
      <x:c r="G26" s="9" t="str">
        <x:v>Adaptation</x:v>
      </x:c>
      <x:c r="H26" s="7" t="str">
        <x:v>Liaison de travail pour le découpage de Citadelle. Adjacence exacte à confirmer sur le plan de référence.</x:v>
      </x:c>
      <x:c r="I26" s="7" t="str">
        <x:v>Vérifier les deux sens, orientation, seuils, état des portes et raccord des caméras.</x:v>
      </x:c>
      <x:c r="J26" s="7" t="str">
        <x:v>ZON-citadelle-bureau-d-udina, ZON-citadelle-salon-elcor-volus</x:v>
      </x:c>
      <x:c r="K26" s="7" t="str">
        <x:v>content/links/LNK-citadelle-3.json</x:v>
      </x:c>
      <x:c r="L26" s="7" t="str"/>
      <x:c r="M26" s="7" t="str"/>
      <x:c r="N26" s="7" t="str">
        <x:v>Décisions du fan game ; aucune prétention de canon officiel</x:v>
      </x:c>
      <x:c r="O26" s="7" t="str"/>
      <x:c r="P26" s="7" t="str">
        <x:v>Production ME1</x:v>
      </x:c>
      <x:c r="Q26" s="7" t="str">
        <x:v>Adjacence proposée pour préparation du plan ; ne constitue pas un relevé canonique validé.</x:v>
      </x:c>
    </x:row>
    <x:row r="27" ht="49" customHeight="1">
      <x:c r="A27" s="13" t="str">
        <x:v>LNK-citadelle-4</x:v>
      </x:c>
      <x:c r="B27" s="14" t="str">
        <x:v>Salon elcor-volus ↔ Tour du Conseil</x:v>
      </x:c>
      <x:c r="C27" s="10" t="str">
        <x:v>Défini</x:v>
      </x:c>
      <x:c r="D27" s="11" t="str">
        <x:v>À produire</x:v>
      </x:c>
      <x:c r="E27" s="15" t="str">
        <x:v>P1</x:v>
      </x:c>
      <x:c r="F27" s="15" t="str">
        <x:v>ME1</x:v>
      </x:c>
      <x:c r="G27" s="15" t="str">
        <x:v>Adaptation</x:v>
      </x:c>
      <x:c r="H27" s="14" t="str">
        <x:v>Liaison de travail pour le découpage de Citadelle. Adjacence exacte à confirmer sur le plan de référence.</x:v>
      </x:c>
      <x:c r="I27" s="14" t="str">
        <x:v>Vérifier les deux sens, orientation, seuils, état des portes et raccord des caméras.</x:v>
      </x:c>
      <x:c r="J27" s="14" t="str">
        <x:v>ZON-citadelle-salon-elcor-volus, ZON-citadelle-tour-du-conseil</x:v>
      </x:c>
      <x:c r="K27" s="14" t="str">
        <x:v>content/links/LNK-citadelle-4.json</x:v>
      </x:c>
      <x:c r="L27" s="14" t="str"/>
      <x:c r="M27" s="14" t="str"/>
      <x:c r="N27" s="14" t="str">
        <x:v>Décisions du fan game ; aucune prétention de canon officiel</x:v>
      </x:c>
      <x:c r="O27" s="14" t="str"/>
      <x:c r="P27" s="14" t="str">
        <x:v>Production ME1</x:v>
      </x:c>
      <x:c r="Q27" s="14" t="str">
        <x:v>Adjacence proposée pour préparation du plan ; ne constitue pas un relevé canonique validé.</x:v>
      </x:c>
    </x:row>
    <x:row r="28" ht="49" customHeight="1">
      <x:c r="A28" s="12" t="str">
        <x:v>LNK-citadelle-5</x:v>
      </x:c>
      <x:c r="B28" s="7" t="str">
        <x:v>Tour du Conseil ↔ Jardins du Présidium</x:v>
      </x:c>
      <x:c r="C28" s="10" t="str">
        <x:v>Défini</x:v>
      </x:c>
      <x:c r="D28" s="11" t="str">
        <x:v>À produire</x:v>
      </x:c>
      <x:c r="E28" s="9" t="str">
        <x:v>P1</x:v>
      </x:c>
      <x:c r="F28" s="9" t="str">
        <x:v>ME1</x:v>
      </x:c>
      <x:c r="G28" s="9" t="str">
        <x:v>Adaptation</x:v>
      </x:c>
      <x:c r="H28" s="7" t="str">
        <x:v>Liaison de travail pour le découpage de Citadelle. Adjacence exacte à confirmer sur le plan de référence.</x:v>
      </x:c>
      <x:c r="I28" s="7" t="str">
        <x:v>Vérifier les deux sens, orientation, seuils, état des portes et raccord des caméras.</x:v>
      </x:c>
      <x:c r="J28" s="7" t="str">
        <x:v>ZON-citadelle-tour-du-conseil, ZON-citadelle-jardins-du-presidium</x:v>
      </x:c>
      <x:c r="K28" s="7" t="str">
        <x:v>content/links/LNK-citadelle-5.json</x:v>
      </x:c>
      <x:c r="L28" s="7" t="str"/>
      <x:c r="M28" s="7" t="str"/>
      <x:c r="N28" s="7" t="str">
        <x:v>Décisions du fan game ; aucune prétention de canon officiel</x:v>
      </x:c>
      <x:c r="O28" s="7" t="str"/>
      <x:c r="P28" s="7" t="str">
        <x:v>Production ME1</x:v>
      </x:c>
      <x:c r="Q28" s="7" t="str">
        <x:v>Adjacence proposée pour préparation du plan ; ne constitue pas un relevé canonique validé.</x:v>
      </x:c>
    </x:row>
    <x:row r="29" ht="49" customHeight="1">
      <x:c r="A29" s="13" t="str">
        <x:v>LNK-citadelle-6</x:v>
      </x:c>
      <x:c r="B29" s="14" t="str">
        <x:v>Jardins du Présidium ↔ Banque de Barla Von</x:v>
      </x:c>
      <x:c r="C29" s="10" t="str">
        <x:v>Défini</x:v>
      </x:c>
      <x:c r="D29" s="11" t="str">
        <x:v>À produire</x:v>
      </x:c>
      <x:c r="E29" s="15" t="str">
        <x:v>P1</x:v>
      </x:c>
      <x:c r="F29" s="15" t="str">
        <x:v>ME1</x:v>
      </x:c>
      <x:c r="G29" s="15" t="str">
        <x:v>Adaptation</x:v>
      </x:c>
      <x:c r="H29" s="14" t="str">
        <x:v>Liaison de travail pour le découpage de Citadelle. Adjacence exacte à confirmer sur le plan de référence.</x:v>
      </x:c>
      <x:c r="I29" s="14" t="str">
        <x:v>Vérifier les deux sens, orientation, seuils, état des portes et raccord des caméras.</x:v>
      </x:c>
      <x:c r="J29" s="14" t="str">
        <x:v>ZON-citadelle-jardins-du-presidium, ZON-citadelle-banque-de-barla-von</x:v>
      </x:c>
      <x:c r="K29" s="14" t="str">
        <x:v>content/links/LNK-citadelle-6.json</x:v>
      </x:c>
      <x:c r="L29" s="14" t="str"/>
      <x:c r="M29" s="14" t="str"/>
      <x:c r="N29" s="14" t="str">
        <x:v>Décisions du fan game ; aucune prétention de canon officiel</x:v>
      </x:c>
      <x:c r="O29" s="14" t="str"/>
      <x:c r="P29" s="14" t="str">
        <x:v>Production ME1</x:v>
      </x:c>
      <x:c r="Q29" s="14" t="str">
        <x:v>Adjacence proposée pour préparation du plan ; ne constitue pas un relevé canonique validé.</x:v>
      </x:c>
    </x:row>
    <x:row r="30" ht="49" customHeight="1">
      <x:c r="A30" s="12" t="str">
        <x:v>LNK-citadelle-7</x:v>
      </x:c>
      <x:c r="B30" s="7" t="str">
        <x:v>Banque de Barla Von ↔ Chambres de la Consort</x:v>
      </x:c>
      <x:c r="C30" s="10" t="str">
        <x:v>Défini</x:v>
      </x:c>
      <x:c r="D30" s="11" t="str">
        <x:v>À produire</x:v>
      </x:c>
      <x:c r="E30" s="9" t="str">
        <x:v>P1</x:v>
      </x:c>
      <x:c r="F30" s="9" t="str">
        <x:v>ME1</x:v>
      </x:c>
      <x:c r="G30" s="9" t="str">
        <x:v>Adaptation</x:v>
      </x:c>
      <x:c r="H30" s="7" t="str">
        <x:v>Liaison de travail pour le découpage de Citadelle. Adjacence exacte à confirmer sur le plan de référence.</x:v>
      </x:c>
      <x:c r="I30" s="7" t="str">
        <x:v>Vérifier les deux sens, orientation, seuils, état des portes et raccord des caméras.</x:v>
      </x:c>
      <x:c r="J30" s="7" t="str">
        <x:v>ZON-citadelle-banque-de-barla-von, ZON-citadelle-chambres-de-la-consort</x:v>
      </x:c>
      <x:c r="K30" s="7" t="str">
        <x:v>content/links/LNK-citadelle-7.json</x:v>
      </x:c>
      <x:c r="L30" s="7" t="str"/>
      <x:c r="M30" s="7" t="str"/>
      <x:c r="N30" s="7" t="str">
        <x:v>Décisions du fan game ; aucune prétention de canon officiel</x:v>
      </x:c>
      <x:c r="O30" s="7" t="str"/>
      <x:c r="P30" s="7" t="str">
        <x:v>Production ME1</x:v>
      </x:c>
      <x:c r="Q30" s="7" t="str">
        <x:v>Adjacence proposée pour préparation du plan ; ne constitue pas un relevé canonique validé.</x:v>
      </x:c>
    </x:row>
    <x:row r="31" ht="49" customHeight="1">
      <x:c r="A31" s="13" t="str">
        <x:v>LNK-citadelle-8</x:v>
      </x:c>
      <x:c r="B31" s="14" t="str">
        <x:v>Chambres de la Consort ↔ Emporium</x:v>
      </x:c>
      <x:c r="C31" s="10" t="str">
        <x:v>Défini</x:v>
      </x:c>
      <x:c r="D31" s="11" t="str">
        <x:v>À produire</x:v>
      </x:c>
      <x:c r="E31" s="15" t="str">
        <x:v>P1</x:v>
      </x:c>
      <x:c r="F31" s="15" t="str">
        <x:v>ME1</x:v>
      </x:c>
      <x:c r="G31" s="15" t="str">
        <x:v>Adaptation</x:v>
      </x:c>
      <x:c r="H31" s="14" t="str">
        <x:v>Liaison de travail pour le découpage de Citadelle. Adjacence exacte à confirmer sur le plan de référence.</x:v>
      </x:c>
      <x:c r="I31" s="14" t="str">
        <x:v>Vérifier les deux sens, orientation, seuils, état des portes et raccord des caméras.</x:v>
      </x:c>
      <x:c r="J31" s="14" t="str">
        <x:v>ZON-citadelle-chambres-de-la-consort, ZON-citadelle-emporium</x:v>
      </x:c>
      <x:c r="K31" s="14" t="str">
        <x:v>content/links/LNK-citadelle-8.json</x:v>
      </x:c>
      <x:c r="L31" s="14" t="str"/>
      <x:c r="M31" s="14" t="str"/>
      <x:c r="N31" s="14" t="str">
        <x:v>Décisions du fan game ; aucune prétention de canon officiel</x:v>
      </x:c>
      <x:c r="O31" s="14" t="str"/>
      <x:c r="P31" s="14" t="str">
        <x:v>Production ME1</x:v>
      </x:c>
      <x:c r="Q31" s="14" t="str">
        <x:v>Adjacence proposée pour préparation du plan ; ne constitue pas un relevé canonique validé.</x:v>
      </x:c>
    </x:row>
    <x:row r="32" ht="49" customHeight="1">
      <x:c r="A32" s="12" t="str">
        <x:v>LNK-citadelle-9</x:v>
      </x:c>
      <x:c r="B32" s="7" t="str">
        <x:v>Emporium ↔ Transition des Secteurs</x:v>
      </x:c>
      <x:c r="C32" s="10" t="str">
        <x:v>Défini</x:v>
      </x:c>
      <x:c r="D32" s="11" t="str">
        <x:v>À produire</x:v>
      </x:c>
      <x:c r="E32" s="9" t="str">
        <x:v>P1</x:v>
      </x:c>
      <x:c r="F32" s="9" t="str">
        <x:v>ME1</x:v>
      </x:c>
      <x:c r="G32" s="9" t="str">
        <x:v>Adaptation</x:v>
      </x:c>
      <x:c r="H32" s="7" t="str">
        <x:v>Liaison de travail pour le découpage de Citadelle. Adjacence exacte à confirmer sur le plan de référence.</x:v>
      </x:c>
      <x:c r="I32" s="7" t="str">
        <x:v>Vérifier les deux sens, orientation, seuils, état des portes et raccord des caméras.</x:v>
      </x:c>
      <x:c r="J32" s="7" t="str">
        <x:v>ZON-citadelle-emporium, ZON-citadelle-transition-des-secteurs</x:v>
      </x:c>
      <x:c r="K32" s="7" t="str">
        <x:v>content/links/LNK-citadelle-9.json</x:v>
      </x:c>
      <x:c r="L32" s="7" t="str"/>
      <x:c r="M32" s="7" t="str"/>
      <x:c r="N32" s="7" t="str">
        <x:v>Décisions du fan game ; aucune prétention de canon officiel</x:v>
      </x:c>
      <x:c r="O32" s="7" t="str"/>
      <x:c r="P32" s="7" t="str">
        <x:v>Production ME1</x:v>
      </x:c>
      <x:c r="Q32" s="7" t="str">
        <x:v>Adjacence proposée pour préparation du plan ; ne constitue pas un relevé canonique validé.</x:v>
      </x:c>
    </x:row>
    <x:row r="33" ht="49" customHeight="1">
      <x:c r="A33" s="13" t="str">
        <x:v>LNK-citadelle-10</x:v>
      </x:c>
      <x:c r="B33" s="14" t="str">
        <x:v>Transition des Secteurs ↔ Marché des Secteurs</x:v>
      </x:c>
      <x:c r="C33" s="10" t="str">
        <x:v>Défini</x:v>
      </x:c>
      <x:c r="D33" s="11" t="str">
        <x:v>À produire</x:v>
      </x:c>
      <x:c r="E33" s="15" t="str">
        <x:v>P1</x:v>
      </x:c>
      <x:c r="F33" s="15" t="str">
        <x:v>ME1</x:v>
      </x:c>
      <x:c r="G33" s="15" t="str">
        <x:v>Adaptation</x:v>
      </x:c>
      <x:c r="H33" s="14" t="str">
        <x:v>Liaison de travail pour le découpage de Citadelle. Adjacence exacte à confirmer sur le plan de référence.</x:v>
      </x:c>
      <x:c r="I33" s="14" t="str">
        <x:v>Vérifier les deux sens, orientation, seuils, état des portes et raccord des caméras.</x:v>
      </x:c>
      <x:c r="J33" s="14" t="str">
        <x:v>ZON-citadelle-transition-des-secteurs, ZON-citadelle-marche-des-secteurs</x:v>
      </x:c>
      <x:c r="K33" s="14" t="str">
        <x:v>content/links/LNK-citadelle-10.json</x:v>
      </x:c>
      <x:c r="L33" s="14" t="str"/>
      <x:c r="M33" s="14" t="str"/>
      <x:c r="N33" s="14" t="str">
        <x:v>Décisions du fan game ; aucune prétention de canon officiel</x:v>
      </x:c>
      <x:c r="O33" s="14" t="str"/>
      <x:c r="P33" s="14" t="str">
        <x:v>Production ME1</x:v>
      </x:c>
      <x:c r="Q33" s="14" t="str">
        <x:v>Adjacence proposée pour préparation du plan ; ne constitue pas un relevé canonique validé.</x:v>
      </x:c>
    </x:row>
    <x:row r="34" ht="49" customHeight="1">
      <x:c r="A34" s="12" t="str">
        <x:v>LNK-citadelle-11</x:v>
      </x:c>
      <x:c r="B34" s="7" t="str">
        <x:v>Marché des Secteurs ↔ Clinique de Michel</x:v>
      </x:c>
      <x:c r="C34" s="10" t="str">
        <x:v>Défini</x:v>
      </x:c>
      <x:c r="D34" s="11" t="str">
        <x:v>À produire</x:v>
      </x:c>
      <x:c r="E34" s="9" t="str">
        <x:v>P1</x:v>
      </x:c>
      <x:c r="F34" s="9" t="str">
        <x:v>ME1</x:v>
      </x:c>
      <x:c r="G34" s="9" t="str">
        <x:v>Adaptation</x:v>
      </x:c>
      <x:c r="H34" s="7" t="str">
        <x:v>Liaison de travail pour le découpage de Citadelle. Adjacence exacte à confirmer sur le plan de référence.</x:v>
      </x:c>
      <x:c r="I34" s="7" t="str">
        <x:v>Vérifier les deux sens, orientation, seuils, état des portes et raccord des caméras.</x:v>
      </x:c>
      <x:c r="J34" s="7" t="str">
        <x:v>ZON-citadelle-marche-des-secteurs, ZON-citadelle-clinique-de-michel</x:v>
      </x:c>
      <x:c r="K34" s="7" t="str">
        <x:v>content/links/LNK-citadelle-11.json</x:v>
      </x:c>
      <x:c r="L34" s="7" t="str"/>
      <x:c r="M34" s="7" t="str"/>
      <x:c r="N34" s="7" t="str">
        <x:v>Décisions du fan game ; aucune prétention de canon officiel</x:v>
      </x:c>
      <x:c r="O34" s="7" t="str"/>
      <x:c r="P34" s="7" t="str">
        <x:v>Production ME1</x:v>
      </x:c>
      <x:c r="Q34" s="7" t="str">
        <x:v>Adjacence proposée pour préparation du plan ; ne constitue pas un relevé canonique validé.</x:v>
      </x:c>
    </x:row>
    <x:row r="35" ht="49" customHeight="1">
      <x:c r="A35" s="13" t="str">
        <x:v>LNK-citadelle-12</x:v>
      </x:c>
      <x:c r="B35" s="14" t="str">
        <x:v>Clinique de Michel ↔ Chora’s Den</x:v>
      </x:c>
      <x:c r="C35" s="10" t="str">
        <x:v>Défini</x:v>
      </x:c>
      <x:c r="D35" s="11" t="str">
        <x:v>À produire</x:v>
      </x:c>
      <x:c r="E35" s="15" t="str">
        <x:v>P1</x:v>
      </x:c>
      <x:c r="F35" s="15" t="str">
        <x:v>ME1</x:v>
      </x:c>
      <x:c r="G35" s="15" t="str">
        <x:v>Adaptation</x:v>
      </x:c>
      <x:c r="H35" s="14" t="str">
        <x:v>Liaison de travail pour le découpage de Citadelle. Adjacence exacte à confirmer sur le plan de référence.</x:v>
      </x:c>
      <x:c r="I35" s="14" t="str">
        <x:v>Vérifier les deux sens, orientation, seuils, état des portes et raccord des caméras.</x:v>
      </x:c>
      <x:c r="J35" s="14" t="str">
        <x:v>ZON-citadelle-clinique-de-michel, ZON-citadelle-chora-s-den</x:v>
      </x:c>
      <x:c r="K35" s="14" t="str">
        <x:v>content/links/LNK-citadelle-12.json</x:v>
      </x:c>
      <x:c r="L35" s="14" t="str"/>
      <x:c r="M35" s="14" t="str"/>
      <x:c r="N35" s="14" t="str">
        <x:v>Décisions du fan game ; aucune prétention de canon officiel</x:v>
      </x:c>
      <x:c r="O35" s="14" t="str"/>
      <x:c r="P35" s="14" t="str">
        <x:v>Production ME1</x:v>
      </x:c>
      <x:c r="Q35" s="14" t="str">
        <x:v>Adjacence proposée pour préparation du plan ; ne constitue pas un relevé canonique validé.</x:v>
      </x:c>
    </x:row>
    <x:row r="36" ht="49" customHeight="1">
      <x:c r="A36" s="12" t="str">
        <x:v>LNK-citadelle-13</x:v>
      </x:c>
      <x:c r="B36" s="7" t="str">
        <x:v>Chora’s Den ↔ Allée de Tali</x:v>
      </x:c>
      <x:c r="C36" s="10" t="str">
        <x:v>Défini</x:v>
      </x:c>
      <x:c r="D36" s="11" t="str">
        <x:v>À produire</x:v>
      </x:c>
      <x:c r="E36" s="9" t="str">
        <x:v>P1</x:v>
      </x:c>
      <x:c r="F36" s="9" t="str">
        <x:v>ME1</x:v>
      </x:c>
      <x:c r="G36" s="9" t="str">
        <x:v>Adaptation</x:v>
      </x:c>
      <x:c r="H36" s="7" t="str">
        <x:v>Liaison de travail pour le découpage de Citadelle. Adjacence exacte à confirmer sur le plan de référence.</x:v>
      </x:c>
      <x:c r="I36" s="7" t="str">
        <x:v>Vérifier les deux sens, orientation, seuils, état des portes et raccord des caméras.</x:v>
      </x:c>
      <x:c r="J36" s="7" t="str">
        <x:v>ZON-citadelle-chora-s-den, ZON-citadelle-allee-de-tali</x:v>
      </x:c>
      <x:c r="K36" s="7" t="str">
        <x:v>content/links/LNK-citadelle-13.json</x:v>
      </x:c>
      <x:c r="L36" s="7" t="str"/>
      <x:c r="M36" s="7" t="str"/>
      <x:c r="N36" s="7" t="str">
        <x:v>Décisions du fan game ; aucune prétention de canon officiel</x:v>
      </x:c>
      <x:c r="O36" s="7" t="str"/>
      <x:c r="P36" s="7" t="str">
        <x:v>Production ME1</x:v>
      </x:c>
      <x:c r="Q36" s="7" t="str">
        <x:v>Adjacence proposée pour préparation du plan ; ne constitue pas un relevé canonique validé.</x:v>
      </x:c>
    </x:row>
    <x:row r="37" ht="49" customHeight="1">
      <x:c r="A37" s="13" t="str">
        <x:v>LNK-citadelle-14</x:v>
      </x:c>
      <x:c r="B37" s="14" t="str">
        <x:v>Allée de Tali ↔ Flux</x:v>
      </x:c>
      <x:c r="C37" s="10" t="str">
        <x:v>Défini</x:v>
      </x:c>
      <x:c r="D37" s="11" t="str">
        <x:v>À produire</x:v>
      </x:c>
      <x:c r="E37" s="15" t="str">
        <x:v>P1</x:v>
      </x:c>
      <x:c r="F37" s="15" t="str">
        <x:v>ME1</x:v>
      </x:c>
      <x:c r="G37" s="15" t="str">
        <x:v>Adaptation</x:v>
      </x:c>
      <x:c r="H37" s="14" t="str">
        <x:v>Liaison de travail pour le découpage de Citadelle. Adjacence exacte à confirmer sur le plan de référence.</x:v>
      </x:c>
      <x:c r="I37" s="14" t="str">
        <x:v>Vérifier les deux sens, orientation, seuils, état des portes et raccord des caméras.</x:v>
      </x:c>
      <x:c r="J37" s="14" t="str">
        <x:v>ZON-citadelle-allee-de-tali, ZON-citadelle-flux</x:v>
      </x:c>
      <x:c r="K37" s="14" t="str">
        <x:v>content/links/LNK-citadelle-14.json</x:v>
      </x:c>
      <x:c r="L37" s="14" t="str"/>
      <x:c r="M37" s="14" t="str"/>
      <x:c r="N37" s="14" t="str">
        <x:v>Décisions du fan game ; aucune prétention de canon officiel</x:v>
      </x:c>
      <x:c r="O37" s="14" t="str"/>
      <x:c r="P37" s="14" t="str">
        <x:v>Production ME1</x:v>
      </x:c>
      <x:c r="Q37" s="14" t="str">
        <x:v>Adjacence proposée pour préparation du plan ; ne constitue pas un relevé canonique validé.</x:v>
      </x:c>
    </x:row>
    <x:row r="38" ht="49" customHeight="1">
      <x:c r="A38" s="12" t="str">
        <x:v>LNK-citadelle-15</x:v>
      </x:c>
      <x:c r="B38" s="7" t="str">
        <x:v>Flux ↔ Académie du SSC</x:v>
      </x:c>
      <x:c r="C38" s="10" t="str">
        <x:v>Défini</x:v>
      </x:c>
      <x:c r="D38" s="11" t="str">
        <x:v>À produire</x:v>
      </x:c>
      <x:c r="E38" s="9" t="str">
        <x:v>P1</x:v>
      </x:c>
      <x:c r="F38" s="9" t="str">
        <x:v>ME1</x:v>
      </x:c>
      <x:c r="G38" s="9" t="str">
        <x:v>Adaptation</x:v>
      </x:c>
      <x:c r="H38" s="7" t="str">
        <x:v>Liaison de travail pour le découpage de Citadelle. Adjacence exacte à confirmer sur le plan de référence.</x:v>
      </x:c>
      <x:c r="I38" s="7" t="str">
        <x:v>Vérifier les deux sens, orientation, seuils, état des portes et raccord des caméras.</x:v>
      </x:c>
      <x:c r="J38" s="7" t="str">
        <x:v>ZON-citadelle-flux, ZON-citadelle-academie-du-ssc</x:v>
      </x:c>
      <x:c r="K38" s="7" t="str">
        <x:v>content/links/LNK-citadelle-15.json</x:v>
      </x:c>
      <x:c r="L38" s="7" t="str"/>
      <x:c r="M38" s="7" t="str"/>
      <x:c r="N38" s="7" t="str">
        <x:v>Décisions du fan game ; aucune prétention de canon officiel</x:v>
      </x:c>
      <x:c r="O38" s="7" t="str"/>
      <x:c r="P38" s="7" t="str">
        <x:v>Production ME1</x:v>
      </x:c>
      <x:c r="Q38" s="7" t="str">
        <x:v>Adjacence proposée pour préparation du plan ; ne constitue pas un relevé canonique validé.</x:v>
      </x:c>
    </x:row>
    <x:row r="39" ht="49" customHeight="1">
      <x:c r="A39" s="13" t="str">
        <x:v>LNK-citadelle-16</x:v>
      </x:c>
      <x:c r="B39" s="14" t="str">
        <x:v>Académie du SSC ↔ Bureaux du SSC</x:v>
      </x:c>
      <x:c r="C39" s="10" t="str">
        <x:v>Défini</x:v>
      </x:c>
      <x:c r="D39" s="11" t="str">
        <x:v>À produire</x:v>
      </x:c>
      <x:c r="E39" s="15" t="str">
        <x:v>P1</x:v>
      </x:c>
      <x:c r="F39" s="15" t="str">
        <x:v>ME1</x:v>
      </x:c>
      <x:c r="G39" s="15" t="str">
        <x:v>Adaptation</x:v>
      </x:c>
      <x:c r="H39" s="14" t="str">
        <x:v>Liaison de travail pour le découpage de Citadelle. Adjacence exacte à confirmer sur le plan de référence.</x:v>
      </x:c>
      <x:c r="I39" s="14" t="str">
        <x:v>Vérifier les deux sens, orientation, seuils, état des portes et raccord des caméras.</x:v>
      </x:c>
      <x:c r="J39" s="14" t="str">
        <x:v>ZON-citadelle-academie-du-ssc, ZON-citadelle-bureaux-du-ssc</x:v>
      </x:c>
      <x:c r="K39" s="14" t="str">
        <x:v>content/links/LNK-citadelle-16.json</x:v>
      </x:c>
      <x:c r="L39" s="14" t="str"/>
      <x:c r="M39" s="14" t="str"/>
      <x:c r="N39" s="14" t="str">
        <x:v>Décisions du fan game ; aucune prétention de canon officiel</x:v>
      </x:c>
      <x:c r="O39" s="14" t="str"/>
      <x:c r="P39" s="14" t="str">
        <x:v>Production ME1</x:v>
      </x:c>
      <x:c r="Q39" s="14" t="str">
        <x:v>Adjacence proposée pour préparation du plan ; ne constitue pas un relevé canonique validé.</x:v>
      </x:c>
    </x:row>
    <x:row r="40" ht="49" customHeight="1">
      <x:c r="A40" s="12" t="str">
        <x:v>LNK-citadelle-17</x:v>
      </x:c>
      <x:c r="B40" s="7" t="str">
        <x:v>Bureaux du SSC ↔ Baie de trafic</x:v>
      </x:c>
      <x:c r="C40" s="10" t="str">
        <x:v>Défini</x:v>
      </x:c>
      <x:c r="D40" s="11" t="str">
        <x:v>À produire</x:v>
      </x:c>
      <x:c r="E40" s="9" t="str">
        <x:v>P1</x:v>
      </x:c>
      <x:c r="F40" s="9" t="str">
        <x:v>ME1</x:v>
      </x:c>
      <x:c r="G40" s="9" t="str">
        <x:v>Adaptation</x:v>
      </x:c>
      <x:c r="H40" s="7" t="str">
        <x:v>Liaison de travail pour le découpage de Citadelle. Adjacence exacte à confirmer sur le plan de référence.</x:v>
      </x:c>
      <x:c r="I40" s="7" t="str">
        <x:v>Vérifier les deux sens, orientation, seuils, état des portes et raccord des caméras.</x:v>
      </x:c>
      <x:c r="J40" s="7" t="str">
        <x:v>ZON-citadelle-bureaux-du-ssc, ZON-citadelle-baie-de-trafic</x:v>
      </x:c>
      <x:c r="K40" s="7" t="str">
        <x:v>content/links/LNK-citadelle-17.json</x:v>
      </x:c>
      <x:c r="L40" s="7" t="str"/>
      <x:c r="M40" s="7" t="str"/>
      <x:c r="N40" s="7" t="str">
        <x:v>Décisions du fan game ; aucune prétention de canon officiel</x:v>
      </x:c>
      <x:c r="O40" s="7" t="str"/>
      <x:c r="P40" s="7" t="str">
        <x:v>Production ME1</x:v>
      </x:c>
      <x:c r="Q40" s="7" t="str">
        <x:v>Adjacence proposée pour préparation du plan ; ne constitue pas un relevé canonique validé.</x:v>
      </x:c>
    </x:row>
    <x:row r="41" ht="49" customHeight="1">
      <x:c r="A41" s="13" t="str">
        <x:v>LNK-citadelle-18</x:v>
      </x:c>
      <x:c r="B41" s="14" t="str">
        <x:v>Baie de trafic ↔ Ascenseur de la tour</x:v>
      </x:c>
      <x:c r="C41" s="10" t="str">
        <x:v>Défini</x:v>
      </x:c>
      <x:c r="D41" s="11" t="str">
        <x:v>À produire</x:v>
      </x:c>
      <x:c r="E41" s="15" t="str">
        <x:v>P1</x:v>
      </x:c>
      <x:c r="F41" s="15" t="str">
        <x:v>ME1</x:v>
      </x:c>
      <x:c r="G41" s="15" t="str">
        <x:v>Adaptation</x:v>
      </x:c>
      <x:c r="H41" s="14" t="str">
        <x:v>Liaison de travail pour le découpage de Citadelle. Adjacence exacte à confirmer sur le plan de référence.</x:v>
      </x:c>
      <x:c r="I41" s="14" t="str">
        <x:v>Vérifier les deux sens, orientation, seuils, état des portes et raccord des caméras.</x:v>
      </x:c>
      <x:c r="J41" s="14" t="str">
        <x:v>ZON-citadelle-baie-de-trafic, ZON-citadelle-ascenseur-de-la-tour</x:v>
      </x:c>
      <x:c r="K41" s="14" t="str">
        <x:v>content/links/LNK-citadelle-18.json</x:v>
      </x:c>
      <x:c r="L41" s="14" t="str"/>
      <x:c r="M41" s="14" t="str"/>
      <x:c r="N41" s="14" t="str">
        <x:v>Décisions du fan game ; aucune prétention de canon officiel</x:v>
      </x:c>
      <x:c r="O41" s="14" t="str"/>
      <x:c r="P41" s="14" t="str">
        <x:v>Production ME1</x:v>
      </x:c>
      <x:c r="Q41" s="14" t="str">
        <x:v>Adjacence proposée pour préparation du plan ; ne constitue pas un relevé canonique validé.</x:v>
      </x:c>
    </x:row>
    <x:row r="42" ht="49" customHeight="1">
      <x:c r="A42" s="12" t="str">
        <x:v>LNK-citadelle-19</x:v>
      </x:c>
      <x:c r="B42" s="7" t="str">
        <x:v>Ascenseur de la tour ↔ Extérieur de la tour</x:v>
      </x:c>
      <x:c r="C42" s="10" t="str">
        <x:v>Défini</x:v>
      </x:c>
      <x:c r="D42" s="11" t="str">
        <x:v>À produire</x:v>
      </x:c>
      <x:c r="E42" s="9" t="str">
        <x:v>P1</x:v>
      </x:c>
      <x:c r="F42" s="9" t="str">
        <x:v>ME1</x:v>
      </x:c>
      <x:c r="G42" s="9" t="str">
        <x:v>Adaptation</x:v>
      </x:c>
      <x:c r="H42" s="7" t="str">
        <x:v>Liaison de travail pour le découpage de Citadelle. Adjacence exacte à confirmer sur le plan de référence.</x:v>
      </x:c>
      <x:c r="I42" s="7" t="str">
        <x:v>Vérifier les deux sens, orientation, seuils, état des portes et raccord des caméras.</x:v>
      </x:c>
      <x:c r="J42" s="7" t="str">
        <x:v>ZON-citadelle-ascenseur-de-la-tour, ZON-citadelle-exterieur-de-la-tour</x:v>
      </x:c>
      <x:c r="K42" s="7" t="str">
        <x:v>content/links/LNK-citadelle-19.json</x:v>
      </x:c>
      <x:c r="L42" s="7" t="str"/>
      <x:c r="M42" s="7" t="str"/>
      <x:c r="N42" s="7" t="str">
        <x:v>Décisions du fan game ; aucune prétention de canon officiel</x:v>
      </x:c>
      <x:c r="O42" s="7" t="str"/>
      <x:c r="P42" s="7" t="str">
        <x:v>Production ME1</x:v>
      </x:c>
      <x:c r="Q42" s="7" t="str">
        <x:v>Adjacence proposée pour préparation du plan ; ne constitue pas un relevé canonique validé.</x:v>
      </x:c>
    </x:row>
    <x:row r="43" ht="49" customHeight="1">
      <x:c r="A43" s="13" t="str">
        <x:v>LNK-therum-1</x:v>
      </x:c>
      <x:c r="B43" s="14" t="str">
        <x:v>Plaine d’atterrissage ↔ Canyon de lave</x:v>
      </x:c>
      <x:c r="C43" s="10" t="str">
        <x:v>Défini</x:v>
      </x:c>
      <x:c r="D43" s="11" t="str">
        <x:v>À produire</x:v>
      </x:c>
      <x:c r="E43" s="15" t="str">
        <x:v>P1</x:v>
      </x:c>
      <x:c r="F43" s="15" t="str">
        <x:v>ME1</x:v>
      </x:c>
      <x:c r="G43" s="15" t="str">
        <x:v>Adaptation</x:v>
      </x:c>
      <x:c r="H43" s="14" t="str">
        <x:v>Liaison de travail pour le découpage de Therum. Adjacence exacte à confirmer sur le plan de référence.</x:v>
      </x:c>
      <x:c r="I43" s="14" t="str">
        <x:v>Vérifier les deux sens, orientation, seuils, état des portes et raccord des caméras.</x:v>
      </x:c>
      <x:c r="J43" s="14" t="str">
        <x:v>ZON-therum-plaine-d-atterrissage, ZON-therum-canyon-de-lave</x:v>
      </x:c>
      <x:c r="K43" s="14" t="str">
        <x:v>content/links/LNK-therum-1.json</x:v>
      </x:c>
      <x:c r="L43" s="14" t="str"/>
      <x:c r="M43" s="14" t="str"/>
      <x:c r="N43" s="14" t="str">
        <x:v>Décisions du fan game ; aucune prétention de canon officiel</x:v>
      </x:c>
      <x:c r="O43" s="14" t="str"/>
      <x:c r="P43" s="14" t="str">
        <x:v>Production ME1</x:v>
      </x:c>
      <x:c r="Q43" s="14" t="str">
        <x:v>Adjacence proposée pour préparation du plan ; ne constitue pas un relevé canonique validé.</x:v>
      </x:c>
    </x:row>
    <x:row r="44" ht="49" customHeight="1">
      <x:c r="A44" s="12" t="str">
        <x:v>LNK-therum-2</x:v>
      </x:c>
      <x:c r="B44" s="7" t="str">
        <x:v>Canyon de lave ↔ Poste de raffinerie</x:v>
      </x:c>
      <x:c r="C44" s="10" t="str">
        <x:v>Défini</x:v>
      </x:c>
      <x:c r="D44" s="11" t="str">
        <x:v>À produire</x:v>
      </x:c>
      <x:c r="E44" s="9" t="str">
        <x:v>P1</x:v>
      </x:c>
      <x:c r="F44" s="9" t="str">
        <x:v>ME1</x:v>
      </x:c>
      <x:c r="G44" s="9" t="str">
        <x:v>Adaptation</x:v>
      </x:c>
      <x:c r="H44" s="7" t="str">
        <x:v>Liaison de travail pour le découpage de Therum. Adjacence exacte à confirmer sur le plan de référence.</x:v>
      </x:c>
      <x:c r="I44" s="7" t="str">
        <x:v>Vérifier les deux sens, orientation, seuils, état des portes et raccord des caméras.</x:v>
      </x:c>
      <x:c r="J44" s="7" t="str">
        <x:v>ZON-therum-canyon-de-lave, ZON-therum-poste-de-raffinerie</x:v>
      </x:c>
      <x:c r="K44" s="7" t="str">
        <x:v>content/links/LNK-therum-2.json</x:v>
      </x:c>
      <x:c r="L44" s="7" t="str"/>
      <x:c r="M44" s="7" t="str"/>
      <x:c r="N44" s="7" t="str">
        <x:v>Décisions du fan game ; aucune prétention de canon officiel</x:v>
      </x:c>
      <x:c r="O44" s="7" t="str"/>
      <x:c r="P44" s="7" t="str">
        <x:v>Production ME1</x:v>
      </x:c>
      <x:c r="Q44" s="7" t="str">
        <x:v>Adjacence proposée pour préparation du plan ; ne constitue pas un relevé canonique validé.</x:v>
      </x:c>
    </x:row>
    <x:row r="45" ht="49" customHeight="1">
      <x:c r="A45" s="13" t="str">
        <x:v>LNK-therum-3</x:v>
      </x:c>
      <x:c r="B45" s="14" t="str">
        <x:v>Poste de raffinerie ↔ Accès de la mine</x:v>
      </x:c>
      <x:c r="C45" s="10" t="str">
        <x:v>Défini</x:v>
      </x:c>
      <x:c r="D45" s="11" t="str">
        <x:v>À produire</x:v>
      </x:c>
      <x:c r="E45" s="15" t="str">
        <x:v>P1</x:v>
      </x:c>
      <x:c r="F45" s="15" t="str">
        <x:v>ME1</x:v>
      </x:c>
      <x:c r="G45" s="15" t="str">
        <x:v>Adaptation</x:v>
      </x:c>
      <x:c r="H45" s="14" t="str">
        <x:v>Liaison de travail pour le découpage de Therum. Adjacence exacte à confirmer sur le plan de référence.</x:v>
      </x:c>
      <x:c r="I45" s="14" t="str">
        <x:v>Vérifier les deux sens, orientation, seuils, état des portes et raccord des caméras.</x:v>
      </x:c>
      <x:c r="J45" s="14" t="str">
        <x:v>ZON-therum-poste-de-raffinerie, ZON-therum-acces-de-la-mine</x:v>
      </x:c>
      <x:c r="K45" s="14" t="str">
        <x:v>content/links/LNK-therum-3.json</x:v>
      </x:c>
      <x:c r="L45" s="14" t="str"/>
      <x:c r="M45" s="14" t="str"/>
      <x:c r="N45" s="14" t="str">
        <x:v>Décisions du fan game ; aucune prétention de canon officiel</x:v>
      </x:c>
      <x:c r="O45" s="14" t="str"/>
      <x:c r="P45" s="14" t="str">
        <x:v>Production ME1</x:v>
      </x:c>
      <x:c r="Q45" s="14" t="str">
        <x:v>Adjacence proposée pour préparation du plan ; ne constitue pas un relevé canonique validé.</x:v>
      </x:c>
    </x:row>
    <x:row r="46" ht="49" customHeight="1">
      <x:c r="A46" s="12" t="str">
        <x:v>LNK-therum-4</x:v>
      </x:c>
      <x:c r="B46" s="7" t="str">
        <x:v>Accès de la mine ↔ Galerie d’excavation</x:v>
      </x:c>
      <x:c r="C46" s="10" t="str">
        <x:v>Défini</x:v>
      </x:c>
      <x:c r="D46" s="11" t="str">
        <x:v>À produire</x:v>
      </x:c>
      <x:c r="E46" s="9" t="str">
        <x:v>P1</x:v>
      </x:c>
      <x:c r="F46" s="9" t="str">
        <x:v>ME1</x:v>
      </x:c>
      <x:c r="G46" s="9" t="str">
        <x:v>Adaptation</x:v>
      </x:c>
      <x:c r="H46" s="7" t="str">
        <x:v>Liaison de travail pour le découpage de Therum. Adjacence exacte à confirmer sur le plan de référence.</x:v>
      </x:c>
      <x:c r="I46" s="7" t="str">
        <x:v>Vérifier les deux sens, orientation, seuils, état des portes et raccord des caméras.</x:v>
      </x:c>
      <x:c r="J46" s="7" t="str">
        <x:v>ZON-therum-acces-de-la-mine, ZON-therum-galerie-d-excavation</x:v>
      </x:c>
      <x:c r="K46" s="7" t="str">
        <x:v>content/links/LNK-therum-4.json</x:v>
      </x:c>
      <x:c r="L46" s="7" t="str"/>
      <x:c r="M46" s="7" t="str"/>
      <x:c r="N46" s="7" t="str">
        <x:v>Décisions du fan game ; aucune prétention de canon officiel</x:v>
      </x:c>
      <x:c r="O46" s="7" t="str"/>
      <x:c r="P46" s="7" t="str">
        <x:v>Production ME1</x:v>
      </x:c>
      <x:c r="Q46" s="7" t="str">
        <x:v>Adjacence proposée pour préparation du plan ; ne constitue pas un relevé canonique validé.</x:v>
      </x:c>
    </x:row>
    <x:row r="47" ht="49" customHeight="1">
      <x:c r="A47" s="13" t="str">
        <x:v>LNK-therum-5</x:v>
      </x:c>
      <x:c r="B47" s="14" t="str">
        <x:v>Galerie d’excavation ↔ Barrière prothéenne</x:v>
      </x:c>
      <x:c r="C47" s="10" t="str">
        <x:v>Défini</x:v>
      </x:c>
      <x:c r="D47" s="11" t="str">
        <x:v>À produire</x:v>
      </x:c>
      <x:c r="E47" s="15" t="str">
        <x:v>P1</x:v>
      </x:c>
      <x:c r="F47" s="15" t="str">
        <x:v>ME1</x:v>
      </x:c>
      <x:c r="G47" s="15" t="str">
        <x:v>Adaptation</x:v>
      </x:c>
      <x:c r="H47" s="14" t="str">
        <x:v>Liaison de travail pour le découpage de Therum. Adjacence exacte à confirmer sur le plan de référence.</x:v>
      </x:c>
      <x:c r="I47" s="14" t="str">
        <x:v>Vérifier les deux sens, orientation, seuils, état des portes et raccord des caméras.</x:v>
      </x:c>
      <x:c r="J47" s="14" t="str">
        <x:v>ZON-therum-galerie-d-excavation, ZON-therum-barriere-protheenne</x:v>
      </x:c>
      <x:c r="K47" s="14" t="str">
        <x:v>content/links/LNK-therum-5.json</x:v>
      </x:c>
      <x:c r="L47" s="14" t="str"/>
      <x:c r="M47" s="14" t="str"/>
      <x:c r="N47" s="14" t="str">
        <x:v>Décisions du fan game ; aucune prétention de canon officiel</x:v>
      </x:c>
      <x:c r="O47" s="14" t="str"/>
      <x:c r="P47" s="14" t="str">
        <x:v>Production ME1</x:v>
      </x:c>
      <x:c r="Q47" s="14" t="str">
        <x:v>Adjacence proposée pour préparation du plan ; ne constitue pas un relevé canonique validé.</x:v>
      </x:c>
    </x:row>
    <x:row r="48" ht="49" customHeight="1">
      <x:c r="A48" s="12" t="str">
        <x:v>LNK-therum-6</x:v>
      </x:c>
      <x:c r="B48" s="7" t="str">
        <x:v>Barrière prothéenne ↔ Ascenseur de sortie</x:v>
      </x:c>
      <x:c r="C48" s="10" t="str">
        <x:v>Défini</x:v>
      </x:c>
      <x:c r="D48" s="11" t="str">
        <x:v>À produire</x:v>
      </x:c>
      <x:c r="E48" s="9" t="str">
        <x:v>P1</x:v>
      </x:c>
      <x:c r="F48" s="9" t="str">
        <x:v>ME1</x:v>
      </x:c>
      <x:c r="G48" s="9" t="str">
        <x:v>Adaptation</x:v>
      </x:c>
      <x:c r="H48" s="7" t="str">
        <x:v>Liaison de travail pour le découpage de Therum. Adjacence exacte à confirmer sur le plan de référence.</x:v>
      </x:c>
      <x:c r="I48" s="7" t="str">
        <x:v>Vérifier les deux sens, orientation, seuils, état des portes et raccord des caméras.</x:v>
      </x:c>
      <x:c r="J48" s="7" t="str">
        <x:v>ZON-therum-barriere-protheenne, ZON-therum-ascenseur-de-sortie</x:v>
      </x:c>
      <x:c r="K48" s="7" t="str">
        <x:v>content/links/LNK-therum-6.json</x:v>
      </x:c>
      <x:c r="L48" s="7" t="str"/>
      <x:c r="M48" s="7" t="str"/>
      <x:c r="N48" s="7" t="str">
        <x:v>Décisions du fan game ; aucune prétention de canon officiel</x:v>
      </x:c>
      <x:c r="O48" s="7" t="str"/>
      <x:c r="P48" s="7" t="str">
        <x:v>Production ME1</x:v>
      </x:c>
      <x:c r="Q48" s="7" t="str">
        <x:v>Adjacence proposée pour préparation du plan ; ne constitue pas un relevé canonique validé.</x:v>
      </x:c>
    </x:row>
    <x:row r="49" ht="49" customHeight="1">
      <x:c r="A49" s="13" t="str">
        <x:v>LNK-feros-1</x:v>
      </x:c>
      <x:c r="B49" s="14" t="str">
        <x:v>Port de Zhu’s Hope ↔ Abri des colons</x:v>
      </x:c>
      <x:c r="C49" s="10" t="str">
        <x:v>Défini</x:v>
      </x:c>
      <x:c r="D49" s="11" t="str">
        <x:v>À produire</x:v>
      </x:c>
      <x:c r="E49" s="15" t="str">
        <x:v>P1</x:v>
      </x:c>
      <x:c r="F49" s="15" t="str">
        <x:v>ME1</x:v>
      </x:c>
      <x:c r="G49" s="15" t="str">
        <x:v>Adaptation</x:v>
      </x:c>
      <x:c r="H49" s="14" t="str">
        <x:v>Liaison de travail pour le découpage de Feros. Adjacence exacte à confirmer sur le plan de référence.</x:v>
      </x:c>
      <x:c r="I49" s="14" t="str">
        <x:v>Vérifier les deux sens, orientation, seuils, état des portes et raccord des caméras.</x:v>
      </x:c>
      <x:c r="J49" s="14" t="str">
        <x:v>ZON-feros-port-de-zhu-s-hope, ZON-feros-abri-des-colons</x:v>
      </x:c>
      <x:c r="K49" s="14" t="str">
        <x:v>content/links/LNK-feros-1.json</x:v>
      </x:c>
      <x:c r="L49" s="14" t="str"/>
      <x:c r="M49" s="14" t="str"/>
      <x:c r="N49" s="14" t="str">
        <x:v>Décisions du fan game ; aucune prétention de canon officiel</x:v>
      </x:c>
      <x:c r="O49" s="14" t="str"/>
      <x:c r="P49" s="14" t="str">
        <x:v>Production ME1</x:v>
      </x:c>
      <x:c r="Q49" s="14" t="str">
        <x:v>Adjacence proposée pour préparation du plan ; ne constitue pas un relevé canonique validé.</x:v>
      </x:c>
    </x:row>
    <x:row r="50" ht="49" customHeight="1">
      <x:c r="A50" s="12" t="str">
        <x:v>LNK-feros-2</x:v>
      </x:c>
      <x:c r="B50" s="7" t="str">
        <x:v>Abri des colons ↔ Tunnels de maintenance</x:v>
      </x:c>
      <x:c r="C50" s="10" t="str">
        <x:v>Défini</x:v>
      </x:c>
      <x:c r="D50" s="11" t="str">
        <x:v>À produire</x:v>
      </x:c>
      <x:c r="E50" s="9" t="str">
        <x:v>P1</x:v>
      </x:c>
      <x:c r="F50" s="9" t="str">
        <x:v>ME1</x:v>
      </x:c>
      <x:c r="G50" s="9" t="str">
        <x:v>Adaptation</x:v>
      </x:c>
      <x:c r="H50" s="7" t="str">
        <x:v>Liaison de travail pour le découpage de Feros. Adjacence exacte à confirmer sur le plan de référence.</x:v>
      </x:c>
      <x:c r="I50" s="7" t="str">
        <x:v>Vérifier les deux sens, orientation, seuils, état des portes et raccord des caméras.</x:v>
      </x:c>
      <x:c r="J50" s="7" t="str">
        <x:v>ZON-feros-abri-des-colons, ZON-feros-tunnels-de-maintenance</x:v>
      </x:c>
      <x:c r="K50" s="7" t="str">
        <x:v>content/links/LNK-feros-2.json</x:v>
      </x:c>
      <x:c r="L50" s="7" t="str"/>
      <x:c r="M50" s="7" t="str"/>
      <x:c r="N50" s="7" t="str">
        <x:v>Décisions du fan game ; aucune prétention de canon officiel</x:v>
      </x:c>
      <x:c r="O50" s="7" t="str"/>
      <x:c r="P50" s="7" t="str">
        <x:v>Production ME1</x:v>
      </x:c>
      <x:c r="Q50" s="7" t="str">
        <x:v>Adjacence proposée pour préparation du plan ; ne constitue pas un relevé canonique validé.</x:v>
      </x:c>
    </x:row>
    <x:row r="51" ht="49" customHeight="1">
      <x:c r="A51" s="13" t="str">
        <x:v>LNK-feros-3</x:v>
      </x:c>
      <x:c r="B51" s="14" t="str">
        <x:v>Tunnels de maintenance ↔ Pont effondré</x:v>
      </x:c>
      <x:c r="C51" s="10" t="str">
        <x:v>Défini</x:v>
      </x:c>
      <x:c r="D51" s="11" t="str">
        <x:v>À produire</x:v>
      </x:c>
      <x:c r="E51" s="15" t="str">
        <x:v>P1</x:v>
      </x:c>
      <x:c r="F51" s="15" t="str">
        <x:v>ME1</x:v>
      </x:c>
      <x:c r="G51" s="15" t="str">
        <x:v>Adaptation</x:v>
      </x:c>
      <x:c r="H51" s="14" t="str">
        <x:v>Liaison de travail pour le découpage de Feros. Adjacence exacte à confirmer sur le plan de référence.</x:v>
      </x:c>
      <x:c r="I51" s="14" t="str">
        <x:v>Vérifier les deux sens, orientation, seuils, état des portes et raccord des caméras.</x:v>
      </x:c>
      <x:c r="J51" s="14" t="str">
        <x:v>ZON-feros-tunnels-de-maintenance, ZON-feros-pont-effondre</x:v>
      </x:c>
      <x:c r="K51" s="14" t="str">
        <x:v>content/links/LNK-feros-3.json</x:v>
      </x:c>
      <x:c r="L51" s="14" t="str"/>
      <x:c r="M51" s="14" t="str"/>
      <x:c r="N51" s="14" t="str">
        <x:v>Décisions du fan game ; aucune prétention de canon officiel</x:v>
      </x:c>
      <x:c r="O51" s="14" t="str"/>
      <x:c r="P51" s="14" t="str">
        <x:v>Production ME1</x:v>
      </x:c>
      <x:c r="Q51" s="14" t="str">
        <x:v>Adjacence proposée pour préparation du plan ; ne constitue pas un relevé canonique validé.</x:v>
      </x:c>
    </x:row>
    <x:row r="52" ht="49" customHeight="1">
      <x:c r="A52" s="12" t="str">
        <x:v>LNK-feros-4</x:v>
      </x:c>
      <x:c r="B52" s="7" t="str">
        <x:v>Pont effondré ↔ Voie aérienne</x:v>
      </x:c>
      <x:c r="C52" s="10" t="str">
        <x:v>Défini</x:v>
      </x:c>
      <x:c r="D52" s="11" t="str">
        <x:v>À produire</x:v>
      </x:c>
      <x:c r="E52" s="9" t="str">
        <x:v>P1</x:v>
      </x:c>
      <x:c r="F52" s="9" t="str">
        <x:v>ME1</x:v>
      </x:c>
      <x:c r="G52" s="9" t="str">
        <x:v>Adaptation</x:v>
      </x:c>
      <x:c r="H52" s="7" t="str">
        <x:v>Liaison de travail pour le découpage de Feros. Adjacence exacte à confirmer sur le plan de référence.</x:v>
      </x:c>
      <x:c r="I52" s="7" t="str">
        <x:v>Vérifier les deux sens, orientation, seuils, état des portes et raccord des caméras.</x:v>
      </x:c>
      <x:c r="J52" s="7" t="str">
        <x:v>ZON-feros-pont-effondre, ZON-feros-voie-aerienne</x:v>
      </x:c>
      <x:c r="K52" s="7" t="str">
        <x:v>content/links/LNK-feros-4.json</x:v>
      </x:c>
      <x:c r="L52" s="7" t="str"/>
      <x:c r="M52" s="7" t="str"/>
      <x:c r="N52" s="7" t="str">
        <x:v>Décisions du fan game ; aucune prétention de canon officiel</x:v>
      </x:c>
      <x:c r="O52" s="7" t="str"/>
      <x:c r="P52" s="7" t="str">
        <x:v>Production ME1</x:v>
      </x:c>
      <x:c r="Q52" s="7" t="str">
        <x:v>Adjacence proposée pour préparation du plan ; ne constitue pas un relevé canonique validé.</x:v>
      </x:c>
    </x:row>
    <x:row r="53" ht="49" customHeight="1">
      <x:c r="A53" s="13" t="str">
        <x:v>LNK-feros-5</x:v>
      </x:c>
      <x:c r="B53" s="14" t="str">
        <x:v>Voie aérienne ↔ Camp de réfugiés</x:v>
      </x:c>
      <x:c r="C53" s="10" t="str">
        <x:v>Défini</x:v>
      </x:c>
      <x:c r="D53" s="11" t="str">
        <x:v>À produire</x:v>
      </x:c>
      <x:c r="E53" s="15" t="str">
        <x:v>P1</x:v>
      </x:c>
      <x:c r="F53" s="15" t="str">
        <x:v>ME1</x:v>
      </x:c>
      <x:c r="G53" s="15" t="str">
        <x:v>Adaptation</x:v>
      </x:c>
      <x:c r="H53" s="14" t="str">
        <x:v>Liaison de travail pour le découpage de Feros. Adjacence exacte à confirmer sur le plan de référence.</x:v>
      </x:c>
      <x:c r="I53" s="14" t="str">
        <x:v>Vérifier les deux sens, orientation, seuils, état des portes et raccord des caméras.</x:v>
      </x:c>
      <x:c r="J53" s="14" t="str">
        <x:v>ZON-feros-voie-aerienne, ZON-feros-camp-de-refugies</x:v>
      </x:c>
      <x:c r="K53" s="14" t="str">
        <x:v>content/links/LNK-feros-5.json</x:v>
      </x:c>
      <x:c r="L53" s="14" t="str"/>
      <x:c r="M53" s="14" t="str"/>
      <x:c r="N53" s="14" t="str">
        <x:v>Décisions du fan game ; aucune prétention de canon officiel</x:v>
      </x:c>
      <x:c r="O53" s="14" t="str"/>
      <x:c r="P53" s="14" t="str">
        <x:v>Production ME1</x:v>
      </x:c>
      <x:c r="Q53" s="14" t="str">
        <x:v>Adjacence proposée pour préparation du plan ; ne constitue pas un relevé canonique validé.</x:v>
      </x:c>
    </x:row>
    <x:row r="54" ht="49" customHeight="1">
      <x:c r="A54" s="12" t="str">
        <x:v>LNK-feros-6</x:v>
      </x:c>
      <x:c r="B54" s="7" t="str">
        <x:v>Camp de réfugiés ↔ Rez-de-chaussée ExoGeni</x:v>
      </x:c>
      <x:c r="C54" s="10" t="str">
        <x:v>Défini</x:v>
      </x:c>
      <x:c r="D54" s="11" t="str">
        <x:v>À produire</x:v>
      </x:c>
      <x:c r="E54" s="9" t="str">
        <x:v>P1</x:v>
      </x:c>
      <x:c r="F54" s="9" t="str">
        <x:v>ME1</x:v>
      </x:c>
      <x:c r="G54" s="9" t="str">
        <x:v>Adaptation</x:v>
      </x:c>
      <x:c r="H54" s="7" t="str">
        <x:v>Liaison de travail pour le découpage de Feros. Adjacence exacte à confirmer sur le plan de référence.</x:v>
      </x:c>
      <x:c r="I54" s="7" t="str">
        <x:v>Vérifier les deux sens, orientation, seuils, état des portes et raccord des caméras.</x:v>
      </x:c>
      <x:c r="J54" s="7" t="str">
        <x:v>ZON-feros-camp-de-refugies, ZON-feros-rez-de-chaussee-exogeni</x:v>
      </x:c>
      <x:c r="K54" s="7" t="str">
        <x:v>content/links/LNK-feros-6.json</x:v>
      </x:c>
      <x:c r="L54" s="7" t="str"/>
      <x:c r="M54" s="7" t="str"/>
      <x:c r="N54" s="7" t="str">
        <x:v>Décisions du fan game ; aucune prétention de canon officiel</x:v>
      </x:c>
      <x:c r="O54" s="7" t="str"/>
      <x:c r="P54" s="7" t="str">
        <x:v>Production ME1</x:v>
      </x:c>
      <x:c r="Q54" s="7" t="str">
        <x:v>Adjacence proposée pour préparation du plan ; ne constitue pas un relevé canonique validé.</x:v>
      </x:c>
    </x:row>
    <x:row r="55" ht="49" customHeight="1">
      <x:c r="A55" s="13" t="str">
        <x:v>LNK-feros-7</x:v>
      </x:c>
      <x:c r="B55" s="14" t="str">
        <x:v>Rez-de-chaussée ExoGeni ↔ Salle de Lizbeth</x:v>
      </x:c>
      <x:c r="C55" s="10" t="str">
        <x:v>Défini</x:v>
      </x:c>
      <x:c r="D55" s="11" t="str">
        <x:v>À produire</x:v>
      </x:c>
      <x:c r="E55" s="15" t="str">
        <x:v>P1</x:v>
      </x:c>
      <x:c r="F55" s="15" t="str">
        <x:v>ME1</x:v>
      </x:c>
      <x:c r="G55" s="15" t="str">
        <x:v>Adaptation</x:v>
      </x:c>
      <x:c r="H55" s="14" t="str">
        <x:v>Liaison de travail pour le découpage de Feros. Adjacence exacte à confirmer sur le plan de référence.</x:v>
      </x:c>
      <x:c r="I55" s="14" t="str">
        <x:v>Vérifier les deux sens, orientation, seuils, état des portes et raccord des caméras.</x:v>
      </x:c>
      <x:c r="J55" s="14" t="str">
        <x:v>ZON-feros-rez-de-chaussee-exogeni, ZON-feros-salle-de-lizbeth</x:v>
      </x:c>
      <x:c r="K55" s="14" t="str">
        <x:v>content/links/LNK-feros-7.json</x:v>
      </x:c>
      <x:c r="L55" s="14" t="str"/>
      <x:c r="M55" s="14" t="str"/>
      <x:c r="N55" s="14" t="str">
        <x:v>Décisions du fan game ; aucune prétention de canon officiel</x:v>
      </x:c>
      <x:c r="O55" s="14" t="str"/>
      <x:c r="P55" s="14" t="str">
        <x:v>Production ME1</x:v>
      </x:c>
      <x:c r="Q55" s="14" t="str">
        <x:v>Adjacence proposée pour préparation du plan ; ne constitue pas un relevé canonique validé.</x:v>
      </x:c>
    </x:row>
    <x:row r="56" ht="49" customHeight="1">
      <x:c r="A56" s="12" t="str">
        <x:v>LNK-feros-8</x:v>
      </x:c>
      <x:c r="B56" s="7" t="str">
        <x:v>Salle de Lizbeth ↔ Bureaux ExoGeni</x:v>
      </x:c>
      <x:c r="C56" s="10" t="str">
        <x:v>Défini</x:v>
      </x:c>
      <x:c r="D56" s="11" t="str">
        <x:v>À produire</x:v>
      </x:c>
      <x:c r="E56" s="9" t="str">
        <x:v>P1</x:v>
      </x:c>
      <x:c r="F56" s="9" t="str">
        <x:v>ME1</x:v>
      </x:c>
      <x:c r="G56" s="9" t="str">
        <x:v>Adaptation</x:v>
      </x:c>
      <x:c r="H56" s="7" t="str">
        <x:v>Liaison de travail pour le découpage de Feros. Adjacence exacte à confirmer sur le plan de référence.</x:v>
      </x:c>
      <x:c r="I56" s="7" t="str">
        <x:v>Vérifier les deux sens, orientation, seuils, état des portes et raccord des caméras.</x:v>
      </x:c>
      <x:c r="J56" s="7" t="str">
        <x:v>ZON-feros-salle-de-lizbeth, ZON-feros-bureaux-exogeni</x:v>
      </x:c>
      <x:c r="K56" s="7" t="str">
        <x:v>content/links/LNK-feros-8.json</x:v>
      </x:c>
      <x:c r="L56" s="7" t="str"/>
      <x:c r="M56" s="7" t="str"/>
      <x:c r="N56" s="7" t="str">
        <x:v>Décisions du fan game ; aucune prétention de canon officiel</x:v>
      </x:c>
      <x:c r="O56" s="7" t="str"/>
      <x:c r="P56" s="7" t="str">
        <x:v>Production ME1</x:v>
      </x:c>
      <x:c r="Q56" s="7" t="str">
        <x:v>Adjacence proposée pour préparation du plan ; ne constitue pas un relevé canonique validé.</x:v>
      </x:c>
    </x:row>
    <x:row r="57" ht="49" customHeight="1">
      <x:c r="A57" s="13" t="str">
        <x:v>LNK-feros-9</x:v>
      </x:c>
      <x:c r="B57" s="14" t="str">
        <x:v>Bureaux ExoGeni ↔ Ancrage du vaisseau geth</x:v>
      </x:c>
      <x:c r="C57" s="10" t="str">
        <x:v>Défini</x:v>
      </x:c>
      <x:c r="D57" s="11" t="str">
        <x:v>À produire</x:v>
      </x:c>
      <x:c r="E57" s="15" t="str">
        <x:v>P1</x:v>
      </x:c>
      <x:c r="F57" s="15" t="str">
        <x:v>ME1</x:v>
      </x:c>
      <x:c r="G57" s="15" t="str">
        <x:v>Adaptation</x:v>
      </x:c>
      <x:c r="H57" s="14" t="str">
        <x:v>Liaison de travail pour le découpage de Feros. Adjacence exacte à confirmer sur le plan de référence.</x:v>
      </x:c>
      <x:c r="I57" s="14" t="str">
        <x:v>Vérifier les deux sens, orientation, seuils, état des portes et raccord des caméras.</x:v>
      </x:c>
      <x:c r="J57" s="14" t="str">
        <x:v>ZON-feros-bureaux-exogeni, ZON-feros-ancrage-du-vaisseau-geth</x:v>
      </x:c>
      <x:c r="K57" s="14" t="str">
        <x:v>content/links/LNK-feros-9.json</x:v>
      </x:c>
      <x:c r="L57" s="14" t="str"/>
      <x:c r="M57" s="14" t="str"/>
      <x:c r="N57" s="14" t="str">
        <x:v>Décisions du fan game ; aucune prétention de canon officiel</x:v>
      </x:c>
      <x:c r="O57" s="14" t="str"/>
      <x:c r="P57" s="14" t="str">
        <x:v>Production ME1</x:v>
      </x:c>
      <x:c r="Q57" s="14" t="str">
        <x:v>Adjacence proposée pour préparation du plan ; ne constitue pas un relevé canonique validé.</x:v>
      </x:c>
    </x:row>
    <x:row r="58" ht="49" customHeight="1">
      <x:c r="A58" s="12" t="str">
        <x:v>LNK-feros-10</x:v>
      </x:c>
      <x:c r="B58" s="7" t="str">
        <x:v>Ancrage du vaisseau geth ↔ Retour à Zhu’s Hope</x:v>
      </x:c>
      <x:c r="C58" s="10" t="str">
        <x:v>Défini</x:v>
      </x:c>
      <x:c r="D58" s="11" t="str">
        <x:v>À produire</x:v>
      </x:c>
      <x:c r="E58" s="9" t="str">
        <x:v>P1</x:v>
      </x:c>
      <x:c r="F58" s="9" t="str">
        <x:v>ME1</x:v>
      </x:c>
      <x:c r="G58" s="9" t="str">
        <x:v>Adaptation</x:v>
      </x:c>
      <x:c r="H58" s="7" t="str">
        <x:v>Liaison de travail pour le découpage de Feros. Adjacence exacte à confirmer sur le plan de référence.</x:v>
      </x:c>
      <x:c r="I58" s="7" t="str">
        <x:v>Vérifier les deux sens, orientation, seuils, état des portes et raccord des caméras.</x:v>
      </x:c>
      <x:c r="J58" s="7" t="str">
        <x:v>ZON-feros-ancrage-du-vaisseau-geth, ZON-feros-retour-a-zhu-s-hope</x:v>
      </x:c>
      <x:c r="K58" s="7" t="str">
        <x:v>content/links/LNK-feros-10.json</x:v>
      </x:c>
      <x:c r="L58" s="7" t="str"/>
      <x:c r="M58" s="7" t="str"/>
      <x:c r="N58" s="7" t="str">
        <x:v>Décisions du fan game ; aucune prétention de canon officiel</x:v>
      </x:c>
      <x:c r="O58" s="7" t="str"/>
      <x:c r="P58" s="7" t="str">
        <x:v>Production ME1</x:v>
      </x:c>
      <x:c r="Q58" s="7" t="str">
        <x:v>Adjacence proposée pour préparation du plan ; ne constitue pas un relevé canonique validé.</x:v>
      </x:c>
    </x:row>
    <x:row r="59" ht="49" customHeight="1">
      <x:c r="A59" s="13" t="str">
        <x:v>LNK-feros-11</x:v>
      </x:c>
      <x:c r="B59" s="14" t="str">
        <x:v>Retour à Zhu’s Hope ↔ Sous-sol du Thorian</x:v>
      </x:c>
      <x:c r="C59" s="10" t="str">
        <x:v>Défini</x:v>
      </x:c>
      <x:c r="D59" s="11" t="str">
        <x:v>À produire</x:v>
      </x:c>
      <x:c r="E59" s="15" t="str">
        <x:v>P1</x:v>
      </x:c>
      <x:c r="F59" s="15" t="str">
        <x:v>ME1</x:v>
      </x:c>
      <x:c r="G59" s="15" t="str">
        <x:v>Adaptation</x:v>
      </x:c>
      <x:c r="H59" s="14" t="str">
        <x:v>Liaison de travail pour le découpage de Feros. Adjacence exacte à confirmer sur le plan de référence.</x:v>
      </x:c>
      <x:c r="I59" s="14" t="str">
        <x:v>Vérifier les deux sens, orientation, seuils, état des portes et raccord des caméras.</x:v>
      </x:c>
      <x:c r="J59" s="14" t="str">
        <x:v>ZON-feros-retour-a-zhu-s-hope, ZON-feros-sous-sol-du-thorian</x:v>
      </x:c>
      <x:c r="K59" s="14" t="str">
        <x:v>content/links/LNK-feros-11.json</x:v>
      </x:c>
      <x:c r="L59" s="14" t="str"/>
      <x:c r="M59" s="14" t="str"/>
      <x:c r="N59" s="14" t="str">
        <x:v>Décisions du fan game ; aucune prétention de canon officiel</x:v>
      </x:c>
      <x:c r="O59" s="14" t="str"/>
      <x:c r="P59" s="14" t="str">
        <x:v>Production ME1</x:v>
      </x:c>
      <x:c r="Q59" s="14" t="str">
        <x:v>Adjacence proposée pour préparation du plan ; ne constitue pas un relevé canonique validé.</x:v>
      </x:c>
    </x:row>
    <x:row r="60" ht="49" customHeight="1">
      <x:c r="A60" s="12" t="str">
        <x:v>LNK-noveria-1</x:v>
      </x:c>
      <x:c r="B60" s="7" t="str">
        <x:v>Contrôle de Port Hanshan ↔ Hall de Port Hanshan</x:v>
      </x:c>
      <x:c r="C60" s="10" t="str">
        <x:v>Défini</x:v>
      </x:c>
      <x:c r="D60" s="11" t="str">
        <x:v>À produire</x:v>
      </x:c>
      <x:c r="E60" s="9" t="str">
        <x:v>P1</x:v>
      </x:c>
      <x:c r="F60" s="9" t="str">
        <x:v>ME1</x:v>
      </x:c>
      <x:c r="G60" s="9" t="str">
        <x:v>Adaptation</x:v>
      </x:c>
      <x:c r="H60" s="7" t="str">
        <x:v>Liaison de travail pour le découpage de Noveria. Adjacence exacte à confirmer sur le plan de référence.</x:v>
      </x:c>
      <x:c r="I60" s="7" t="str">
        <x:v>Vérifier les deux sens, orientation, seuils, état des portes et raccord des caméras.</x:v>
      </x:c>
      <x:c r="J60" s="7" t="str">
        <x:v>ZON-noveria-controle-de-port-hanshan, ZON-noveria-hall-de-port-hanshan</x:v>
      </x:c>
      <x:c r="K60" s="7" t="str">
        <x:v>content/links/LNK-noveria-1.json</x:v>
      </x:c>
      <x:c r="L60" s="7" t="str"/>
      <x:c r="M60" s="7" t="str"/>
      <x:c r="N60" s="7" t="str">
        <x:v>Décisions du fan game ; aucune prétention de canon officiel</x:v>
      </x:c>
      <x:c r="O60" s="7" t="str"/>
      <x:c r="P60" s="7" t="str">
        <x:v>Production ME1</x:v>
      </x:c>
      <x:c r="Q60" s="7" t="str">
        <x:v>Adjacence proposée pour préparation du plan ; ne constitue pas un relevé canonique validé.</x:v>
      </x:c>
    </x:row>
    <x:row r="61" ht="49" customHeight="1">
      <x:c r="A61" s="13" t="str">
        <x:v>LNK-noveria-2</x:v>
      </x:c>
      <x:c r="B61" s="14" t="str">
        <x:v>Hall de Port Hanshan ↔ Bureau d’Anoleis</x:v>
      </x:c>
      <x:c r="C61" s="10" t="str">
        <x:v>Défini</x:v>
      </x:c>
      <x:c r="D61" s="11" t="str">
        <x:v>À produire</x:v>
      </x:c>
      <x:c r="E61" s="15" t="str">
        <x:v>P1</x:v>
      </x:c>
      <x:c r="F61" s="15" t="str">
        <x:v>ME1</x:v>
      </x:c>
      <x:c r="G61" s="15" t="str">
        <x:v>Adaptation</x:v>
      </x:c>
      <x:c r="H61" s="14" t="str">
        <x:v>Liaison de travail pour le découpage de Noveria. Adjacence exacte à confirmer sur le plan de référence.</x:v>
      </x:c>
      <x:c r="I61" s="14" t="str">
        <x:v>Vérifier les deux sens, orientation, seuils, état des portes et raccord des caméras.</x:v>
      </x:c>
      <x:c r="J61" s="14" t="str">
        <x:v>ZON-noveria-hall-de-port-hanshan, ZON-noveria-bureau-d-anoleis</x:v>
      </x:c>
      <x:c r="K61" s="14" t="str">
        <x:v>content/links/LNK-noveria-2.json</x:v>
      </x:c>
      <x:c r="L61" s="14" t="str"/>
      <x:c r="M61" s="14" t="str"/>
      <x:c r="N61" s="14" t="str">
        <x:v>Décisions du fan game ; aucune prétention de canon officiel</x:v>
      </x:c>
      <x:c r="O61" s="14" t="str"/>
      <x:c r="P61" s="14" t="str">
        <x:v>Production ME1</x:v>
      </x:c>
      <x:c r="Q61" s="14" t="str">
        <x:v>Adjacence proposée pour préparation du plan ; ne constitue pas un relevé canonique validé.</x:v>
      </x:c>
    </x:row>
    <x:row r="62" ht="49" customHeight="1">
      <x:c r="A62" s="12" t="str">
        <x:v>LNK-noveria-3</x:v>
      </x:c>
      <x:c r="B62" s="7" t="str">
        <x:v>Bureau d’Anoleis ↔ Hôtel</x:v>
      </x:c>
      <x:c r="C62" s="10" t="str">
        <x:v>Défini</x:v>
      </x:c>
      <x:c r="D62" s="11" t="str">
        <x:v>À produire</x:v>
      </x:c>
      <x:c r="E62" s="9" t="str">
        <x:v>P1</x:v>
      </x:c>
      <x:c r="F62" s="9" t="str">
        <x:v>ME1</x:v>
      </x:c>
      <x:c r="G62" s="9" t="str">
        <x:v>Adaptation</x:v>
      </x:c>
      <x:c r="H62" s="7" t="str">
        <x:v>Liaison de travail pour le découpage de Noveria. Adjacence exacte à confirmer sur le plan de référence.</x:v>
      </x:c>
      <x:c r="I62" s="7" t="str">
        <x:v>Vérifier les deux sens, orientation, seuils, état des portes et raccord des caméras.</x:v>
      </x:c>
      <x:c r="J62" s="7" t="str">
        <x:v>ZON-noveria-bureau-d-anoleis, ZON-noveria-hotel</x:v>
      </x:c>
      <x:c r="K62" s="7" t="str">
        <x:v>content/links/LNK-noveria-3.json</x:v>
      </x:c>
      <x:c r="L62" s="7" t="str"/>
      <x:c r="M62" s="7" t="str"/>
      <x:c r="N62" s="7" t="str">
        <x:v>Décisions du fan game ; aucune prétention de canon officiel</x:v>
      </x:c>
      <x:c r="O62" s="7" t="str"/>
      <x:c r="P62" s="7" t="str">
        <x:v>Production ME1</x:v>
      </x:c>
      <x:c r="Q62" s="7" t="str">
        <x:v>Adjacence proposée pour préparation du plan ; ne constitue pas un relevé canonique validé.</x:v>
      </x:c>
    </x:row>
    <x:row r="63" ht="49" customHeight="1">
      <x:c r="A63" s="13" t="str">
        <x:v>LNK-noveria-4</x:v>
      </x:c>
      <x:c r="B63" s="14" t="str">
        <x:v>Hôtel ↔ Synthetic Insights</x:v>
      </x:c>
      <x:c r="C63" s="10" t="str">
        <x:v>Défini</x:v>
      </x:c>
      <x:c r="D63" s="11" t="str">
        <x:v>À produire</x:v>
      </x:c>
      <x:c r="E63" s="15" t="str">
        <x:v>P1</x:v>
      </x:c>
      <x:c r="F63" s="15" t="str">
        <x:v>ME1</x:v>
      </x:c>
      <x:c r="G63" s="15" t="str">
        <x:v>Adaptation</x:v>
      </x:c>
      <x:c r="H63" s="14" t="str">
        <x:v>Liaison de travail pour le découpage de Noveria. Adjacence exacte à confirmer sur le plan de référence.</x:v>
      </x:c>
      <x:c r="I63" s="14" t="str">
        <x:v>Vérifier les deux sens, orientation, seuils, état des portes et raccord des caméras.</x:v>
      </x:c>
      <x:c r="J63" s="14" t="str">
        <x:v>ZON-noveria-hotel, ZON-noveria-synthetic-insights</x:v>
      </x:c>
      <x:c r="K63" s="14" t="str">
        <x:v>content/links/LNK-noveria-4.json</x:v>
      </x:c>
      <x:c r="L63" s="14" t="str"/>
      <x:c r="M63" s="14" t="str"/>
      <x:c r="N63" s="14" t="str">
        <x:v>Décisions du fan game ; aucune prétention de canon officiel</x:v>
      </x:c>
      <x:c r="O63" s="14" t="str"/>
      <x:c r="P63" s="14" t="str">
        <x:v>Production ME1</x:v>
      </x:c>
      <x:c r="Q63" s="14" t="str">
        <x:v>Adjacence proposée pour préparation du plan ; ne constitue pas un relevé canonique validé.</x:v>
      </x:c>
    </x:row>
    <x:row r="64" ht="49" customHeight="1">
      <x:c r="A64" s="12" t="str">
        <x:v>LNK-noveria-5</x:v>
      </x:c>
      <x:c r="B64" s="7" t="str">
        <x:v>Synthetic Insights ↔ Garage</x:v>
      </x:c>
      <x:c r="C64" s="10" t="str">
        <x:v>Défini</x:v>
      </x:c>
      <x:c r="D64" s="11" t="str">
        <x:v>À produire</x:v>
      </x:c>
      <x:c r="E64" s="9" t="str">
        <x:v>P1</x:v>
      </x:c>
      <x:c r="F64" s="9" t="str">
        <x:v>ME1</x:v>
      </x:c>
      <x:c r="G64" s="9" t="str">
        <x:v>Adaptation</x:v>
      </x:c>
      <x:c r="H64" s="7" t="str">
        <x:v>Liaison de travail pour le découpage de Noveria. Adjacence exacte à confirmer sur le plan de référence.</x:v>
      </x:c>
      <x:c r="I64" s="7" t="str">
        <x:v>Vérifier les deux sens, orientation, seuils, état des portes et raccord des caméras.</x:v>
      </x:c>
      <x:c r="J64" s="7" t="str">
        <x:v>ZON-noveria-synthetic-insights, ZON-noveria-garage</x:v>
      </x:c>
      <x:c r="K64" s="7" t="str">
        <x:v>content/links/LNK-noveria-5.json</x:v>
      </x:c>
      <x:c r="L64" s="7" t="str"/>
      <x:c r="M64" s="7" t="str"/>
      <x:c r="N64" s="7" t="str">
        <x:v>Décisions du fan game ; aucune prétention de canon officiel</x:v>
      </x:c>
      <x:c r="O64" s="7" t="str"/>
      <x:c r="P64" s="7" t="str">
        <x:v>Production ME1</x:v>
      </x:c>
      <x:c r="Q64" s="7" t="str">
        <x:v>Adjacence proposée pour préparation du plan ; ne constitue pas un relevé canonique validé.</x:v>
      </x:c>
    </x:row>
    <x:row r="65" ht="49" customHeight="1">
      <x:c r="A65" s="13" t="str">
        <x:v>LNK-noveria-6</x:v>
      </x:c>
      <x:c r="B65" s="14" t="str">
        <x:v>Garage ↔ Route de Peak 15</x:v>
      </x:c>
      <x:c r="C65" s="10" t="str">
        <x:v>Défini</x:v>
      </x:c>
      <x:c r="D65" s="11" t="str">
        <x:v>À produire</x:v>
      </x:c>
      <x:c r="E65" s="15" t="str">
        <x:v>P1</x:v>
      </x:c>
      <x:c r="F65" s="15" t="str">
        <x:v>ME1</x:v>
      </x:c>
      <x:c r="G65" s="15" t="str">
        <x:v>Adaptation</x:v>
      </x:c>
      <x:c r="H65" s="14" t="str">
        <x:v>Liaison de travail pour le découpage de Noveria. Adjacence exacte à confirmer sur le plan de référence.</x:v>
      </x:c>
      <x:c r="I65" s="14" t="str">
        <x:v>Vérifier les deux sens, orientation, seuils, état des portes et raccord des caméras.</x:v>
      </x:c>
      <x:c r="J65" s="14" t="str">
        <x:v>ZON-noveria-garage, ZON-noveria-route-de-peak-15</x:v>
      </x:c>
      <x:c r="K65" s="14" t="str">
        <x:v>content/links/LNK-noveria-6.json</x:v>
      </x:c>
      <x:c r="L65" s="14" t="str"/>
      <x:c r="M65" s="14" t="str"/>
      <x:c r="N65" s="14" t="str">
        <x:v>Décisions du fan game ; aucune prétention de canon officiel</x:v>
      </x:c>
      <x:c r="O65" s="14" t="str"/>
      <x:c r="P65" s="14" t="str">
        <x:v>Production ME1</x:v>
      </x:c>
      <x:c r="Q65" s="14" t="str">
        <x:v>Adjacence proposée pour préparation du plan ; ne constitue pas un relevé canonique validé.</x:v>
      </x:c>
    </x:row>
    <x:row r="66" ht="49" customHeight="1">
      <x:c r="A66" s="12" t="str">
        <x:v>LNK-noveria-7</x:v>
      </x:c>
      <x:c r="B66" s="7" t="str">
        <x:v>Route de Peak 15 ↔ Garage Peak 15</x:v>
      </x:c>
      <x:c r="C66" s="10" t="str">
        <x:v>Défini</x:v>
      </x:c>
      <x:c r="D66" s="11" t="str">
        <x:v>À produire</x:v>
      </x:c>
      <x:c r="E66" s="9" t="str">
        <x:v>P1</x:v>
      </x:c>
      <x:c r="F66" s="9" t="str">
        <x:v>ME1</x:v>
      </x:c>
      <x:c r="G66" s="9" t="str">
        <x:v>Adaptation</x:v>
      </x:c>
      <x:c r="H66" s="7" t="str">
        <x:v>Liaison de travail pour le découpage de Noveria. Adjacence exacte à confirmer sur le plan de référence.</x:v>
      </x:c>
      <x:c r="I66" s="7" t="str">
        <x:v>Vérifier les deux sens, orientation, seuils, état des portes et raccord des caméras.</x:v>
      </x:c>
      <x:c r="J66" s="7" t="str">
        <x:v>ZON-noveria-route-de-peak-15, ZON-noveria-garage-peak-15</x:v>
      </x:c>
      <x:c r="K66" s="7" t="str">
        <x:v>content/links/LNK-noveria-7.json</x:v>
      </x:c>
      <x:c r="L66" s="7" t="str"/>
      <x:c r="M66" s="7" t="str"/>
      <x:c r="N66" s="7" t="str">
        <x:v>Décisions du fan game ; aucune prétention de canon officiel</x:v>
      </x:c>
      <x:c r="O66" s="7" t="str"/>
      <x:c r="P66" s="7" t="str">
        <x:v>Production ME1</x:v>
      </x:c>
      <x:c r="Q66" s="7" t="str">
        <x:v>Adjacence proposée pour préparation du plan ; ne constitue pas un relevé canonique validé.</x:v>
      </x:c>
    </x:row>
    <x:row r="67" ht="49" customHeight="1">
      <x:c r="A67" s="13" t="str">
        <x:v>LNK-noveria-8</x:v>
      </x:c>
      <x:c r="B67" s="14" t="str">
        <x:v>Garage Peak 15 ↔ Cœur de Mira</x:v>
      </x:c>
      <x:c r="C67" s="10" t="str">
        <x:v>Défini</x:v>
      </x:c>
      <x:c r="D67" s="11" t="str">
        <x:v>À produire</x:v>
      </x:c>
      <x:c r="E67" s="15" t="str">
        <x:v>P1</x:v>
      </x:c>
      <x:c r="F67" s="15" t="str">
        <x:v>ME1</x:v>
      </x:c>
      <x:c r="G67" s="15" t="str">
        <x:v>Adaptation</x:v>
      </x:c>
      <x:c r="H67" s="14" t="str">
        <x:v>Liaison de travail pour le découpage de Noveria. Adjacence exacte à confirmer sur le plan de référence.</x:v>
      </x:c>
      <x:c r="I67" s="14" t="str">
        <x:v>Vérifier les deux sens, orientation, seuils, état des portes et raccord des caméras.</x:v>
      </x:c>
      <x:c r="J67" s="14" t="str">
        <x:v>ZON-noveria-garage-peak-15, ZON-noveria-c-ur-de-mira</x:v>
      </x:c>
      <x:c r="K67" s="14" t="str">
        <x:v>content/links/LNK-noveria-8.json</x:v>
      </x:c>
      <x:c r="L67" s="14" t="str"/>
      <x:c r="M67" s="14" t="str"/>
      <x:c r="N67" s="14" t="str">
        <x:v>Décisions du fan game ; aucune prétention de canon officiel</x:v>
      </x:c>
      <x:c r="O67" s="14" t="str"/>
      <x:c r="P67" s="14" t="str">
        <x:v>Production ME1</x:v>
      </x:c>
      <x:c r="Q67" s="14" t="str">
        <x:v>Adjacence proposée pour préparation du plan ; ne constitue pas un relevé canonique validé.</x:v>
      </x:c>
    </x:row>
    <x:row r="68" ht="49" customHeight="1">
      <x:c r="A68" s="12" t="str">
        <x:v>LNK-noveria-9</x:v>
      </x:c>
      <x:c r="B68" s="7" t="str">
        <x:v>Cœur de Mira ↔ Réacteur</x:v>
      </x:c>
      <x:c r="C68" s="10" t="str">
        <x:v>Défini</x:v>
      </x:c>
      <x:c r="D68" s="11" t="str">
        <x:v>À produire</x:v>
      </x:c>
      <x:c r="E68" s="9" t="str">
        <x:v>P1</x:v>
      </x:c>
      <x:c r="F68" s="9" t="str">
        <x:v>ME1</x:v>
      </x:c>
      <x:c r="G68" s="9" t="str">
        <x:v>Adaptation</x:v>
      </x:c>
      <x:c r="H68" s="7" t="str">
        <x:v>Liaison de travail pour le découpage de Noveria. Adjacence exacte à confirmer sur le plan de référence.</x:v>
      </x:c>
      <x:c r="I68" s="7" t="str">
        <x:v>Vérifier les deux sens, orientation, seuils, état des portes et raccord des caméras.</x:v>
      </x:c>
      <x:c r="J68" s="7" t="str">
        <x:v>ZON-noveria-c-ur-de-mira, ZON-noveria-reacteur</x:v>
      </x:c>
      <x:c r="K68" s="7" t="str">
        <x:v>content/links/LNK-noveria-9.json</x:v>
      </x:c>
      <x:c r="L68" s="7" t="str"/>
      <x:c r="M68" s="7" t="str"/>
      <x:c r="N68" s="7" t="str">
        <x:v>Décisions du fan game ; aucune prétention de canon officiel</x:v>
      </x:c>
      <x:c r="O68" s="7" t="str"/>
      <x:c r="P68" s="7" t="str">
        <x:v>Production ME1</x:v>
      </x:c>
      <x:c r="Q68" s="7" t="str">
        <x:v>Adjacence proposée pour préparation du plan ; ne constitue pas un relevé canonique validé.</x:v>
      </x:c>
    </x:row>
    <x:row r="69" ht="49" customHeight="1">
      <x:c r="A69" s="13" t="str">
        <x:v>LNK-noveria-10</x:v>
      </x:c>
      <x:c r="B69" s="14" t="str">
        <x:v>Réacteur ↔ Toit et antenne</x:v>
      </x:c>
      <x:c r="C69" s="10" t="str">
        <x:v>Défini</x:v>
      </x:c>
      <x:c r="D69" s="11" t="str">
        <x:v>À produire</x:v>
      </x:c>
      <x:c r="E69" s="15" t="str">
        <x:v>P1</x:v>
      </x:c>
      <x:c r="F69" s="15" t="str">
        <x:v>ME1</x:v>
      </x:c>
      <x:c r="G69" s="15" t="str">
        <x:v>Adaptation</x:v>
      </x:c>
      <x:c r="H69" s="14" t="str">
        <x:v>Liaison de travail pour le découpage de Noveria. Adjacence exacte à confirmer sur le plan de référence.</x:v>
      </x:c>
      <x:c r="I69" s="14" t="str">
        <x:v>Vérifier les deux sens, orientation, seuils, état des portes et raccord des caméras.</x:v>
      </x:c>
      <x:c r="J69" s="14" t="str">
        <x:v>ZON-noveria-reacteur, ZON-noveria-toit-et-antenne</x:v>
      </x:c>
      <x:c r="K69" s="14" t="str">
        <x:v>content/links/LNK-noveria-10.json</x:v>
      </x:c>
      <x:c r="L69" s="14" t="str"/>
      <x:c r="M69" s="14" t="str"/>
      <x:c r="N69" s="14" t="str">
        <x:v>Décisions du fan game ; aucune prétention de canon officiel</x:v>
      </x:c>
      <x:c r="O69" s="14" t="str"/>
      <x:c r="P69" s="14" t="str">
        <x:v>Production ME1</x:v>
      </x:c>
      <x:c r="Q69" s="14" t="str">
        <x:v>Adjacence proposée pour préparation du plan ; ne constitue pas un relevé canonique validé.</x:v>
      </x:c>
    </x:row>
    <x:row r="70" ht="49" customHeight="1">
      <x:c r="A70" s="12" t="str">
        <x:v>LNK-noveria-11</x:v>
      </x:c>
      <x:c r="B70" s="7" t="str">
        <x:v>Toit et antenne ↔ Tram de la station</x:v>
      </x:c>
      <x:c r="C70" s="10" t="str">
        <x:v>Défini</x:v>
      </x:c>
      <x:c r="D70" s="11" t="str">
        <x:v>À produire</x:v>
      </x:c>
      <x:c r="E70" s="9" t="str">
        <x:v>P1</x:v>
      </x:c>
      <x:c r="F70" s="9" t="str">
        <x:v>ME1</x:v>
      </x:c>
      <x:c r="G70" s="9" t="str">
        <x:v>Adaptation</x:v>
      </x:c>
      <x:c r="H70" s="7" t="str">
        <x:v>Liaison de travail pour le découpage de Noveria. Adjacence exacte à confirmer sur le plan de référence.</x:v>
      </x:c>
      <x:c r="I70" s="7" t="str">
        <x:v>Vérifier les deux sens, orientation, seuils, état des portes et raccord des caméras.</x:v>
      </x:c>
      <x:c r="J70" s="7" t="str">
        <x:v>ZON-noveria-toit-et-antenne, ZON-noveria-tram-de-la-station</x:v>
      </x:c>
      <x:c r="K70" s="7" t="str">
        <x:v>content/links/LNK-noveria-11.json</x:v>
      </x:c>
      <x:c r="L70" s="7" t="str"/>
      <x:c r="M70" s="7" t="str"/>
      <x:c r="N70" s="7" t="str">
        <x:v>Décisions du fan game ; aucune prétention de canon officiel</x:v>
      </x:c>
      <x:c r="O70" s="7" t="str"/>
      <x:c r="P70" s="7" t="str">
        <x:v>Production ME1</x:v>
      </x:c>
      <x:c r="Q70" s="7" t="str">
        <x:v>Adjacence proposée pour préparation du plan ; ne constitue pas un relevé canonique validé.</x:v>
      </x:c>
    </x:row>
    <x:row r="71" ht="49" customHeight="1">
      <x:c r="A71" s="13" t="str">
        <x:v>LNK-noveria-12</x:v>
      </x:c>
      <x:c r="B71" s="14" t="str">
        <x:v>Tram de la station ↔ Poste de sécurité Rift</x:v>
      </x:c>
      <x:c r="C71" s="10" t="str">
        <x:v>Défini</x:v>
      </x:c>
      <x:c r="D71" s="11" t="str">
        <x:v>À produire</x:v>
      </x:c>
      <x:c r="E71" s="15" t="str">
        <x:v>P1</x:v>
      </x:c>
      <x:c r="F71" s="15" t="str">
        <x:v>ME1</x:v>
      </x:c>
      <x:c r="G71" s="15" t="str">
        <x:v>Adaptation</x:v>
      </x:c>
      <x:c r="H71" s="14" t="str">
        <x:v>Liaison de travail pour le découpage de Noveria. Adjacence exacte à confirmer sur le plan de référence.</x:v>
      </x:c>
      <x:c r="I71" s="14" t="str">
        <x:v>Vérifier les deux sens, orientation, seuils, état des portes et raccord des caméras.</x:v>
      </x:c>
      <x:c r="J71" s="14" t="str">
        <x:v>ZON-noveria-tram-de-la-station, ZON-noveria-poste-de-securite-rift</x:v>
      </x:c>
      <x:c r="K71" s="14" t="str">
        <x:v>content/links/LNK-noveria-12.json</x:v>
      </x:c>
      <x:c r="L71" s="14" t="str"/>
      <x:c r="M71" s="14" t="str"/>
      <x:c r="N71" s="14" t="str">
        <x:v>Décisions du fan game ; aucune prétention de canon officiel</x:v>
      </x:c>
      <x:c r="O71" s="14" t="str"/>
      <x:c r="P71" s="14" t="str">
        <x:v>Production ME1</x:v>
      </x:c>
      <x:c r="Q71" s="14" t="str">
        <x:v>Adjacence proposée pour préparation du plan ; ne constitue pas un relevé canonique validé.</x:v>
      </x:c>
    </x:row>
    <x:row r="72" ht="49" customHeight="1">
      <x:c r="A72" s="12" t="str">
        <x:v>LNK-noveria-13</x:v>
      </x:c>
      <x:c r="B72" s="7" t="str">
        <x:v>Poste de sécurité Rift ↔ Laboratoire médical</x:v>
      </x:c>
      <x:c r="C72" s="10" t="str">
        <x:v>Défini</x:v>
      </x:c>
      <x:c r="D72" s="11" t="str">
        <x:v>À produire</x:v>
      </x:c>
      <x:c r="E72" s="9" t="str">
        <x:v>P1</x:v>
      </x:c>
      <x:c r="F72" s="9" t="str">
        <x:v>ME1</x:v>
      </x:c>
      <x:c r="G72" s="9" t="str">
        <x:v>Adaptation</x:v>
      </x:c>
      <x:c r="H72" s="7" t="str">
        <x:v>Liaison de travail pour le découpage de Noveria. Adjacence exacte à confirmer sur le plan de référence.</x:v>
      </x:c>
      <x:c r="I72" s="7" t="str">
        <x:v>Vérifier les deux sens, orientation, seuils, état des portes et raccord des caméras.</x:v>
      </x:c>
      <x:c r="J72" s="7" t="str">
        <x:v>ZON-noveria-poste-de-securite-rift, ZON-noveria-laboratoire-medical</x:v>
      </x:c>
      <x:c r="K72" s="7" t="str">
        <x:v>content/links/LNK-noveria-13.json</x:v>
      </x:c>
      <x:c r="L72" s="7" t="str"/>
      <x:c r="M72" s="7" t="str"/>
      <x:c r="N72" s="7" t="str">
        <x:v>Décisions du fan game ; aucune prétention de canon officiel</x:v>
      </x:c>
      <x:c r="O72" s="7" t="str"/>
      <x:c r="P72" s="7" t="str">
        <x:v>Production ME1</x:v>
      </x:c>
      <x:c r="Q72" s="7" t="str">
        <x:v>Adjacence proposée pour préparation du plan ; ne constitue pas un relevé canonique validé.</x:v>
      </x:c>
    </x:row>
    <x:row r="73" ht="49" customHeight="1">
      <x:c r="A73" s="13" t="str">
        <x:v>LNK-noveria-14</x:v>
      </x:c>
      <x:c r="B73" s="14" t="str">
        <x:v>Laboratoire médical ↔ Laboratoires chauds</x:v>
      </x:c>
      <x:c r="C73" s="10" t="str">
        <x:v>Défini</x:v>
      </x:c>
      <x:c r="D73" s="11" t="str">
        <x:v>À produire</x:v>
      </x:c>
      <x:c r="E73" s="15" t="str">
        <x:v>P1</x:v>
      </x:c>
      <x:c r="F73" s="15" t="str">
        <x:v>ME1</x:v>
      </x:c>
      <x:c r="G73" s="15" t="str">
        <x:v>Adaptation</x:v>
      </x:c>
      <x:c r="H73" s="14" t="str">
        <x:v>Liaison de travail pour le découpage de Noveria. Adjacence exacte à confirmer sur le plan de référence.</x:v>
      </x:c>
      <x:c r="I73" s="14" t="str">
        <x:v>Vérifier les deux sens, orientation, seuils, état des portes et raccord des caméras.</x:v>
      </x:c>
      <x:c r="J73" s="14" t="str">
        <x:v>ZON-noveria-laboratoire-medical, ZON-noveria-laboratoires-chauds</x:v>
      </x:c>
      <x:c r="K73" s="14" t="str">
        <x:v>content/links/LNK-noveria-14.json</x:v>
      </x:c>
      <x:c r="L73" s="14" t="str"/>
      <x:c r="M73" s="14" t="str"/>
      <x:c r="N73" s="14" t="str">
        <x:v>Décisions du fan game ; aucune prétention de canon officiel</x:v>
      </x:c>
      <x:c r="O73" s="14" t="str"/>
      <x:c r="P73" s="14" t="str">
        <x:v>Production ME1</x:v>
      </x:c>
      <x:c r="Q73" s="14" t="str">
        <x:v>Adjacence proposée pour préparation du plan ; ne constitue pas un relevé canonique validé.</x:v>
      </x:c>
    </x:row>
    <x:row r="74" ht="49" customHeight="1">
      <x:c r="A74" s="12" t="str">
        <x:v>LNK-noveria-15</x:v>
      </x:c>
      <x:c r="B74" s="7" t="str">
        <x:v>Laboratoires chauds ↔ Chambre de Benezia</x:v>
      </x:c>
      <x:c r="C74" s="10" t="str">
        <x:v>Défini</x:v>
      </x:c>
      <x:c r="D74" s="11" t="str">
        <x:v>À produire</x:v>
      </x:c>
      <x:c r="E74" s="9" t="str">
        <x:v>P1</x:v>
      </x:c>
      <x:c r="F74" s="9" t="str">
        <x:v>ME1</x:v>
      </x:c>
      <x:c r="G74" s="9" t="str">
        <x:v>Adaptation</x:v>
      </x:c>
      <x:c r="H74" s="7" t="str">
        <x:v>Liaison de travail pour le découpage de Noveria. Adjacence exacte à confirmer sur le plan de référence.</x:v>
      </x:c>
      <x:c r="I74" s="7" t="str">
        <x:v>Vérifier les deux sens, orientation, seuils, état des portes et raccord des caméras.</x:v>
      </x:c>
      <x:c r="J74" s="7" t="str">
        <x:v>ZON-noveria-laboratoires-chauds, ZON-noveria-chambre-de-benezia</x:v>
      </x:c>
      <x:c r="K74" s="7" t="str">
        <x:v>content/links/LNK-noveria-15.json</x:v>
      </x:c>
      <x:c r="L74" s="7" t="str"/>
      <x:c r="M74" s="7" t="str"/>
      <x:c r="N74" s="7" t="str">
        <x:v>Décisions du fan game ; aucune prétention de canon officiel</x:v>
      </x:c>
      <x:c r="O74" s="7" t="str"/>
      <x:c r="P74" s="7" t="str">
        <x:v>Production ME1</x:v>
      </x:c>
      <x:c r="Q74" s="7" t="str">
        <x:v>Adjacence proposée pour préparation du plan ; ne constitue pas un relevé canonique validé.</x:v>
      </x:c>
    </x:row>
    <x:row r="75" ht="49" customHeight="1">
      <x:c r="A75" s="13" t="str">
        <x:v>LNK-noveria-16</x:v>
      </x:c>
      <x:c r="B75" s="14" t="str">
        <x:v>Chambre de Benezia ↔ Chambre de la reine</x:v>
      </x:c>
      <x:c r="C75" s="10" t="str">
        <x:v>Défini</x:v>
      </x:c>
      <x:c r="D75" s="11" t="str">
        <x:v>À produire</x:v>
      </x:c>
      <x:c r="E75" s="15" t="str">
        <x:v>P1</x:v>
      </x:c>
      <x:c r="F75" s="15" t="str">
        <x:v>ME1</x:v>
      </x:c>
      <x:c r="G75" s="15" t="str">
        <x:v>Adaptation</x:v>
      </x:c>
      <x:c r="H75" s="14" t="str">
        <x:v>Liaison de travail pour le découpage de Noveria. Adjacence exacte à confirmer sur le plan de référence.</x:v>
      </x:c>
      <x:c r="I75" s="14" t="str">
        <x:v>Vérifier les deux sens, orientation, seuils, état des portes et raccord des caméras.</x:v>
      </x:c>
      <x:c r="J75" s="14" t="str">
        <x:v>ZON-noveria-chambre-de-benezia, ZON-noveria-chambre-de-la-reine</x:v>
      </x:c>
      <x:c r="K75" s="14" t="str">
        <x:v>content/links/LNK-noveria-16.json</x:v>
      </x:c>
      <x:c r="L75" s="14" t="str"/>
      <x:c r="M75" s="14" t="str"/>
      <x:c r="N75" s="14" t="str">
        <x:v>Décisions du fan game ; aucune prétention de canon officiel</x:v>
      </x:c>
      <x:c r="O75" s="14" t="str"/>
      <x:c r="P75" s="14" t="str">
        <x:v>Production ME1</x:v>
      </x:c>
      <x:c r="Q75" s="14" t="str">
        <x:v>Adjacence proposée pour préparation du plan ; ne constitue pas un relevé canonique validé.</x:v>
      </x:c>
    </x:row>
    <x:row r="76" ht="49" customHeight="1">
      <x:c r="A76" s="12" t="str">
        <x:v>LNK-virmire-1</x:v>
      </x:c>
      <x:c r="B76" s="7" t="str">
        <x:v>Littoral d’atterrissage ↔ Poste de barrage</x:v>
      </x:c>
      <x:c r="C76" s="10" t="str">
        <x:v>Défini</x:v>
      </x:c>
      <x:c r="D76" s="11" t="str">
        <x:v>À produire</x:v>
      </x:c>
      <x:c r="E76" s="9" t="str">
        <x:v>P1</x:v>
      </x:c>
      <x:c r="F76" s="9" t="str">
        <x:v>ME1</x:v>
      </x:c>
      <x:c r="G76" s="9" t="str">
        <x:v>Adaptation</x:v>
      </x:c>
      <x:c r="H76" s="7" t="str">
        <x:v>Liaison de travail pour le découpage de Virmire. Adjacence exacte à confirmer sur le plan de référence.</x:v>
      </x:c>
      <x:c r="I76" s="7" t="str">
        <x:v>Vérifier les deux sens, orientation, seuils, état des portes et raccord des caméras.</x:v>
      </x:c>
      <x:c r="J76" s="7" t="str">
        <x:v>ZON-virmire-littoral-d-atterrissage, ZON-virmire-poste-de-barrage</x:v>
      </x:c>
      <x:c r="K76" s="7" t="str">
        <x:v>content/links/LNK-virmire-1.json</x:v>
      </x:c>
      <x:c r="L76" s="7" t="str"/>
      <x:c r="M76" s="7" t="str"/>
      <x:c r="N76" s="7" t="str">
        <x:v>Décisions du fan game ; aucune prétention de canon officiel</x:v>
      </x:c>
      <x:c r="O76" s="7" t="str"/>
      <x:c r="P76" s="7" t="str">
        <x:v>Production ME1</x:v>
      </x:c>
      <x:c r="Q76" s="7" t="str">
        <x:v>Adjacence proposée pour préparation du plan ; ne constitue pas un relevé canonique validé.</x:v>
      </x:c>
    </x:row>
    <x:row r="77" ht="49" customHeight="1">
      <x:c r="A77" s="13" t="str">
        <x:v>LNK-virmire-2</x:v>
      </x:c>
      <x:c r="B77" s="14" t="str">
        <x:v>Poste de barrage ↔ Camp galarien</x:v>
      </x:c>
      <x:c r="C77" s="10" t="str">
        <x:v>Défini</x:v>
      </x:c>
      <x:c r="D77" s="11" t="str">
        <x:v>À produire</x:v>
      </x:c>
      <x:c r="E77" s="15" t="str">
        <x:v>P1</x:v>
      </x:c>
      <x:c r="F77" s="15" t="str">
        <x:v>ME1</x:v>
      </x:c>
      <x:c r="G77" s="15" t="str">
        <x:v>Adaptation</x:v>
      </x:c>
      <x:c r="H77" s="14" t="str">
        <x:v>Liaison de travail pour le découpage de Virmire. Adjacence exacte à confirmer sur le plan de référence.</x:v>
      </x:c>
      <x:c r="I77" s="14" t="str">
        <x:v>Vérifier les deux sens, orientation, seuils, état des portes et raccord des caméras.</x:v>
      </x:c>
      <x:c r="J77" s="14" t="str">
        <x:v>ZON-virmire-poste-de-barrage, ZON-virmire-camp-galarien</x:v>
      </x:c>
      <x:c r="K77" s="14" t="str">
        <x:v>content/links/LNK-virmire-2.json</x:v>
      </x:c>
      <x:c r="L77" s="14" t="str"/>
      <x:c r="M77" s="14" t="str"/>
      <x:c r="N77" s="14" t="str">
        <x:v>Décisions du fan game ; aucune prétention de canon officiel</x:v>
      </x:c>
      <x:c r="O77" s="14" t="str"/>
      <x:c r="P77" s="14" t="str">
        <x:v>Production ME1</x:v>
      </x:c>
      <x:c r="Q77" s="14" t="str">
        <x:v>Adjacence proposée pour préparation du plan ; ne constitue pas un relevé canonique validé.</x:v>
      </x:c>
    </x:row>
    <x:row r="78" ht="49" customHeight="1">
      <x:c r="A78" s="12" t="str">
        <x:v>LNK-virmire-3</x:v>
      </x:c>
      <x:c r="B78" s="7" t="str">
        <x:v>Camp galarien ↔ Voie d’infiltration</x:v>
      </x:c>
      <x:c r="C78" s="10" t="str">
        <x:v>Défini</x:v>
      </x:c>
      <x:c r="D78" s="11" t="str">
        <x:v>À produire</x:v>
      </x:c>
      <x:c r="E78" s="9" t="str">
        <x:v>P1</x:v>
      </x:c>
      <x:c r="F78" s="9" t="str">
        <x:v>ME1</x:v>
      </x:c>
      <x:c r="G78" s="9" t="str">
        <x:v>Adaptation</x:v>
      </x:c>
      <x:c r="H78" s="7" t="str">
        <x:v>Liaison de travail pour le découpage de Virmire. Adjacence exacte à confirmer sur le plan de référence.</x:v>
      </x:c>
      <x:c r="I78" s="7" t="str">
        <x:v>Vérifier les deux sens, orientation, seuils, état des portes et raccord des caméras.</x:v>
      </x:c>
      <x:c r="J78" s="7" t="str">
        <x:v>ZON-virmire-camp-galarien, ZON-virmire-voie-d-infiltration</x:v>
      </x:c>
      <x:c r="K78" s="7" t="str">
        <x:v>content/links/LNK-virmire-3.json</x:v>
      </x:c>
      <x:c r="L78" s="7" t="str"/>
      <x:c r="M78" s="7" t="str"/>
      <x:c r="N78" s="7" t="str">
        <x:v>Décisions du fan game ; aucune prétention de canon officiel</x:v>
      </x:c>
      <x:c r="O78" s="7" t="str"/>
      <x:c r="P78" s="7" t="str">
        <x:v>Production ME1</x:v>
      </x:c>
      <x:c r="Q78" s="7" t="str">
        <x:v>Adjacence proposée pour préparation du plan ; ne constitue pas un relevé canonique validé.</x:v>
      </x:c>
    </x:row>
    <x:row r="79" ht="49" customHeight="1">
      <x:c r="A79" s="13" t="str">
        <x:v>LNK-virmire-4</x:v>
      </x:c>
      <x:c r="B79" s="14" t="str">
        <x:v>Voie d’infiltration ↔ Tour de communication</x:v>
      </x:c>
      <x:c r="C79" s="10" t="str">
        <x:v>Défini</x:v>
      </x:c>
      <x:c r="D79" s="11" t="str">
        <x:v>À produire</x:v>
      </x:c>
      <x:c r="E79" s="15" t="str">
        <x:v>P1</x:v>
      </x:c>
      <x:c r="F79" s="15" t="str">
        <x:v>ME1</x:v>
      </x:c>
      <x:c r="G79" s="15" t="str">
        <x:v>Adaptation</x:v>
      </x:c>
      <x:c r="H79" s="14" t="str">
        <x:v>Liaison de travail pour le découpage de Virmire. Adjacence exacte à confirmer sur le plan de référence.</x:v>
      </x:c>
      <x:c r="I79" s="14" t="str">
        <x:v>Vérifier les deux sens, orientation, seuils, état des portes et raccord des caméras.</x:v>
      </x:c>
      <x:c r="J79" s="14" t="str">
        <x:v>ZON-virmire-voie-d-infiltration, ZON-virmire-tour-de-communication</x:v>
      </x:c>
      <x:c r="K79" s="14" t="str">
        <x:v>content/links/LNK-virmire-4.json</x:v>
      </x:c>
      <x:c r="L79" s="14" t="str"/>
      <x:c r="M79" s="14" t="str"/>
      <x:c r="N79" s="14" t="str">
        <x:v>Décisions du fan game ; aucune prétention de canon officiel</x:v>
      </x:c>
      <x:c r="O79" s="14" t="str"/>
      <x:c r="P79" s="14" t="str">
        <x:v>Production ME1</x:v>
      </x:c>
      <x:c r="Q79" s="14" t="str">
        <x:v>Adjacence proposée pour préparation du plan ; ne constitue pas un relevé canonique validé.</x:v>
      </x:c>
    </x:row>
    <x:row r="80" ht="49" customHeight="1">
      <x:c r="A80" s="12" t="str">
        <x:v>LNK-virmire-5</x:v>
      </x:c>
      <x:c r="B80" s="7" t="str">
        <x:v>Tour de communication ↔ Plateforme de ravitaillement</x:v>
      </x:c>
      <x:c r="C80" s="10" t="str">
        <x:v>Défini</x:v>
      </x:c>
      <x:c r="D80" s="11" t="str">
        <x:v>À produire</x:v>
      </x:c>
      <x:c r="E80" s="9" t="str">
        <x:v>P1</x:v>
      </x:c>
      <x:c r="F80" s="9" t="str">
        <x:v>ME1</x:v>
      </x:c>
      <x:c r="G80" s="9" t="str">
        <x:v>Adaptation</x:v>
      </x:c>
      <x:c r="H80" s="7" t="str">
        <x:v>Liaison de travail pour le découpage de Virmire. Adjacence exacte à confirmer sur le plan de référence.</x:v>
      </x:c>
      <x:c r="I80" s="7" t="str">
        <x:v>Vérifier les deux sens, orientation, seuils, état des portes et raccord des caméras.</x:v>
      </x:c>
      <x:c r="J80" s="7" t="str">
        <x:v>ZON-virmire-tour-de-communication, ZON-virmire-plateforme-de-ravitaillement</x:v>
      </x:c>
      <x:c r="K80" s="7" t="str">
        <x:v>content/links/LNK-virmire-5.json</x:v>
      </x:c>
      <x:c r="L80" s="7" t="str"/>
      <x:c r="M80" s="7" t="str"/>
      <x:c r="N80" s="7" t="str">
        <x:v>Décisions du fan game ; aucune prétention de canon officiel</x:v>
      </x:c>
      <x:c r="O80" s="7" t="str"/>
      <x:c r="P80" s="7" t="str">
        <x:v>Production ME1</x:v>
      </x:c>
      <x:c r="Q80" s="7" t="str">
        <x:v>Adjacence proposée pour préparation du plan ; ne constitue pas un relevé canonique validé.</x:v>
      </x:c>
    </x:row>
    <x:row r="81" ht="49" customHeight="1">
      <x:c r="A81" s="13" t="str">
        <x:v>LNK-virmire-6</x:v>
      </x:c>
      <x:c r="B81" s="14" t="str">
        <x:v>Plateforme de ravitaillement ↔ Entrée du laboratoire</x:v>
      </x:c>
      <x:c r="C81" s="10" t="str">
        <x:v>Défini</x:v>
      </x:c>
      <x:c r="D81" s="11" t="str">
        <x:v>À produire</x:v>
      </x:c>
      <x:c r="E81" s="15" t="str">
        <x:v>P1</x:v>
      </x:c>
      <x:c r="F81" s="15" t="str">
        <x:v>ME1</x:v>
      </x:c>
      <x:c r="G81" s="15" t="str">
        <x:v>Adaptation</x:v>
      </x:c>
      <x:c r="H81" s="14" t="str">
        <x:v>Liaison de travail pour le découpage de Virmire. Adjacence exacte à confirmer sur le plan de référence.</x:v>
      </x:c>
      <x:c r="I81" s="14" t="str">
        <x:v>Vérifier les deux sens, orientation, seuils, état des portes et raccord des caméras.</x:v>
      </x:c>
      <x:c r="J81" s="14" t="str">
        <x:v>ZON-virmire-plateforme-de-ravitaillement, ZON-virmire-entree-du-laboratoire</x:v>
      </x:c>
      <x:c r="K81" s="14" t="str">
        <x:v>content/links/LNK-virmire-6.json</x:v>
      </x:c>
      <x:c r="L81" s="14" t="str"/>
      <x:c r="M81" s="14" t="str"/>
      <x:c r="N81" s="14" t="str">
        <x:v>Décisions du fan game ; aucune prétention de canon officiel</x:v>
      </x:c>
      <x:c r="O81" s="14" t="str"/>
      <x:c r="P81" s="14" t="str">
        <x:v>Production ME1</x:v>
      </x:c>
      <x:c r="Q81" s="14" t="str">
        <x:v>Adjacence proposée pour préparation du plan ; ne constitue pas un relevé canonique validé.</x:v>
      </x:c>
    </x:row>
    <x:row r="82" ht="49" customHeight="1">
      <x:c r="A82" s="12" t="str">
        <x:v>LNK-virmire-7</x:v>
      </x:c>
      <x:c r="B82" s="7" t="str">
        <x:v>Entrée du laboratoire ↔ Laboratoire de reproduction</x:v>
      </x:c>
      <x:c r="C82" s="10" t="str">
        <x:v>Défini</x:v>
      </x:c>
      <x:c r="D82" s="11" t="str">
        <x:v>À produire</x:v>
      </x:c>
      <x:c r="E82" s="9" t="str">
        <x:v>P1</x:v>
      </x:c>
      <x:c r="F82" s="9" t="str">
        <x:v>ME1</x:v>
      </x:c>
      <x:c r="G82" s="9" t="str">
        <x:v>Adaptation</x:v>
      </x:c>
      <x:c r="H82" s="7" t="str">
        <x:v>Liaison de travail pour le découpage de Virmire. Adjacence exacte à confirmer sur le plan de référence.</x:v>
      </x:c>
      <x:c r="I82" s="7" t="str">
        <x:v>Vérifier les deux sens, orientation, seuils, état des portes et raccord des caméras.</x:v>
      </x:c>
      <x:c r="J82" s="7" t="str">
        <x:v>ZON-virmire-entree-du-laboratoire, ZON-virmire-laboratoire-de-reproduction</x:v>
      </x:c>
      <x:c r="K82" s="7" t="str">
        <x:v>content/links/LNK-virmire-7.json</x:v>
      </x:c>
      <x:c r="L82" s="7" t="str"/>
      <x:c r="M82" s="7" t="str"/>
      <x:c r="N82" s="7" t="str">
        <x:v>Décisions du fan game ; aucune prétention de canon officiel</x:v>
      </x:c>
      <x:c r="O82" s="7" t="str"/>
      <x:c r="P82" s="7" t="str">
        <x:v>Production ME1</x:v>
      </x:c>
      <x:c r="Q82" s="7" t="str">
        <x:v>Adjacence proposée pour préparation du plan ; ne constitue pas un relevé canonique validé.</x:v>
      </x:c>
    </x:row>
    <x:row r="83" ht="49" customHeight="1">
      <x:c r="A83" s="13" t="str">
        <x:v>LNK-virmire-8</x:v>
      </x:c>
      <x:c r="B83" s="14" t="str">
        <x:v>Laboratoire de reproduction ↔ Salle de Sovereign</x:v>
      </x:c>
      <x:c r="C83" s="10" t="str">
        <x:v>Défini</x:v>
      </x:c>
      <x:c r="D83" s="11" t="str">
        <x:v>À produire</x:v>
      </x:c>
      <x:c r="E83" s="15" t="str">
        <x:v>P1</x:v>
      </x:c>
      <x:c r="F83" s="15" t="str">
        <x:v>ME1</x:v>
      </x:c>
      <x:c r="G83" s="15" t="str">
        <x:v>Adaptation</x:v>
      </x:c>
      <x:c r="H83" s="14" t="str">
        <x:v>Liaison de travail pour le découpage de Virmire. Adjacence exacte à confirmer sur le plan de référence.</x:v>
      </x:c>
      <x:c r="I83" s="14" t="str">
        <x:v>Vérifier les deux sens, orientation, seuils, état des portes et raccord des caméras.</x:v>
      </x:c>
      <x:c r="J83" s="14" t="str">
        <x:v>ZON-virmire-laboratoire-de-reproduction, ZON-virmire-salle-de-sovereign</x:v>
      </x:c>
      <x:c r="K83" s="14" t="str">
        <x:v>content/links/LNK-virmire-8.json</x:v>
      </x:c>
      <x:c r="L83" s="14" t="str"/>
      <x:c r="M83" s="14" t="str"/>
      <x:c r="N83" s="14" t="str">
        <x:v>Décisions du fan game ; aucune prétention de canon officiel</x:v>
      </x:c>
      <x:c r="O83" s="14" t="str"/>
      <x:c r="P83" s="14" t="str">
        <x:v>Production ME1</x:v>
      </x:c>
      <x:c r="Q83" s="14" t="str">
        <x:v>Adjacence proposée pour préparation du plan ; ne constitue pas un relevé canonique validé.</x:v>
      </x:c>
    </x:row>
    <x:row r="84" ht="49" customHeight="1">
      <x:c r="A84" s="12" t="str">
        <x:v>LNK-virmire-9</x:v>
      </x:c>
      <x:c r="B84" s="7" t="str">
        <x:v>Salle de Sovereign ↔ Tour antiaérienne</x:v>
      </x:c>
      <x:c r="C84" s="10" t="str">
        <x:v>Défini</x:v>
      </x:c>
      <x:c r="D84" s="11" t="str">
        <x:v>À produire</x:v>
      </x:c>
      <x:c r="E84" s="9" t="str">
        <x:v>P1</x:v>
      </x:c>
      <x:c r="F84" s="9" t="str">
        <x:v>ME1</x:v>
      </x:c>
      <x:c r="G84" s="9" t="str">
        <x:v>Adaptation</x:v>
      </x:c>
      <x:c r="H84" s="7" t="str">
        <x:v>Liaison de travail pour le découpage de Virmire. Adjacence exacte à confirmer sur le plan de référence.</x:v>
      </x:c>
      <x:c r="I84" s="7" t="str">
        <x:v>Vérifier les deux sens, orientation, seuils, état des portes et raccord des caméras.</x:v>
      </x:c>
      <x:c r="J84" s="7" t="str">
        <x:v>ZON-virmire-salle-de-sovereign, ZON-virmire-tour-antiaerienne</x:v>
      </x:c>
      <x:c r="K84" s="7" t="str">
        <x:v>content/links/LNK-virmire-9.json</x:v>
      </x:c>
      <x:c r="L84" s="7" t="str"/>
      <x:c r="M84" s="7" t="str"/>
      <x:c r="N84" s="7" t="str">
        <x:v>Décisions du fan game ; aucune prétention de canon officiel</x:v>
      </x:c>
      <x:c r="O84" s="7" t="str"/>
      <x:c r="P84" s="7" t="str">
        <x:v>Production ME1</x:v>
      </x:c>
      <x:c r="Q84" s="7" t="str">
        <x:v>Adjacence proposée pour préparation du plan ; ne constitue pas un relevé canonique validé.</x:v>
      </x:c>
    </x:row>
    <x:row r="85" ht="49" customHeight="1">
      <x:c r="A85" s="13" t="str">
        <x:v>LNK-virmire-10</x:v>
      </x:c>
      <x:c r="B85" s="14" t="str">
        <x:v>Tour antiaérienne ↔ Site de la bombe</x:v>
      </x:c>
      <x:c r="C85" s="10" t="str">
        <x:v>Défini</x:v>
      </x:c>
      <x:c r="D85" s="11" t="str">
        <x:v>À produire</x:v>
      </x:c>
      <x:c r="E85" s="15" t="str">
        <x:v>P1</x:v>
      </x:c>
      <x:c r="F85" s="15" t="str">
        <x:v>ME1</x:v>
      </x:c>
      <x:c r="G85" s="15" t="str">
        <x:v>Adaptation</x:v>
      </x:c>
      <x:c r="H85" s="14" t="str">
        <x:v>Liaison de travail pour le découpage de Virmire. Adjacence exacte à confirmer sur le plan de référence.</x:v>
      </x:c>
      <x:c r="I85" s="14" t="str">
        <x:v>Vérifier les deux sens, orientation, seuils, état des portes et raccord des caméras.</x:v>
      </x:c>
      <x:c r="J85" s="14" t="str">
        <x:v>ZON-virmire-tour-antiaerienne, ZON-virmire-site-de-la-bombe</x:v>
      </x:c>
      <x:c r="K85" s="14" t="str">
        <x:v>content/links/LNK-virmire-10.json</x:v>
      </x:c>
      <x:c r="L85" s="14" t="str"/>
      <x:c r="M85" s="14" t="str"/>
      <x:c r="N85" s="14" t="str">
        <x:v>Décisions du fan game ; aucune prétention de canon officiel</x:v>
      </x:c>
      <x:c r="O85" s="14" t="str"/>
      <x:c r="P85" s="14" t="str">
        <x:v>Production ME1</x:v>
      </x:c>
      <x:c r="Q85" s="14" t="str">
        <x:v>Adjacence proposée pour préparation du plan ; ne constitue pas un relevé canonique validé.</x:v>
      </x:c>
    </x:row>
    <x:row r="86" ht="49" customHeight="1">
      <x:c r="A86" s="12" t="str">
        <x:v>LNK-virmire-11</x:v>
      </x:c>
      <x:c r="B86" s="7" t="str">
        <x:v>Site de la bombe ↔ Zone de sauvetage</x:v>
      </x:c>
      <x:c r="C86" s="10" t="str">
        <x:v>Défini</x:v>
      </x:c>
      <x:c r="D86" s="11" t="str">
        <x:v>À produire</x:v>
      </x:c>
      <x:c r="E86" s="9" t="str">
        <x:v>P1</x:v>
      </x:c>
      <x:c r="F86" s="9" t="str">
        <x:v>ME1</x:v>
      </x:c>
      <x:c r="G86" s="9" t="str">
        <x:v>Adaptation</x:v>
      </x:c>
      <x:c r="H86" s="7" t="str">
        <x:v>Liaison de travail pour le découpage de Virmire. Adjacence exacte à confirmer sur le plan de référence.</x:v>
      </x:c>
      <x:c r="I86" s="7" t="str">
        <x:v>Vérifier les deux sens, orientation, seuils, état des portes et raccord des caméras.</x:v>
      </x:c>
      <x:c r="J86" s="7" t="str">
        <x:v>ZON-virmire-site-de-la-bombe, ZON-virmire-zone-de-sauvetage</x:v>
      </x:c>
      <x:c r="K86" s="7" t="str">
        <x:v>content/links/LNK-virmire-11.json</x:v>
      </x:c>
      <x:c r="L86" s="7" t="str"/>
      <x:c r="M86" s="7" t="str"/>
      <x:c r="N86" s="7" t="str">
        <x:v>Décisions du fan game ; aucune prétention de canon officiel</x:v>
      </x:c>
      <x:c r="O86" s="7" t="str"/>
      <x:c r="P86" s="7" t="str">
        <x:v>Production ME1</x:v>
      </x:c>
      <x:c r="Q86" s="7" t="str">
        <x:v>Adjacence proposée pour préparation du plan ; ne constitue pas un relevé canonique validé.</x:v>
      </x:c>
    </x:row>
    <x:row r="87" ht="49" customHeight="1">
      <x:c r="A87" s="13" t="str">
        <x:v>LNK-virmire-12</x:v>
      </x:c>
      <x:c r="B87" s="14" t="str">
        <x:v>Zone de sauvetage ↔ Plateforme d’extraction</x:v>
      </x:c>
      <x:c r="C87" s="10" t="str">
        <x:v>Défini</x:v>
      </x:c>
      <x:c r="D87" s="11" t="str">
        <x:v>À produire</x:v>
      </x:c>
      <x:c r="E87" s="15" t="str">
        <x:v>P1</x:v>
      </x:c>
      <x:c r="F87" s="15" t="str">
        <x:v>ME1</x:v>
      </x:c>
      <x:c r="G87" s="15" t="str">
        <x:v>Adaptation</x:v>
      </x:c>
      <x:c r="H87" s="14" t="str">
        <x:v>Liaison de travail pour le découpage de Virmire. Adjacence exacte à confirmer sur le plan de référence.</x:v>
      </x:c>
      <x:c r="I87" s="14" t="str">
        <x:v>Vérifier les deux sens, orientation, seuils, état des portes et raccord des caméras.</x:v>
      </x:c>
      <x:c r="J87" s="14" t="str">
        <x:v>ZON-virmire-zone-de-sauvetage, ZON-virmire-plateforme-d-extraction</x:v>
      </x:c>
      <x:c r="K87" s="14" t="str">
        <x:v>content/links/LNK-virmire-12.json</x:v>
      </x:c>
      <x:c r="L87" s="14" t="str"/>
      <x:c r="M87" s="14" t="str"/>
      <x:c r="N87" s="14" t="str">
        <x:v>Décisions du fan game ; aucune prétention de canon officiel</x:v>
      </x:c>
      <x:c r="O87" s="14" t="str"/>
      <x:c r="P87" s="14" t="str">
        <x:v>Production ME1</x:v>
      </x:c>
      <x:c r="Q87" s="14" t="str">
        <x:v>Adjacence proposée pour préparation du plan ; ne constitue pas un relevé canonique validé.</x:v>
      </x:c>
    </x:row>
    <x:row r="88" ht="49" customHeight="1">
      <x:c r="A88" s="12" t="str">
        <x:v>LNK-ilos-1</x:v>
      </x:c>
      <x:c r="B88" s="7" t="str">
        <x:v>Ruines d’arrivée ↔ Cour des statues</x:v>
      </x:c>
      <x:c r="C88" s="10" t="str">
        <x:v>Défini</x:v>
      </x:c>
      <x:c r="D88" s="11" t="str">
        <x:v>À produire</x:v>
      </x:c>
      <x:c r="E88" s="9" t="str">
        <x:v>P1</x:v>
      </x:c>
      <x:c r="F88" s="9" t="str">
        <x:v>ME1</x:v>
      </x:c>
      <x:c r="G88" s="9" t="str">
        <x:v>Adaptation</x:v>
      </x:c>
      <x:c r="H88" s="7" t="str">
        <x:v>Liaison de travail pour le découpage de Ilos. Adjacence exacte à confirmer sur le plan de référence.</x:v>
      </x:c>
      <x:c r="I88" s="7" t="str">
        <x:v>Vérifier les deux sens, orientation, seuils, état des portes et raccord des caméras.</x:v>
      </x:c>
      <x:c r="J88" s="7" t="str">
        <x:v>ZON-ilos-ruines-d-arrivee, ZON-ilos-cour-des-statues</x:v>
      </x:c>
      <x:c r="K88" s="7" t="str">
        <x:v>content/links/LNK-ilos-1.json</x:v>
      </x:c>
      <x:c r="L88" s="7" t="str"/>
      <x:c r="M88" s="7" t="str"/>
      <x:c r="N88" s="7" t="str">
        <x:v>Décisions du fan game ; aucune prétention de canon officiel</x:v>
      </x:c>
      <x:c r="O88" s="7" t="str"/>
      <x:c r="P88" s="7" t="str">
        <x:v>Production ME1</x:v>
      </x:c>
      <x:c r="Q88" s="7" t="str">
        <x:v>Adjacence proposée pour préparation du plan ; ne constitue pas un relevé canonique validé.</x:v>
      </x:c>
    </x:row>
    <x:row r="89" ht="49" customHeight="1">
      <x:c r="A89" s="13" t="str">
        <x:v>LNK-ilos-2</x:v>
      </x:c>
      <x:c r="B89" s="14" t="str">
        <x:v>Cour des statues ↔ Archives prothéennes</x:v>
      </x:c>
      <x:c r="C89" s="10" t="str">
        <x:v>Défini</x:v>
      </x:c>
      <x:c r="D89" s="11" t="str">
        <x:v>À produire</x:v>
      </x:c>
      <x:c r="E89" s="15" t="str">
        <x:v>P1</x:v>
      </x:c>
      <x:c r="F89" s="15" t="str">
        <x:v>ME1</x:v>
      </x:c>
      <x:c r="G89" s="15" t="str">
        <x:v>Adaptation</x:v>
      </x:c>
      <x:c r="H89" s="14" t="str">
        <x:v>Liaison de travail pour le découpage de Ilos. Adjacence exacte à confirmer sur le plan de référence.</x:v>
      </x:c>
      <x:c r="I89" s="14" t="str">
        <x:v>Vérifier les deux sens, orientation, seuils, état des portes et raccord des caméras.</x:v>
      </x:c>
      <x:c r="J89" s="14" t="str">
        <x:v>ZON-ilos-cour-des-statues, ZON-ilos-archives-protheennes</x:v>
      </x:c>
      <x:c r="K89" s="14" t="str">
        <x:v>content/links/LNK-ilos-2.json</x:v>
      </x:c>
      <x:c r="L89" s="14" t="str"/>
      <x:c r="M89" s="14" t="str"/>
      <x:c r="N89" s="14" t="str">
        <x:v>Décisions du fan game ; aucune prétention de canon officiel</x:v>
      </x:c>
      <x:c r="O89" s="14" t="str"/>
      <x:c r="P89" s="14" t="str">
        <x:v>Production ME1</x:v>
      </x:c>
      <x:c r="Q89" s="14" t="str">
        <x:v>Adjacence proposée pour préparation du plan ; ne constitue pas un relevé canonique validé.</x:v>
      </x:c>
    </x:row>
    <x:row r="90" ht="49" customHeight="1">
      <x:c r="A90" s="12" t="str">
        <x:v>LNK-ilos-3</x:v>
      </x:c>
      <x:c r="B90" s="7" t="str">
        <x:v>Archives prothéennes ↔ Couloir de la veille</x:v>
      </x:c>
      <x:c r="C90" s="10" t="str">
        <x:v>Défini</x:v>
      </x:c>
      <x:c r="D90" s="11" t="str">
        <x:v>À produire</x:v>
      </x:c>
      <x:c r="E90" s="9" t="str">
        <x:v>P1</x:v>
      </x:c>
      <x:c r="F90" s="9" t="str">
        <x:v>ME1</x:v>
      </x:c>
      <x:c r="G90" s="9" t="str">
        <x:v>Adaptation</x:v>
      </x:c>
      <x:c r="H90" s="7" t="str">
        <x:v>Liaison de travail pour le découpage de Ilos. Adjacence exacte à confirmer sur le plan de référence.</x:v>
      </x:c>
      <x:c r="I90" s="7" t="str">
        <x:v>Vérifier les deux sens, orientation, seuils, état des portes et raccord des caméras.</x:v>
      </x:c>
      <x:c r="J90" s="7" t="str">
        <x:v>ZON-ilos-archives-protheennes, ZON-ilos-couloir-de-la-veille</x:v>
      </x:c>
      <x:c r="K90" s="7" t="str">
        <x:v>content/links/LNK-ilos-3.json</x:v>
      </x:c>
      <x:c r="L90" s="7" t="str"/>
      <x:c r="M90" s="7" t="str"/>
      <x:c r="N90" s="7" t="str">
        <x:v>Décisions du fan game ; aucune prétention de canon officiel</x:v>
      </x:c>
      <x:c r="O90" s="7" t="str"/>
      <x:c r="P90" s="7" t="str">
        <x:v>Production ME1</x:v>
      </x:c>
      <x:c r="Q90" s="7" t="str">
        <x:v>Adjacence proposée pour préparation du plan ; ne constitue pas un relevé canonique validé.</x:v>
      </x:c>
    </x:row>
    <x:row r="91" ht="49" customHeight="1">
      <x:c r="A91" s="13" t="str">
        <x:v>LNK-ilos-4</x:v>
      </x:c>
      <x:c r="B91" s="14" t="str">
        <x:v>Couloir de la veille ↔ Salle de Vigil</x:v>
      </x:c>
      <x:c r="C91" s="10" t="str">
        <x:v>Défini</x:v>
      </x:c>
      <x:c r="D91" s="11" t="str">
        <x:v>À produire</x:v>
      </x:c>
      <x:c r="E91" s="15" t="str">
        <x:v>P1</x:v>
      </x:c>
      <x:c r="F91" s="15" t="str">
        <x:v>ME1</x:v>
      </x:c>
      <x:c r="G91" s="15" t="str">
        <x:v>Adaptation</x:v>
      </x:c>
      <x:c r="H91" s="14" t="str">
        <x:v>Liaison de travail pour le découpage de Ilos. Adjacence exacte à confirmer sur le plan de référence.</x:v>
      </x:c>
      <x:c r="I91" s="14" t="str">
        <x:v>Vérifier les deux sens, orientation, seuils, état des portes et raccord des caméras.</x:v>
      </x:c>
      <x:c r="J91" s="14" t="str">
        <x:v>ZON-ilos-couloir-de-la-veille, ZON-ilos-salle-de-vigil</x:v>
      </x:c>
      <x:c r="K91" s="14" t="str">
        <x:v>content/links/LNK-ilos-4.json</x:v>
      </x:c>
      <x:c r="L91" s="14" t="str"/>
      <x:c r="M91" s="14" t="str"/>
      <x:c r="N91" s="14" t="str">
        <x:v>Décisions du fan game ; aucune prétention de canon officiel</x:v>
      </x:c>
      <x:c r="O91" s="14" t="str"/>
      <x:c r="P91" s="14" t="str">
        <x:v>Production ME1</x:v>
      </x:c>
      <x:c r="Q91" s="14" t="str">
        <x:v>Adjacence proposée pour préparation du plan ; ne constitue pas un relevé canonique validé.</x:v>
      </x:c>
    </x:row>
    <x:row r="92" ht="49" customHeight="1">
      <x:c r="A92" s="12" t="str">
        <x:v>LNK-ilos-5</x:v>
      </x:c>
      <x:c r="B92" s="7" t="str">
        <x:v>Salle de Vigil ↔ Canal de convergence</x:v>
      </x:c>
      <x:c r="C92" s="10" t="str">
        <x:v>Défini</x:v>
      </x:c>
      <x:c r="D92" s="11" t="str">
        <x:v>À produire</x:v>
      </x:c>
      <x:c r="E92" s="9" t="str">
        <x:v>P1</x:v>
      </x:c>
      <x:c r="F92" s="9" t="str">
        <x:v>ME1</x:v>
      </x:c>
      <x:c r="G92" s="9" t="str">
        <x:v>Adaptation</x:v>
      </x:c>
      <x:c r="H92" s="7" t="str">
        <x:v>Liaison de travail pour le découpage de Ilos. Adjacence exacte à confirmer sur le plan de référence.</x:v>
      </x:c>
      <x:c r="I92" s="7" t="str">
        <x:v>Vérifier les deux sens, orientation, seuils, état des portes et raccord des caméras.</x:v>
      </x:c>
      <x:c r="J92" s="7" t="str">
        <x:v>ZON-ilos-salle-de-vigil, ZON-ilos-canal-de-convergence</x:v>
      </x:c>
      <x:c r="K92" s="7" t="str">
        <x:v>content/links/LNK-ilos-5.json</x:v>
      </x:c>
      <x:c r="L92" s="7" t="str"/>
      <x:c r="M92" s="7" t="str"/>
      <x:c r="N92" s="7" t="str">
        <x:v>Décisions du fan game ; aucune prétention de canon officiel</x:v>
      </x:c>
      <x:c r="O92" s="7" t="str"/>
      <x:c r="P92" s="7" t="str">
        <x:v>Production ME1</x:v>
      </x:c>
      <x:c r="Q92" s="7" t="str">
        <x:v>Adjacence proposée pour préparation du plan ; ne constitue pas un relevé canonique validé.</x:v>
      </x:c>
    </x:row>
    <x:row r="93" ht="49" customHeight="1">
      <x:c r="A93" s="13" t="str">
        <x:v>LNK-ilos-6</x:v>
      </x:c>
      <x:c r="B93" s="14" t="str">
        <x:v>Canal de convergence ↔ Le Conduit</x:v>
      </x:c>
      <x:c r="C93" s="10" t="str">
        <x:v>Défini</x:v>
      </x:c>
      <x:c r="D93" s="11" t="str">
        <x:v>À produire</x:v>
      </x:c>
      <x:c r="E93" s="15" t="str">
        <x:v>P1</x:v>
      </x:c>
      <x:c r="F93" s="15" t="str">
        <x:v>ME1</x:v>
      </x:c>
      <x:c r="G93" s="15" t="str">
        <x:v>Adaptation</x:v>
      </x:c>
      <x:c r="H93" s="14" t="str">
        <x:v>Liaison de travail pour le découpage de Ilos. Adjacence exacte à confirmer sur le plan de référence.</x:v>
      </x:c>
      <x:c r="I93" s="14" t="str">
        <x:v>Vérifier les deux sens, orientation, seuils, état des portes et raccord des caméras.</x:v>
      </x:c>
      <x:c r="J93" s="14" t="str">
        <x:v>ZON-ilos-canal-de-convergence, ZON-ilos-le-conduit</x:v>
      </x:c>
      <x:c r="K93" s="14" t="str">
        <x:v>content/links/LNK-ilos-6.json</x:v>
      </x:c>
      <x:c r="L93" s="14" t="str"/>
      <x:c r="M93" s="14" t="str"/>
      <x:c r="N93" s="14" t="str">
        <x:v>Décisions du fan game ; aucune prétention de canon officiel</x:v>
      </x:c>
      <x:c r="O93" s="14" t="str"/>
      <x:c r="P93" s="14" t="str">
        <x:v>Production ME1</x:v>
      </x:c>
      <x:c r="Q93" s="14" t="str">
        <x:v>Adjacence proposée pour préparation du plan ; ne constitue pas un relevé canonique validé.</x:v>
      </x:c>
    </x:row>
    <x:row r="94" ht="49" customHeight="1">
      <x:c r="A94" s="12" t="str">
        <x:v>LNK-asteroide-x57-1</x:v>
      </x:c>
      <x:c r="B94" s="7" t="str">
        <x:v>Propulseur ouest ↔ Propulseur central</x:v>
      </x:c>
      <x:c r="C94" s="10" t="str">
        <x:v>Défini</x:v>
      </x:c>
      <x:c r="D94" s="11" t="str">
        <x:v>À produire</x:v>
      </x:c>
      <x:c r="E94" s="9" t="str">
        <x:v>P1</x:v>
      </x:c>
      <x:c r="F94" s="9" t="str">
        <x:v>ME1</x:v>
      </x:c>
      <x:c r="G94" s="9" t="str">
        <x:v>Adaptation</x:v>
      </x:c>
      <x:c r="H94" s="7" t="str">
        <x:v>Liaison de travail pour le découpage de Astéroïde X57. Adjacence exacte à confirmer sur le plan de référence.</x:v>
      </x:c>
      <x:c r="I94" s="7" t="str">
        <x:v>Vérifier les deux sens, orientation, seuils, état des portes et raccord des caméras.</x:v>
      </x:c>
      <x:c r="J94" s="7" t="str">
        <x:v>ZON-asteroide-x57-propulseur-ouest, ZON-asteroide-x57-propulseur-central</x:v>
      </x:c>
      <x:c r="K94" s="7" t="str">
        <x:v>content/links/LNK-asteroide-x57-1.json</x:v>
      </x:c>
      <x:c r="L94" s="7" t="str"/>
      <x:c r="M94" s="7" t="str"/>
      <x:c r="N94" s="7" t="str">
        <x:v>Décisions du fan game ; aucune prétention de canon officiel</x:v>
      </x:c>
      <x:c r="O94" s="7" t="str"/>
      <x:c r="P94" s="7" t="str">
        <x:v>Production ME1</x:v>
      </x:c>
      <x:c r="Q94" s="7" t="str">
        <x:v>Adjacence proposée pour préparation du plan ; ne constitue pas un relevé canonique validé.</x:v>
      </x:c>
    </x:row>
    <x:row r="95" ht="49" customHeight="1">
      <x:c r="A95" s="13" t="str">
        <x:v>LNK-asteroide-x57-2</x:v>
      </x:c>
      <x:c r="B95" s="14" t="str">
        <x:v>Propulseur central ↔ Propulseur est</x:v>
      </x:c>
      <x:c r="C95" s="10" t="str">
        <x:v>Défini</x:v>
      </x:c>
      <x:c r="D95" s="11" t="str">
        <x:v>À produire</x:v>
      </x:c>
      <x:c r="E95" s="15" t="str">
        <x:v>P1</x:v>
      </x:c>
      <x:c r="F95" s="15" t="str">
        <x:v>ME1</x:v>
      </x:c>
      <x:c r="G95" s="15" t="str">
        <x:v>Adaptation</x:v>
      </x:c>
      <x:c r="H95" s="14" t="str">
        <x:v>Liaison de travail pour le découpage de Astéroïde X57. Adjacence exacte à confirmer sur le plan de référence.</x:v>
      </x:c>
      <x:c r="I95" s="14" t="str">
        <x:v>Vérifier les deux sens, orientation, seuils, état des portes et raccord des caméras.</x:v>
      </x:c>
      <x:c r="J95" s="14" t="str">
        <x:v>ZON-asteroide-x57-propulseur-central, ZON-asteroide-x57-propulseur-est</x:v>
      </x:c>
      <x:c r="K95" s="14" t="str">
        <x:v>content/links/LNK-asteroide-x57-2.json</x:v>
      </x:c>
      <x:c r="L95" s="14" t="str"/>
      <x:c r="M95" s="14" t="str"/>
      <x:c r="N95" s="14" t="str">
        <x:v>Décisions du fan game ; aucune prétention de canon officiel</x:v>
      </x:c>
      <x:c r="O95" s="14" t="str"/>
      <x:c r="P95" s="14" t="str">
        <x:v>Production ME1</x:v>
      </x:c>
      <x:c r="Q95" s="14" t="str">
        <x:v>Adjacence proposée pour préparation du plan ; ne constitue pas un relevé canonique validé.</x:v>
      </x:c>
    </x:row>
    <x:row r="96" ht="49" customHeight="1">
      <x:c r="A96" s="12" t="str">
        <x:v>LNK-asteroide-x57-3</x:v>
      </x:c>
      <x:c r="B96" s="7" t="str">
        <x:v>Propulseur est ↔ Bâtiment principal</x:v>
      </x:c>
      <x:c r="C96" s="10" t="str">
        <x:v>Défini</x:v>
      </x:c>
      <x:c r="D96" s="11" t="str">
        <x:v>À produire</x:v>
      </x:c>
      <x:c r="E96" s="9" t="str">
        <x:v>P1</x:v>
      </x:c>
      <x:c r="F96" s="9" t="str">
        <x:v>ME1</x:v>
      </x:c>
      <x:c r="G96" s="9" t="str">
        <x:v>Adaptation</x:v>
      </x:c>
      <x:c r="H96" s="7" t="str">
        <x:v>Liaison de travail pour le découpage de Astéroïde X57. Adjacence exacte à confirmer sur le plan de référence.</x:v>
      </x:c>
      <x:c r="I96" s="7" t="str">
        <x:v>Vérifier les deux sens, orientation, seuils, état des portes et raccord des caméras.</x:v>
      </x:c>
      <x:c r="J96" s="7" t="str">
        <x:v>ZON-asteroide-x57-propulseur-est, ZON-asteroide-x57-batiment-principal</x:v>
      </x:c>
      <x:c r="K96" s="7" t="str">
        <x:v>content/links/LNK-asteroide-x57-3.json</x:v>
      </x:c>
      <x:c r="L96" s="7" t="str"/>
      <x:c r="M96" s="7" t="str"/>
      <x:c r="N96" s="7" t="str">
        <x:v>Décisions du fan game ; aucune prétention de canon officiel</x:v>
      </x:c>
      <x:c r="O96" s="7" t="str"/>
      <x:c r="P96" s="7" t="str">
        <x:v>Production ME1</x:v>
      </x:c>
      <x:c r="Q96" s="7" t="str">
        <x:v>Adjacence proposée pour préparation du plan ; ne constitue pas un relevé canonique validé.</x:v>
      </x:c>
    </x:row>
    <x:row r="97" ht="49" customHeight="1">
      <x:c r="A97" s="13" t="str">
        <x:v>LNK-asteroide-x57-4</x:v>
      </x:c>
      <x:c r="B97" s="14" t="str">
        <x:v>Bâtiment principal ↔ Poste de surveillance</x:v>
      </x:c>
      <x:c r="C97" s="10" t="str">
        <x:v>Défini</x:v>
      </x:c>
      <x:c r="D97" s="11" t="str">
        <x:v>À produire</x:v>
      </x:c>
      <x:c r="E97" s="15" t="str">
        <x:v>P1</x:v>
      </x:c>
      <x:c r="F97" s="15" t="str">
        <x:v>ME1</x:v>
      </x:c>
      <x:c r="G97" s="15" t="str">
        <x:v>Adaptation</x:v>
      </x:c>
      <x:c r="H97" s="14" t="str">
        <x:v>Liaison de travail pour le découpage de Astéroïde X57. Adjacence exacte à confirmer sur le plan de référence.</x:v>
      </x:c>
      <x:c r="I97" s="14" t="str">
        <x:v>Vérifier les deux sens, orientation, seuils, état des portes et raccord des caméras.</x:v>
      </x:c>
      <x:c r="J97" s="14" t="str">
        <x:v>ZON-asteroide-x57-batiment-principal, ZON-asteroide-x57-poste-de-surveillance</x:v>
      </x:c>
      <x:c r="K97" s="14" t="str">
        <x:v>content/links/LNK-asteroide-x57-4.json</x:v>
      </x:c>
      <x:c r="L97" s="14" t="str"/>
      <x:c r="M97" s="14" t="str"/>
      <x:c r="N97" s="14" t="str">
        <x:v>Décisions du fan game ; aucune prétention de canon officiel</x:v>
      </x:c>
      <x:c r="O97" s="14" t="str"/>
      <x:c r="P97" s="14" t="str">
        <x:v>Production ME1</x:v>
      </x:c>
      <x:c r="Q97" s="14" t="str">
        <x:v>Adjacence proposée pour préparation du plan ; ne constitue pas un relevé canonique validé.</x:v>
      </x:c>
    </x:row>
  </x:sheetData>
  <x:conditionalFormatting sqref="C7:C97">
    <x:cfRule type="cellIs" dxfId="285" priority="1" operator="equal">
      <x:formula>"Prototype"</x:formula>
    </x:cfRule>
    <x:cfRule type="cellIs" dxfId="286" priority="2" operator="equal">
      <x:formula>"Intégré"</x:formula>
    </x:cfRule>
    <x:cfRule type="cellIs" dxfId="287" priority="3" operator="equal">
      <x:formula>"Validé"</x:formula>
    </x:cfRule>
  </x:conditionalFormatting>
  <x:conditionalFormatting sqref="G7:G97">
    <x:cfRule type="cellIs" dxfId="288" priority="4" operator="equal">
      <x:formula>"Référence à vérifier"</x:formula>
    </x:cfRule>
  </x:conditionalFormatting>
  <x:conditionalFormatting sqref="E7:E97">
    <x:cfRule type="cellIs" dxfId="289" priority="5" operator="equal">
      <x:formula>"P0"</x:formula>
    </x:cfRule>
  </x:conditionalFormatting>
  <x:dataValidations count="5">
    <x:dataValidation type="list" sqref="C7:C97">
      <x:formula1>"Défini,Prototype,Intégré,Validé"</x:formula1>
    </x:dataValidation>
    <x:dataValidation type="list" sqref="D7:D97">
      <x:formula1>"À produire,Prototype,Disponible,Validé,Sans objet,Non planifié"</x:formula1>
    </x:dataValidation>
    <x:dataValidation type="list" sqref="E7:E97">
      <x:formula1>"P0,P1,P2"</x:formula1>
    </x:dataValidation>
    <x:dataValidation type="list" sqref="F7:F97">
      <x:formula1>"ME1,ME2,ME3,TRANSVERSE"</x:formula1>
    </x:dataValidation>
    <x:dataValidation type="list" sqref="G7:G97">
      <x:formula1>"Confirmé,Référence à vérifier,Adaptation"</x:formula1>
    </x:dataValidation>
  </x:dataValidations>
  <x:pageMargins left="0.7" right="0.7" top="0.75" bottom="0.75" header="0.3" footer="0.3"/>
  <x:tableParts count="1">
    <x:tablePart xmlns:r="http://schemas.openxmlformats.org/officeDocument/2006/relationships" r:id="R97dbda74604e410d"/>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Décors</x:v>
      </x:c>
      <x:c r="B2" s="2"/>
      <x:c r="C2" s="2"/>
      <x:c r="D2" s="2"/>
      <x:c r="E2" s="2"/>
      <x:c r="F2" s="2"/>
      <x:c r="G2" s="2"/>
      <x:c r="H2" s="2"/>
      <x:c r="I2" s="2"/>
      <x:c r="J2" s="2"/>
      <x:c r="K2" s="2"/>
      <x:c r="L2" s="2"/>
      <x:c r="M2" s="2"/>
      <x:c r="N2" s="2"/>
      <x:c r="O2" s="2"/>
      <x:c r="P2" s="2"/>
      <x:c r="Q2" s="2"/>
    </x:row>
    <x:row r="3" ht="22" customHeight="1">
      <x:c r="A3" s="4" t="str">
        <x:v>Architecture, matières et cadrages</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49" customHeight="1">
      <x:c r="A7" s="13" t="str">
        <x:v>SCN-normandy-coque-sr-1</x:v>
      </x:c>
      <x:c r="B7" s="14" t="str">
        <x:v>Normandy coque SR-1</x:v>
      </x:c>
      <x:c r="C7" s="10" t="str">
        <x:v>Prototype</x:v>
      </x:c>
      <x:c r="D7" s="11" t="str">
        <x:v>Prototype</x:v>
      </x:c>
      <x:c r="E7" s="15" t="str">
        <x:v>P1</x:v>
      </x:c>
      <x:c r="F7" s="15" t="str">
        <x:v>ME1</x:v>
      </x:c>
      <x:c r="G7" s="15" t="str">
        <x:v>Adaptation</x:v>
      </x:c>
      <x:c r="H7" s="14" t="str">
        <x:v>Silhouette extérieure de la frégate ME1.</x:v>
      </x:c>
      <x:c r="I7" s="14" t="str">
        <x:v>Proportions, nacelles et marquages comparés aux références.</x:v>
      </x:c>
      <x:c r="J7" s="14" t="str"/>
      <x:c r="K7" s="14" t="str">
        <x:v>content/scenery/SCN-normandy-coque-sr-1.json</x:v>
      </x:c>
      <x:c r="L7" s="14" t="str">
        <x:v>public/assets/vehicle-atlas.png</x:v>
      </x:c>
      <x:c r="M7" s="14" t="str"/>
      <x:c r="N7" s="14" t="str">
        <x:v>Direction de production originale fondée sur les ambiances ; proportions à vérifier sur captures.</x:v>
      </x:c>
      <x:c r="O7" s="14" t="str">
        <x:v>https://www.ea.com/ea-play/news/visual-improvements</x:v>
      </x:c>
      <x:c r="P7" s="14" t="str">
        <x:v>Production ME1</x:v>
      </x:c>
      <x:c r="Q7" s="14" t="str">
        <x:v>Illustration extérieure dans le quadrant supérieur gauche ; ce fichier ne constitue pas un décor 3D ni un modèle de vaisseau pilotable. Proportions SR-1 à contrôler.</x:v>
      </x:c>
    </x:row>
    <x:row r="8" ht="36" customHeight="1">
      <x:c r="A8" s="12" t="str">
        <x:v>SCN-normandy-pont-militaire</x:v>
      </x:c>
      <x:c r="B8" s="7" t="str">
        <x:v>Normandy pont militaire</x:v>
      </x:c>
      <x:c r="C8" s="10" t="str">
        <x:v>Défini</x:v>
      </x:c>
      <x:c r="D8" s="11" t="str">
        <x:v>À produire</x:v>
      </x:c>
      <x:c r="E8" s="9" t="str">
        <x:v>P1</x:v>
      </x:c>
      <x:c r="F8" s="9" t="str">
        <x:v>ME1</x:v>
      </x:c>
      <x:c r="G8" s="9" t="str">
        <x:v>Adaptation</x:v>
      </x:c>
      <x:c r="H8" s="7" t="str">
        <x:v>Panneaux gris, coursives et mobilier technique.</x:v>
      </x:c>
      <x:c r="I8" s="7" t="str">
        <x:v>Palette et organisation distinctes du SR-2.</x:v>
      </x:c>
      <x:c r="J8" s="7" t="str"/>
      <x:c r="K8" s="7" t="str">
        <x:v>content/scenery/SCN-normandy-pont-militaire.json</x:v>
      </x:c>
      <x:c r="L8" s="7" t="str"/>
      <x:c r="M8" s="7" t="str"/>
      <x:c r="N8" s="7" t="str">
        <x:v>Direction de production originale fondée sur les ambiances ; proportions à vérifier sur captures.</x:v>
      </x:c>
      <x:c r="O8" s="7" t="str">
        <x:v>https://www.ea.com/ea-play/news/visual-improvements</x:v>
      </x:c>
      <x:c r="P8" s="7" t="str">
        <x:v>Production ME1</x:v>
      </x:c>
      <x:c r="Q8" s="7" t="str"/>
    </x:row>
    <x:row r="9" ht="36" customHeight="1">
      <x:c r="A9" s="13" t="str">
        <x:v>SCN-normandy-soute</x:v>
      </x:c>
      <x:c r="B9" s="14" t="str">
        <x:v>Normandy soute</x:v>
      </x:c>
      <x:c r="C9" s="10" t="str">
        <x:v>Défini</x:v>
      </x:c>
      <x:c r="D9" s="11" t="str">
        <x:v>À produire</x:v>
      </x:c>
      <x:c r="E9" s="15" t="str">
        <x:v>P1</x:v>
      </x:c>
      <x:c r="F9" s="15" t="str">
        <x:v>ME1</x:v>
      </x:c>
      <x:c r="G9" s="15" t="str">
        <x:v>Adaptation</x:v>
      </x:c>
      <x:c r="H9" s="14" t="str">
        <x:v>Grand volume de stockage et entretien du Mako.</x:v>
      </x:c>
      <x:c r="I9" s="14" t="str">
        <x:v>Portes et ascenseur dimensionnés pour le véhicule.</x:v>
      </x:c>
      <x:c r="J9" s="14" t="str"/>
      <x:c r="K9" s="14" t="str">
        <x:v>content/scenery/SCN-normandy-soute.json</x:v>
      </x:c>
      <x:c r="L9" s="14" t="str"/>
      <x:c r="M9" s="14" t="str"/>
      <x:c r="N9" s="14" t="str">
        <x:v>Direction de production originale fondée sur les ambiances ; proportions à vérifier sur captures.</x:v>
      </x:c>
      <x:c r="O9" s="14" t="str">
        <x:v>https://www.ea.com/ea-play/news/visual-improvements</x:v>
      </x:c>
      <x:c r="P9" s="14" t="str">
        <x:v>Production ME1</x:v>
      </x:c>
      <x:c r="Q9" s="14" t="str"/>
    </x:row>
    <x:row r="10" ht="36" customHeight="1">
      <x:c r="A10" s="12" t="str">
        <x:v>SCN-presidium-anneau</x:v>
      </x:c>
      <x:c r="B10" s="7" t="str">
        <x:v>Présidium anneau</x:v>
      </x:c>
      <x:c r="C10" s="10" t="str">
        <x:v>Défini</x:v>
      </x:c>
      <x:c r="D10" s="11" t="str">
        <x:v>À produire</x:v>
      </x:c>
      <x:c r="E10" s="9" t="str">
        <x:v>P1</x:v>
      </x:c>
      <x:c r="F10" s="9" t="str">
        <x:v>ME1</x:v>
      </x:c>
      <x:c r="G10" s="9" t="str">
        <x:v>Adaptation</x:v>
      </x:c>
      <x:c r="H10" s="7" t="str">
        <x:v>Perspective sur l’anneau et espace intérieur.</x:v>
      </x:c>
      <x:c r="I10" s="7" t="str">
        <x:v>Courbure lisible depuis les points de vue choisis.</x:v>
      </x:c>
      <x:c r="J10" s="7" t="str"/>
      <x:c r="K10" s="7" t="str">
        <x:v>content/scenery/SCN-presidium-anneau.json</x:v>
      </x:c>
      <x:c r="L10" s="7" t="str"/>
      <x:c r="M10" s="7" t="str"/>
      <x:c r="N10" s="7" t="str">
        <x:v>Direction de production originale fondée sur les ambiances ; proportions à vérifier sur captures.</x:v>
      </x:c>
      <x:c r="O10" s="7" t="str">
        <x:v>https://www.ea.com/ea-play/news/visual-improvements</x:v>
      </x:c>
      <x:c r="P10" s="7" t="str">
        <x:v>Production ME1</x:v>
      </x:c>
      <x:c r="Q10" s="7" t="str"/>
    </x:row>
    <x:row r="11" ht="36" customHeight="1">
      <x:c r="A11" s="13" t="str">
        <x:v>SCN-presidium-jardins</x:v>
      </x:c>
      <x:c r="B11" s="14" t="str">
        <x:v>Présidium jardins</x:v>
      </x:c>
      <x:c r="C11" s="10" t="str">
        <x:v>Défini</x:v>
      </x:c>
      <x:c r="D11" s="11" t="str">
        <x:v>À produire</x:v>
      </x:c>
      <x:c r="E11" s="15" t="str">
        <x:v>P1</x:v>
      </x:c>
      <x:c r="F11" s="15" t="str">
        <x:v>ME1</x:v>
      </x:c>
      <x:c r="G11" s="15" t="str">
        <x:v>Adaptation</x:v>
      </x:c>
      <x:c r="H11" s="14" t="str">
        <x:v>Pelouses, arbres, eau et chemins clairs.</x:v>
      </x:c>
      <x:c r="I11" s="14" t="str">
        <x:v>Végétation stable entre les changements de caméra.</x:v>
      </x:c>
      <x:c r="J11" s="14" t="str"/>
      <x:c r="K11" s="14" t="str">
        <x:v>content/scenery/SCN-presidium-jardins.json</x:v>
      </x:c>
      <x:c r="L11" s="14" t="str"/>
      <x:c r="M11" s="14" t="str"/>
      <x:c r="N11" s="14" t="str">
        <x:v>Direction de production originale fondée sur les ambiances ; proportions à vérifier sur captures.</x:v>
      </x:c>
      <x:c r="O11" s="14" t="str">
        <x:v>https://www.ea.com/ea-play/news/visual-improvements</x:v>
      </x:c>
      <x:c r="P11" s="14" t="str">
        <x:v>Production ME1</x:v>
      </x:c>
      <x:c r="Q11" s="14" t="str"/>
    </x:row>
    <x:row r="12" ht="36" customHeight="1">
      <x:c r="A12" s="12" t="str">
        <x:v>SCN-tour-du-conseil</x:v>
      </x:c>
      <x:c r="B12" s="7" t="str">
        <x:v>Tour du Conseil</x:v>
      </x:c>
      <x:c r="C12" s="10" t="str">
        <x:v>Défini</x:v>
      </x:c>
      <x:c r="D12" s="11" t="str">
        <x:v>À produire</x:v>
      </x:c>
      <x:c r="E12" s="9" t="str">
        <x:v>P1</x:v>
      </x:c>
      <x:c r="F12" s="9" t="str">
        <x:v>ME1</x:v>
      </x:c>
      <x:c r="G12" s="9" t="str">
        <x:v>Adaptation</x:v>
      </x:c>
      <x:c r="H12" s="7" t="str">
        <x:v>Architecture diplomatique monumentale.</x:v>
      </x:c>
      <x:c r="I12" s="7" t="str">
        <x:v>Échelle hiérarchique conservée entre personnages et estrade.</x:v>
      </x:c>
      <x:c r="J12" s="7" t="str"/>
      <x:c r="K12" s="7" t="str">
        <x:v>content/scenery/SCN-tour-du-conseil.json</x:v>
      </x:c>
      <x:c r="L12" s="7" t="str"/>
      <x:c r="M12" s="7" t="str"/>
      <x:c r="N12" s="7" t="str">
        <x:v>Direction de production originale fondée sur les ambiances ; proportions à vérifier sur captures.</x:v>
      </x:c>
      <x:c r="O12" s="7" t="str">
        <x:v>https://www.ea.com/ea-play/news/visual-improvements</x:v>
      </x:c>
      <x:c r="P12" s="7" t="str">
        <x:v>Production ME1</x:v>
      </x:c>
      <x:c r="Q12" s="7" t="str"/>
    </x:row>
    <x:row r="13" ht="36" customHeight="1">
      <x:c r="A13" s="13" t="str">
        <x:v>SCN-secteurs-verticaux</x:v>
      </x:c>
      <x:c r="B13" s="14" t="str">
        <x:v>Secteurs verticaux</x:v>
      </x:c>
      <x:c r="C13" s="10" t="str">
        <x:v>Défini</x:v>
      </x:c>
      <x:c r="D13" s="11" t="str">
        <x:v>À produire</x:v>
      </x:c>
      <x:c r="E13" s="15" t="str">
        <x:v>P1</x:v>
      </x:c>
      <x:c r="F13" s="15" t="str">
        <x:v>ME1</x:v>
      </x:c>
      <x:c r="G13" s="15" t="str">
        <x:v>Adaptation</x:v>
      </x:c>
      <x:c r="H13" s="14" t="str">
        <x:v>Passerelles, façades et profondeurs urbaines.</x:v>
      </x:c>
      <x:c r="I13" s="14" t="str">
        <x:v>Chemins jouables séparés des arrière-plans.</x:v>
      </x:c>
      <x:c r="J13" s="14" t="str"/>
      <x:c r="K13" s="14" t="str">
        <x:v>content/scenery/SCN-secteurs-verticaux.json</x:v>
      </x:c>
      <x:c r="L13" s="14" t="str"/>
      <x:c r="M13" s="14" t="str"/>
      <x:c r="N13" s="14" t="str">
        <x:v>Direction de production originale fondée sur les ambiances ; proportions à vérifier sur captures.</x:v>
      </x:c>
      <x:c r="O13" s="14" t="str">
        <x:v>https://www.ea.com/ea-play/news/visual-improvements</x:v>
      </x:c>
      <x:c r="P13" s="14" t="str">
        <x:v>Production ME1</x:v>
      </x:c>
      <x:c r="Q13" s="14" t="str"/>
    </x:row>
    <x:row r="14" ht="36" customHeight="1">
      <x:c r="A14" s="12" t="str">
        <x:v>SCN-chora-s-den-interieur</x:v>
      </x:c>
      <x:c r="B14" s="7" t="str">
        <x:v>Chora’s Den intérieur</x:v>
      </x:c>
      <x:c r="C14" s="10" t="str">
        <x:v>Défini</x:v>
      </x:c>
      <x:c r="D14" s="11" t="str">
        <x:v>À produire</x:v>
      </x:c>
      <x:c r="E14" s="9" t="str">
        <x:v>P1</x:v>
      </x:c>
      <x:c r="F14" s="9" t="str">
        <x:v>ME1</x:v>
      </x:c>
      <x:c r="G14" s="9" t="str">
        <x:v>Adaptation</x:v>
      </x:c>
      <x:c r="H14" s="7" t="str">
        <x:v>Bar sombre et scène centrale.</x:v>
      </x:c>
      <x:c r="I14" s="7" t="str">
        <x:v>Circulation et couverture lisibles en combat.</x:v>
      </x:c>
      <x:c r="J14" s="7" t="str"/>
      <x:c r="K14" s="7" t="str">
        <x:v>content/scenery/SCN-chora-s-den-interieur.json</x:v>
      </x:c>
      <x:c r="L14" s="7" t="str"/>
      <x:c r="M14" s="7" t="str"/>
      <x:c r="N14" s="7" t="str">
        <x:v>Direction de production originale fondée sur les ambiances ; proportions à vérifier sur captures.</x:v>
      </x:c>
      <x:c r="O14" s="7" t="str">
        <x:v>https://www.ea.com/ea-play/news/visual-improvements</x:v>
      </x:c>
      <x:c r="P14" s="7" t="str">
        <x:v>Production ME1</x:v>
      </x:c>
      <x:c r="Q14" s="7" t="str"/>
    </x:row>
    <x:row r="15" ht="36" customHeight="1">
      <x:c r="A15" s="13" t="str">
        <x:v>SCN-flux-interieur</x:v>
      </x:c>
      <x:c r="B15" s="14" t="str">
        <x:v>Flux intérieur</x:v>
      </x:c>
      <x:c r="C15" s="10" t="str">
        <x:v>Défini</x:v>
      </x:c>
      <x:c r="D15" s="11" t="str">
        <x:v>À produire</x:v>
      </x:c>
      <x:c r="E15" s="15" t="str">
        <x:v>P1</x:v>
      </x:c>
      <x:c r="F15" s="15" t="str">
        <x:v>ME1</x:v>
      </x:c>
      <x:c r="G15" s="15" t="str">
        <x:v>Adaptation</x:v>
      </x:c>
      <x:c r="H15" s="14" t="str">
        <x:v>Club avec terrasse et salle de jeu.</x:v>
      </x:c>
      <x:c r="I15" s="14" t="str">
        <x:v>Éclairage distinct du bar de Fist.</x:v>
      </x:c>
      <x:c r="J15" s="14" t="str"/>
      <x:c r="K15" s="14" t="str">
        <x:v>content/scenery/SCN-flux-interieur.json</x:v>
      </x:c>
      <x:c r="L15" s="14" t="str"/>
      <x:c r="M15" s="14" t="str"/>
      <x:c r="N15" s="14" t="str">
        <x:v>Direction de production originale fondée sur les ambiances ; proportions à vérifier sur captures.</x:v>
      </x:c>
      <x:c r="O15" s="14" t="str">
        <x:v>https://www.ea.com/ea-play/news/visual-improvements</x:v>
      </x:c>
      <x:c r="P15" s="14" t="str">
        <x:v>Production ME1</x:v>
      </x:c>
      <x:c r="Q15" s="14" t="str"/>
    </x:row>
    <x:row r="16" ht="36" customHeight="1">
      <x:c r="A16" s="12" t="str">
        <x:v>SCN-ssc-interieur</x:v>
      </x:c>
      <x:c r="B16" s="7" t="str">
        <x:v>SSC intérieur</x:v>
      </x:c>
      <x:c r="C16" s="10" t="str">
        <x:v>Défini</x:v>
      </x:c>
      <x:c r="D16" s="11" t="str">
        <x:v>À produire</x:v>
      </x:c>
      <x:c r="E16" s="9" t="str">
        <x:v>P1</x:v>
      </x:c>
      <x:c r="F16" s="9" t="str">
        <x:v>ME1</x:v>
      </x:c>
      <x:c r="G16" s="9" t="str">
        <x:v>Adaptation</x:v>
      </x:c>
      <x:c r="H16" s="7" t="str">
        <x:v>Bureaux de sécurité et ascenseurs.</x:v>
      </x:c>
      <x:c r="I16" s="7" t="str">
        <x:v>Signalétique continue d’un plan à l’autre.</x:v>
      </x:c>
      <x:c r="J16" s="7" t="str"/>
      <x:c r="K16" s="7" t="str">
        <x:v>content/scenery/SCN-ssc-interieur.json</x:v>
      </x:c>
      <x:c r="L16" s="7" t="str"/>
      <x:c r="M16" s="7" t="str"/>
      <x:c r="N16" s="7" t="str">
        <x:v>Direction de production originale fondée sur les ambiances ; proportions à vérifier sur captures.</x:v>
      </x:c>
      <x:c r="O16" s="7" t="str">
        <x:v>https://www.ea.com/ea-play/news/visual-improvements</x:v>
      </x:c>
      <x:c r="P16" s="7" t="str">
        <x:v>Production ME1</x:v>
      </x:c>
      <x:c r="Q16" s="7" t="str"/>
    </x:row>
    <x:row r="17" ht="36" customHeight="1">
      <x:c r="A17" s="13" t="str">
        <x:v>SCN-eden-prime-agriculture</x:v>
      </x:c>
      <x:c r="B17" s="14" t="str">
        <x:v>Eden Prime agriculture</x:v>
      </x:c>
      <x:c r="C17" s="10" t="str">
        <x:v>Défini</x:v>
      </x:c>
      <x:c r="D17" s="11" t="str">
        <x:v>À produire</x:v>
      </x:c>
      <x:c r="E17" s="15" t="str">
        <x:v>P1</x:v>
      </x:c>
      <x:c r="F17" s="15" t="str">
        <x:v>ME1</x:v>
      </x:c>
      <x:c r="G17" s="15" t="str">
        <x:v>Adaptation</x:v>
      </x:c>
      <x:c r="H17" s="14" t="str">
        <x:v>Prairies et structures coloniales.</x:v>
      </x:c>
      <x:c r="I17" s="14" t="str">
        <x:v>Traces de l’attaque cohérentes avec le trajet.</x:v>
      </x:c>
      <x:c r="J17" s="14" t="str"/>
      <x:c r="K17" s="14" t="str">
        <x:v>content/scenery/SCN-eden-prime-agriculture.json</x:v>
      </x:c>
      <x:c r="L17" s="14" t="str"/>
      <x:c r="M17" s="14" t="str"/>
      <x:c r="N17" s="14" t="str">
        <x:v>Direction de production originale fondée sur les ambiances ; proportions à vérifier sur captures.</x:v>
      </x:c>
      <x:c r="O17" s="14" t="str">
        <x:v>https://www.ea.com/ea-play/news/visual-improvements</x:v>
      </x:c>
      <x:c r="P17" s="14" t="str">
        <x:v>Production ME1</x:v>
      </x:c>
      <x:c r="Q17" s="14" t="str"/>
    </x:row>
    <x:row r="18" ht="36" customHeight="1">
      <x:c r="A18" s="12" t="str">
        <x:v>SCN-eden-prime-fumee</x:v>
      </x:c>
      <x:c r="B18" s="7" t="str">
        <x:v>Eden Prime fumée</x:v>
      </x:c>
      <x:c r="C18" s="10" t="str">
        <x:v>Défini</x:v>
      </x:c>
      <x:c r="D18" s="11" t="str">
        <x:v>À produire</x:v>
      </x:c>
      <x:c r="E18" s="9" t="str">
        <x:v>P1</x:v>
      </x:c>
      <x:c r="F18" s="9" t="str">
        <x:v>ME1</x:v>
      </x:c>
      <x:c r="G18" s="9" t="str">
        <x:v>Adaptation</x:v>
      </x:c>
      <x:c r="H18" s="7" t="str">
        <x:v>Colonnes de fumée et lumières lointaines.</x:v>
      </x:c>
      <x:c r="I18" s="7" t="str">
        <x:v>Intensité contrôlée pour préserver les sprites.</x:v>
      </x:c>
      <x:c r="J18" s="7" t="str"/>
      <x:c r="K18" s="7" t="str">
        <x:v>content/scenery/SCN-eden-prime-fumee.json</x:v>
      </x:c>
      <x:c r="L18" s="7" t="str"/>
      <x:c r="M18" s="7" t="str"/>
      <x:c r="N18" s="7" t="str">
        <x:v>Direction de production originale fondée sur les ambiances ; proportions à vérifier sur captures.</x:v>
      </x:c>
      <x:c r="O18" s="7" t="str">
        <x:v>https://www.ea.com/ea-play/news/visual-improvements</x:v>
      </x:c>
      <x:c r="P18" s="7" t="str">
        <x:v>Production ME1</x:v>
      </x:c>
      <x:c r="Q18" s="7" t="str"/>
    </x:row>
    <x:row r="19" ht="36" customHeight="1">
      <x:c r="A19" s="13" t="str">
        <x:v>SCN-eden-prime-quais</x:v>
      </x:c>
      <x:c r="B19" s="14" t="str">
        <x:v>Eden Prime quais</x:v>
      </x:c>
      <x:c r="C19" s="10" t="str">
        <x:v>Défini</x:v>
      </x:c>
      <x:c r="D19" s="11" t="str">
        <x:v>À produire</x:v>
      </x:c>
      <x:c r="E19" s="15" t="str">
        <x:v>P1</x:v>
      </x:c>
      <x:c r="F19" s="15" t="str">
        <x:v>ME1</x:v>
      </x:c>
      <x:c r="G19" s="15" t="str">
        <x:v>Adaptation</x:v>
      </x:c>
      <x:c r="H19" s="14" t="str">
        <x:v>Industrie ferroviaire et plateformes.</x:v>
      </x:c>
      <x:c r="I19" s="14" t="str">
        <x:v>Éléments de bordure cohérents entre plans.</x:v>
      </x:c>
      <x:c r="J19" s="14" t="str"/>
      <x:c r="K19" s="14" t="str">
        <x:v>content/scenery/SCN-eden-prime-quais.json</x:v>
      </x:c>
      <x:c r="L19" s="14" t="str"/>
      <x:c r="M19" s="14" t="str"/>
      <x:c r="N19" s="14" t="str">
        <x:v>Direction de production originale fondée sur les ambiances ; proportions à vérifier sur captures.</x:v>
      </x:c>
      <x:c r="O19" s="14" t="str">
        <x:v>https://www.ea.com/ea-play/news/visual-improvements</x:v>
      </x:c>
      <x:c r="P19" s="14" t="str">
        <x:v>Production ME1</x:v>
      </x:c>
      <x:c r="Q19" s="14" t="str"/>
    </x:row>
    <x:row r="20" ht="36" customHeight="1">
      <x:c r="A20" s="12" t="str">
        <x:v>SCN-therum-roche-volcanique</x:v>
      </x:c>
      <x:c r="B20" s="7" t="str">
        <x:v>Therum roche volcanique</x:v>
      </x:c>
      <x:c r="C20" s="10" t="str">
        <x:v>Défini</x:v>
      </x:c>
      <x:c r="D20" s="11" t="str">
        <x:v>À produire</x:v>
      </x:c>
      <x:c r="E20" s="9" t="str">
        <x:v>P1</x:v>
      </x:c>
      <x:c r="F20" s="9" t="str">
        <x:v>ME1</x:v>
      </x:c>
      <x:c r="G20" s="9" t="str">
        <x:v>Adaptation</x:v>
      </x:c>
      <x:c r="H20" s="7" t="str">
        <x:v>Falaises sombres, coulées et minerai.</x:v>
      </x:c>
      <x:c r="I20" s="7" t="str">
        <x:v>Lave reste dangereuse dans toutes les caméras.</x:v>
      </x:c>
      <x:c r="J20" s="7" t="str"/>
      <x:c r="K20" s="7" t="str">
        <x:v>content/scenery/SCN-therum-roche-volcanique.json</x:v>
      </x:c>
      <x:c r="L20" s="7" t="str"/>
      <x:c r="M20" s="7" t="str"/>
      <x:c r="N20" s="7" t="str">
        <x:v>Direction de production originale fondée sur les ambiances ; proportions à vérifier sur captures.</x:v>
      </x:c>
      <x:c r="O20" s="7" t="str">
        <x:v>https://www.ea.com/ea-play/news/visual-improvements</x:v>
      </x:c>
      <x:c r="P20" s="7" t="str">
        <x:v>Production ME1</x:v>
      </x:c>
      <x:c r="Q20" s="7" t="str"/>
    </x:row>
    <x:row r="21" ht="36" customHeight="1">
      <x:c r="A21" s="13" t="str">
        <x:v>SCN-therum-mine</x:v>
      </x:c>
      <x:c r="B21" s="14" t="str">
        <x:v>Therum mine</x:v>
      </x:c>
      <x:c r="C21" s="10" t="str">
        <x:v>Défini</x:v>
      </x:c>
      <x:c r="D21" s="11" t="str">
        <x:v>À produire</x:v>
      </x:c>
      <x:c r="E21" s="15" t="str">
        <x:v>P1</x:v>
      </x:c>
      <x:c r="F21" s="15" t="str">
        <x:v>ME1</x:v>
      </x:c>
      <x:c r="G21" s="15" t="str">
        <x:v>Adaptation</x:v>
      </x:c>
      <x:c r="H21" s="14" t="str">
        <x:v>Structures d’excavation sur ruines prothéennes.</x:v>
      </x:c>
      <x:c r="I21" s="14" t="str">
        <x:v>Ancien et moderne se distinguent par les matériaux.</x:v>
      </x:c>
      <x:c r="J21" s="14" t="str"/>
      <x:c r="K21" s="14" t="str">
        <x:v>content/scenery/SCN-therum-mine.json</x:v>
      </x:c>
      <x:c r="L21" s="14" t="str"/>
      <x:c r="M21" s="14" t="str"/>
      <x:c r="N21" s="14" t="str">
        <x:v>Direction de production originale fondée sur les ambiances ; proportions à vérifier sur captures.</x:v>
      </x:c>
      <x:c r="O21" s="14" t="str">
        <x:v>https://www.ea.com/ea-play/news/visual-improvements</x:v>
      </x:c>
      <x:c r="P21" s="14" t="str">
        <x:v>Production ME1</x:v>
      </x:c>
      <x:c r="Q21" s="14" t="str"/>
    </x:row>
    <x:row r="22" ht="36" customHeight="1">
      <x:c r="A22" s="12" t="str">
        <x:v>SCN-feros-megastructures</x:v>
      </x:c>
      <x:c r="B22" s="7" t="str">
        <x:v>Feros mégastructures</x:v>
      </x:c>
      <x:c r="C22" s="10" t="str">
        <x:v>Défini</x:v>
      </x:c>
      <x:c r="D22" s="11" t="str">
        <x:v>À produire</x:v>
      </x:c>
      <x:c r="E22" s="9" t="str">
        <x:v>P1</x:v>
      </x:c>
      <x:c r="F22" s="9" t="str">
        <x:v>ME1</x:v>
      </x:c>
      <x:c r="G22" s="9" t="str">
        <x:v>Adaptation</x:v>
      </x:c>
      <x:c r="H22" s="7" t="str">
        <x:v>Ruines et ponts dominant la colonie.</x:v>
      </x:c>
      <x:c r="I22" s="7" t="str">
        <x:v>Horizon et éléments visibles conservés entre zones.</x:v>
      </x:c>
      <x:c r="J22" s="7" t="str"/>
      <x:c r="K22" s="7" t="str">
        <x:v>content/scenery/SCN-feros-megastructures.json</x:v>
      </x:c>
      <x:c r="L22" s="7" t="str"/>
      <x:c r="M22" s="7" t="str"/>
      <x:c r="N22" s="7" t="str">
        <x:v>Direction de production originale fondée sur les ambiances ; proportions à vérifier sur captures.</x:v>
      </x:c>
      <x:c r="O22" s="7" t="str">
        <x:v>https://www.ea.com/ea-play/news/visual-improvements</x:v>
      </x:c>
      <x:c r="P22" s="7" t="str">
        <x:v>Production ME1</x:v>
      </x:c>
      <x:c r="Q22" s="7" t="str"/>
    </x:row>
    <x:row r="23" ht="36" customHeight="1">
      <x:c r="A23" s="13" t="str">
        <x:v>SCN-feros-zhu-s-hope</x:v>
      </x:c>
      <x:c r="B23" s="14" t="str">
        <x:v>Feros Zhu’s Hope</x:v>
      </x:c>
      <x:c r="C23" s="10" t="str">
        <x:v>Défini</x:v>
      </x:c>
      <x:c r="D23" s="11" t="str">
        <x:v>À produire</x:v>
      </x:c>
      <x:c r="E23" s="15" t="str">
        <x:v>P1</x:v>
      </x:c>
      <x:c r="F23" s="15" t="str">
        <x:v>ME1</x:v>
      </x:c>
      <x:c r="G23" s="15" t="str">
        <x:v>Adaptation</x:v>
      </x:c>
      <x:c r="H23" s="14" t="str">
        <x:v>Habitat de fortune dans les restes industriels.</x:v>
      </x:c>
      <x:c r="I23" s="14" t="str">
        <x:v>Fonctions quotidiennes visibles près des PNJ.</x:v>
      </x:c>
      <x:c r="J23" s="14" t="str"/>
      <x:c r="K23" s="14" t="str">
        <x:v>content/scenery/SCN-feros-zhu-s-hope.json</x:v>
      </x:c>
      <x:c r="L23" s="14" t="str"/>
      <x:c r="M23" s="14" t="str"/>
      <x:c r="N23" s="14" t="str">
        <x:v>Direction de production originale fondée sur les ambiances ; proportions à vérifier sur captures.</x:v>
      </x:c>
      <x:c r="O23" s="14" t="str">
        <x:v>https://www.ea.com/ea-play/news/visual-improvements</x:v>
      </x:c>
      <x:c r="P23" s="14" t="str">
        <x:v>Production ME1</x:v>
      </x:c>
      <x:c r="Q23" s="14" t="str"/>
    </x:row>
    <x:row r="24" ht="36" customHeight="1">
      <x:c r="A24" s="12" t="str">
        <x:v>SCN-feros-exogeni</x:v>
      </x:c>
      <x:c r="B24" s="7" t="str">
        <x:v>Feros ExoGeni</x:v>
      </x:c>
      <x:c r="C24" s="10" t="str">
        <x:v>Défini</x:v>
      </x:c>
      <x:c r="D24" s="11" t="str">
        <x:v>À produire</x:v>
      </x:c>
      <x:c r="E24" s="9" t="str">
        <x:v>P1</x:v>
      </x:c>
      <x:c r="F24" s="9" t="str">
        <x:v>ME1</x:v>
      </x:c>
      <x:c r="G24" s="9" t="str">
        <x:v>Adaptation</x:v>
      </x:c>
      <x:c r="H24" s="7" t="str">
        <x:v>Laboratoires et bureaux endommagés.</x:v>
      </x:c>
      <x:c r="I24" s="7" t="str">
        <x:v>Logo et traces d’occupation localisés.</x:v>
      </x:c>
      <x:c r="J24" s="7" t="str"/>
      <x:c r="K24" s="7" t="str">
        <x:v>content/scenery/SCN-feros-exogeni.json</x:v>
      </x:c>
      <x:c r="L24" s="7" t="str"/>
      <x:c r="M24" s="7" t="str"/>
      <x:c r="N24" s="7" t="str">
        <x:v>Direction de production originale fondée sur les ambiances ; proportions à vérifier sur captures.</x:v>
      </x:c>
      <x:c r="O24" s="7" t="str">
        <x:v>https://www.ea.com/ea-play/news/visual-improvements</x:v>
      </x:c>
      <x:c r="P24" s="7" t="str">
        <x:v>Production ME1</x:v>
      </x:c>
      <x:c r="Q24" s="7" t="str"/>
    </x:row>
    <x:row r="25" ht="36" customHeight="1">
      <x:c r="A25" s="13" t="str">
        <x:v>SCN-thorian-organique</x:v>
      </x:c>
      <x:c r="B25" s="14" t="str">
        <x:v>Thorian organique</x:v>
      </x:c>
      <x:c r="C25" s="10" t="str">
        <x:v>Défini</x:v>
      </x:c>
      <x:c r="D25" s="11" t="str">
        <x:v>À produire</x:v>
      </x:c>
      <x:c r="E25" s="15" t="str">
        <x:v>P1</x:v>
      </x:c>
      <x:c r="F25" s="15" t="str">
        <x:v>ME1</x:v>
      </x:c>
      <x:c r="G25" s="15" t="str">
        <x:v>Adaptation</x:v>
      </x:c>
      <x:c r="H25" s="14" t="str">
        <x:v>Enchevêtrement biologique dans une structure verticale.</x:v>
      </x:c>
      <x:c r="I25" s="14" t="str">
        <x:v>Racines identifiables et niveaux praticables.</x:v>
      </x:c>
      <x:c r="J25" s="14" t="str"/>
      <x:c r="K25" s="14" t="str">
        <x:v>content/scenery/SCN-thorian-organique.json</x:v>
      </x:c>
      <x:c r="L25" s="14" t="str"/>
      <x:c r="M25" s="14" t="str"/>
      <x:c r="N25" s="14" t="str">
        <x:v>Direction de production originale fondée sur les ambiances ; proportions à vérifier sur captures.</x:v>
      </x:c>
      <x:c r="O25" s="14" t="str">
        <x:v>https://www.ea.com/ea-play/news/visual-improvements</x:v>
      </x:c>
      <x:c r="P25" s="14" t="str">
        <x:v>Production ME1</x:v>
      </x:c>
      <x:c r="Q25" s="14" t="str"/>
    </x:row>
    <x:row r="26" ht="36" customHeight="1">
      <x:c r="A26" s="12" t="str">
        <x:v>SCN-noveria-port-hanshan</x:v>
      </x:c>
      <x:c r="B26" s="7" t="str">
        <x:v>Noveria Port Hanshan</x:v>
      </x:c>
      <x:c r="C26" s="10" t="str">
        <x:v>Défini</x:v>
      </x:c>
      <x:c r="D26" s="11" t="str">
        <x:v>À produire</x:v>
      </x:c>
      <x:c r="E26" s="9" t="str">
        <x:v>P1</x:v>
      </x:c>
      <x:c r="F26" s="9" t="str">
        <x:v>ME1</x:v>
      </x:c>
      <x:c r="G26" s="9" t="str">
        <x:v>Adaptation</x:v>
      </x:c>
      <x:c r="H26" s="7" t="str">
        <x:v>Béton, verre et atmosphère froide.</x:v>
      </x:c>
      <x:c r="I26" s="7" t="str">
        <x:v>Façades et décoration cohérentes avec le monde.</x:v>
      </x:c>
      <x:c r="J26" s="7" t="str"/>
      <x:c r="K26" s="7" t="str">
        <x:v>content/scenery/SCN-noveria-port-hanshan.json</x:v>
      </x:c>
      <x:c r="L26" s="7" t="str"/>
      <x:c r="M26" s="7" t="str"/>
      <x:c r="N26" s="7" t="str">
        <x:v>Direction de production originale fondée sur les ambiances ; proportions à vérifier sur captures.</x:v>
      </x:c>
      <x:c r="O26" s="7" t="str">
        <x:v>https://www.ea.com/ea-play/news/visual-improvements</x:v>
      </x:c>
      <x:c r="P26" s="7" t="str">
        <x:v>Production ME1</x:v>
      </x:c>
      <x:c r="Q26" s="7" t="str"/>
    </x:row>
    <x:row r="27" ht="36" customHeight="1">
      <x:c r="A27" s="13" t="str">
        <x:v>SCN-noveria-route</x:v>
      </x:c>
      <x:c r="B27" s="14" t="str">
        <x:v>Noveria route</x:v>
      </x:c>
      <x:c r="C27" s="10" t="str">
        <x:v>Défini</x:v>
      </x:c>
      <x:c r="D27" s="11" t="str">
        <x:v>À produire</x:v>
      </x:c>
      <x:c r="E27" s="15" t="str">
        <x:v>P1</x:v>
      </x:c>
      <x:c r="F27" s="15" t="str">
        <x:v>ME1</x:v>
      </x:c>
      <x:c r="G27" s="15" t="str">
        <x:v>Adaptation</x:v>
      </x:c>
      <x:c r="H27" s="14" t="str">
        <x:v>Relief enneigé et installations isolées.</x:v>
      </x:c>
      <x:c r="I27" s="14" t="str">
        <x:v>Visibilité jouable malgré la tempête.</x:v>
      </x:c>
      <x:c r="J27" s="14" t="str"/>
      <x:c r="K27" s="14" t="str">
        <x:v>content/scenery/SCN-noveria-route.json</x:v>
      </x:c>
      <x:c r="L27" s="14" t="str"/>
      <x:c r="M27" s="14" t="str"/>
      <x:c r="N27" s="14" t="str">
        <x:v>Direction de production originale fondée sur les ambiances ; proportions à vérifier sur captures.</x:v>
      </x:c>
      <x:c r="O27" s="14" t="str">
        <x:v>https://www.ea.com/ea-play/news/visual-improvements</x:v>
      </x:c>
      <x:c r="P27" s="14" t="str">
        <x:v>Production ME1</x:v>
      </x:c>
      <x:c r="Q27" s="14" t="str"/>
    </x:row>
    <x:row r="28" ht="36" customHeight="1">
      <x:c r="A28" s="12" t="str">
        <x:v>SCN-noveria-peak-15</x:v>
      </x:c>
      <x:c r="B28" s="7" t="str">
        <x:v>Noveria Peak 15</x:v>
      </x:c>
      <x:c r="C28" s="10" t="str">
        <x:v>Défini</x:v>
      </x:c>
      <x:c r="D28" s="11" t="str">
        <x:v>À produire</x:v>
      </x:c>
      <x:c r="E28" s="9" t="str">
        <x:v>P1</x:v>
      </x:c>
      <x:c r="F28" s="9" t="str">
        <x:v>ME1</x:v>
      </x:c>
      <x:c r="G28" s="9" t="str">
        <x:v>Adaptation</x:v>
      </x:c>
      <x:c r="H28" s="7" t="str">
        <x:v>Complexe scientifique contaminé.</x:v>
      </x:c>
      <x:c r="I28" s="7" t="str">
        <x:v>Changements d’état après remise en service.</x:v>
      </x:c>
      <x:c r="J28" s="7" t="str"/>
      <x:c r="K28" s="7" t="str">
        <x:v>content/scenery/SCN-noveria-peak-15.json</x:v>
      </x:c>
      <x:c r="L28" s="7" t="str"/>
      <x:c r="M28" s="7" t="str"/>
      <x:c r="N28" s="7" t="str">
        <x:v>Direction de production originale fondée sur les ambiances ; proportions à vérifier sur captures.</x:v>
      </x:c>
      <x:c r="O28" s="7" t="str">
        <x:v>https://www.ea.com/ea-play/news/visual-improvements</x:v>
      </x:c>
      <x:c r="P28" s="7" t="str">
        <x:v>Production ME1</x:v>
      </x:c>
      <x:c r="Q28" s="7" t="str"/>
    </x:row>
    <x:row r="29" ht="36" customHeight="1">
      <x:c r="A29" s="13" t="str">
        <x:v>SCN-noveria-labos-chauds</x:v>
      </x:c>
      <x:c r="B29" s="14" t="str">
        <x:v>Noveria labos chauds</x:v>
      </x:c>
      <x:c r="C29" s="10" t="str">
        <x:v>Défini</x:v>
      </x:c>
      <x:c r="D29" s="11" t="str">
        <x:v>À produire</x:v>
      </x:c>
      <x:c r="E29" s="15" t="str">
        <x:v>P1</x:v>
      </x:c>
      <x:c r="F29" s="15" t="str">
        <x:v>ME1</x:v>
      </x:c>
      <x:c r="G29" s="15" t="str">
        <x:v>Adaptation</x:v>
      </x:c>
      <x:c r="H29" s="14" t="str">
        <x:v>Équipement de confinement et purge.</x:v>
      </x:c>
      <x:c r="I29" s="14" t="str">
        <x:v>Danger signalé par l’espace et les sons.</x:v>
      </x:c>
      <x:c r="J29" s="14" t="str"/>
      <x:c r="K29" s="14" t="str">
        <x:v>content/scenery/SCN-noveria-labos-chauds.json</x:v>
      </x:c>
      <x:c r="L29" s="14" t="str"/>
      <x:c r="M29" s="14" t="str"/>
      <x:c r="N29" s="14" t="str">
        <x:v>Direction de production originale fondée sur les ambiances ; proportions à vérifier sur captures.</x:v>
      </x:c>
      <x:c r="O29" s="14" t="str">
        <x:v>https://www.ea.com/ea-play/news/visual-improvements</x:v>
      </x:c>
      <x:c r="P29" s="14" t="str">
        <x:v>Production ME1</x:v>
      </x:c>
      <x:c r="Q29" s="14" t="str"/>
    </x:row>
    <x:row r="30" ht="36" customHeight="1">
      <x:c r="A30" s="12" t="str">
        <x:v>SCN-virmire-littoral</x:v>
      </x:c>
      <x:c r="B30" s="7" t="str">
        <x:v>Virmire littoral</x:v>
      </x:c>
      <x:c r="C30" s="10" t="str">
        <x:v>Défini</x:v>
      </x:c>
      <x:c r="D30" s="11" t="str">
        <x:v>À produire</x:v>
      </x:c>
      <x:c r="E30" s="9" t="str">
        <x:v>P1</x:v>
      </x:c>
      <x:c r="F30" s="9" t="str">
        <x:v>ME1</x:v>
      </x:c>
      <x:c r="G30" s="9" t="str">
        <x:v>Adaptation</x:v>
      </x:c>
      <x:c r="H30" s="7" t="str">
        <x:v>Plages, eau peu profonde et végétation.</x:v>
      </x:c>
      <x:c r="I30" s="7" t="str">
        <x:v>Silhouette tropicale préservée sans supprimer la menace.</x:v>
      </x:c>
      <x:c r="J30" s="7" t="str"/>
      <x:c r="K30" s="7" t="str">
        <x:v>content/scenery/SCN-virmire-littoral.json</x:v>
      </x:c>
      <x:c r="L30" s="7" t="str"/>
      <x:c r="M30" s="7" t="str"/>
      <x:c r="N30" s="7" t="str">
        <x:v>Direction de production originale fondée sur les ambiances ; proportions à vérifier sur captures.</x:v>
      </x:c>
      <x:c r="O30" s="7" t="str">
        <x:v>https://www.ea.com/ea-play/news/visual-improvements</x:v>
      </x:c>
      <x:c r="P30" s="7" t="str">
        <x:v>Production ME1</x:v>
      </x:c>
      <x:c r="Q30" s="7" t="str"/>
    </x:row>
    <x:row r="31" ht="36" customHeight="1">
      <x:c r="A31" s="13" t="str">
        <x:v>SCN-virmire-base</x:v>
      </x:c>
      <x:c r="B31" s="14" t="str">
        <x:v>Virmire base</x:v>
      </x:c>
      <x:c r="C31" s="10" t="str">
        <x:v>Défini</x:v>
      </x:c>
      <x:c r="D31" s="11" t="str">
        <x:v>À produire</x:v>
      </x:c>
      <x:c r="E31" s="15" t="str">
        <x:v>P1</x:v>
      </x:c>
      <x:c r="F31" s="15" t="str">
        <x:v>ME1</x:v>
      </x:c>
      <x:c r="G31" s="15" t="str">
        <x:v>Adaptation</x:v>
      </x:c>
      <x:c r="H31" s="14" t="str">
        <x:v>Laboratoires techniques au milieu de la jungle.</x:v>
      </x:c>
      <x:c r="I31" s="14" t="str">
        <x:v>Connecter les services et objectifs fonctionnellement.</x:v>
      </x:c>
      <x:c r="J31" s="14" t="str"/>
      <x:c r="K31" s="14" t="str">
        <x:v>content/scenery/SCN-virmire-base.json</x:v>
      </x:c>
      <x:c r="L31" s="14" t="str"/>
      <x:c r="M31" s="14" t="str"/>
      <x:c r="N31" s="14" t="str">
        <x:v>Direction de production originale fondée sur les ambiances ; proportions à vérifier sur captures.</x:v>
      </x:c>
      <x:c r="O31" s="14" t="str">
        <x:v>https://www.ea.com/ea-play/news/visual-improvements</x:v>
      </x:c>
      <x:c r="P31" s="14" t="str">
        <x:v>Production ME1</x:v>
      </x:c>
      <x:c r="Q31" s="14" t="str"/>
    </x:row>
    <x:row r="32" ht="36" customHeight="1">
      <x:c r="A32" s="12" t="str">
        <x:v>SCN-ilos-statues</x:v>
      </x:c>
      <x:c r="B32" s="7" t="str">
        <x:v>Ilos statues</x:v>
      </x:c>
      <x:c r="C32" s="10" t="str">
        <x:v>Défini</x:v>
      </x:c>
      <x:c r="D32" s="11" t="str">
        <x:v>À produire</x:v>
      </x:c>
      <x:c r="E32" s="9" t="str">
        <x:v>P1</x:v>
      </x:c>
      <x:c r="F32" s="9" t="str">
        <x:v>ME1</x:v>
      </x:c>
      <x:c r="G32" s="9" t="str">
        <x:v>Adaptation</x:v>
      </x:c>
      <x:c r="H32" s="7" t="str">
        <x:v>Ruines massives et végétation humide.</x:v>
      </x:c>
      <x:c r="I32" s="7" t="str">
        <x:v>Statues reconnaissables aux angles principaux.</x:v>
      </x:c>
      <x:c r="J32" s="7" t="str"/>
      <x:c r="K32" s="7" t="str">
        <x:v>content/scenery/SCN-ilos-statues.json</x:v>
      </x:c>
      <x:c r="L32" s="7" t="str"/>
      <x:c r="M32" s="7" t="str"/>
      <x:c r="N32" s="7" t="str">
        <x:v>Direction de production originale fondée sur les ambiances ; proportions à vérifier sur captures.</x:v>
      </x:c>
      <x:c r="O32" s="7" t="str">
        <x:v>https://www.ea.com/ea-play/news/visual-improvements</x:v>
      </x:c>
      <x:c r="P32" s="7" t="str">
        <x:v>Production ME1</x:v>
      </x:c>
      <x:c r="Q32" s="7" t="str"/>
    </x:row>
    <x:row r="33" ht="36" customHeight="1">
      <x:c r="A33" s="13" t="str">
        <x:v>SCN-ilos-archives</x:v>
      </x:c>
      <x:c r="B33" s="14" t="str">
        <x:v>Ilos archives</x:v>
      </x:c>
      <x:c r="C33" s="10" t="str">
        <x:v>Défini</x:v>
      </x:c>
      <x:c r="D33" s="11" t="str">
        <x:v>À produire</x:v>
      </x:c>
      <x:c r="E33" s="15" t="str">
        <x:v>P1</x:v>
      </x:c>
      <x:c r="F33" s="15" t="str">
        <x:v>ME1</x:v>
      </x:c>
      <x:c r="G33" s="15" t="str">
        <x:v>Adaptation</x:v>
      </x:c>
      <x:c r="H33" s="14" t="str">
        <x:v>Longs couloirs de données et veille prothéenne.</x:v>
      </x:c>
      <x:c r="I33" s="14" t="str">
        <x:v>Éclairage guide vers Vigil sans révélation anticipée.</x:v>
      </x:c>
      <x:c r="J33" s="14" t="str"/>
      <x:c r="K33" s="14" t="str">
        <x:v>content/scenery/SCN-ilos-archives.json</x:v>
      </x:c>
      <x:c r="L33" s="14" t="str"/>
      <x:c r="M33" s="14" t="str"/>
      <x:c r="N33" s="14" t="str">
        <x:v>Direction de production originale fondée sur les ambiances ; proportions à vérifier sur captures.</x:v>
      </x:c>
      <x:c r="O33" s="14" t="str">
        <x:v>https://www.ea.com/ea-play/news/visual-improvements</x:v>
      </x:c>
      <x:c r="P33" s="14" t="str">
        <x:v>Production ME1</x:v>
      </x:c>
      <x:c r="Q33" s="14" t="str"/>
    </x:row>
    <x:row r="34" ht="36" customHeight="1">
      <x:c r="A34" s="12" t="str">
        <x:v>SCN-x57-surface</x:v>
      </x:c>
      <x:c r="B34" s="7" t="str">
        <x:v>X57 surface</x:v>
      </x:c>
      <x:c r="C34" s="10" t="str">
        <x:v>Défini</x:v>
      </x:c>
      <x:c r="D34" s="11" t="str">
        <x:v>À produire</x:v>
      </x:c>
      <x:c r="E34" s="9" t="str">
        <x:v>P1</x:v>
      </x:c>
      <x:c r="F34" s="9" t="str">
        <x:v>ME1</x:v>
      </x:c>
      <x:c r="G34" s="9" t="str">
        <x:v>Adaptation</x:v>
      </x:c>
      <x:c r="H34" s="7" t="str">
        <x:v>Sol d’astéroïde, ciel et propulseurs.</x:v>
      </x:c>
      <x:c r="I34" s="7" t="str">
        <x:v>Orientation de la planète menacée cohérente.</x:v>
      </x:c>
      <x:c r="J34" s="7" t="str"/>
      <x:c r="K34" s="7" t="str">
        <x:v>content/scenery/SCN-x57-surface.json</x:v>
      </x:c>
      <x:c r="L34" s="7" t="str"/>
      <x:c r="M34" s="7" t="str"/>
      <x:c r="N34" s="7" t="str">
        <x:v>Direction de production originale fondée sur les ambiances ; proportions à vérifier sur captures.</x:v>
      </x:c>
      <x:c r="O34" s="7" t="str">
        <x:v>https://www.ea.com/ea-play/news/visual-improvements</x:v>
      </x:c>
      <x:c r="P34" s="7" t="str">
        <x:v>Production ME1</x:v>
      </x:c>
      <x:c r="Q34" s="7" t="str"/>
    </x:row>
    <x:row r="35" ht="36" customHeight="1">
      <x:c r="A35" s="13" t="str">
        <x:v>SCN-luna-surface</x:v>
      </x:c>
      <x:c r="B35" s="14" t="str">
        <x:v>Luna surface</x:v>
      </x:c>
      <x:c r="C35" s="10" t="str">
        <x:v>Défini</x:v>
      </x:c>
      <x:c r="D35" s="11" t="str">
        <x:v>À produire</x:v>
      </x:c>
      <x:c r="E35" s="15" t="str">
        <x:v>P1</x:v>
      </x:c>
      <x:c r="F35" s="15" t="str">
        <x:v>ME1</x:v>
      </x:c>
      <x:c r="G35" s="15" t="str">
        <x:v>Adaptation</x:v>
      </x:c>
      <x:c r="H35" s="14" t="str">
        <x:v>Sol lunaire et installations de l’Alliance.</x:v>
      </x:c>
      <x:c r="I35" s="14" t="str">
        <x:v>Ombres et horizon sans atmosphère épaisse.</x:v>
      </x:c>
      <x:c r="J35" s="14" t="str"/>
      <x:c r="K35" s="14" t="str">
        <x:v>content/scenery/SCN-luna-surface.json</x:v>
      </x:c>
      <x:c r="L35" s="14" t="str"/>
      <x:c r="M35" s="14" t="str"/>
      <x:c r="N35" s="14" t="str">
        <x:v>Direction de production originale fondée sur les ambiances ; proportions à vérifier sur captures.</x:v>
      </x:c>
      <x:c r="O35" s="14" t="str">
        <x:v>https://www.ea.com/ea-play/news/visual-improvements</x:v>
      </x:c>
      <x:c r="P35" s="14" t="str">
        <x:v>Production ME1</x:v>
      </x:c>
      <x:c r="Q35" s="14" t="str"/>
    </x:row>
    <x:row r="36" ht="36" customHeight="1">
      <x:c r="A36" s="12" t="str">
        <x:v>SCN-monde-minier-modulaire</x:v>
      </x:c>
      <x:c r="B36" s="7" t="str">
        <x:v>Monde minier modulaire</x:v>
      </x:c>
      <x:c r="C36" s="10" t="str">
        <x:v>Défini</x:v>
      </x:c>
      <x:c r="D36" s="11" t="str">
        <x:v>À produire</x:v>
      </x:c>
      <x:c r="E36" s="9" t="str">
        <x:v>P1</x:v>
      </x:c>
      <x:c r="F36" s="9" t="str">
        <x:v>ME1</x:v>
      </x:c>
      <x:c r="G36" s="9" t="str">
        <x:v>Adaptation</x:v>
      </x:c>
      <x:c r="H36" s="7" t="str">
        <x:v>Kit de bases pour missions annexes.</x:v>
      </x:c>
      <x:c r="I36" s="7" t="str">
        <x:v>Varier implantation et navigation selon mission, pas seulement couleur.</x:v>
      </x:c>
      <x:c r="J36" s="7" t="str"/>
      <x:c r="K36" s="7" t="str">
        <x:v>content/scenery/SCN-monde-minier-modulaire.json</x:v>
      </x:c>
      <x:c r="L36" s="7" t="str"/>
      <x:c r="M36" s="7" t="str"/>
      <x:c r="N36" s="7" t="str">
        <x:v>Direction de production originale fondée sur les ambiances ; proportions à vérifier sur captures.</x:v>
      </x:c>
      <x:c r="O36" s="7" t="str">
        <x:v>https://www.ea.com/ea-play/news/visual-improvements</x:v>
      </x:c>
      <x:c r="P36" s="7" t="str">
        <x:v>Production ME1</x:v>
      </x:c>
      <x:c r="Q36" s="7" t="str"/>
    </x:row>
    <x:row r="37" ht="36" customHeight="1">
      <x:c r="A37" s="13" t="str">
        <x:v>SCN-cargo-spatial-modulaire</x:v>
      </x:c>
      <x:c r="B37" s="14" t="str">
        <x:v>Cargo spatial modulaire</x:v>
      </x:c>
      <x:c r="C37" s="10" t="str">
        <x:v>Défini</x:v>
      </x:c>
      <x:c r="D37" s="11" t="str">
        <x:v>À produire</x:v>
      </x:c>
      <x:c r="E37" s="15" t="str">
        <x:v>P1</x:v>
      </x:c>
      <x:c r="F37" s="15" t="str">
        <x:v>ME1</x:v>
      </x:c>
      <x:c r="G37" s="15" t="str">
        <x:v>Adaptation</x:v>
      </x:c>
      <x:c r="H37" s="14" t="str">
        <x:v>Couloirs, soutes et compartiments.</x:v>
      </x:c>
      <x:c r="I37" s="14" t="str">
        <x:v>Portes à l’échelle et trajet déduisible.</x:v>
      </x:c>
      <x:c r="J37" s="14" t="str"/>
      <x:c r="K37" s="14" t="str">
        <x:v>content/scenery/SCN-cargo-spatial-modulaire.json</x:v>
      </x:c>
      <x:c r="L37" s="14" t="str"/>
      <x:c r="M37" s="14" t="str"/>
      <x:c r="N37" s="14" t="str">
        <x:v>Direction de production originale fondée sur les ambiances ; proportions à vérifier sur captures.</x:v>
      </x:c>
      <x:c r="O37" s="14" t="str">
        <x:v>https://www.ea.com/ea-play/news/visual-improvements</x:v>
      </x:c>
      <x:c r="P37" s="14" t="str">
        <x:v>Production ME1</x:v>
      </x:c>
      <x:c r="Q37" s="14" t="str"/>
    </x:row>
    <x:row r="38" ht="36" customHeight="1">
      <x:c r="A38" s="12" t="str">
        <x:v>SCN-mine-annexe-modulaire</x:v>
      </x:c>
      <x:c r="B38" s="7" t="str">
        <x:v>Mine annexe modulaire</x:v>
      </x:c>
      <x:c r="C38" s="10" t="str">
        <x:v>Défini</x:v>
      </x:c>
      <x:c r="D38" s="11" t="str">
        <x:v>À produire</x:v>
      </x:c>
      <x:c r="E38" s="9" t="str">
        <x:v>P1</x:v>
      </x:c>
      <x:c r="F38" s="9" t="str">
        <x:v>ME1</x:v>
      </x:c>
      <x:c r="G38" s="9" t="str">
        <x:v>Adaptation</x:v>
      </x:c>
      <x:c r="H38" s="7" t="str">
        <x:v>Tunnels et poches souterraines.</x:v>
      </x:c>
      <x:c r="I38" s="7" t="str">
        <x:v>Boucles et impasses décidées selon la mission.</x:v>
      </x:c>
      <x:c r="J38" s="7" t="str"/>
      <x:c r="K38" s="7" t="str">
        <x:v>content/scenery/SCN-mine-annexe-modulaire.json</x:v>
      </x:c>
      <x:c r="L38" s="7" t="str"/>
      <x:c r="M38" s="7" t="str"/>
      <x:c r="N38" s="7" t="str">
        <x:v>Direction de production originale fondée sur les ambiances ; proportions à vérifier sur captures.</x:v>
      </x:c>
      <x:c r="O38" s="7" t="str">
        <x:v>https://www.ea.com/ea-play/news/visual-improvements</x:v>
      </x:c>
      <x:c r="P38" s="7" t="str">
        <x:v>Production ME1</x:v>
      </x:c>
      <x:c r="Q38" s="7" t="str"/>
    </x:row>
    <x:row r="39" ht="36" customHeight="1">
      <x:c r="A39" s="13" t="str">
        <x:v>SCN-effet-profondeur-camera</x:v>
      </x:c>
      <x:c r="B39" s="14" t="str">
        <x:v>Effet profondeur caméra</x:v>
      </x:c>
      <x:c r="C39" s="10" t="str">
        <x:v>Défini</x:v>
      </x:c>
      <x:c r="D39" s="11" t="str">
        <x:v>À produire</x:v>
      </x:c>
      <x:c r="E39" s="15" t="str">
        <x:v>P1</x:v>
      </x:c>
      <x:c r="F39" s="15" t="str">
        <x:v>ME1</x:v>
      </x:c>
      <x:c r="G39" s="15" t="str">
        <x:v>Adaptation</x:v>
      </x:c>
      <x:c r="H39" s="14" t="str">
        <x:v>Caméras fixes ou semi-fixes à profondeur réelle.</x:v>
      </x:c>
      <x:c r="I39" s="14" t="str">
        <x:v>Personnages correctement occultés par la géométrie.</x:v>
      </x:c>
      <x:c r="J39" s="14" t="str"/>
      <x:c r="K39" s="14" t="str">
        <x:v>content/scenery/SCN-effet-profondeur-camera.json</x:v>
      </x:c>
      <x:c r="L39" s="14" t="str"/>
      <x:c r="M39" s="14" t="str"/>
      <x:c r="N39" s="14" t="str">
        <x:v>Direction de production originale fondée sur les ambiances ; proportions à vérifier sur captures.</x:v>
      </x:c>
      <x:c r="O39" s="14" t="str">
        <x:v>https://www.ea.com/ea-play/news/visual-improvements</x:v>
      </x:c>
      <x:c r="P39" s="14" t="str">
        <x:v>Production ME1</x:v>
      </x:c>
      <x:c r="Q39" s="14" t="str"/>
    </x:row>
    <x:row r="40" ht="36" customHeight="1">
      <x:c r="A40" s="12" t="str">
        <x:v>SCN-eclairage-des-sprites</x:v>
      </x:c>
      <x:c r="B40" s="7" t="str">
        <x:v>Éclairage des sprites</x:v>
      </x:c>
      <x:c r="C40" s="10" t="str">
        <x:v>Défini</x:v>
      </x:c>
      <x:c r="D40" s="11" t="str">
        <x:v>À produire</x:v>
      </x:c>
      <x:c r="E40" s="9" t="str">
        <x:v>P1</x:v>
      </x:c>
      <x:c r="F40" s="9" t="str">
        <x:v>ME1</x:v>
      </x:c>
      <x:c r="G40" s="9" t="str">
        <x:v>Adaptation</x:v>
      </x:c>
      <x:c r="H40" s="7" t="str">
        <x:v>Normales ou éclairage stylisé cohérent avec le décor.</x:v>
      </x:c>
      <x:c r="I40" s="7" t="str">
        <x:v>Éviter sprite plat surexposé dans les scènes sombres.</x:v>
      </x:c>
      <x:c r="J40" s="7" t="str"/>
      <x:c r="K40" s="7" t="str">
        <x:v>content/scenery/SCN-eclairage-des-sprites.json</x:v>
      </x:c>
      <x:c r="L40" s="7" t="str"/>
      <x:c r="M40" s="7" t="str"/>
      <x:c r="N40" s="7" t="str">
        <x:v>Direction de production originale fondée sur les ambiances ; proportions à vérifier sur captures.</x:v>
      </x:c>
      <x:c r="O40" s="7" t="str">
        <x:v>https://www.ea.com/ea-play/news/visual-improvements</x:v>
      </x:c>
      <x:c r="P40" s="7" t="str">
        <x:v>Production ME1</x:v>
      </x:c>
      <x:c r="Q40" s="7" t="str"/>
    </x:row>
    <x:row r="41" ht="36" customHeight="1">
      <x:c r="A41" s="13" t="str">
        <x:v>SCN-ombres-des-personnages</x:v>
      </x:c>
      <x:c r="B41" s="14" t="str">
        <x:v>Ombres des personnages</x:v>
      </x:c>
      <x:c r="C41" s="10" t="str">
        <x:v>Défini</x:v>
      </x:c>
      <x:c r="D41" s="11" t="str">
        <x:v>À produire</x:v>
      </x:c>
      <x:c r="E41" s="15" t="str">
        <x:v>P1</x:v>
      </x:c>
      <x:c r="F41" s="15" t="str">
        <x:v>ME1</x:v>
      </x:c>
      <x:c r="G41" s="15" t="str">
        <x:v>Adaptation</x:v>
      </x:c>
      <x:c r="H41" s="14" t="str">
        <x:v>Ombre de contact raccordée au sol et à la taille.</x:v>
      </x:c>
      <x:c r="I41" s="14" t="str">
        <x:v>Aucune ombre traversant un mur ou restant en l’air.</x:v>
      </x:c>
      <x:c r="J41" s="14" t="str"/>
      <x:c r="K41" s="14" t="str">
        <x:v>content/scenery/SCN-ombres-des-personnages.json</x:v>
      </x:c>
      <x:c r="L41" s="14" t="str"/>
      <x:c r="M41" s="14" t="str"/>
      <x:c r="N41" s="14" t="str">
        <x:v>Direction de production originale fondée sur les ambiances ; proportions à vérifier sur captures.</x:v>
      </x:c>
      <x:c r="O41" s="14" t="str">
        <x:v>https://www.ea.com/ea-play/news/visual-improvements</x:v>
      </x:c>
      <x:c r="P41" s="14" t="str">
        <x:v>Production ME1</x:v>
      </x:c>
      <x:c r="Q41" s="14" t="str"/>
    </x:row>
  </x:sheetData>
  <x:conditionalFormatting sqref="C7:C41">
    <x:cfRule type="cellIs" dxfId="290" priority="1" operator="equal">
      <x:formula>"Prototype"</x:formula>
    </x:cfRule>
    <x:cfRule type="cellIs" dxfId="291" priority="2" operator="equal">
      <x:formula>"Intégré"</x:formula>
    </x:cfRule>
    <x:cfRule type="cellIs" dxfId="292" priority="3" operator="equal">
      <x:formula>"Validé"</x:formula>
    </x:cfRule>
  </x:conditionalFormatting>
  <x:conditionalFormatting sqref="G7:G41">
    <x:cfRule type="cellIs" dxfId="293" priority="4" operator="equal">
      <x:formula>"Référence à vérifier"</x:formula>
    </x:cfRule>
  </x:conditionalFormatting>
  <x:conditionalFormatting sqref="E7:E41">
    <x:cfRule type="cellIs" dxfId="294" priority="5" operator="equal">
      <x:formula>"P0"</x:formula>
    </x:cfRule>
  </x:conditionalFormatting>
  <x:dataValidations count="5">
    <x:dataValidation type="list" sqref="C7:C41">
      <x:formula1>"Défini,Prototype,Intégré,Validé"</x:formula1>
    </x:dataValidation>
    <x:dataValidation type="list" sqref="D7:D41">
      <x:formula1>"À produire,Prototype,Disponible,Validé,Sans objet,Non planifié"</x:formula1>
    </x:dataValidation>
    <x:dataValidation type="list" sqref="E7:E41">
      <x:formula1>"P0,P1,P2"</x:formula1>
    </x:dataValidation>
    <x:dataValidation type="list" sqref="F7:F41">
      <x:formula1>"ME1,ME2,ME3,TRANSVERSE"</x:formula1>
    </x:dataValidation>
    <x:dataValidation type="list" sqref="G7:G41">
      <x:formula1>"Confirmé,Référence à vérifier,Adaptation"</x:formula1>
    </x:dataValidation>
  </x:dataValidations>
  <x:pageMargins left="0.7" right="0.7" top="0.75" bottom="0.75" header="0.3" footer="0.3"/>
  <x:tableParts count="1">
    <x:tablePart xmlns:r="http://schemas.openxmlformats.org/officeDocument/2006/relationships" r:id="Rd5a935f57209451d"/>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Props</x:v>
      </x:c>
      <x:c r="B2" s="2"/>
      <x:c r="C2" s="2"/>
      <x:c r="D2" s="2"/>
      <x:c r="E2" s="2"/>
      <x:c r="F2" s="2"/>
      <x:c r="G2" s="2"/>
      <x:c r="H2" s="2"/>
      <x:c r="I2" s="2"/>
      <x:c r="J2" s="2"/>
      <x:c r="K2" s="2"/>
      <x:c r="L2" s="2"/>
      <x:c r="M2" s="2"/>
      <x:c r="N2" s="2"/>
      <x:c r="O2" s="2"/>
      <x:c r="P2" s="2"/>
      <x:c r="Q2" s="2"/>
    </x:row>
    <x:row r="3" ht="22" customHeight="1">
      <x:c r="A3" s="4" t="str">
        <x:v>Objets de décor et interactions</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PRP-console-de-navigation</x:v>
      </x:c>
      <x:c r="B7" s="14" t="str">
        <x:v>Console de navigation</x:v>
      </x:c>
      <x:c r="C7" s="10" t="str">
        <x:v>Défini</x:v>
      </x:c>
      <x:c r="D7" s="11" t="str">
        <x:v>À produire</x:v>
      </x:c>
      <x:c r="E7" s="15" t="str">
        <x:v>P1</x:v>
      </x:c>
      <x:c r="F7" s="15" t="str">
        <x:v>ME1</x:v>
      </x:c>
      <x:c r="G7" s="15" t="str">
        <x:v>Adaptation</x:v>
      </x:c>
      <x:c r="H7" s="14" t="str">
        <x:v>Écran holographique dans le CIC.</x:v>
      </x:c>
      <x:c r="I7" s="14" t="str">
        <x:v>Interaction ouvrant la carte sans changer la position du joueur.</x:v>
      </x:c>
      <x:c r="J7" s="14" t="str"/>
      <x:c r="K7" s="14" t="str">
        <x:v>content/props/PRP-console-de-navigation.json</x:v>
      </x:c>
      <x:c r="L7" s="14" t="str"/>
      <x:c r="M7" s="14" t="str"/>
      <x:c r="N7" s="14" t="str">
        <x:v>Décisions du fan game ; aucune prétention de canon officiel</x:v>
      </x:c>
      <x:c r="O7" s="14" t="str"/>
      <x:c r="P7" s="14" t="str">
        <x:v>Production ME1</x:v>
      </x:c>
      <x:c r="Q7" s="14" t="str"/>
    </x:row>
    <x:row r="8" ht="36" customHeight="1">
      <x:c r="A8" s="12" t="str">
        <x:v>PRP-carte-galactique-holographique</x:v>
      </x:c>
      <x:c r="B8" s="7" t="str">
        <x:v>Carte galactique holographique</x:v>
      </x:c>
      <x:c r="C8" s="10" t="str">
        <x:v>Défini</x:v>
      </x:c>
      <x:c r="D8" s="11" t="str">
        <x:v>À produire</x:v>
      </x:c>
      <x:c r="E8" s="9" t="str">
        <x:v>P1</x:v>
      </x:c>
      <x:c r="F8" s="9" t="str">
        <x:v>ME1</x:v>
      </x:c>
      <x:c r="G8" s="9" t="str">
        <x:v>Adaptation</x:v>
      </x:c>
      <x:c r="H8" s="7" t="str">
        <x:v>Table de navigation en volume.</x:v>
      </x:c>
      <x:c r="I8" s="7" t="str">
        <x:v>Sélection amas, système et destination clairement hiérarchisée.</x:v>
      </x:c>
      <x:c r="J8" s="7" t="str"/>
      <x:c r="K8" s="7" t="str">
        <x:v>content/props/PRP-carte-galactique-holographique.json</x:v>
      </x:c>
      <x:c r="L8" s="7" t="str"/>
      <x:c r="M8" s="7" t="str"/>
      <x:c r="N8" s="7" t="str">
        <x:v>Décisions du fan game ; aucune prétention de canon officiel</x:v>
      </x:c>
      <x:c r="O8" s="7" t="str"/>
      <x:c r="P8" s="7" t="str">
        <x:v>Production ME1</x:v>
      </x:c>
      <x:c r="Q8" s="7" t="str"/>
    </x:row>
    <x:row r="9" ht="36" customHeight="1">
      <x:c r="A9" s="13" t="str">
        <x:v>PRP-siege-de-pilote</x:v>
      </x:c>
      <x:c r="B9" s="14" t="str">
        <x:v>Siège de pilote</x:v>
      </x:c>
      <x:c r="C9" s="10" t="str">
        <x:v>Défini</x:v>
      </x:c>
      <x:c r="D9" s="11" t="str">
        <x:v>À produire</x:v>
      </x:c>
      <x:c r="E9" s="15" t="str">
        <x:v>P1</x:v>
      </x:c>
      <x:c r="F9" s="15" t="str">
        <x:v>ME1</x:v>
      </x:c>
      <x:c r="G9" s="15" t="str">
        <x:v>Adaptation</x:v>
      </x:c>
      <x:c r="H9" s="14" t="str">
        <x:v>Poste de Joker.</x:v>
      </x:c>
      <x:c r="I9" s="14" t="str">
        <x:v>Position assise et accès de dialogue corrects.</x:v>
      </x:c>
      <x:c r="J9" s="14" t="str"/>
      <x:c r="K9" s="14" t="str">
        <x:v>content/props/PRP-siege-de-pilote.json</x:v>
      </x:c>
      <x:c r="L9" s="14" t="str"/>
      <x:c r="M9" s="14" t="str"/>
      <x:c r="N9" s="14" t="str">
        <x:v>Décisions du fan game ; aucune prétention de canon officiel</x:v>
      </x:c>
      <x:c r="O9" s="14" t="str"/>
      <x:c r="P9" s="14" t="str">
        <x:v>Production ME1</x:v>
      </x:c>
      <x:c r="Q9" s="14" t="str"/>
    </x:row>
    <x:row r="10" ht="36" customHeight="1">
      <x:c r="A10" s="12" t="str">
        <x:v>PRP-terminal-medical</x:v>
      </x:c>
      <x:c r="B10" s="7" t="str">
        <x:v>Terminal médical</x:v>
      </x:c>
      <x:c r="C10" s="10" t="str">
        <x:v>Défini</x:v>
      </x:c>
      <x:c r="D10" s="11" t="str">
        <x:v>À produire</x:v>
      </x:c>
      <x:c r="E10" s="9" t="str">
        <x:v>P1</x:v>
      </x:c>
      <x:c r="F10" s="9" t="str">
        <x:v>ME1</x:v>
      </x:c>
      <x:c r="G10" s="9" t="str">
        <x:v>Adaptation</x:v>
      </x:c>
      <x:c r="H10" s="7" t="str">
        <x:v>Console auprès de Chakwas.</x:v>
      </x:c>
      <x:c r="I10" s="7" t="str">
        <x:v>Pas de collision bloquant l’infirmerie.</x:v>
      </x:c>
      <x:c r="J10" s="7" t="str"/>
      <x:c r="K10" s="7" t="str">
        <x:v>content/props/PRP-terminal-medical.json</x:v>
      </x:c>
      <x:c r="L10" s="7" t="str"/>
      <x:c r="M10" s="7" t="str"/>
      <x:c r="N10" s="7" t="str">
        <x:v>Décisions du fan game ; aucune prétention de canon officiel</x:v>
      </x:c>
      <x:c r="O10" s="7" t="str"/>
      <x:c r="P10" s="7" t="str">
        <x:v>Production ME1</x:v>
      </x:c>
      <x:c r="Q10" s="7" t="str"/>
    </x:row>
    <x:row r="11" ht="36" customHeight="1">
      <x:c r="A11" s="13" t="str">
        <x:v>PRP-lit-medical</x:v>
      </x:c>
      <x:c r="B11" s="14" t="str">
        <x:v>Lit médical</x:v>
      </x:c>
      <x:c r="C11" s="10" t="str">
        <x:v>Défini</x:v>
      </x:c>
      <x:c r="D11" s="11" t="str">
        <x:v>À produire</x:v>
      </x:c>
      <x:c r="E11" s="15" t="str">
        <x:v>P1</x:v>
      </x:c>
      <x:c r="F11" s="15" t="str">
        <x:v>ME1</x:v>
      </x:c>
      <x:c r="G11" s="15" t="str">
        <x:v>Adaptation</x:v>
      </x:c>
      <x:c r="H11" s="14" t="str">
        <x:v>Meuble de soin du SR-1.</x:v>
      </x:c>
      <x:c r="I11" s="14" t="str">
        <x:v>Sprite allongé ancré au lit et masqué correctement.</x:v>
      </x:c>
      <x:c r="J11" s="14" t="str"/>
      <x:c r="K11" s="14" t="str">
        <x:v>content/props/PRP-lit-medical.json</x:v>
      </x:c>
      <x:c r="L11" s="14" t="str"/>
      <x:c r="M11" s="14" t="str"/>
      <x:c r="N11" s="14" t="str">
        <x:v>Décisions du fan game ; aucune prétention de canon officiel</x:v>
      </x:c>
      <x:c r="O11" s="14" t="str"/>
      <x:c r="P11" s="14" t="str">
        <x:v>Production ME1</x:v>
      </x:c>
      <x:c r="Q11" s="14" t="str"/>
    </x:row>
    <x:row r="12" ht="36" customHeight="1">
      <x:c r="A12" s="12" t="str">
        <x:v>PRP-ratelier-d-armes</x:v>
      </x:c>
      <x:c r="B12" s="7" t="str">
        <x:v>Râtelier d’armes</x:v>
      </x:c>
      <x:c r="C12" s="10" t="str">
        <x:v>Défini</x:v>
      </x:c>
      <x:c r="D12" s="11" t="str">
        <x:v>À produire</x:v>
      </x:c>
      <x:c r="E12" s="9" t="str">
        <x:v>P1</x:v>
      </x:c>
      <x:c r="F12" s="9" t="str">
        <x:v>ME1</x:v>
      </x:c>
      <x:c r="G12" s="9" t="str">
        <x:v>Adaptation</x:v>
      </x:c>
      <x:c r="H12" s="7" t="str">
        <x:v>Armes stockées dans la soute.</x:v>
      </x:c>
      <x:c r="I12" s="7" t="str">
        <x:v>Modèles compatibles avec le premier épisode.</x:v>
      </x:c>
      <x:c r="J12" s="7" t="str"/>
      <x:c r="K12" s="7" t="str">
        <x:v>content/props/PRP-ratelier-d-armes.json</x:v>
      </x:c>
      <x:c r="L12" s="7" t="str"/>
      <x:c r="M12" s="7" t="str"/>
      <x:c r="N12" s="7" t="str">
        <x:v>Décisions du fan game ; aucune prétention de canon officiel</x:v>
      </x:c>
      <x:c r="O12" s="7" t="str"/>
      <x:c r="P12" s="7" t="str">
        <x:v>Production ME1</x:v>
      </x:c>
      <x:c r="Q12" s="7" t="str"/>
    </x:row>
    <x:row r="13" ht="36" customHeight="1">
      <x:c r="A13" s="13" t="str">
        <x:v>PRP-casier-personnel</x:v>
      </x:c>
      <x:c r="B13" s="14" t="str">
        <x:v>Casier personnel</x:v>
      </x:c>
      <x:c r="C13" s="10" t="str">
        <x:v>Défini</x:v>
      </x:c>
      <x:c r="D13" s="11" t="str">
        <x:v>À produire</x:v>
      </x:c>
      <x:c r="E13" s="15" t="str">
        <x:v>P1</x:v>
      </x:c>
      <x:c r="F13" s="15" t="str">
        <x:v>ME1</x:v>
      </x:c>
      <x:c r="G13" s="15" t="str">
        <x:v>Adaptation</x:v>
      </x:c>
      <x:c r="H13" s="14" t="str">
        <x:v>Rangement d’équipage.</x:v>
      </x:c>
      <x:c r="I13" s="14" t="str">
        <x:v>Ouverture éventuelle cohérente avec la collision.</x:v>
      </x:c>
      <x:c r="J13" s="14" t="str"/>
      <x:c r="K13" s="14" t="str">
        <x:v>content/props/PRP-casier-personnel.json</x:v>
      </x:c>
      <x:c r="L13" s="14" t="str"/>
      <x:c r="M13" s="14" t="str"/>
      <x:c r="N13" s="14" t="str">
        <x:v>Décisions du fan game ; aucune prétention de canon officiel</x:v>
      </x:c>
      <x:c r="O13" s="14" t="str"/>
      <x:c r="P13" s="14" t="str">
        <x:v>Production ME1</x:v>
      </x:c>
      <x:c r="Q13" s="14" t="str"/>
    </x:row>
    <x:row r="14" ht="36" customHeight="1">
      <x:c r="A14" s="12" t="str">
        <x:v>PRP-etabli-technique</x:v>
      </x:c>
      <x:c r="B14" s="7" t="str">
        <x:v>Établi technique</x:v>
      </x:c>
      <x:c r="C14" s="10" t="str">
        <x:v>Défini</x:v>
      </x:c>
      <x:c r="D14" s="11" t="str">
        <x:v>À produire</x:v>
      </x:c>
      <x:c r="E14" s="9" t="str">
        <x:v>P1</x:v>
      </x:c>
      <x:c r="F14" s="9" t="str">
        <x:v>ME1</x:v>
      </x:c>
      <x:c r="G14" s="9" t="str">
        <x:v>Adaptation</x:v>
      </x:c>
      <x:c r="H14" s="7" t="str">
        <x:v>Support d’entretien dans la baie.</x:v>
      </x:c>
      <x:c r="I14" s="7" t="str">
        <x:v>Objets de travail à l’échelle des mains.</x:v>
      </x:c>
      <x:c r="J14" s="7" t="str"/>
      <x:c r="K14" s="7" t="str">
        <x:v>content/props/PRP-etabli-technique.json</x:v>
      </x:c>
      <x:c r="L14" s="7" t="str"/>
      <x:c r="M14" s="7" t="str"/>
      <x:c r="N14" s="7" t="str">
        <x:v>Décisions du fan game ; aucune prétention de canon officiel</x:v>
      </x:c>
      <x:c r="O14" s="7" t="str"/>
      <x:c r="P14" s="7" t="str">
        <x:v>Production ME1</x:v>
      </x:c>
      <x:c r="Q14" s="7" t="str"/>
    </x:row>
    <x:row r="15" ht="36" customHeight="1">
      <x:c r="A15" s="13" t="str">
        <x:v>PRP-table-du-mess</x:v>
      </x:c>
      <x:c r="B15" s="14" t="str">
        <x:v>Table du mess</x:v>
      </x:c>
      <x:c r="C15" s="10" t="str">
        <x:v>Défini</x:v>
      </x:c>
      <x:c r="D15" s="11" t="str">
        <x:v>À produire</x:v>
      </x:c>
      <x:c r="E15" s="15" t="str">
        <x:v>P1</x:v>
      </x:c>
      <x:c r="F15" s="15" t="str">
        <x:v>ME1</x:v>
      </x:c>
      <x:c r="G15" s="15" t="str">
        <x:v>Adaptation</x:v>
      </x:c>
      <x:c r="H15" s="14" t="str">
        <x:v>Mobilier social du Normandy.</x:v>
      </x:c>
      <x:c r="I15" s="14" t="str">
        <x:v>Places assises et chemins de circulation libres.</x:v>
      </x:c>
      <x:c r="J15" s="14" t="str"/>
      <x:c r="K15" s="14" t="str">
        <x:v>content/props/PRP-table-du-mess.json</x:v>
      </x:c>
      <x:c r="L15" s="14" t="str"/>
      <x:c r="M15" s="14" t="str"/>
      <x:c r="N15" s="14" t="str">
        <x:v>Décisions du fan game ; aucune prétention de canon officiel</x:v>
      </x:c>
      <x:c r="O15" s="14" t="str"/>
      <x:c r="P15" s="14" t="str">
        <x:v>Production ME1</x:v>
      </x:c>
      <x:c r="Q15" s="14" t="str"/>
    </x:row>
    <x:row r="16" ht="36" customHeight="1">
      <x:c r="A16" s="12" t="str">
        <x:v>PRP-porte-militaire</x:v>
      </x:c>
      <x:c r="B16" s="7" t="str">
        <x:v>Porte militaire</x:v>
      </x:c>
      <x:c r="C16" s="10" t="str">
        <x:v>Défini</x:v>
      </x:c>
      <x:c r="D16" s="11" t="str">
        <x:v>À produire</x:v>
      </x:c>
      <x:c r="E16" s="9" t="str">
        <x:v>P1</x:v>
      </x:c>
      <x:c r="F16" s="9" t="str">
        <x:v>ME1</x:v>
      </x:c>
      <x:c r="G16" s="9" t="str">
        <x:v>Adaptation</x:v>
      </x:c>
      <x:c r="H16" s="7" t="str">
        <x:v>Porte automatique du SR-1.</x:v>
      </x:c>
      <x:c r="I16" s="7" t="str">
        <x:v>État visuel synchronisé avec collision et sauvegarde.</x:v>
      </x:c>
      <x:c r="J16" s="7" t="str"/>
      <x:c r="K16" s="7" t="str">
        <x:v>content/props/PRP-porte-militaire.json</x:v>
      </x:c>
      <x:c r="L16" s="7" t="str"/>
      <x:c r="M16" s="7" t="str"/>
      <x:c r="N16" s="7" t="str">
        <x:v>Décisions du fan game ; aucune prétention de canon officiel</x:v>
      </x:c>
      <x:c r="O16" s="7" t="str"/>
      <x:c r="P16" s="7" t="str">
        <x:v>Production ME1</x:v>
      </x:c>
      <x:c r="Q16" s="7" t="str"/>
    </x:row>
    <x:row r="17" ht="36" customHeight="1">
      <x:c r="A17" s="13" t="str">
        <x:v>PRP-ascenseur-normandy</x:v>
      </x:c>
      <x:c r="B17" s="14" t="str">
        <x:v>Ascenseur Normandy</x:v>
      </x:c>
      <x:c r="C17" s="10" t="str">
        <x:v>Défini</x:v>
      </x:c>
      <x:c r="D17" s="11" t="str">
        <x:v>À produire</x:v>
      </x:c>
      <x:c r="E17" s="15" t="str">
        <x:v>P1</x:v>
      </x:c>
      <x:c r="F17" s="15" t="str">
        <x:v>ME1</x:v>
      </x:c>
      <x:c r="G17" s="15" t="str">
        <x:v>Adaptation</x:v>
      </x:c>
      <x:c r="H17" s="14" t="str">
        <x:v>Transition entre ponts.</x:v>
      </x:c>
      <x:c r="I17" s="14" t="str">
        <x:v>Conserver l’équipe et le sens d’entrée.</x:v>
      </x:c>
      <x:c r="J17" s="14" t="str"/>
      <x:c r="K17" s="14" t="str">
        <x:v>content/props/PRP-ascenseur-normandy.json</x:v>
      </x:c>
      <x:c r="L17" s="14" t="str"/>
      <x:c r="M17" s="14" t="str"/>
      <x:c r="N17" s="14" t="str">
        <x:v>Décisions du fan game ; aucune prétention de canon officiel</x:v>
      </x:c>
      <x:c r="O17" s="14" t="str"/>
      <x:c r="P17" s="14" t="str">
        <x:v>Production ME1</x:v>
      </x:c>
      <x:c r="Q17" s="14" t="str"/>
    </x:row>
    <x:row r="18" ht="36" customHeight="1">
      <x:c r="A18" s="12" t="str">
        <x:v>PRP-veilleur-au-travail</x:v>
      </x:c>
      <x:c r="B18" s="7" t="str">
        <x:v>Veilleur au travail</x:v>
      </x:c>
      <x:c r="C18" s="10" t="str">
        <x:v>Défini</x:v>
      </x:c>
      <x:c r="D18" s="11" t="str">
        <x:v>À produire</x:v>
      </x:c>
      <x:c r="E18" s="9" t="str">
        <x:v>P1</x:v>
      </x:c>
      <x:c r="F18" s="9" t="str">
        <x:v>ME1</x:v>
      </x:c>
      <x:c r="G18" s="9" t="str">
        <x:v>Adaptation</x:v>
      </x:c>
      <x:c r="H18" s="7" t="str">
        <x:v>Créature ambiante devant une console.</x:v>
      </x:c>
      <x:c r="I18" s="7" t="str">
        <x:v>Animation spécifique sans interaction agressive.</x:v>
      </x:c>
      <x:c r="J18" s="7" t="str"/>
      <x:c r="K18" s="7" t="str">
        <x:v>content/props/PRP-veilleur-au-travail.json</x:v>
      </x:c>
      <x:c r="L18" s="7" t="str"/>
      <x:c r="M18" s="7" t="str"/>
      <x:c r="N18" s="7" t="str">
        <x:v>Décisions du fan game ; aucune prétention de canon officiel</x:v>
      </x:c>
      <x:c r="O18" s="7" t="str"/>
      <x:c r="P18" s="7" t="str">
        <x:v>Production ME1</x:v>
      </x:c>
      <x:c r="Q18" s="7" t="str"/>
    </x:row>
    <x:row r="19" ht="36" customHeight="1">
      <x:c r="A19" s="13" t="str">
        <x:v>PRP-banc-presidium</x:v>
      </x:c>
      <x:c r="B19" s="14" t="str">
        <x:v>Banc Présidium</x:v>
      </x:c>
      <x:c r="C19" s="10" t="str">
        <x:v>Défini</x:v>
      </x:c>
      <x:c r="D19" s="11" t="str">
        <x:v>À produire</x:v>
      </x:c>
      <x:c r="E19" s="15" t="str">
        <x:v>P1</x:v>
      </x:c>
      <x:c r="F19" s="15" t="str">
        <x:v>ME1</x:v>
      </x:c>
      <x:c r="G19" s="15" t="str">
        <x:v>Adaptation</x:v>
      </x:c>
      <x:c r="H19" s="14" t="str">
        <x:v>Mobilier de promenade.</x:v>
      </x:c>
      <x:c r="I19" s="14" t="str">
        <x:v>PNJ assis sans intersection avec le dossier.</x:v>
      </x:c>
      <x:c r="J19" s="14" t="str"/>
      <x:c r="K19" s="14" t="str">
        <x:v>content/props/PRP-banc-presidium.json</x:v>
      </x:c>
      <x:c r="L19" s="14" t="str"/>
      <x:c r="M19" s="14" t="str"/>
      <x:c r="N19" s="14" t="str">
        <x:v>Décisions du fan game ; aucune prétention de canon officiel</x:v>
      </x:c>
      <x:c r="O19" s="14" t="str"/>
      <x:c r="P19" s="14" t="str">
        <x:v>Production ME1</x:v>
      </x:c>
      <x:c r="Q19" s="14" t="str"/>
    </x:row>
    <x:row r="20" ht="36" customHeight="1">
      <x:c r="A20" s="12" t="str">
        <x:v>PRP-fontaine-presidium</x:v>
      </x:c>
      <x:c r="B20" s="7" t="str">
        <x:v>Fontaine Présidium</x:v>
      </x:c>
      <x:c r="C20" s="10" t="str">
        <x:v>Défini</x:v>
      </x:c>
      <x:c r="D20" s="11" t="str">
        <x:v>À produire</x:v>
      </x:c>
      <x:c r="E20" s="9" t="str">
        <x:v>P1</x:v>
      </x:c>
      <x:c r="F20" s="9" t="str">
        <x:v>ME1</x:v>
      </x:c>
      <x:c r="G20" s="9" t="str">
        <x:v>Adaptation</x:v>
      </x:c>
      <x:c r="H20" s="7" t="str">
        <x:v>Eau et architecture de jardin.</x:v>
      </x:c>
      <x:c r="I20" s="7" t="str">
        <x:v>Réflexion discrète, aucun obstacle invisible.</x:v>
      </x:c>
      <x:c r="J20" s="7" t="str"/>
      <x:c r="K20" s="7" t="str">
        <x:v>content/props/PRP-fontaine-presidium.json</x:v>
      </x:c>
      <x:c r="L20" s="7" t="str"/>
      <x:c r="M20" s="7" t="str"/>
      <x:c r="N20" s="7" t="str">
        <x:v>Décisions du fan game ; aucune prétention de canon officiel</x:v>
      </x:c>
      <x:c r="O20" s="7" t="str"/>
      <x:c r="P20" s="7" t="str">
        <x:v>Production ME1</x:v>
      </x:c>
      <x:c r="Q20" s="7" t="str"/>
    </x:row>
    <x:row r="21" ht="36" customHeight="1">
      <x:c r="A21" s="13" t="str">
        <x:v>PRP-arbre-presidium</x:v>
      </x:c>
      <x:c r="B21" s="14" t="str">
        <x:v>Arbre Présidium</x:v>
      </x:c>
      <x:c r="C21" s="10" t="str">
        <x:v>Défini</x:v>
      </x:c>
      <x:c r="D21" s="11" t="str">
        <x:v>À produire</x:v>
      </x:c>
      <x:c r="E21" s="15" t="str">
        <x:v>P1</x:v>
      </x:c>
      <x:c r="F21" s="15" t="str">
        <x:v>ME1</x:v>
      </x:c>
      <x:c r="G21" s="15" t="str">
        <x:v>Adaptation</x:v>
      </x:c>
      <x:c r="H21" s="14" t="str">
        <x:v>Arbre décoratif en serre.</x:v>
      </x:c>
      <x:c r="I21" s="14" t="str">
        <x:v>Occlusion partielle configurable devant le joueur.</x:v>
      </x:c>
      <x:c r="J21" s="14" t="str"/>
      <x:c r="K21" s="14" t="str">
        <x:v>content/props/PRP-arbre-presidium.json</x:v>
      </x:c>
      <x:c r="L21" s="14" t="str"/>
      <x:c r="M21" s="14" t="str"/>
      <x:c r="N21" s="14" t="str">
        <x:v>Décisions du fan game ; aucune prétention de canon officiel</x:v>
      </x:c>
      <x:c r="O21" s="14" t="str"/>
      <x:c r="P21" s="14" t="str">
        <x:v>Production ME1</x:v>
      </x:c>
      <x:c r="Q21" s="14" t="str"/>
    </x:row>
    <x:row r="22" ht="36" customHeight="1">
      <x:c r="A22" s="12" t="str">
        <x:v>PRP-panneau-de-transport</x:v>
      </x:c>
      <x:c r="B22" s="7" t="str">
        <x:v>Panneau de transport</x:v>
      </x:c>
      <x:c r="C22" s="10" t="str">
        <x:v>Défini</x:v>
      </x:c>
      <x:c r="D22" s="11" t="str">
        <x:v>À produire</x:v>
      </x:c>
      <x:c r="E22" s="9" t="str">
        <x:v>P1</x:v>
      </x:c>
      <x:c r="F22" s="9" t="str">
        <x:v>ME1</x:v>
      </x:c>
      <x:c r="G22" s="9" t="str">
        <x:v>Adaptation</x:v>
      </x:c>
      <x:c r="H22" s="7" t="str">
        <x:v>Signalétique de la station.</x:v>
      </x:c>
      <x:c r="I22" s="7" t="str">
        <x:v>Destination affichée identique à la destination réelle.</x:v>
      </x:c>
      <x:c r="J22" s="7" t="str"/>
      <x:c r="K22" s="7" t="str">
        <x:v>content/props/PRP-panneau-de-transport.json</x:v>
      </x:c>
      <x:c r="L22" s="7" t="str"/>
      <x:c r="M22" s="7" t="str"/>
      <x:c r="N22" s="7" t="str">
        <x:v>Décisions du fan game ; aucune prétention de canon officiel</x:v>
      </x:c>
      <x:c r="O22" s="7" t="str"/>
      <x:c r="P22" s="7" t="str">
        <x:v>Production ME1</x:v>
      </x:c>
      <x:c r="Q22" s="7" t="str"/>
    </x:row>
    <x:row r="23" ht="36" customHeight="1">
      <x:c r="A23" s="13" t="str">
        <x:v>PRP-vitrine-commercante</x:v>
      </x:c>
      <x:c r="B23" s="14" t="str">
        <x:v>Vitrine commerçante</x:v>
      </x:c>
      <x:c r="C23" s="10" t="str">
        <x:v>Défini</x:v>
      </x:c>
      <x:c r="D23" s="11" t="str">
        <x:v>À produire</x:v>
      </x:c>
      <x:c r="E23" s="15" t="str">
        <x:v>P1</x:v>
      </x:c>
      <x:c r="F23" s="15" t="str">
        <x:v>ME1</x:v>
      </x:c>
      <x:c r="G23" s="15" t="str">
        <x:v>Adaptation</x:v>
      </x:c>
      <x:c r="H23" s="14" t="str">
        <x:v>Armes et marchandises exposées.</x:v>
      </x:c>
      <x:c r="I23" s="14" t="str">
        <x:v>Stock interactif distingué des éléments décoratifs.</x:v>
      </x:c>
      <x:c r="J23" s="14" t="str"/>
      <x:c r="K23" s="14" t="str">
        <x:v>content/props/PRP-vitrine-commercante.json</x:v>
      </x:c>
      <x:c r="L23" s="14" t="str"/>
      <x:c r="M23" s="14" t="str"/>
      <x:c r="N23" s="14" t="str">
        <x:v>Décisions du fan game ; aucune prétention de canon officiel</x:v>
      </x:c>
      <x:c r="O23" s="14" t="str"/>
      <x:c r="P23" s="14" t="str">
        <x:v>Production ME1</x:v>
      </x:c>
      <x:c r="Q23" s="14" t="str"/>
    </x:row>
    <x:row r="24" ht="36" customHeight="1">
      <x:c r="A24" s="12" t="str">
        <x:v>PRP-machine-de-jeu-quasar</x:v>
      </x:c>
      <x:c r="B24" s="7" t="str">
        <x:v>Machine de jeu Quasar</x:v>
      </x:c>
      <x:c r="C24" s="10" t="str">
        <x:v>Défini</x:v>
      </x:c>
      <x:c r="D24" s="11" t="str">
        <x:v>À produire</x:v>
      </x:c>
      <x:c r="E24" s="9" t="str">
        <x:v>P1</x:v>
      </x:c>
      <x:c r="F24" s="9" t="str">
        <x:v>ME1</x:v>
      </x:c>
      <x:c r="G24" s="9" t="str">
        <x:v>Adaptation</x:v>
      </x:c>
      <x:c r="H24" s="7" t="str">
        <x:v>Activité de détente au Flux.</x:v>
      </x:c>
      <x:c r="I24" s="7" t="str">
        <x:v>Règles et récompenses documentées avant activation.</x:v>
      </x:c>
      <x:c r="J24" s="7" t="str"/>
      <x:c r="K24" s="7" t="str">
        <x:v>content/props/PRP-machine-de-jeu-quasar.json</x:v>
      </x:c>
      <x:c r="L24" s="7" t="str"/>
      <x:c r="M24" s="7" t="str"/>
      <x:c r="N24" s="7" t="str">
        <x:v>Décisions du fan game ; aucune prétention de canon officiel</x:v>
      </x:c>
      <x:c r="O24" s="7" t="str"/>
      <x:c r="P24" s="7" t="str">
        <x:v>Production ME1</x:v>
      </x:c>
      <x:c r="Q24" s="7" t="str"/>
    </x:row>
    <x:row r="25" ht="36" customHeight="1">
      <x:c r="A25" s="13" t="str">
        <x:v>PRP-table-de-bar</x:v>
      </x:c>
      <x:c r="B25" s="14" t="str">
        <x:v>Table de bar</x:v>
      </x:c>
      <x:c r="C25" s="10" t="str">
        <x:v>Défini</x:v>
      </x:c>
      <x:c r="D25" s="11" t="str">
        <x:v>À produire</x:v>
      </x:c>
      <x:c r="E25" s="15" t="str">
        <x:v>P1</x:v>
      </x:c>
      <x:c r="F25" s="15" t="str">
        <x:v>ME1</x:v>
      </x:c>
      <x:c r="G25" s="15" t="str">
        <x:v>Adaptation</x:v>
      </x:c>
      <x:c r="H25" s="14" t="str">
        <x:v>Mobilier de club.</x:v>
      </x:c>
      <x:c r="I25" s="14" t="str">
        <x:v>Passages suffisants pour les silhouettes krogans.</x:v>
      </x:c>
      <x:c r="J25" s="14" t="str"/>
      <x:c r="K25" s="14" t="str">
        <x:v>content/props/PRP-table-de-bar.json</x:v>
      </x:c>
      <x:c r="L25" s="14" t="str"/>
      <x:c r="M25" s="14" t="str"/>
      <x:c r="N25" s="14" t="str">
        <x:v>Décisions du fan game ; aucune prétention de canon officiel</x:v>
      </x:c>
      <x:c r="O25" s="14" t="str"/>
      <x:c r="P25" s="14" t="str">
        <x:v>Production ME1</x:v>
      </x:c>
      <x:c r="Q25" s="14" t="str"/>
    </x:row>
    <x:row r="26" ht="36" customHeight="1">
      <x:c r="A26" s="12" t="str">
        <x:v>PRP-projecteur-holographique</x:v>
      </x:c>
      <x:c r="B26" s="7" t="str">
        <x:v>Projecteur holographique</x:v>
      </x:c>
      <x:c r="C26" s="10" t="str">
        <x:v>Défini</x:v>
      </x:c>
      <x:c r="D26" s="11" t="str">
        <x:v>À produire</x:v>
      </x:c>
      <x:c r="E26" s="9" t="str">
        <x:v>P1</x:v>
      </x:c>
      <x:c r="F26" s="9" t="str">
        <x:v>ME1</x:v>
      </x:c>
      <x:c r="G26" s="9" t="str">
        <x:v>Adaptation</x:v>
      </x:c>
      <x:c r="H26" s="7" t="str">
        <x:v>Affichage d’information ou d’interlocuteur.</x:v>
      </x:c>
      <x:c r="I26" s="7" t="str">
        <x:v>Effet stable et lisible sur fond lumineux.</x:v>
      </x:c>
      <x:c r="J26" s="7" t="str"/>
      <x:c r="K26" s="7" t="str">
        <x:v>content/props/PRP-projecteur-holographique.json</x:v>
      </x:c>
      <x:c r="L26" s="7" t="str"/>
      <x:c r="M26" s="7" t="str"/>
      <x:c r="N26" s="7" t="str">
        <x:v>Décisions du fan game ; aucune prétention de canon officiel</x:v>
      </x:c>
      <x:c r="O26" s="7" t="str"/>
      <x:c r="P26" s="7" t="str">
        <x:v>Production ME1</x:v>
      </x:c>
      <x:c r="Q26" s="7" t="str"/>
    </x:row>
    <x:row r="27" ht="36" customHeight="1">
      <x:c r="A27" s="13" t="str">
        <x:v>PRP-conteneur-de-butin</x:v>
      </x:c>
      <x:c r="B27" s="14" t="str">
        <x:v>Conteneur de butin</x:v>
      </x:c>
      <x:c r="C27" s="10" t="str">
        <x:v>Défini</x:v>
      </x:c>
      <x:c r="D27" s="11" t="str">
        <x:v>À produire</x:v>
      </x:c>
      <x:c r="E27" s="15" t="str">
        <x:v>P1</x:v>
      </x:c>
      <x:c r="F27" s="15" t="str">
        <x:v>ME1</x:v>
      </x:c>
      <x:c r="G27" s="15" t="str">
        <x:v>Adaptation</x:v>
      </x:c>
      <x:c r="H27" s="14" t="str">
        <x:v>Récompense de mission.</x:v>
      </x:c>
      <x:c r="I27" s="14" t="str">
        <x:v>État vide persistant après sauvegarde.</x:v>
      </x:c>
      <x:c r="J27" s="14" t="str"/>
      <x:c r="K27" s="14" t="str">
        <x:v>content/props/PRP-conteneur-de-butin.json</x:v>
      </x:c>
      <x:c r="L27" s="14" t="str"/>
      <x:c r="M27" s="14" t="str"/>
      <x:c r="N27" s="14" t="str">
        <x:v>Décisions du fan game ; aucune prétention de canon officiel</x:v>
      </x:c>
      <x:c r="O27" s="14" t="str"/>
      <x:c r="P27" s="14" t="str">
        <x:v>Production ME1</x:v>
      </x:c>
      <x:c r="Q27" s="14" t="str"/>
    </x:row>
    <x:row r="28" ht="36" customHeight="1">
      <x:c r="A28" s="12" t="str">
        <x:v>PRP-casier-verrouille</x:v>
      </x:c>
      <x:c r="B28" s="7" t="str">
        <x:v>Casier verrouillé</x:v>
      </x:c>
      <x:c r="C28" s="10" t="str">
        <x:v>Défini</x:v>
      </x:c>
      <x:c r="D28" s="11" t="str">
        <x:v>À produire</x:v>
      </x:c>
      <x:c r="E28" s="9" t="str">
        <x:v>P1</x:v>
      </x:c>
      <x:c r="F28" s="9" t="str">
        <x:v>ME1</x:v>
      </x:c>
      <x:c r="G28" s="9" t="str">
        <x:v>Adaptation</x:v>
      </x:c>
      <x:c r="H28" s="7" t="str">
        <x:v>Épreuve de décryptage.</x:v>
      </x:c>
      <x:c r="I28" s="7" t="str">
        <x:v>Préconditions et solution par omni-gel explicites.</x:v>
      </x:c>
      <x:c r="J28" s="7" t="str"/>
      <x:c r="K28" s="7" t="str">
        <x:v>content/props/PRP-casier-verrouille.json</x:v>
      </x:c>
      <x:c r="L28" s="7" t="str"/>
      <x:c r="M28" s="7" t="str"/>
      <x:c r="N28" s="7" t="str">
        <x:v>Décisions du fan game ; aucune prétention de canon officiel</x:v>
      </x:c>
      <x:c r="O28" s="7" t="str"/>
      <x:c r="P28" s="7" t="str">
        <x:v>Production ME1</x:v>
      </x:c>
      <x:c r="Q28" s="7" t="str"/>
    </x:row>
    <x:row r="29" ht="36" customHeight="1">
      <x:c r="A29" s="13" t="str">
        <x:v>PRP-kit-medical</x:v>
      </x:c>
      <x:c r="B29" s="14" t="str">
        <x:v>Kit médical</x:v>
      </x:c>
      <x:c r="C29" s="10" t="str">
        <x:v>Défini</x:v>
      </x:c>
      <x:c r="D29" s="11" t="str">
        <x:v>À produire</x:v>
      </x:c>
      <x:c r="E29" s="15" t="str">
        <x:v>P1</x:v>
      </x:c>
      <x:c r="F29" s="15" t="str">
        <x:v>ME1</x:v>
      </x:c>
      <x:c r="G29" s="15" t="str">
        <x:v>Adaptation</x:v>
      </x:c>
      <x:c r="H29" s="14" t="str">
        <x:v>Réserve de médi-gel.</x:v>
      </x:c>
      <x:c r="I29" s="14" t="str">
        <x:v>Plafond et quantité transférée affichés.</x:v>
      </x:c>
      <x:c r="J29" s="14" t="str"/>
      <x:c r="K29" s="14" t="str">
        <x:v>content/props/PRP-kit-medical.json</x:v>
      </x:c>
      <x:c r="L29" s="14" t="str"/>
      <x:c r="M29" s="14" t="str"/>
      <x:c r="N29" s="14" t="str">
        <x:v>Décisions du fan game ; aucune prétention de canon officiel</x:v>
      </x:c>
      <x:c r="O29" s="14" t="str"/>
      <x:c r="P29" s="14" t="str">
        <x:v>Production ME1</x:v>
      </x:c>
      <x:c r="Q29" s="14" t="str"/>
    </x:row>
    <x:row r="30" ht="36" customHeight="1">
      <x:c r="A30" s="12" t="str">
        <x:v>PRP-depot-d-omni-gel</x:v>
      </x:c>
      <x:c r="B30" s="7" t="str">
        <x:v>Dépôt d’omni-gel</x:v>
      </x:c>
      <x:c r="C30" s="10" t="str">
        <x:v>Défini</x:v>
      </x:c>
      <x:c r="D30" s="11" t="str">
        <x:v>À produire</x:v>
      </x:c>
      <x:c r="E30" s="9" t="str">
        <x:v>P1</x:v>
      </x:c>
      <x:c r="F30" s="9" t="str">
        <x:v>ME1</x:v>
      </x:c>
      <x:c r="G30" s="9" t="str">
        <x:v>Adaptation</x:v>
      </x:c>
      <x:c r="H30" s="7" t="str">
        <x:v>Ressource technique.</x:v>
      </x:c>
      <x:c r="I30" s="7" t="str">
        <x:v>Conversion et consommation sans duplication.</x:v>
      </x:c>
      <x:c r="J30" s="7" t="str"/>
      <x:c r="K30" s="7" t="str">
        <x:v>content/props/PRP-depot-d-omni-gel.json</x:v>
      </x:c>
      <x:c r="L30" s="7" t="str"/>
      <x:c r="M30" s="7" t="str"/>
      <x:c r="N30" s="7" t="str">
        <x:v>Décisions du fan game ; aucune prétention de canon officiel</x:v>
      </x:c>
      <x:c r="O30" s="7" t="str"/>
      <x:c r="P30" s="7" t="str">
        <x:v>Production ME1</x:v>
      </x:c>
      <x:c r="Q30" s="7" t="str"/>
    </x:row>
    <x:row r="31" ht="36" customHeight="1">
      <x:c r="A31" s="13" t="str">
        <x:v>PRP-terminal-de-donnees</x:v>
      </x:c>
      <x:c r="B31" s="14" t="str">
        <x:v>Terminal de données</x:v>
      </x:c>
      <x:c r="C31" s="10" t="str">
        <x:v>Défini</x:v>
      </x:c>
      <x:c r="D31" s="11" t="str">
        <x:v>À produire</x:v>
      </x:c>
      <x:c r="E31" s="15" t="str">
        <x:v>P1</x:v>
      </x:c>
      <x:c r="F31" s="15" t="str">
        <x:v>ME1</x:v>
      </x:c>
      <x:c r="G31" s="15" t="str">
        <x:v>Adaptation</x:v>
      </x:c>
      <x:c r="H31" s="14" t="str">
        <x:v>Journal, preuve ou codex.</x:v>
      </x:c>
      <x:c r="I31" s="14" t="str">
        <x:v>Identifiant unique et absence de collecte répétée.</x:v>
      </x:c>
      <x:c r="J31" s="14" t="str"/>
      <x:c r="K31" s="14" t="str">
        <x:v>content/props/PRP-terminal-de-donnees.json</x:v>
      </x:c>
      <x:c r="L31" s="14" t="str"/>
      <x:c r="M31" s="14" t="str"/>
      <x:c r="N31" s="14" t="str">
        <x:v>Décisions du fan game ; aucune prétention de canon officiel</x:v>
      </x:c>
      <x:c r="O31" s="14" t="str"/>
      <x:c r="P31" s="14" t="str">
        <x:v>Production ME1</x:v>
      </x:c>
      <x:c r="Q31" s="14" t="str"/>
    </x:row>
    <x:row r="32" ht="36" customHeight="1">
      <x:c r="A32" s="12" t="str">
        <x:v>PRP-balise-protheenne</x:v>
      </x:c>
      <x:c r="B32" s="7" t="str">
        <x:v>Balise prothéenne</x:v>
      </x:c>
      <x:c r="C32" s="10" t="str">
        <x:v>Défini</x:v>
      </x:c>
      <x:c r="D32" s="11" t="str">
        <x:v>À produire</x:v>
      </x:c>
      <x:c r="E32" s="9" t="str">
        <x:v>P1</x:v>
      </x:c>
      <x:c r="F32" s="9" t="str">
        <x:v>ME1</x:v>
      </x:c>
      <x:c r="G32" s="9" t="str">
        <x:v>Adaptation</x:v>
      </x:c>
      <x:c r="H32" s="7" t="str">
        <x:v>Objet central du prologue.</x:v>
      </x:c>
      <x:c r="I32" s="7" t="str">
        <x:v>Silhouette référencée et déclenchement scénarisé unique.</x:v>
      </x:c>
      <x:c r="J32" s="7" t="str"/>
      <x:c r="K32" s="7" t="str">
        <x:v>content/props/PRP-balise-protheenne.json</x:v>
      </x:c>
      <x:c r="L32" s="7" t="str"/>
      <x:c r="M32" s="7" t="str"/>
      <x:c r="N32" s="7" t="str">
        <x:v>Décisions du fan game ; aucune prétention de canon officiel</x:v>
      </x:c>
      <x:c r="O32" s="7" t="str"/>
      <x:c r="P32" s="7" t="str">
        <x:v>Production ME1</x:v>
      </x:c>
      <x:c r="Q32" s="7" t="str"/>
    </x:row>
    <x:row r="33" ht="36" customHeight="1">
      <x:c r="A33" s="13" t="str">
        <x:v>PRP-charge-geth</x:v>
      </x:c>
      <x:c r="B33" s="14" t="str">
        <x:v>Charge geth</x:v>
      </x:c>
      <x:c r="C33" s="10" t="str">
        <x:v>Défini</x:v>
      </x:c>
      <x:c r="D33" s="11" t="str">
        <x:v>À produire</x:v>
      </x:c>
      <x:c r="E33" s="15" t="str">
        <x:v>P1</x:v>
      </x:c>
      <x:c r="F33" s="15" t="str">
        <x:v>ME1</x:v>
      </x:c>
      <x:c r="G33" s="15" t="str">
        <x:v>Adaptation</x:v>
      </x:c>
      <x:c r="H33" s="14" t="str">
        <x:v>Bombe à désamorcer sur Eden Prime.</x:v>
      </x:c>
      <x:c r="I33" s="14" t="str">
        <x:v>État visuel change immédiatement après interaction.</x:v>
      </x:c>
      <x:c r="J33" s="14" t="str"/>
      <x:c r="K33" s="14" t="str">
        <x:v>content/props/PRP-charge-geth.json</x:v>
      </x:c>
      <x:c r="L33" s="14" t="str"/>
      <x:c r="M33" s="14" t="str"/>
      <x:c r="N33" s="14" t="str">
        <x:v>Décisions du fan game ; aucune prétention de canon officiel</x:v>
      </x:c>
      <x:c r="O33" s="14" t="str"/>
      <x:c r="P33" s="14" t="str">
        <x:v>Production ME1</x:v>
      </x:c>
      <x:c r="Q33" s="14" t="str"/>
    </x:row>
    <x:row r="34" ht="36" customHeight="1">
      <x:c r="A34" s="12" t="str">
        <x:v>PRP-train-de-fret</x:v>
      </x:c>
      <x:c r="B34" s="7" t="str">
        <x:v>Train de fret</x:v>
      </x:c>
      <x:c r="C34" s="10" t="str">
        <x:v>Défini</x:v>
      </x:c>
      <x:c r="D34" s="11" t="str">
        <x:v>À produire</x:v>
      </x:c>
      <x:c r="E34" s="9" t="str">
        <x:v>P1</x:v>
      </x:c>
      <x:c r="F34" s="9" t="str">
        <x:v>ME1</x:v>
      </x:c>
      <x:c r="G34" s="9" t="str">
        <x:v>Adaptation</x:v>
      </x:c>
      <x:c r="H34" s="7" t="str">
        <x:v>Élément de traversée du prologue.</x:v>
      </x:c>
      <x:c r="I34" s="7" t="str">
        <x:v>Points d’entrée et de sortie cohérents.</x:v>
      </x:c>
      <x:c r="J34" s="7" t="str"/>
      <x:c r="K34" s="7" t="str">
        <x:v>content/props/PRP-train-de-fret.json</x:v>
      </x:c>
      <x:c r="L34" s="7" t="str"/>
      <x:c r="M34" s="7" t="str"/>
      <x:c r="N34" s="7" t="str">
        <x:v>Décisions du fan game ; aucune prétention de canon officiel</x:v>
      </x:c>
      <x:c r="O34" s="7" t="str"/>
      <x:c r="P34" s="7" t="str">
        <x:v>Production ME1</x:v>
      </x:c>
      <x:c r="Q34" s="7" t="str"/>
    </x:row>
    <x:row r="35" ht="36" customHeight="1">
      <x:c r="A35" s="13" t="str">
        <x:v>PRP-epave-coloniale</x:v>
      </x:c>
      <x:c r="B35" s="14" t="str">
        <x:v>Épave coloniale</x:v>
      </x:c>
      <x:c r="C35" s="10" t="str">
        <x:v>Défini</x:v>
      </x:c>
      <x:c r="D35" s="11" t="str">
        <x:v>À produire</x:v>
      </x:c>
      <x:c r="E35" s="15" t="str">
        <x:v>P1</x:v>
      </x:c>
      <x:c r="F35" s="15" t="str">
        <x:v>ME1</x:v>
      </x:c>
      <x:c r="G35" s="15" t="str">
        <x:v>Adaptation</x:v>
      </x:c>
      <x:c r="H35" s="14" t="str">
        <x:v>Objet narratif de l’attaque.</x:v>
      </x:c>
      <x:c r="I35" s="14" t="str">
        <x:v>Collision correspond au volume visible.</x:v>
      </x:c>
      <x:c r="J35" s="14" t="str"/>
      <x:c r="K35" s="14" t="str">
        <x:v>content/props/PRP-epave-coloniale.json</x:v>
      </x:c>
      <x:c r="L35" s="14" t="str"/>
      <x:c r="M35" s="14" t="str"/>
      <x:c r="N35" s="14" t="str">
        <x:v>Décisions du fan game ; aucune prétention de canon officiel</x:v>
      </x:c>
      <x:c r="O35" s="14" t="str"/>
      <x:c r="P35" s="14" t="str">
        <x:v>Production ME1</x:v>
      </x:c>
      <x:c r="Q35" s="14" t="str"/>
    </x:row>
    <x:row r="36" ht="36" customHeight="1">
      <x:c r="A36" s="12" t="str">
        <x:v>PRP-abri-agricole</x:v>
      </x:c>
      <x:c r="B36" s="7" t="str">
        <x:v>Abri agricole</x:v>
      </x:c>
      <x:c r="C36" s="10" t="str">
        <x:v>Défini</x:v>
      </x:c>
      <x:c r="D36" s="11" t="str">
        <x:v>À produire</x:v>
      </x:c>
      <x:c r="E36" s="9" t="str">
        <x:v>P1</x:v>
      </x:c>
      <x:c r="F36" s="9" t="str">
        <x:v>ME1</x:v>
      </x:c>
      <x:c r="G36" s="9" t="str">
        <x:v>Adaptation</x:v>
      </x:c>
      <x:c r="H36" s="7" t="str">
        <x:v>Refuge et dialogue sur Eden Prime.</x:v>
      </x:c>
      <x:c r="I36" s="7" t="str">
        <x:v>Intérieur relié à la bonne porte.</x:v>
      </x:c>
      <x:c r="J36" s="7" t="str"/>
      <x:c r="K36" s="7" t="str">
        <x:v>content/props/PRP-abri-agricole.json</x:v>
      </x:c>
      <x:c r="L36" s="7" t="str"/>
      <x:c r="M36" s="7" t="str"/>
      <x:c r="N36" s="7" t="str">
        <x:v>Décisions du fan game ; aucune prétention de canon officiel</x:v>
      </x:c>
      <x:c r="O36" s="7" t="str"/>
      <x:c r="P36" s="7" t="str">
        <x:v>Production ME1</x:v>
      </x:c>
      <x:c r="Q36" s="7" t="str"/>
    </x:row>
    <x:row r="37" ht="36" customHeight="1">
      <x:c r="A37" s="13" t="str">
        <x:v>PRP-generateur-colonial</x:v>
      </x:c>
      <x:c r="B37" s="14" t="str">
        <x:v>Générateur colonial</x:v>
      </x:c>
      <x:c r="C37" s="10" t="str">
        <x:v>Défini</x:v>
      </x:c>
      <x:c r="D37" s="11" t="str">
        <x:v>À produire</x:v>
      </x:c>
      <x:c r="E37" s="15" t="str">
        <x:v>P1</x:v>
      </x:c>
      <x:c r="F37" s="15" t="str">
        <x:v>ME1</x:v>
      </x:c>
      <x:c r="G37" s="15" t="str">
        <x:v>Adaptation</x:v>
      </x:c>
      <x:c r="H37" s="14" t="str">
        <x:v>Alimentation locale.</x:v>
      </x:c>
      <x:c r="I37" s="14" t="str">
        <x:v>Aucune fonction inventée obligatoire sans mention d’adaptation.</x:v>
      </x:c>
      <x:c r="J37" s="14" t="str"/>
      <x:c r="K37" s="14" t="str">
        <x:v>content/props/PRP-generateur-colonial.json</x:v>
      </x:c>
      <x:c r="L37" s="14" t="str"/>
      <x:c r="M37" s="14" t="str"/>
      <x:c r="N37" s="14" t="str">
        <x:v>Décisions du fan game ; aucune prétention de canon officiel</x:v>
      </x:c>
      <x:c r="O37" s="14" t="str"/>
      <x:c r="P37" s="14" t="str">
        <x:v>Production ME1</x:v>
      </x:c>
      <x:c r="Q37" s="14" t="str"/>
    </x:row>
    <x:row r="38" ht="36" customHeight="1">
      <x:c r="A38" s="12" t="str">
        <x:v>PRP-barriere-de-mine</x:v>
      </x:c>
      <x:c r="B38" s="7" t="str">
        <x:v>Barrière de mine</x:v>
      </x:c>
      <x:c r="C38" s="10" t="str">
        <x:v>Défini</x:v>
      </x:c>
      <x:c r="D38" s="11" t="str">
        <x:v>À produire</x:v>
      </x:c>
      <x:c r="E38" s="9" t="str">
        <x:v>P1</x:v>
      </x:c>
      <x:c r="F38" s="9" t="str">
        <x:v>ME1</x:v>
      </x:c>
      <x:c r="G38" s="9" t="str">
        <x:v>Adaptation</x:v>
      </x:c>
      <x:c r="H38" s="7" t="str">
        <x:v>Protection devant les sites industriels.</x:v>
      </x:c>
      <x:c r="I38" s="7" t="str">
        <x:v>Hauteur et contournements cohérents.</x:v>
      </x:c>
      <x:c r="J38" s="7" t="str"/>
      <x:c r="K38" s="7" t="str">
        <x:v>content/props/PRP-barriere-de-mine.json</x:v>
      </x:c>
      <x:c r="L38" s="7" t="str"/>
      <x:c r="M38" s="7" t="str"/>
      <x:c r="N38" s="7" t="str">
        <x:v>Décisions du fan game ; aucune prétention de canon officiel</x:v>
      </x:c>
      <x:c r="O38" s="7" t="str"/>
      <x:c r="P38" s="7" t="str">
        <x:v>Production ME1</x:v>
      </x:c>
      <x:c r="Q38" s="7" t="str"/>
    </x:row>
    <x:row r="39" ht="36" customHeight="1">
      <x:c r="A39" s="13" t="str">
        <x:v>PRP-panneau-lave</x:v>
      </x:c>
      <x:c r="B39" s="14" t="str">
        <x:v>Panneau lave</x:v>
      </x:c>
      <x:c r="C39" s="10" t="str">
        <x:v>Défini</x:v>
      </x:c>
      <x:c r="D39" s="11" t="str">
        <x:v>À produire</x:v>
      </x:c>
      <x:c r="E39" s="15" t="str">
        <x:v>P1</x:v>
      </x:c>
      <x:c r="F39" s="15" t="str">
        <x:v>ME1</x:v>
      </x:c>
      <x:c r="G39" s="15" t="str">
        <x:v>Adaptation</x:v>
      </x:c>
      <x:c r="H39" s="14" t="str">
        <x:v>Signal de danger sur Therum.</x:v>
      </x:c>
      <x:c r="I39" s="14" t="str">
        <x:v>Même niveau de risque avec ou sans HUD.</x:v>
      </x:c>
      <x:c r="J39" s="14" t="str"/>
      <x:c r="K39" s="14" t="str">
        <x:v>content/props/PRP-panneau-lave.json</x:v>
      </x:c>
      <x:c r="L39" s="14" t="str"/>
      <x:c r="M39" s="14" t="str"/>
      <x:c r="N39" s="14" t="str">
        <x:v>Décisions du fan game ; aucune prétention de canon officiel</x:v>
      </x:c>
      <x:c r="O39" s="14" t="str"/>
      <x:c r="P39" s="14" t="str">
        <x:v>Production ME1</x:v>
      </x:c>
      <x:c r="Q39" s="14" t="str"/>
    </x:row>
    <x:row r="40" ht="36" customHeight="1">
      <x:c r="A40" s="12" t="str">
        <x:v>PRP-grue-de-fouille</x:v>
      </x:c>
      <x:c r="B40" s="7" t="str">
        <x:v>Grue de fouille</x:v>
      </x:c>
      <x:c r="C40" s="10" t="str">
        <x:v>Défini</x:v>
      </x:c>
      <x:c r="D40" s="11" t="str">
        <x:v>À produire</x:v>
      </x:c>
      <x:c r="E40" s="9" t="str">
        <x:v>P1</x:v>
      </x:c>
      <x:c r="F40" s="9" t="str">
        <x:v>ME1</x:v>
      </x:c>
      <x:c r="G40" s="9" t="str">
        <x:v>Adaptation</x:v>
      </x:c>
      <x:c r="H40" s="7" t="str">
        <x:v>Équipement de recherche.</x:v>
      </x:c>
      <x:c r="I40" s="7" t="str">
        <x:v>Échelle et mouvement contrôlés pour ne pas couper la caméra.</x:v>
      </x:c>
      <x:c r="J40" s="7" t="str"/>
      <x:c r="K40" s="7" t="str">
        <x:v>content/props/PRP-grue-de-fouille.json</x:v>
      </x:c>
      <x:c r="L40" s="7" t="str"/>
      <x:c r="M40" s="7" t="str"/>
      <x:c r="N40" s="7" t="str">
        <x:v>Décisions du fan game ; aucune prétention de canon officiel</x:v>
      </x:c>
      <x:c r="O40" s="7" t="str"/>
      <x:c r="P40" s="7" t="str">
        <x:v>Production ME1</x:v>
      </x:c>
      <x:c r="Q40" s="7" t="str"/>
    </x:row>
    <x:row r="41" ht="36" customHeight="1">
      <x:c r="A41" s="13" t="str">
        <x:v>PRP-champ-protheen</x:v>
      </x:c>
      <x:c r="B41" s="14" t="str">
        <x:v>Champ prothéen</x:v>
      </x:c>
      <x:c r="C41" s="10" t="str">
        <x:v>Défini</x:v>
      </x:c>
      <x:c r="D41" s="11" t="str">
        <x:v>À produire</x:v>
      </x:c>
      <x:c r="E41" s="15" t="str">
        <x:v>P1</x:v>
      </x:c>
      <x:c r="F41" s="15" t="str">
        <x:v>ME1</x:v>
      </x:c>
      <x:c r="G41" s="15" t="str">
        <x:v>Adaptation</x:v>
      </x:c>
      <x:c r="H41" s="14" t="str">
        <x:v>Protection autour de Liara.</x:v>
      </x:c>
      <x:c r="I41" s="14" t="str">
        <x:v>Activation liée aux étapes de sauvetage.</x:v>
      </x:c>
      <x:c r="J41" s="14" t="str"/>
      <x:c r="K41" s="14" t="str">
        <x:v>content/props/PRP-champ-protheen.json</x:v>
      </x:c>
      <x:c r="L41" s="14" t="str"/>
      <x:c r="M41" s="14" t="str"/>
      <x:c r="N41" s="14" t="str">
        <x:v>Décisions du fan game ; aucune prétention de canon officiel</x:v>
      </x:c>
      <x:c r="O41" s="14" t="str"/>
      <x:c r="P41" s="14" t="str">
        <x:v>Production ME1</x:v>
      </x:c>
      <x:c r="Q41" s="14" t="str"/>
    </x:row>
    <x:row r="42" ht="36" customHeight="1">
      <x:c r="A42" s="12" t="str">
        <x:v>PRP-vanne-d-eau-feros</x:v>
      </x:c>
      <x:c r="B42" s="7" t="str">
        <x:v>Vanne d’eau Feros</x:v>
      </x:c>
      <x:c r="C42" s="10" t="str">
        <x:v>Défini</x:v>
      </x:c>
      <x:c r="D42" s="11" t="str">
        <x:v>À produire</x:v>
      </x:c>
      <x:c r="E42" s="9" t="str">
        <x:v>P1</x:v>
      </x:c>
      <x:c r="F42" s="9" t="str">
        <x:v>ME1</x:v>
      </x:c>
      <x:c r="G42" s="9" t="str">
        <x:v>Adaptation</x:v>
      </x:c>
      <x:c r="H42" s="7" t="str">
        <x:v>Objectif de restauration de service.</x:v>
      </x:c>
      <x:c r="I42" s="7" t="str">
        <x:v>Compteur des vannes et état persistant.</x:v>
      </x:c>
      <x:c r="J42" s="7" t="str"/>
      <x:c r="K42" s="7" t="str">
        <x:v>content/props/PRP-vanne-d-eau-feros.json</x:v>
      </x:c>
      <x:c r="L42" s="7" t="str"/>
      <x:c r="M42" s="7" t="str"/>
      <x:c r="N42" s="7" t="str">
        <x:v>Décisions du fan game ; aucune prétention de canon officiel</x:v>
      </x:c>
      <x:c r="O42" s="7" t="str"/>
      <x:c r="P42" s="7" t="str">
        <x:v>Production ME1</x:v>
      </x:c>
      <x:c r="Q42" s="7" t="str"/>
    </x:row>
    <x:row r="43" ht="36" customHeight="1">
      <x:c r="A43" s="13" t="str">
        <x:v>PRP-cellule-energetique-feros</x:v>
      </x:c>
      <x:c r="B43" s="14" t="str">
        <x:v>Cellule énergétique Feros</x:v>
      </x:c>
      <x:c r="C43" s="10" t="str">
        <x:v>Défini</x:v>
      </x:c>
      <x:c r="D43" s="11" t="str">
        <x:v>À produire</x:v>
      </x:c>
      <x:c r="E43" s="15" t="str">
        <x:v>P1</x:v>
      </x:c>
      <x:c r="F43" s="15" t="str">
        <x:v>ME1</x:v>
      </x:c>
      <x:c r="G43" s="15" t="str">
        <x:v>Adaptation</x:v>
      </x:c>
      <x:c r="H43" s="14" t="str">
        <x:v>Objet de quête technique.</x:v>
      </x:c>
      <x:c r="I43" s="14" t="str">
        <x:v>Un seul transfert valide vers le demandeur.</x:v>
      </x:c>
      <x:c r="J43" s="14" t="str"/>
      <x:c r="K43" s="14" t="str">
        <x:v>content/props/PRP-cellule-energetique-feros.json</x:v>
      </x:c>
      <x:c r="L43" s="14" t="str"/>
      <x:c r="M43" s="14" t="str"/>
      <x:c r="N43" s="14" t="str">
        <x:v>Décisions du fan game ; aucune prétention de canon officiel</x:v>
      </x:c>
      <x:c r="O43" s="14" t="str"/>
      <x:c r="P43" s="14" t="str">
        <x:v>Production ME1</x:v>
      </x:c>
      <x:c r="Q43" s="14" t="str"/>
    </x:row>
    <x:row r="44" ht="36" customHeight="1">
      <x:c r="A44" s="12" t="str">
        <x:v>PRP-console-exogeni</x:v>
      </x:c>
      <x:c r="B44" s="7" t="str">
        <x:v>Console ExoGeni</x:v>
      </x:c>
      <x:c r="C44" s="10" t="str">
        <x:v>Défini</x:v>
      </x:c>
      <x:c r="D44" s="11" t="str">
        <x:v>À produire</x:v>
      </x:c>
      <x:c r="E44" s="9" t="str">
        <x:v>P1</x:v>
      </x:c>
      <x:c r="F44" s="9" t="str">
        <x:v>ME1</x:v>
      </x:c>
      <x:c r="G44" s="9" t="str">
        <x:v>Adaptation</x:v>
      </x:c>
      <x:c r="H44" s="7" t="str">
        <x:v>Données et commandes de bâtiment.</x:v>
      </x:c>
      <x:c r="I44" s="7" t="str">
        <x:v>Réponses cohérentes avec les accès obtenus.</x:v>
      </x:c>
      <x:c r="J44" s="7" t="str"/>
      <x:c r="K44" s="7" t="str">
        <x:v>content/props/PRP-console-exogeni.json</x:v>
      </x:c>
      <x:c r="L44" s="7" t="str"/>
      <x:c r="M44" s="7" t="str"/>
      <x:c r="N44" s="7" t="str">
        <x:v>Décisions du fan game ; aucune prétention de canon officiel</x:v>
      </x:c>
      <x:c r="O44" s="7" t="str"/>
      <x:c r="P44" s="7" t="str">
        <x:v>Production ME1</x:v>
      </x:c>
      <x:c r="Q44" s="7" t="str"/>
    </x:row>
    <x:row r="45" ht="36" customHeight="1">
      <x:c r="A45" s="13" t="str">
        <x:v>PRP-n-ud-du-thorian</x:v>
      </x:c>
      <x:c r="B45" s="14" t="str">
        <x:v>Nœud du Thorian</x:v>
      </x:c>
      <x:c r="C45" s="10" t="str">
        <x:v>Défini</x:v>
      </x:c>
      <x:c r="D45" s="11" t="str">
        <x:v>À produire</x:v>
      </x:c>
      <x:c r="E45" s="15" t="str">
        <x:v>P1</x:v>
      </x:c>
      <x:c r="F45" s="15" t="str">
        <x:v>ME1</x:v>
      </x:c>
      <x:c r="G45" s="15" t="str">
        <x:v>Adaptation</x:v>
      </x:c>
      <x:c r="H45" s="14" t="str">
        <x:v>Cible organique sur structure verticale.</x:v>
      </x:c>
      <x:c r="I45" s="14" t="str">
        <x:v>Dégâts et phase du combat reliés.</x:v>
      </x:c>
      <x:c r="J45" s="14" t="str"/>
      <x:c r="K45" s="14" t="str">
        <x:v>content/props/PRP-n-ud-du-thorian.json</x:v>
      </x:c>
      <x:c r="L45" s="14" t="str"/>
      <x:c r="M45" s="14" t="str"/>
      <x:c r="N45" s="14" t="str">
        <x:v>Décisions du fan game ; aucune prétention de canon officiel</x:v>
      </x:c>
      <x:c r="O45" s="14" t="str"/>
      <x:c r="P45" s="14" t="str">
        <x:v>Production ME1</x:v>
      </x:c>
      <x:c r="Q45" s="14" t="str"/>
    </x:row>
    <x:row r="46" ht="36" customHeight="1">
      <x:c r="A46" s="12" t="str">
        <x:v>PRP-laissez-passer-noveria</x:v>
      </x:c>
      <x:c r="B46" s="7" t="str">
        <x:v>Laissez-passer Noveria</x:v>
      </x:c>
      <x:c r="C46" s="10" t="str">
        <x:v>Défini</x:v>
      </x:c>
      <x:c r="D46" s="11" t="str">
        <x:v>À produire</x:v>
      </x:c>
      <x:c r="E46" s="9" t="str">
        <x:v>P1</x:v>
      </x:c>
      <x:c r="F46" s="9" t="str">
        <x:v>ME1</x:v>
      </x:c>
      <x:c r="G46" s="9" t="str">
        <x:v>Adaptation</x:v>
      </x:c>
      <x:c r="H46" s="7" t="str">
        <x:v>Preuve d’accès au garage.</x:v>
      </x:c>
      <x:c r="I46" s="7" t="str">
        <x:v>Inventaire et porte partagent le même drapeau.</x:v>
      </x:c>
      <x:c r="J46" s="7" t="str"/>
      <x:c r="K46" s="7" t="str">
        <x:v>content/props/PRP-laissez-passer-noveria.json</x:v>
      </x:c>
      <x:c r="L46" s="7" t="str"/>
      <x:c r="M46" s="7" t="str"/>
      <x:c r="N46" s="7" t="str">
        <x:v>Décisions du fan game ; aucune prétention de canon officiel</x:v>
      </x:c>
      <x:c r="O46" s="7" t="str"/>
      <x:c r="P46" s="7" t="str">
        <x:v>Production ME1</x:v>
      </x:c>
      <x:c r="Q46" s="7" t="str"/>
    </x:row>
    <x:row r="47" ht="36" customHeight="1">
      <x:c r="A47" s="13" t="str">
        <x:v>PRP-terminal-de-preuves</x:v>
      </x:c>
      <x:c r="B47" s="14" t="str">
        <x:v>Terminal de preuves</x:v>
      </x:c>
      <x:c r="C47" s="10" t="str">
        <x:v>Défini</x:v>
      </x:c>
      <x:c r="D47" s="11" t="str">
        <x:v>À produire</x:v>
      </x:c>
      <x:c r="E47" s="15" t="str">
        <x:v>P1</x:v>
      </x:c>
      <x:c r="F47" s="15" t="str">
        <x:v>ME1</x:v>
      </x:c>
      <x:c r="G47" s="15" t="str">
        <x:v>Adaptation</x:v>
      </x:c>
      <x:c r="H47" s="14" t="str">
        <x:v>Documents de Synthetic Insights.</x:v>
      </x:c>
      <x:c r="I47" s="14" t="str">
        <x:v>Copie obtenue une seule fois puis conversation mise à jour.</x:v>
      </x:c>
      <x:c r="J47" s="14" t="str"/>
      <x:c r="K47" s="14" t="str">
        <x:v>content/props/PRP-terminal-de-preuves.json</x:v>
      </x:c>
      <x:c r="L47" s="14" t="str"/>
      <x:c r="M47" s="14" t="str"/>
      <x:c r="N47" s="14" t="str">
        <x:v>Décisions du fan game ; aucune prétention de canon officiel</x:v>
      </x:c>
      <x:c r="O47" s="14" t="str"/>
      <x:c r="P47" s="14" t="str">
        <x:v>Production ME1</x:v>
      </x:c>
      <x:c r="Q47" s="14" t="str"/>
    </x:row>
    <x:row r="48" ht="36" customHeight="1">
      <x:c r="A48" s="12" t="str">
        <x:v>PRP-noyau-de-mira</x:v>
      </x:c>
      <x:c r="B48" s="7" t="str">
        <x:v>Noyau de Mira</x:v>
      </x:c>
      <x:c r="C48" s="10" t="str">
        <x:v>Défini</x:v>
      </x:c>
      <x:c r="D48" s="11" t="str">
        <x:v>À produire</x:v>
      </x:c>
      <x:c r="E48" s="9" t="str">
        <x:v>P1</x:v>
      </x:c>
      <x:c r="F48" s="9" t="str">
        <x:v>ME1</x:v>
      </x:c>
      <x:c r="G48" s="9" t="str">
        <x:v>Adaptation</x:v>
      </x:c>
      <x:c r="H48" s="7" t="str">
        <x:v>Interface de réinitialisation de l’IV.</x:v>
      </x:c>
      <x:c r="I48" s="7" t="str">
        <x:v>Mini-jeu et solution alternative cohérents.</x:v>
      </x:c>
      <x:c r="J48" s="7" t="str"/>
      <x:c r="K48" s="7" t="str">
        <x:v>content/props/PRP-noyau-de-mira.json</x:v>
      </x:c>
      <x:c r="L48" s="7" t="str"/>
      <x:c r="M48" s="7" t="str"/>
      <x:c r="N48" s="7" t="str">
        <x:v>Décisions du fan game ; aucune prétention de canon officiel</x:v>
      </x:c>
      <x:c r="O48" s="7" t="str"/>
      <x:c r="P48" s="7" t="str">
        <x:v>Production ME1</x:v>
      </x:c>
      <x:c r="Q48" s="7" t="str"/>
    </x:row>
    <x:row r="49" ht="36" customHeight="1">
      <x:c r="A49" s="13" t="str">
        <x:v>PRP-conduit-de-refroidissement</x:v>
      </x:c>
      <x:c r="B49" s="14" t="str">
        <x:v>Conduit de refroidissement</x:v>
      </x:c>
      <x:c r="C49" s="10" t="str">
        <x:v>Défini</x:v>
      </x:c>
      <x:c r="D49" s="11" t="str">
        <x:v>À produire</x:v>
      </x:c>
      <x:c r="E49" s="15" t="str">
        <x:v>P1</x:v>
      </x:c>
      <x:c r="F49" s="15" t="str">
        <x:v>ME1</x:v>
      </x:c>
      <x:c r="G49" s="15" t="str">
        <x:v>Adaptation</x:v>
      </x:c>
      <x:c r="H49" s="14" t="str">
        <x:v>Élément de réparation technique.</x:v>
      </x:c>
      <x:c r="I49" s="14" t="str">
        <x:v>État industriel reflétant l’objectif.</x:v>
      </x:c>
      <x:c r="J49" s="14" t="str"/>
      <x:c r="K49" s="14" t="str">
        <x:v>content/props/PRP-conduit-de-refroidissement.json</x:v>
      </x:c>
      <x:c r="L49" s="14" t="str"/>
      <x:c r="M49" s="14" t="str"/>
      <x:c r="N49" s="14" t="str">
        <x:v>Décisions du fan game ; aucune prétention de canon officiel</x:v>
      </x:c>
      <x:c r="O49" s="14" t="str"/>
      <x:c r="P49" s="14" t="str">
        <x:v>Production ME1</x:v>
      </x:c>
      <x:c r="Q49" s="14" t="str"/>
    </x:row>
    <x:row r="50" ht="36" customHeight="1">
      <x:c r="A50" s="12" t="str">
        <x:v>PRP-cuve-de-laboratoire</x:v>
      </x:c>
      <x:c r="B50" s="7" t="str">
        <x:v>Cuve de laboratoire</x:v>
      </x:c>
      <x:c r="C50" s="10" t="str">
        <x:v>Défini</x:v>
      </x:c>
      <x:c r="D50" s="11" t="str">
        <x:v>À produire</x:v>
      </x:c>
      <x:c r="E50" s="9" t="str">
        <x:v>P1</x:v>
      </x:c>
      <x:c r="F50" s="9" t="str">
        <x:v>ME1</x:v>
      </x:c>
      <x:c r="G50" s="9" t="str">
        <x:v>Adaptation</x:v>
      </x:c>
      <x:c r="H50" s="7" t="str">
        <x:v>Confinement sur Noveria et Virmire.</x:v>
      </x:c>
      <x:c r="I50" s="7" t="str">
        <x:v>Contenu et danger propres au lieu.</x:v>
      </x:c>
      <x:c r="J50" s="7" t="str"/>
      <x:c r="K50" s="7" t="str">
        <x:v>content/props/PRP-cuve-de-laboratoire.json</x:v>
      </x:c>
      <x:c r="L50" s="7" t="str"/>
      <x:c r="M50" s="7" t="str"/>
      <x:c r="N50" s="7" t="str">
        <x:v>Décisions du fan game ; aucune prétention de canon officiel</x:v>
      </x:c>
      <x:c r="O50" s="7" t="str"/>
      <x:c r="P50" s="7" t="str">
        <x:v>Production ME1</x:v>
      </x:c>
      <x:c r="Q50" s="7" t="str"/>
    </x:row>
    <x:row r="51" ht="36" customHeight="1">
      <x:c r="A51" s="13" t="str">
        <x:v>PRP-interrupteur-de-purge</x:v>
      </x:c>
      <x:c r="B51" s="14" t="str">
        <x:v>Interrupteur de purge</x:v>
      </x:c>
      <x:c r="C51" s="10" t="str">
        <x:v>Défini</x:v>
      </x:c>
      <x:c r="D51" s="11" t="str">
        <x:v>À produire</x:v>
      </x:c>
      <x:c r="E51" s="15" t="str">
        <x:v>P1</x:v>
      </x:c>
      <x:c r="F51" s="15" t="str">
        <x:v>ME1</x:v>
      </x:c>
      <x:c r="G51" s="15" t="str">
        <x:v>Adaptation</x:v>
      </x:c>
      <x:c r="H51" s="14" t="str">
        <x:v>Commande à conséquences irréversibles.</x:v>
      </x:c>
      <x:c r="I51" s="14" t="str">
        <x:v>Confirmation contextualisée et état persistant.</x:v>
      </x:c>
      <x:c r="J51" s="14" t="str"/>
      <x:c r="K51" s="14" t="str">
        <x:v>content/props/PRP-interrupteur-de-purge.json</x:v>
      </x:c>
      <x:c r="L51" s="14" t="str"/>
      <x:c r="M51" s="14" t="str"/>
      <x:c r="N51" s="14" t="str">
        <x:v>Décisions du fan game ; aucune prétention de canon officiel</x:v>
      </x:c>
      <x:c r="O51" s="14" t="str"/>
      <x:c r="P51" s="14" t="str">
        <x:v>Production ME1</x:v>
      </x:c>
      <x:c r="Q51" s="14" t="str"/>
    </x:row>
    <x:row r="52" ht="36" customHeight="1">
      <x:c r="A52" s="12" t="str">
        <x:v>PRP-mat-de-communication</x:v>
      </x:c>
      <x:c r="B52" s="7" t="str">
        <x:v>Mât de communication</x:v>
      </x:c>
      <x:c r="C52" s="10" t="str">
        <x:v>Défini</x:v>
      </x:c>
      <x:c r="D52" s="11" t="str">
        <x:v>À produire</x:v>
      </x:c>
      <x:c r="E52" s="9" t="str">
        <x:v>P1</x:v>
      </x:c>
      <x:c r="F52" s="9" t="str">
        <x:v>ME1</x:v>
      </x:c>
      <x:c r="G52" s="9" t="str">
        <x:v>Adaptation</x:v>
      </x:c>
      <x:c r="H52" s="7" t="str">
        <x:v>Objectif de soutien sur Virmire.</x:v>
      </x:c>
      <x:c r="I52" s="7" t="str">
        <x:v>Effet sur mission secondaire documenté.</x:v>
      </x:c>
      <x:c r="J52" s="7" t="str"/>
      <x:c r="K52" s="7" t="str">
        <x:v>content/props/PRP-mat-de-communication.json</x:v>
      </x:c>
      <x:c r="L52" s="7" t="str"/>
      <x:c r="M52" s="7" t="str"/>
      <x:c r="N52" s="7" t="str">
        <x:v>Décisions du fan game ; aucune prétention de canon officiel</x:v>
      </x:c>
      <x:c r="O52" s="7" t="str"/>
      <x:c r="P52" s="7" t="str">
        <x:v>Production ME1</x:v>
      </x:c>
      <x:c r="Q52" s="7" t="str"/>
    </x:row>
    <x:row r="53" ht="36" customHeight="1">
      <x:c r="A53" s="13" t="str">
        <x:v>PRP-reservoir-de-carburant</x:v>
      </x:c>
      <x:c r="B53" s="14" t="str">
        <x:v>Réservoir de carburant</x:v>
      </x:c>
      <x:c r="C53" s="10" t="str">
        <x:v>Défini</x:v>
      </x:c>
      <x:c r="D53" s="11" t="str">
        <x:v>À produire</x:v>
      </x:c>
      <x:c r="E53" s="15" t="str">
        <x:v>P1</x:v>
      </x:c>
      <x:c r="F53" s="15" t="str">
        <x:v>ME1</x:v>
      </x:c>
      <x:c r="G53" s="15" t="str">
        <x:v>Adaptation</x:v>
      </x:c>
      <x:c r="H53" s="14" t="str">
        <x:v>Cible de soutien tactique.</x:v>
      </x:c>
      <x:c r="I53" s="14" t="str">
        <x:v>Explosion annoncée et occlusion correcte.</x:v>
      </x:c>
      <x:c r="J53" s="14" t="str"/>
      <x:c r="K53" s="14" t="str">
        <x:v>content/props/PRP-reservoir-de-carburant.json</x:v>
      </x:c>
      <x:c r="L53" s="14" t="str"/>
      <x:c r="M53" s="14" t="str"/>
      <x:c r="N53" s="14" t="str">
        <x:v>Décisions du fan game ; aucune prétention de canon officiel</x:v>
      </x:c>
      <x:c r="O53" s="14" t="str"/>
      <x:c r="P53" s="14" t="str">
        <x:v>Production ME1</x:v>
      </x:c>
      <x:c r="Q53" s="14" t="str"/>
    </x:row>
    <x:row r="54" ht="36" customHeight="1">
      <x:c r="A54" s="12" t="str">
        <x:v>PRP-bombe-de-virmire</x:v>
      </x:c>
      <x:c r="B54" s="7" t="str">
        <x:v>Bombe de Virmire</x:v>
      </x:c>
      <x:c r="C54" s="10" t="str">
        <x:v>Défini</x:v>
      </x:c>
      <x:c r="D54" s="11" t="str">
        <x:v>À produire</x:v>
      </x:c>
      <x:c r="E54" s="9" t="str">
        <x:v>P1</x:v>
      </x:c>
      <x:c r="F54" s="9" t="str">
        <x:v>ME1</x:v>
      </x:c>
      <x:c r="G54" s="9" t="str">
        <x:v>Adaptation</x:v>
      </x:c>
      <x:c r="H54" s="7" t="str">
        <x:v>Objet narratif majeur.</x:v>
      </x:c>
      <x:c r="I54" s="7" t="str">
        <x:v>Chronologie et interaction verrouillées par le récit.</x:v>
      </x:c>
      <x:c r="J54" s="7" t="str"/>
      <x:c r="K54" s="7" t="str">
        <x:v>content/props/PRP-bombe-de-virmire.json</x:v>
      </x:c>
      <x:c r="L54" s="7" t="str"/>
      <x:c r="M54" s="7" t="str"/>
      <x:c r="N54" s="7" t="str">
        <x:v>Décisions du fan game ; aucune prétention de canon officiel</x:v>
      </x:c>
      <x:c r="O54" s="7" t="str"/>
      <x:c r="P54" s="7" t="str">
        <x:v>Production ME1</x:v>
      </x:c>
      <x:c r="Q54" s="7" t="str"/>
    </x:row>
    <x:row r="55" ht="36" customHeight="1">
      <x:c r="A55" s="13" t="str">
        <x:v>PRP-statue-protheenne</x:v>
      </x:c>
      <x:c r="B55" s="14" t="str">
        <x:v>Statue prothéenne</x:v>
      </x:c>
      <x:c r="C55" s="10" t="str">
        <x:v>Défini</x:v>
      </x:c>
      <x:c r="D55" s="11" t="str">
        <x:v>À produire</x:v>
      </x:c>
      <x:c r="E55" s="15" t="str">
        <x:v>P1</x:v>
      </x:c>
      <x:c r="F55" s="15" t="str">
        <x:v>ME1</x:v>
      </x:c>
      <x:c r="G55" s="15" t="str">
        <x:v>Adaptation</x:v>
      </x:c>
      <x:c r="H55" s="14" t="str">
        <x:v>Repère monumental d’Ilos.</x:v>
      </x:c>
      <x:c r="I55" s="14" t="str">
        <x:v>Silhouette stable depuis chaque angle.</x:v>
      </x:c>
      <x:c r="J55" s="14" t="str"/>
      <x:c r="K55" s="14" t="str">
        <x:v>content/props/PRP-statue-protheenne.json</x:v>
      </x:c>
      <x:c r="L55" s="14" t="str"/>
      <x:c r="M55" s="14" t="str"/>
      <x:c r="N55" s="14" t="str">
        <x:v>Décisions du fan game ; aucune prétention de canon officiel</x:v>
      </x:c>
      <x:c r="O55" s="14" t="str"/>
      <x:c r="P55" s="14" t="str">
        <x:v>Production ME1</x:v>
      </x:c>
      <x:c r="Q55" s="14" t="str"/>
    </x:row>
    <x:row r="56" ht="36" customHeight="1">
      <x:c r="A56" s="12" t="str">
        <x:v>PRP-console-de-vigil</x:v>
      </x:c>
      <x:c r="B56" s="7" t="str">
        <x:v>Console de Vigil</x:v>
      </x:c>
      <x:c r="C56" s="10" t="str">
        <x:v>Défini</x:v>
      </x:c>
      <x:c r="D56" s="11" t="str">
        <x:v>À produire</x:v>
      </x:c>
      <x:c r="E56" s="9" t="str">
        <x:v>P1</x:v>
      </x:c>
      <x:c r="F56" s="9" t="str">
        <x:v>ME1</x:v>
      </x:c>
      <x:c r="G56" s="9" t="str">
        <x:v>Adaptation</x:v>
      </x:c>
      <x:c r="H56" s="7" t="str">
        <x:v>Point de dialogue historique.</x:v>
      </x:c>
      <x:c r="I56" s="7" t="str">
        <x:v>Informations débloquées après rencontre.</x:v>
      </x:c>
      <x:c r="J56" s="7" t="str"/>
      <x:c r="K56" s="7" t="str">
        <x:v>content/props/PRP-console-de-vigil.json</x:v>
      </x:c>
      <x:c r="L56" s="7" t="str"/>
      <x:c r="M56" s="7" t="str"/>
      <x:c r="N56" s="7" t="str">
        <x:v>Décisions du fan game ; aucune prétention de canon officiel</x:v>
      </x:c>
      <x:c r="O56" s="7" t="str"/>
      <x:c r="P56" s="7" t="str">
        <x:v>Production ME1</x:v>
      </x:c>
      <x:c r="Q56" s="7" t="str"/>
    </x:row>
    <x:row r="57" ht="36" customHeight="1">
      <x:c r="A57" s="13" t="str">
        <x:v>PRP-portail-du-conduit</x:v>
      </x:c>
      <x:c r="B57" s="14" t="str">
        <x:v>Portail du Conduit</x:v>
      </x:c>
      <x:c r="C57" s="10" t="str">
        <x:v>Défini</x:v>
      </x:c>
      <x:c r="D57" s="11" t="str">
        <x:v>À produire</x:v>
      </x:c>
      <x:c r="E57" s="15" t="str">
        <x:v>P1</x:v>
      </x:c>
      <x:c r="F57" s="15" t="str">
        <x:v>ME1</x:v>
      </x:c>
      <x:c r="G57" s="15" t="str">
        <x:v>Adaptation</x:v>
      </x:c>
      <x:c r="H57" s="14" t="str">
        <x:v>Destination de la course finale.</x:v>
      </x:c>
      <x:c r="I57" s="14" t="str">
        <x:v>Seuil spatial et transition synchronisés.</x:v>
      </x:c>
      <x:c r="J57" s="14" t="str"/>
      <x:c r="K57" s="14" t="str">
        <x:v>content/props/PRP-portail-du-conduit.json</x:v>
      </x:c>
      <x:c r="L57" s="14" t="str"/>
      <x:c r="M57" s="14" t="str"/>
      <x:c r="N57" s="14" t="str">
        <x:v>Décisions du fan game ; aucune prétention de canon officiel</x:v>
      </x:c>
      <x:c r="O57" s="14" t="str"/>
      <x:c r="P57" s="14" t="str">
        <x:v>Production ME1</x:v>
      </x:c>
      <x:c r="Q57" s="14" t="str"/>
    </x:row>
    <x:row r="58" ht="36" customHeight="1">
      <x:c r="A58" s="12" t="str">
        <x:v>PRP-relais-cosmodesique</x:v>
      </x:c>
      <x:c r="B58" s="7" t="str">
        <x:v>Relais cosmodésique</x:v>
      </x:c>
      <x:c r="C58" s="10" t="str">
        <x:v>Défini</x:v>
      </x:c>
      <x:c r="D58" s="11" t="str">
        <x:v>À produire</x:v>
      </x:c>
      <x:c r="E58" s="9" t="str">
        <x:v>P1</x:v>
      </x:c>
      <x:c r="F58" s="9" t="str">
        <x:v>ME1</x:v>
      </x:c>
      <x:c r="G58" s="9" t="str">
        <x:v>Adaptation</x:v>
      </x:c>
      <x:c r="H58" s="7" t="str">
        <x:v>Objet astronomique de navigation.</x:v>
      </x:c>
      <x:c r="I58" s="7" t="str">
        <x:v>Échelle traitée par mise en scène, pas obstacle de combat au sol.</x:v>
      </x:c>
      <x:c r="J58" s="7" t="str"/>
      <x:c r="K58" s="7" t="str">
        <x:v>content/props/PRP-relais-cosmodesique.json</x:v>
      </x:c>
      <x:c r="L58" s="7" t="str"/>
      <x:c r="M58" s="7" t="str"/>
      <x:c r="N58" s="7" t="str">
        <x:v>Décisions du fan game ; aucune prétention de canon officiel</x:v>
      </x:c>
      <x:c r="O58" s="7" t="str"/>
      <x:c r="P58" s="7" t="str">
        <x:v>Production ME1</x:v>
      </x:c>
      <x:c r="Q58" s="7" t="str"/>
    </x:row>
    <x:row r="59" ht="75" customHeight="1">
      <x:c r="A59" s="13" t="str">
        <x:v>REF-VEH-M35-MAKO-ME1</x:v>
      </x:c>
      <x:c r="B59" s="14" t="str">
        <x:v>Référence visuelle — Mako ME1</x:v>
      </x:c>
      <x:c r="C59" s="10" t="str">
        <x:v>Prototype</x:v>
      </x:c>
      <x:c r="D59" s="11" t="str">
        <x:v>Prototype</x:v>
      </x:c>
      <x:c r="E59" s="15" t="str">
        <x:v>P1</x:v>
      </x:c>
      <x:c r="F59" s="15" t="str">
        <x:v>ME1</x:v>
      </x:c>
      <x:c r="G59" s="15" t="str">
        <x:v>Confirmé</x:v>
      </x:c>
      <x:c r="H59" s="14" t="str">
        <x:v>Le manuel officiel du premier Mass Effect présente le véhicule Mako sous sa rubrique dédiée et une vue extérieure.</x:v>
      </x:c>
      <x:c r="I59" s="14" t="str">
        <x:v>Illustration de référence visible uniquement dans le registre ME1, liée à la source exacte et marquée Prototype. Aucun pilotage, intérieur, nouvelle géométrie ou statistique ne sont accordés.</x:v>
      </x:c>
      <x:c r="J59" s="14" t="str"/>
      <x:c r="K59" s="14" t="str">
        <x:v>public/assets/arsenal-fleet.png</x:v>
      </x:c>
      <x:c r="L59" s="14" t="str">
        <x:v>public/assets/arsenal-fleet.png</x:v>
      </x:c>
      <x:c r="M59" s="14" t="str">
        <x:v>REF-VEH-M35-MAKO-ME1</x:v>
      </x:c>
      <x:c r="N59" s="14" t="str">
        <x:v>Manuel Xbox360 EN PDF 13, pages imprimées23–24, rubrique MAKO.</x:v>
      </x:c>
      <x:c r="O59" s="14" t="str">
        <x:v>https://eaassets-a.akamaihd.net/eahelp/manuals/mass-effect-manuals_Microsoft%20XBOX360_en_US.pdf</x:v>
      </x:c>
      <x:c r="P59" s="14" t="str">
        <x:v>Production ME1</x:v>
      </x:c>
      <x:c r="Q59" s="14" t="str">
        <x:v>Existence et sujet de la vue primaire seulement confirmés. La génération reste une illustration fixe partielle ; ressemblance, détails de coque et proportions ne sont pas certifiés 1:1. Les anciens dossiers, leurs natures et les systèmes de pilotage restent inchangés.</x:v>
      </x:c>
    </x:row>
    <x:row r="60" ht="75" customHeight="1">
      <x:c r="A60" s="12" t="str">
        <x:v>REF-SHP-NORMANDY-SR1-ME1</x:v>
      </x:c>
      <x:c r="B60" s="7" t="str">
        <x:v>Référence visuelle — Normandy SR-1 ME1</x:v>
      </x:c>
      <x:c r="C60" s="10" t="str">
        <x:v>Prototype</x:v>
      </x:c>
      <x:c r="D60" s="11" t="str">
        <x:v>Prototype</x:v>
      </x:c>
      <x:c r="E60" s="9" t="str">
        <x:v>P1</x:v>
      </x:c>
      <x:c r="F60" s="9" t="str">
        <x:v>ME1</x:v>
      </x:c>
      <x:c r="G60" s="9" t="str">
        <x:v>Confirmé</x:v>
      </x:c>
      <x:c r="H60" s="7" t="str">
        <x:v>Le manuel officiel du premier Mass Effect nomme le Normandy et montre sa coque ; cette référence concerne le vaisseau de ME1.</x:v>
      </x:c>
      <x:c r="I60" s="7" t="str">
        <x:v>Illustration de référence visible uniquement dans le registre ME1, liée à la source exacte et marquée Prototype. Aucun pilotage, intérieur, nouvelle géométrie ou statistique ne sont accordés.</x:v>
      </x:c>
      <x:c r="J60" s="7" t="str"/>
      <x:c r="K60" s="7" t="str">
        <x:v>public/assets/arsenal-fleet.png</x:v>
      </x:c>
      <x:c r="L60" s="7" t="str">
        <x:v>public/assets/arsenal-fleet.png</x:v>
      </x:c>
      <x:c r="M60" s="7" t="str">
        <x:v>REF-SHP-NORMANDY-SR1-ME1</x:v>
      </x:c>
      <x:c r="N60" s="7" t="str">
        <x:v>Manuel Xbox360 EN PDF 3, page imprimée4, Normandy.</x:v>
      </x:c>
      <x:c r="O60" s="7" t="str">
        <x:v>https://eaassets-a.akamaihd.net/eahelp/manuals/mass-effect-manuals_Microsoft%20XBOX360_en_US.pdf</x:v>
      </x:c>
      <x:c r="P60" s="7" t="str">
        <x:v>Production ME1</x:v>
      </x:c>
      <x:c r="Q60" s="7" t="str">
        <x:v>Existence et sujet de la vue primaire seulement confirmés. La génération reste une illustration fixe partielle ; ressemblance, détails de coque et proportions ne sont pas certifiés 1:1. Les anciens dossiers, leurs natures et les systèmes de pilotage restent inchangés.</x:v>
      </x:c>
    </x:row>
  </x:sheetData>
  <x:conditionalFormatting sqref="C7:C60">
    <x:cfRule type="cellIs" dxfId="295" priority="1" operator="equal">
      <x:formula>"Prototype"</x:formula>
    </x:cfRule>
    <x:cfRule type="cellIs" dxfId="296" priority="2" operator="equal">
      <x:formula>"Intégré"</x:formula>
    </x:cfRule>
    <x:cfRule type="cellIs" dxfId="297" priority="3" operator="equal">
      <x:formula>"Validé"</x:formula>
    </x:cfRule>
  </x:conditionalFormatting>
  <x:conditionalFormatting sqref="G7:G60">
    <x:cfRule type="cellIs" dxfId="298" priority="4" operator="equal">
      <x:formula>"Référence à vérifier"</x:formula>
    </x:cfRule>
  </x:conditionalFormatting>
  <x:conditionalFormatting sqref="E7:E60">
    <x:cfRule type="cellIs" dxfId="299" priority="5" operator="equal">
      <x:formula>"P0"</x:formula>
    </x:cfRule>
  </x:conditionalFormatting>
  <x:dataValidations count="5">
    <x:dataValidation type="list" sqref="C7:C60">
      <x:formula1>"Défini,Prototype,Intégré,Validé"</x:formula1>
    </x:dataValidation>
    <x:dataValidation type="list" sqref="D7:D60">
      <x:formula1>"À produire,Prototype,Disponible,Validé,Sans objet,Non planifié"</x:formula1>
    </x:dataValidation>
    <x:dataValidation type="list" sqref="E7:E60">
      <x:formula1>"P0,P1,P2"</x:formula1>
    </x:dataValidation>
    <x:dataValidation type="list" sqref="F7:F60">
      <x:formula1>"ME1,ME2,ME3,TRANSVERSE"</x:formula1>
    </x:dataValidation>
    <x:dataValidation type="list" sqref="G7:G60">
      <x:formula1>"Confirmé,Référence à vérifier,Adaptation"</x:formula1>
    </x:dataValidation>
  </x:dataValidations>
  <x:pageMargins left="0.7" right="0.7" top="0.75" bottom="0.75" header="0.3" footer="0.3"/>
  <x:tableParts count="1">
    <x:tablePart xmlns:r="http://schemas.openxmlformats.org/officeDocument/2006/relationships" r:id="Rfc370bf9a9ef4a79"/>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Ennemis et boss</x:v>
      </x:c>
      <x:c r="B2" s="2"/>
      <x:c r="C2" s="2"/>
      <x:c r="D2" s="2"/>
      <x:c r="E2" s="2"/>
      <x:c r="F2" s="2"/>
      <x:c r="G2" s="2"/>
      <x:c r="H2" s="2"/>
      <x:c r="I2" s="2"/>
      <x:c r="J2" s="2"/>
      <x:c r="K2" s="2"/>
      <x:c r="L2" s="2"/>
      <x:c r="M2" s="2"/>
      <x:c r="N2" s="2"/>
      <x:c r="O2" s="2"/>
      <x:c r="P2" s="2"/>
      <x:c r="Q2" s="2"/>
    </x:row>
    <x:row r="3" ht="22" customHeight="1">
      <x:c r="A3" s="4" t="str">
        <x:v>Bestiaire de ME1 et rencontres nommées</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ENM-drone-de-reconnaissance-geth</x:v>
      </x:c>
      <x:c r="B7" s="14" t="str">
        <x:v>Drone de reconnaissance geth</x:v>
      </x:c>
      <x:c r="C7" s="10" t="str">
        <x:v>Défini</x:v>
      </x:c>
      <x:c r="D7" s="11" t="str">
        <x:v>À produire</x:v>
      </x:c>
      <x:c r="E7" s="15" t="str">
        <x:v>P1</x:v>
      </x:c>
      <x:c r="F7" s="15" t="str">
        <x:v>ME1</x:v>
      </x:c>
      <x:c r="G7" s="15" t="str">
        <x:v>Référence à vérifier</x:v>
      </x:c>
      <x:c r="H7" s="14" t="str">
        <x:v>Ennemi volant léger du prologue.</x:v>
      </x:c>
      <x:c r="I7" s="14" t="str">
        <x:v>Volume de vol, tir et silhouette à référencer.</x:v>
      </x:c>
      <x:c r="J7" s="14" t="str"/>
      <x:c r="K7" s="14" t="str">
        <x:v>content/enemies/ENM-drone-de-reconnaissance-geth.json</x:v>
      </x:c>
      <x:c r="L7" s="14" t="str"/>
      <x:c r="M7" s="14" t="str"/>
      <x:c r="N7" s="14" t="str">
        <x:v>Bestiaire de couverture ME1 ; capture de chaque variante nécessaire.</x:v>
      </x:c>
      <x:c r="O7" s="14" t="str">
        <x:v>https://na.llnet.bioware.cdn.ea.com/u/f/eagames/bioware/masseffect/prima/prima_guide_me_pc.pdf</x:v>
      </x:c>
      <x:c r="P7" s="14" t="str">
        <x:v>Production ME1</x:v>
      </x:c>
      <x:c r="Q7" s="14" t="str"/>
    </x:row>
    <x:row r="8" ht="36" customHeight="1">
      <x:c r="A8" s="12" t="str">
        <x:v>ENM-drone-d-assaut-geth</x:v>
      </x:c>
      <x:c r="B8" s="7" t="str">
        <x:v>Drone d’assaut geth</x:v>
      </x:c>
      <x:c r="C8" s="10" t="str">
        <x:v>Défini</x:v>
      </x:c>
      <x:c r="D8" s="11" t="str">
        <x:v>À produire</x:v>
      </x:c>
      <x:c r="E8" s="9" t="str">
        <x:v>P1</x:v>
      </x:c>
      <x:c r="F8" s="9" t="str">
        <x:v>ME1</x:v>
      </x:c>
      <x:c r="G8" s="9" t="str">
        <x:v>Référence à vérifier</x:v>
      </x:c>
      <x:c r="H8" s="7" t="str">
        <x:v>Plateforme volante armée.</x:v>
      </x:c>
      <x:c r="I8" s="7" t="str">
        <x:v>Télégraphe et trajectoire distincts du drone de reconnaissance.</x:v>
      </x:c>
      <x:c r="J8" s="7" t="str"/>
      <x:c r="K8" s="7" t="str">
        <x:v>content/enemies/ENM-drone-d-assaut-geth.json</x:v>
      </x:c>
      <x:c r="L8" s="7" t="str"/>
      <x:c r="M8" s="7" t="str"/>
      <x:c r="N8" s="7" t="str">
        <x:v>Bestiaire de couverture ME1 ; capture de chaque variante nécessaire.</x:v>
      </x:c>
      <x:c r="O8" s="7" t="str">
        <x:v>https://na.llnet.bioware.cdn.ea.com/u/f/eagames/bioware/masseffect/prima/prima_guide_me_pc.pdf</x:v>
      </x:c>
      <x:c r="P8" s="7" t="str">
        <x:v>Production ME1</x:v>
      </x:c>
      <x:c r="Q8" s="7" t="str"/>
    </x:row>
    <x:row r="9" ht="36" customHeight="1">
      <x:c r="A9" s="13" t="str">
        <x:v>ENM-drone-lance-roquettes</x:v>
      </x:c>
      <x:c r="B9" s="14" t="str">
        <x:v>Drone lance-roquettes</x:v>
      </x:c>
      <x:c r="C9" s="10" t="str">
        <x:v>Défini</x:v>
      </x:c>
      <x:c r="D9" s="11" t="str">
        <x:v>À produire</x:v>
      </x:c>
      <x:c r="E9" s="15" t="str">
        <x:v>P1</x:v>
      </x:c>
      <x:c r="F9" s="15" t="str">
        <x:v>ME1</x:v>
      </x:c>
      <x:c r="G9" s="15" t="str">
        <x:v>Référence à vérifier</x:v>
      </x:c>
      <x:c r="H9" s="14" t="str">
        <x:v>Unité volante à projectile lourd.</x:v>
      </x:c>
      <x:c r="I9" s="14" t="str">
        <x:v>Avertissement et explosion évitables dans l’ATB.</x:v>
      </x:c>
      <x:c r="J9" s="14" t="str"/>
      <x:c r="K9" s="14" t="str">
        <x:v>content/enemies/ENM-drone-lance-roquettes.json</x:v>
      </x:c>
      <x:c r="L9" s="14" t="str"/>
      <x:c r="M9" s="14" t="str"/>
      <x:c r="N9" s="14" t="str">
        <x:v>Bestiaire de couverture ME1 ; capture de chaque variante nécessaire.</x:v>
      </x:c>
      <x:c r="O9" s="14" t="str">
        <x:v>https://na.llnet.bioware.cdn.ea.com/u/f/eagames/bioware/masseffect/prima/prima_guide_me_pc.pdf</x:v>
      </x:c>
      <x:c r="P9" s="14" t="str">
        <x:v>Production ME1</x:v>
      </x:c>
      <x:c r="Q9" s="14" t="str"/>
    </x:row>
    <x:row r="10" ht="36" customHeight="1">
      <x:c r="A10" s="12" t="str">
        <x:v>ENM-soldat-geth</x:v>
      </x:c>
      <x:c r="B10" s="7" t="str">
        <x:v>Soldat geth</x:v>
      </x:c>
      <x:c r="C10" s="10" t="str">
        <x:v>Défini</x:v>
      </x:c>
      <x:c r="D10" s="11" t="str">
        <x:v>À produire</x:v>
      </x:c>
      <x:c r="E10" s="9" t="str">
        <x:v>P1</x:v>
      </x:c>
      <x:c r="F10" s="9" t="str">
        <x:v>ME1</x:v>
      </x:c>
      <x:c r="G10" s="9" t="str">
        <x:v>Référence à vérifier</x:v>
      </x:c>
      <x:c r="H10" s="7" t="str">
        <x:v>Infanterie synthétique de base.</x:v>
      </x:c>
      <x:c r="I10" s="7" t="str">
        <x:v>Posture, optique et arme de ME1.</x:v>
      </x:c>
      <x:c r="J10" s="7" t="str"/>
      <x:c r="K10" s="7" t="str">
        <x:v>content/enemies/ENM-soldat-geth.json</x:v>
      </x:c>
      <x:c r="L10" s="7" t="str"/>
      <x:c r="M10" s="7" t="str"/>
      <x:c r="N10" s="7" t="str">
        <x:v>Bestiaire de couverture ME1 ; capture de chaque variante nécessaire.</x:v>
      </x:c>
      <x:c r="O10" s="7" t="str">
        <x:v>https://na.llnet.bioware.cdn.ea.com/u/f/eagames/bioware/masseffect/prima/prima_guide_me_pc.pdf</x:v>
      </x:c>
      <x:c r="P10" s="7" t="str">
        <x:v>Production ME1</x:v>
      </x:c>
      <x:c r="Q10" s="7" t="str"/>
    </x:row>
    <x:row r="11" ht="36" customHeight="1">
      <x:c r="A11" s="13" t="str">
        <x:v>ENM-sniper-geth</x:v>
      </x:c>
      <x:c r="B11" s="14" t="str">
        <x:v>Sniper geth</x:v>
      </x:c>
      <x:c r="C11" s="10" t="str">
        <x:v>Défini</x:v>
      </x:c>
      <x:c r="D11" s="11" t="str">
        <x:v>À produire</x:v>
      </x:c>
      <x:c r="E11" s="15" t="str">
        <x:v>P1</x:v>
      </x:c>
      <x:c r="F11" s="15" t="str">
        <x:v>ME1</x:v>
      </x:c>
      <x:c r="G11" s="15" t="str">
        <x:v>Référence à vérifier</x:v>
      </x:c>
      <x:c r="H11" s="14" t="str">
        <x:v>Infanterie de tir lointain.</x:v>
      </x:c>
      <x:c r="I11" s="14" t="str">
        <x:v>Préparation lisible et contre-mesure de couvert.</x:v>
      </x:c>
      <x:c r="J11" s="14" t="str"/>
      <x:c r="K11" s="14" t="str">
        <x:v>content/enemies/ENM-sniper-geth.json</x:v>
      </x:c>
      <x:c r="L11" s="14" t="str"/>
      <x:c r="M11" s="14" t="str"/>
      <x:c r="N11" s="14" t="str">
        <x:v>Bestiaire de couverture ME1 ; capture de chaque variante nécessaire.</x:v>
      </x:c>
      <x:c r="O11" s="14" t="str">
        <x:v>https://na.llnet.bioware.cdn.ea.com/u/f/eagames/bioware/masseffect/prima/prima_guide_me_pc.pdf</x:v>
      </x:c>
      <x:c r="P11" s="14" t="str">
        <x:v>Production ME1</x:v>
      </x:c>
      <x:c r="Q11" s="14" t="str"/>
    </x:row>
    <x:row r="12" ht="36" customHeight="1">
      <x:c r="A12" s="12" t="str">
        <x:v>ENM-lance-roquettes-geth</x:v>
      </x:c>
      <x:c r="B12" s="7" t="str">
        <x:v>Lance-roquettes geth</x:v>
      </x:c>
      <x:c r="C12" s="10" t="str">
        <x:v>Défini</x:v>
      </x:c>
      <x:c r="D12" s="11" t="str">
        <x:v>À produire</x:v>
      </x:c>
      <x:c r="E12" s="9" t="str">
        <x:v>P1</x:v>
      </x:c>
      <x:c r="F12" s="9" t="str">
        <x:v>ME1</x:v>
      </x:c>
      <x:c r="G12" s="9" t="str">
        <x:v>Référence à vérifier</x:v>
      </x:c>
      <x:c r="H12" s="7" t="str">
        <x:v>Infanterie avec projectile explosif.</x:v>
      </x:c>
      <x:c r="I12" s="7" t="str">
        <x:v>Zone visée annoncée avant résolution.</x:v>
      </x:c>
      <x:c r="J12" s="7" t="str"/>
      <x:c r="K12" s="7" t="str">
        <x:v>content/enemies/ENM-lance-roquettes-geth.json</x:v>
      </x:c>
      <x:c r="L12" s="7" t="str"/>
      <x:c r="M12" s="7" t="str"/>
      <x:c r="N12" s="7" t="str">
        <x:v>Bestiaire de couverture ME1 ; capture de chaque variante nécessaire.</x:v>
      </x:c>
      <x:c r="O12" s="7" t="str">
        <x:v>https://na.llnet.bioware.cdn.ea.com/u/f/eagames/bioware/masseffect/prima/prima_guide_me_pc.pdf</x:v>
      </x:c>
      <x:c r="P12" s="7" t="str">
        <x:v>Production ME1</x:v>
      </x:c>
      <x:c r="Q12" s="7" t="str"/>
    </x:row>
    <x:row r="13" ht="36" customHeight="1">
      <x:c r="A13" s="13" t="str">
        <x:v>ENM-soldat-de-choc-geth</x:v>
      </x:c>
      <x:c r="B13" s="14" t="str">
        <x:v>Soldat de choc geth</x:v>
      </x:c>
      <x:c r="C13" s="10" t="str">
        <x:v>Défini</x:v>
      </x:c>
      <x:c r="D13" s="11" t="str">
        <x:v>À produire</x:v>
      </x:c>
      <x:c r="E13" s="15" t="str">
        <x:v>P1</x:v>
      </x:c>
      <x:c r="F13" s="15" t="str">
        <x:v>ME1</x:v>
      </x:c>
      <x:c r="G13" s="15" t="str">
        <x:v>Référence à vérifier</x:v>
      </x:c>
      <x:c r="H13" s="14" t="str">
        <x:v>Infanterie plus résistante.</x:v>
      </x:c>
      <x:c r="I13" s="14" t="str">
        <x:v>Différence lisible sans dépendre seulement des points de vie.</x:v>
      </x:c>
      <x:c r="J13" s="14" t="str"/>
      <x:c r="K13" s="14" t="str">
        <x:v>content/enemies/ENM-soldat-de-choc-geth.json</x:v>
      </x:c>
      <x:c r="L13" s="14" t="str"/>
      <x:c r="M13" s="14" t="str"/>
      <x:c r="N13" s="14" t="str">
        <x:v>Bestiaire de couverture ME1 ; capture de chaque variante nécessaire.</x:v>
      </x:c>
      <x:c r="O13" s="14" t="str">
        <x:v>https://na.llnet.bioware.cdn.ea.com/u/f/eagames/bioware/masseffect/prima/prima_guide_me_pc.pdf</x:v>
      </x:c>
      <x:c r="P13" s="14" t="str">
        <x:v>Production ME1</x:v>
      </x:c>
      <x:c r="Q13" s="14" t="str"/>
    </x:row>
    <x:row r="14" ht="36" customHeight="1">
      <x:c r="A14" s="12" t="str">
        <x:v>ENM-destructeur-geth</x:v>
      </x:c>
      <x:c r="B14" s="7" t="str">
        <x:v>Destructeur geth</x:v>
      </x:c>
      <x:c r="C14" s="10" t="str">
        <x:v>Défini</x:v>
      </x:c>
      <x:c r="D14" s="11" t="str">
        <x:v>À produire</x:v>
      </x:c>
      <x:c r="E14" s="9" t="str">
        <x:v>P1</x:v>
      </x:c>
      <x:c r="F14" s="9" t="str">
        <x:v>ME1</x:v>
      </x:c>
      <x:c r="G14" s="9" t="str">
        <x:v>Référence à vérifier</x:v>
      </x:c>
      <x:c r="H14" s="7" t="str">
        <x:v>Unité lourde à courte portée.</x:v>
      </x:c>
      <x:c r="I14" s="7" t="str">
        <x:v>Avance et pression de proximité reconnaissables.</x:v>
      </x:c>
      <x:c r="J14" s="7" t="str"/>
      <x:c r="K14" s="7" t="str">
        <x:v>content/enemies/ENM-destructeur-geth.json</x:v>
      </x:c>
      <x:c r="L14" s="7" t="str"/>
      <x:c r="M14" s="7" t="str"/>
      <x:c r="N14" s="7" t="str">
        <x:v>Bestiaire de couverture ME1 ; capture de chaque variante nécessaire.</x:v>
      </x:c>
      <x:c r="O14" s="7" t="str">
        <x:v>https://na.llnet.bioware.cdn.ea.com/u/f/eagames/bioware/masseffect/prima/prima_guide_me_pc.pdf</x:v>
      </x:c>
      <x:c r="P14" s="7" t="str">
        <x:v>Production ME1</x:v>
      </x:c>
      <x:c r="Q14" s="7" t="str"/>
    </x:row>
    <x:row r="15" ht="36" customHeight="1">
      <x:c r="A15" s="13" t="str">
        <x:v>ENM-juggernaut-geth</x:v>
      </x:c>
      <x:c r="B15" s="14" t="str">
        <x:v>Juggernaut geth</x:v>
      </x:c>
      <x:c r="C15" s="10" t="str">
        <x:v>Défini</x:v>
      </x:c>
      <x:c r="D15" s="11" t="str">
        <x:v>À produire</x:v>
      </x:c>
      <x:c r="E15" s="15" t="str">
        <x:v>P1</x:v>
      </x:c>
      <x:c r="F15" s="15" t="str">
        <x:v>ME1</x:v>
      </x:c>
      <x:c r="G15" s="15" t="str">
        <x:v>Référence à vérifier</x:v>
      </x:c>
      <x:c r="H15" s="14" t="str">
        <x:v>Unité lourde de soutien.</x:v>
      </x:c>
      <x:c r="I15" s="14" t="str">
        <x:v>Silhouette et comportement distincts du Destructeur.</x:v>
      </x:c>
      <x:c r="J15" s="14" t="str"/>
      <x:c r="K15" s="14" t="str">
        <x:v>content/enemies/ENM-juggernaut-geth.json</x:v>
      </x:c>
      <x:c r="L15" s="14" t="str"/>
      <x:c r="M15" s="14" t="str"/>
      <x:c r="N15" s="14" t="str">
        <x:v>Bestiaire de couverture ME1 ; capture de chaque variante nécessaire.</x:v>
      </x:c>
      <x:c r="O15" s="14" t="str">
        <x:v>https://na.llnet.bioware.cdn.ea.com/u/f/eagames/bioware/masseffect/prima/prima_guide_me_pc.pdf</x:v>
      </x:c>
      <x:c r="P15" s="14" t="str">
        <x:v>Production ME1</x:v>
      </x:c>
      <x:c r="Q15" s="14" t="str"/>
    </x:row>
    <x:row r="16" ht="36" customHeight="1">
      <x:c r="A16" s="12" t="str">
        <x:v>ENM-traqueur-geth</x:v>
      </x:c>
      <x:c r="B16" s="7" t="str">
        <x:v>Traqueur geth</x:v>
      </x:c>
      <x:c r="C16" s="10" t="str">
        <x:v>Défini</x:v>
      </x:c>
      <x:c r="D16" s="11" t="str">
        <x:v>À produire</x:v>
      </x:c>
      <x:c r="E16" s="9" t="str">
        <x:v>P1</x:v>
      </x:c>
      <x:c r="F16" s="9" t="str">
        <x:v>ME1</x:v>
      </x:c>
      <x:c r="G16" s="9" t="str">
        <x:v>Référence à vérifier</x:v>
      </x:c>
      <x:c r="H16" s="7" t="str">
        <x:v>Unité mobile grimpant sur les surfaces.</x:v>
      </x:c>
      <x:c r="I16" s="7" t="str">
        <x:v>Ancrages d’animation aux murs et plafonds.</x:v>
      </x:c>
      <x:c r="J16" s="7" t="str"/>
      <x:c r="K16" s="7" t="str">
        <x:v>content/enemies/ENM-traqueur-geth.json</x:v>
      </x:c>
      <x:c r="L16" s="7" t="str"/>
      <x:c r="M16" s="7" t="str"/>
      <x:c r="N16" s="7" t="str">
        <x:v>Bestiaire de couverture ME1 ; capture de chaque variante nécessaire.</x:v>
      </x:c>
      <x:c r="O16" s="7" t="str">
        <x:v>https://na.llnet.bioware.cdn.ea.com/u/f/eagames/bioware/masseffect/prima/prima_guide_me_pc.pdf</x:v>
      </x:c>
      <x:c r="P16" s="7" t="str">
        <x:v>Production ME1</x:v>
      </x:c>
      <x:c r="Q16" s="7" t="str"/>
    </x:row>
    <x:row r="17" ht="36" customHeight="1">
      <x:c r="A17" s="13" t="str">
        <x:v>ENM-sapeur-geth</x:v>
      </x:c>
      <x:c r="B17" s="14" t="str">
        <x:v>Sapeur geth</x:v>
      </x:c>
      <x:c r="C17" s="10" t="str">
        <x:v>Défini</x:v>
      </x:c>
      <x:c r="D17" s="11" t="str">
        <x:v>À produire</x:v>
      </x:c>
      <x:c r="E17" s="15" t="str">
        <x:v>P1</x:v>
      </x:c>
      <x:c r="F17" s="15" t="str">
        <x:v>ME1</x:v>
      </x:c>
      <x:c r="G17" s="15" t="str">
        <x:v>Référence à vérifier</x:v>
      </x:c>
      <x:c r="H17" s="14" t="str">
        <x:v>Unité mobile de perturbation.</x:v>
      </x:c>
      <x:c r="I17" s="14" t="str">
        <x:v>Effets de sabotage rattachés à sa fiche.</x:v>
      </x:c>
      <x:c r="J17" s="14" t="str"/>
      <x:c r="K17" s="14" t="str">
        <x:v>content/enemies/ENM-sapeur-geth.json</x:v>
      </x:c>
      <x:c r="L17" s="14" t="str"/>
      <x:c r="M17" s="14" t="str"/>
      <x:c r="N17" s="14" t="str">
        <x:v>Bestiaire de couverture ME1 ; capture de chaque variante nécessaire.</x:v>
      </x:c>
      <x:c r="O17" s="14" t="str">
        <x:v>https://na.llnet.bioware.cdn.ea.com/u/f/eagames/bioware/masseffect/prima/prima_guide_me_pc.pdf</x:v>
      </x:c>
      <x:c r="P17" s="14" t="str">
        <x:v>Production ME1</x:v>
      </x:c>
      <x:c r="Q17" s="14" t="str"/>
    </x:row>
    <x:row r="18" ht="36" customHeight="1">
      <x:c r="A18" s="12" t="str">
        <x:v>ENM-fantome-geth</x:v>
      </x:c>
      <x:c r="B18" s="7" t="str">
        <x:v>Fantôme geth</x:v>
      </x:c>
      <x:c r="C18" s="10" t="str">
        <x:v>Défini</x:v>
      </x:c>
      <x:c r="D18" s="11" t="str">
        <x:v>À produire</x:v>
      </x:c>
      <x:c r="E18" s="9" t="str">
        <x:v>P1</x:v>
      </x:c>
      <x:c r="F18" s="9" t="str">
        <x:v>ME1</x:v>
      </x:c>
      <x:c r="G18" s="9" t="str">
        <x:v>Référence à vérifier</x:v>
      </x:c>
      <x:c r="H18" s="7" t="str">
        <x:v>Variante mobile à confirmer dans la référence.</x:v>
      </x:c>
      <x:c r="I18" s="7" t="str">
        <x:v>Différences exactes à relever avant production.</x:v>
      </x:c>
      <x:c r="J18" s="7" t="str"/>
      <x:c r="K18" s="7" t="str">
        <x:v>content/enemies/ENM-fantome-geth.json</x:v>
      </x:c>
      <x:c r="L18" s="7" t="str"/>
      <x:c r="M18" s="7" t="str"/>
      <x:c r="N18" s="7" t="str">
        <x:v>Bestiaire de couverture ME1 ; capture de chaque variante nécessaire.</x:v>
      </x:c>
      <x:c r="O18" s="7" t="str">
        <x:v>https://na.llnet.bioware.cdn.ea.com/u/f/eagames/bioware/masseffect/prima/prima_guide_me_pc.pdf</x:v>
      </x:c>
      <x:c r="P18" s="7" t="str">
        <x:v>Production ME1</x:v>
      </x:c>
      <x:c r="Q18" s="7" t="str"/>
    </x:row>
    <x:row r="19" ht="49" customHeight="1">
      <x:c r="A19" s="13" t="str">
        <x:v>ENM-armature-geth</x:v>
      </x:c>
      <x:c r="B19" s="14" t="str">
        <x:v>Armature geth</x:v>
      </x:c>
      <x:c r="C19" s="10" t="str">
        <x:v>Défini</x:v>
      </x:c>
      <x:c r="D19" s="11" t="str">
        <x:v>Prototype</x:v>
      </x:c>
      <x:c r="E19" s="15" t="str">
        <x:v>P1</x:v>
      </x:c>
      <x:c r="F19" s="15" t="str">
        <x:v>ME1</x:v>
      </x:c>
      <x:c r="G19" s="15" t="str">
        <x:v>Référence à vérifier</x:v>
      </x:c>
      <x:c r="H19" s="14" t="str">
        <x:v>Unité quadrupède lourde.</x:v>
      </x:c>
      <x:c r="I19" s="14" t="str">
        <x:v>Échelle et arc de tir respectés.</x:v>
      </x:c>
      <x:c r="J19" s="14" t="str"/>
      <x:c r="K19" s="14" t="str">
        <x:v>content/enemies/ENM-armature-geth.json</x:v>
      </x:c>
      <x:c r="L19" s="14" t="str">
        <x:v>public/assets/vehicle-atlas.png</x:v>
      </x:c>
      <x:c r="M19" s="14" t="str"/>
      <x:c r="N19" s="14" t="str">
        <x:v>Bestiaire de couverture ME1 ; capture de chaque variante nécessaire.</x:v>
      </x:c>
      <x:c r="O19" s="14" t="str">
        <x:v>https://na.llnet.bioware.cdn.ea.com/u/f/eagames/bioware/masseffect/prima/prima_guide_me_pc.pdf</x:v>
      </x:c>
      <x:c r="P19" s="14" t="str">
        <x:v>Production ME1</x:v>
      </x:c>
      <x:c r="Q19" s="14" t="str">
        <x:v>Illustration statique dans le quadrant inférieur gauche. Ennemi spécifique, intelligence artificielle et animation de locomotion absents du prototype ; aucune conduite.</x:v>
      </x:c>
    </x:row>
    <x:row r="20" ht="36" customHeight="1">
      <x:c r="A20" s="12" t="str">
        <x:v>ENM-colosse-geth</x:v>
      </x:c>
      <x:c r="B20" s="7" t="str">
        <x:v>Colosse geth</x:v>
      </x:c>
      <x:c r="C20" s="10" t="str">
        <x:v>Défini</x:v>
      </x:c>
      <x:c r="D20" s="11" t="str">
        <x:v>À produire</x:v>
      </x:c>
      <x:c r="E20" s="9" t="str">
        <x:v>P1</x:v>
      </x:c>
      <x:c r="F20" s="9" t="str">
        <x:v>ME1</x:v>
      </x:c>
      <x:c r="G20" s="9" t="str">
        <x:v>Référence à vérifier</x:v>
      </x:c>
      <x:c r="H20" s="7" t="str">
        <x:v>Plateforme géante de combat.</x:v>
      </x:c>
      <x:c r="I20" s="7" t="str">
        <x:v>Rencontre construite pour l’espace et le Mako quand pertinent.</x:v>
      </x:c>
      <x:c r="J20" s="7" t="str"/>
      <x:c r="K20" s="7" t="str">
        <x:v>content/enemies/ENM-colosse-geth.json</x:v>
      </x:c>
      <x:c r="L20" s="7" t="str"/>
      <x:c r="M20" s="7" t="str"/>
      <x:c r="N20" s="7" t="str">
        <x:v>Bestiaire de couverture ME1 ; capture de chaque variante nécessaire.</x:v>
      </x:c>
      <x:c r="O20" s="7" t="str">
        <x:v>https://na.llnet.bioware.cdn.ea.com/u/f/eagames/bioware/masseffect/prima/prima_guide_me_pc.pdf</x:v>
      </x:c>
      <x:c r="P20" s="7" t="str">
        <x:v>Production ME1</x:v>
      </x:c>
      <x:c r="Q20" s="7" t="str"/>
    </x:row>
    <x:row r="21" ht="36" customHeight="1">
      <x:c r="A21" s="13" t="str">
        <x:v>ENM-husk</x:v>
      </x:c>
      <x:c r="B21" s="14" t="str">
        <x:v>Husk</x:v>
      </x:c>
      <x:c r="C21" s="10" t="str">
        <x:v>Défini</x:v>
      </x:c>
      <x:c r="D21" s="11" t="str">
        <x:v>À produire</x:v>
      </x:c>
      <x:c r="E21" s="15" t="str">
        <x:v>P1</x:v>
      </x:c>
      <x:c r="F21" s="15" t="str">
        <x:v>ME1</x:v>
      </x:c>
      <x:c r="G21" s="15" t="str">
        <x:v>Référence à vérifier</x:v>
      </x:c>
      <x:c r="H21" s="14" t="str">
        <x:v>Victime transformée rencontrée dès le prologue.</x:v>
      </x:c>
      <x:c r="I21" s="14" t="str">
        <x:v>Mouvements nerveux et attaque électrique à documenter.</x:v>
      </x:c>
      <x:c r="J21" s="14" t="str"/>
      <x:c r="K21" s="14" t="str">
        <x:v>content/enemies/ENM-husk.json</x:v>
      </x:c>
      <x:c r="L21" s="14" t="str"/>
      <x:c r="M21" s="14" t="str"/>
      <x:c r="N21" s="14" t="str">
        <x:v>Bestiaire de couverture ME1 ; capture de chaque variante nécessaire.</x:v>
      </x:c>
      <x:c r="O21" s="14" t="str">
        <x:v>https://na.llnet.bioware.cdn.ea.com/u/f/eagames/bioware/masseffect/prima/prima_guide_me_pc.pdf</x:v>
      </x:c>
      <x:c r="P21" s="14" t="str">
        <x:v>Production ME1</x:v>
      </x:c>
      <x:c r="Q21" s="14" t="str"/>
    </x:row>
    <x:row r="22" ht="36" customHeight="1">
      <x:c r="A22" s="12" t="str">
        <x:v>ENM-creeper-du-thorian</x:v>
      </x:c>
      <x:c r="B22" s="7" t="str">
        <x:v>Creeper du Thorian</x:v>
      </x:c>
      <x:c r="C22" s="10" t="str">
        <x:v>Défini</x:v>
      </x:c>
      <x:c r="D22" s="11" t="str">
        <x:v>À produire</x:v>
      </x:c>
      <x:c r="E22" s="9" t="str">
        <x:v>P1</x:v>
      </x:c>
      <x:c r="F22" s="9" t="str">
        <x:v>ME1</x:v>
      </x:c>
      <x:c r="G22" s="9" t="str">
        <x:v>Référence à vérifier</x:v>
      </x:c>
      <x:c r="H22" s="7" t="str">
        <x:v>Créature contrôlée par le Thorian.</x:v>
      </x:c>
      <x:c r="I22" s="7" t="str">
        <x:v>Mouvements et origine distincts des husks.</x:v>
      </x:c>
      <x:c r="J22" s="7" t="str"/>
      <x:c r="K22" s="7" t="str">
        <x:v>content/enemies/ENM-creeper-du-thorian.json</x:v>
      </x:c>
      <x:c r="L22" s="7" t="str"/>
      <x:c r="M22" s="7" t="str"/>
      <x:c r="N22" s="7" t="str">
        <x:v>Bestiaire de couverture ME1 ; capture de chaque variante nécessaire.</x:v>
      </x:c>
      <x:c r="O22" s="7" t="str">
        <x:v>https://na.llnet.bioware.cdn.ea.com/u/f/eagames/bioware/masseffect/prima/prima_guide_me_pc.pdf</x:v>
      </x:c>
      <x:c r="P22" s="7" t="str">
        <x:v>Production ME1</x:v>
      </x:c>
      <x:c r="Q22" s="7" t="str"/>
    </x:row>
    <x:row r="23" ht="36" customHeight="1">
      <x:c r="A23" s="13" t="str">
        <x:v>ENM-clone-asari-du-thorian</x:v>
      </x:c>
      <x:c r="B23" s="14" t="str">
        <x:v>Clone asari du Thorian</x:v>
      </x:c>
      <x:c r="C23" s="10" t="str">
        <x:v>Défini</x:v>
      </x:c>
      <x:c r="D23" s="11" t="str">
        <x:v>À produire</x:v>
      </x:c>
      <x:c r="E23" s="15" t="str">
        <x:v>P1</x:v>
      </x:c>
      <x:c r="F23" s="15" t="str">
        <x:v>ME1</x:v>
      </x:c>
      <x:c r="G23" s="15" t="str">
        <x:v>Référence à vérifier</x:v>
      </x:c>
      <x:c r="H23" s="14" t="str">
        <x:v>Manifestation ennemie liée au boss.</x:v>
      </x:c>
      <x:c r="I23" s="14" t="str">
        <x:v>Apparition et disparition liées aux phases.</x:v>
      </x:c>
      <x:c r="J23" s="14" t="str"/>
      <x:c r="K23" s="14" t="str">
        <x:v>content/enemies/ENM-clone-asari-du-thorian.json</x:v>
      </x:c>
      <x:c r="L23" s="14" t="str"/>
      <x:c r="M23" s="14" t="str"/>
      <x:c r="N23" s="14" t="str">
        <x:v>Bestiaire de couverture ME1 ; capture de chaque variante nécessaire.</x:v>
      </x:c>
      <x:c r="O23" s="14" t="str">
        <x:v>https://na.llnet.bioware.cdn.ea.com/u/f/eagames/bioware/masseffect/prima/prima_guide_me_pc.pdf</x:v>
      </x:c>
      <x:c r="P23" s="14" t="str">
        <x:v>Production ME1</x:v>
      </x:c>
      <x:c r="Q23" s="14" t="str"/>
    </x:row>
    <x:row r="24" ht="36" customHeight="1">
      <x:c r="A24" s="12" t="str">
        <x:v>ENM-rachni-ouvrier</x:v>
      </x:c>
      <x:c r="B24" s="7" t="str">
        <x:v>Rachni ouvrier</x:v>
      </x:c>
      <x:c r="C24" s="10" t="str">
        <x:v>Défini</x:v>
      </x:c>
      <x:c r="D24" s="11" t="str">
        <x:v>À produire</x:v>
      </x:c>
      <x:c r="E24" s="9" t="str">
        <x:v>P1</x:v>
      </x:c>
      <x:c r="F24" s="9" t="str">
        <x:v>ME1</x:v>
      </x:c>
      <x:c r="G24" s="9" t="str">
        <x:v>Référence à vérifier</x:v>
      </x:c>
      <x:c r="H24" s="7" t="str">
        <x:v>Petite forme de rachni.</x:v>
      </x:c>
      <x:c r="I24" s="7" t="str">
        <x:v>Risque de proximité et nombre limités pour lisibilité.</x:v>
      </x:c>
      <x:c r="J24" s="7" t="str"/>
      <x:c r="K24" s="7" t="str">
        <x:v>content/enemies/ENM-rachni-ouvrier.json</x:v>
      </x:c>
      <x:c r="L24" s="7" t="str"/>
      <x:c r="M24" s="7" t="str"/>
      <x:c r="N24" s="7" t="str">
        <x:v>Bestiaire de couverture ME1 ; capture de chaque variante nécessaire.</x:v>
      </x:c>
      <x:c r="O24" s="7" t="str">
        <x:v>https://na.llnet.bioware.cdn.ea.com/u/f/eagames/bioware/masseffect/prima/prima_guide_me_pc.pdf</x:v>
      </x:c>
      <x:c r="P24" s="7" t="str">
        <x:v>Production ME1</x:v>
      </x:c>
      <x:c r="Q24" s="7" t="str"/>
    </x:row>
    <x:row r="25" ht="36" customHeight="1">
      <x:c r="A25" s="13" t="str">
        <x:v>ENM-rachni-soldat</x:v>
      </x:c>
      <x:c r="B25" s="14" t="str">
        <x:v>Rachni soldat</x:v>
      </x:c>
      <x:c r="C25" s="10" t="str">
        <x:v>Défini</x:v>
      </x:c>
      <x:c r="D25" s="11" t="str">
        <x:v>À produire</x:v>
      </x:c>
      <x:c r="E25" s="15" t="str">
        <x:v>P1</x:v>
      </x:c>
      <x:c r="F25" s="15" t="str">
        <x:v>ME1</x:v>
      </x:c>
      <x:c r="G25" s="15" t="str">
        <x:v>Référence à vérifier</x:v>
      </x:c>
      <x:c r="H25" s="14" t="str">
        <x:v>Forme combattante de l’espèce.</x:v>
      </x:c>
      <x:c r="I25" s="14" t="str">
        <x:v>Attaque à distance et corps-à-corps à référencer.</x:v>
      </x:c>
      <x:c r="J25" s="14" t="str"/>
      <x:c r="K25" s="14" t="str">
        <x:v>content/enemies/ENM-rachni-soldat.json</x:v>
      </x:c>
      <x:c r="L25" s="14" t="str"/>
      <x:c r="M25" s="14" t="str"/>
      <x:c r="N25" s="14" t="str">
        <x:v>Bestiaire de couverture ME1 ; capture de chaque variante nécessaire.</x:v>
      </x:c>
      <x:c r="O25" s="14" t="str">
        <x:v>https://na.llnet.bioware.cdn.ea.com/u/f/eagames/bioware/masseffect/prima/prima_guide_me_pc.pdf</x:v>
      </x:c>
      <x:c r="P25" s="14" t="str">
        <x:v>Production ME1</x:v>
      </x:c>
      <x:c r="Q25" s="14" t="str"/>
    </x:row>
    <x:row r="26" ht="36" customHeight="1">
      <x:c r="A26" s="12" t="str">
        <x:v>ENM-guerrier-krogan</x:v>
      </x:c>
      <x:c r="B26" s="7" t="str">
        <x:v>Guerrier krogan</x:v>
      </x:c>
      <x:c r="C26" s="10" t="str">
        <x:v>Défini</x:v>
      </x:c>
      <x:c r="D26" s="11" t="str">
        <x:v>À produire</x:v>
      </x:c>
      <x:c r="E26" s="9" t="str">
        <x:v>P1</x:v>
      </x:c>
      <x:c r="F26" s="9" t="str">
        <x:v>ME1</x:v>
      </x:c>
      <x:c r="G26" s="9" t="str">
        <x:v>Référence à vérifier</x:v>
      </x:c>
      <x:c r="H26" s="7" t="str">
        <x:v>Combattant lourd organique.</x:v>
      </x:c>
      <x:c r="I26" s="7" t="str">
        <x:v>Résistance et approche sans pouvoirs arbitraires.</x:v>
      </x:c>
      <x:c r="J26" s="7" t="str"/>
      <x:c r="K26" s="7" t="str">
        <x:v>content/enemies/ENM-guerrier-krogan.json</x:v>
      </x:c>
      <x:c r="L26" s="7" t="str"/>
      <x:c r="M26" s="7" t="str"/>
      <x:c r="N26" s="7" t="str">
        <x:v>Bestiaire de couverture ME1 ; capture de chaque variante nécessaire.</x:v>
      </x:c>
      <x:c r="O26" s="7" t="str">
        <x:v>https://na.llnet.bioware.cdn.ea.com/u/f/eagames/bioware/masseffect/prima/prima_guide_me_pc.pdf</x:v>
      </x:c>
      <x:c r="P26" s="7" t="str">
        <x:v>Production ME1</x:v>
      </x:c>
      <x:c r="Q26" s="7" t="str"/>
    </x:row>
    <x:row r="27" ht="36" customHeight="1">
      <x:c r="A27" s="13" t="str">
        <x:v>ENM-maitre-de-guerre-krogan</x:v>
      </x:c>
      <x:c r="B27" s="14" t="str">
        <x:v>Maître de guerre krogan</x:v>
      </x:c>
      <x:c r="C27" s="10" t="str">
        <x:v>Défini</x:v>
      </x:c>
      <x:c r="D27" s="11" t="str">
        <x:v>À produire</x:v>
      </x:c>
      <x:c r="E27" s="15" t="str">
        <x:v>P1</x:v>
      </x:c>
      <x:c r="F27" s="15" t="str">
        <x:v>ME1</x:v>
      </x:c>
      <x:c r="G27" s="15" t="str">
        <x:v>Référence à vérifier</x:v>
      </x:c>
      <x:c r="H27" s="14" t="str">
        <x:v>Combattant biotique de haute menace.</x:v>
      </x:c>
      <x:c r="I27" s="14" t="str">
        <x:v>Pouvoirs et récupérations à relever dans ME1.</x:v>
      </x:c>
      <x:c r="J27" s="14" t="str"/>
      <x:c r="K27" s="14" t="str">
        <x:v>content/enemies/ENM-maitre-de-guerre-krogan.json</x:v>
      </x:c>
      <x:c r="L27" s="14" t="str"/>
      <x:c r="M27" s="14" t="str"/>
      <x:c r="N27" s="14" t="str">
        <x:v>Bestiaire de couverture ME1 ; capture de chaque variante nécessaire.</x:v>
      </x:c>
      <x:c r="O27" s="14" t="str">
        <x:v>https://na.llnet.bioware.cdn.ea.com/u/f/eagames/bioware/masseffect/prima/prima_guide_me_pc.pdf</x:v>
      </x:c>
      <x:c r="P27" s="14" t="str">
        <x:v>Production ME1</x:v>
      </x:c>
      <x:c r="Q27" s="14" t="str"/>
    </x:row>
    <x:row r="28" ht="36" customHeight="1">
      <x:c r="A28" s="12" t="str">
        <x:v>ENM-mercenaire-humain</x:v>
      </x:c>
      <x:c r="B28" s="7" t="str">
        <x:v>Mercenaire humain</x:v>
      </x:c>
      <x:c r="C28" s="10" t="str">
        <x:v>Défini</x:v>
      </x:c>
      <x:c r="D28" s="11" t="str">
        <x:v>À produire</x:v>
      </x:c>
      <x:c r="E28" s="9" t="str">
        <x:v>P1</x:v>
      </x:c>
      <x:c r="F28" s="9" t="str">
        <x:v>ME1</x:v>
      </x:c>
      <x:c r="G28" s="9" t="str">
        <x:v>Référence à vérifier</x:v>
      </x:c>
      <x:c r="H28" s="7" t="str">
        <x:v>Adversaire équipé d’armes conventionnelles.</x:v>
      </x:c>
      <x:c r="I28" s="7" t="str">
        <x:v>Variation par rôle et équipement disponible.</x:v>
      </x:c>
      <x:c r="J28" s="7" t="str"/>
      <x:c r="K28" s="7" t="str">
        <x:v>content/enemies/ENM-mercenaire-humain.json</x:v>
      </x:c>
      <x:c r="L28" s="7" t="str"/>
      <x:c r="M28" s="7" t="str"/>
      <x:c r="N28" s="7" t="str">
        <x:v>Bestiaire de couverture ME1 ; capture de chaque variante nécessaire.</x:v>
      </x:c>
      <x:c r="O28" s="7" t="str">
        <x:v>https://na.llnet.bioware.cdn.ea.com/u/f/eagames/bioware/masseffect/prima/prima_guide_me_pc.pdf</x:v>
      </x:c>
      <x:c r="P28" s="7" t="str">
        <x:v>Production ME1</x:v>
      </x:c>
      <x:c r="Q28" s="7" t="str"/>
    </x:row>
    <x:row r="29" ht="36" customHeight="1">
      <x:c r="A29" s="13" t="str">
        <x:v>ENM-mercenaire-turien</x:v>
      </x:c>
      <x:c r="B29" s="14" t="str">
        <x:v>Mercenaire turien</x:v>
      </x:c>
      <x:c r="C29" s="10" t="str">
        <x:v>Défini</x:v>
      </x:c>
      <x:c r="D29" s="11" t="str">
        <x:v>À produire</x:v>
      </x:c>
      <x:c r="E29" s="15" t="str">
        <x:v>P1</x:v>
      </x:c>
      <x:c r="F29" s="15" t="str">
        <x:v>ME1</x:v>
      </x:c>
      <x:c r="G29" s="15" t="str">
        <x:v>Référence à vérifier</x:v>
      </x:c>
      <x:c r="H29" s="14" t="str">
        <x:v>Adversaire de silhouette turienne.</x:v>
      </x:c>
      <x:c r="I29" s="14" t="str">
        <x:v>Animations de jambes et de mains spécifiques.</x:v>
      </x:c>
      <x:c r="J29" s="14" t="str"/>
      <x:c r="K29" s="14" t="str">
        <x:v>content/enemies/ENM-mercenaire-turien.json</x:v>
      </x:c>
      <x:c r="L29" s="14" t="str"/>
      <x:c r="M29" s="14" t="str"/>
      <x:c r="N29" s="14" t="str">
        <x:v>Bestiaire de couverture ME1 ; capture de chaque variante nécessaire.</x:v>
      </x:c>
      <x:c r="O29" s="14" t="str">
        <x:v>https://na.llnet.bioware.cdn.ea.com/u/f/eagames/bioware/masseffect/prima/prima_guide_me_pc.pdf</x:v>
      </x:c>
      <x:c r="P29" s="14" t="str">
        <x:v>Production ME1</x:v>
      </x:c>
      <x:c r="Q29" s="14" t="str"/>
    </x:row>
    <x:row r="30" ht="36" customHeight="1">
      <x:c r="A30" s="12" t="str">
        <x:v>ENM-mercenaire-galarien</x:v>
      </x:c>
      <x:c r="B30" s="7" t="str">
        <x:v>Mercenaire galarien</x:v>
      </x:c>
      <x:c r="C30" s="10" t="str">
        <x:v>Défini</x:v>
      </x:c>
      <x:c r="D30" s="11" t="str">
        <x:v>À produire</x:v>
      </x:c>
      <x:c r="E30" s="9" t="str">
        <x:v>P1</x:v>
      </x:c>
      <x:c r="F30" s="9" t="str">
        <x:v>ME1</x:v>
      </x:c>
      <x:c r="G30" s="9" t="str">
        <x:v>Référence à vérifier</x:v>
      </x:c>
      <x:c r="H30" s="7" t="str">
        <x:v>Adversaire technologique possible.</x:v>
      </x:c>
      <x:c r="I30" s="7" t="str">
        <x:v>Présence et arsenal exacts à vérifier par mission.</x:v>
      </x:c>
      <x:c r="J30" s="7" t="str"/>
      <x:c r="K30" s="7" t="str">
        <x:v>content/enemies/ENM-mercenaire-galarien.json</x:v>
      </x:c>
      <x:c r="L30" s="7" t="str"/>
      <x:c r="M30" s="7" t="str"/>
      <x:c r="N30" s="7" t="str">
        <x:v>Bestiaire de couverture ME1 ; capture de chaque variante nécessaire.</x:v>
      </x:c>
      <x:c r="O30" s="7" t="str">
        <x:v>https://na.llnet.bioware.cdn.ea.com/u/f/eagames/bioware/masseffect/prima/prima_guide_me_pc.pdf</x:v>
      </x:c>
      <x:c r="P30" s="7" t="str">
        <x:v>Production ME1</x:v>
      </x:c>
      <x:c r="Q30" s="7" t="str"/>
    </x:row>
    <x:row r="31" ht="36" customHeight="1">
      <x:c r="A31" s="13" t="str">
        <x:v>ENM-commando-asari</x:v>
      </x:c>
      <x:c r="B31" s="14" t="str">
        <x:v>Commando asari</x:v>
      </x:c>
      <x:c r="C31" s="10" t="str">
        <x:v>Défini</x:v>
      </x:c>
      <x:c r="D31" s="11" t="str">
        <x:v>À produire</x:v>
      </x:c>
      <x:c r="E31" s="15" t="str">
        <x:v>P1</x:v>
      </x:c>
      <x:c r="F31" s="15" t="str">
        <x:v>ME1</x:v>
      </x:c>
      <x:c r="G31" s="15" t="str">
        <x:v>Référence à vérifier</x:v>
      </x:c>
      <x:c r="H31" s="14" t="str">
        <x:v>Adversaire biotique.</x:v>
      </x:c>
      <x:c r="I31" s="14" t="str">
        <x:v>Contrôle et barrière selon la rencontre.</x:v>
      </x:c>
      <x:c r="J31" s="14" t="str"/>
      <x:c r="K31" s="14" t="str">
        <x:v>content/enemies/ENM-commando-asari.json</x:v>
      </x:c>
      <x:c r="L31" s="14" t="str"/>
      <x:c r="M31" s="14" t="str"/>
      <x:c r="N31" s="14" t="str">
        <x:v>Bestiaire de couverture ME1 ; capture de chaque variante nécessaire.</x:v>
      </x:c>
      <x:c r="O31" s="14" t="str">
        <x:v>https://na.llnet.bioware.cdn.ea.com/u/f/eagames/bioware/masseffect/prima/prima_guide_me_pc.pdf</x:v>
      </x:c>
      <x:c r="P31" s="14" t="str">
        <x:v>Production ME1</x:v>
      </x:c>
      <x:c r="Q31" s="14" t="str"/>
    </x:row>
    <x:row r="32" ht="36" customHeight="1">
      <x:c r="A32" s="12" t="str">
        <x:v>ENM-fanatique-biotique</x:v>
      </x:c>
      <x:c r="B32" s="7" t="str">
        <x:v>Fanatique biotique</x:v>
      </x:c>
      <x:c r="C32" s="10" t="str">
        <x:v>Défini</x:v>
      </x:c>
      <x:c r="D32" s="11" t="str">
        <x:v>À produire</x:v>
      </x:c>
      <x:c r="E32" s="9" t="str">
        <x:v>P1</x:v>
      </x:c>
      <x:c r="F32" s="9" t="str">
        <x:v>ME1</x:v>
      </x:c>
      <x:c r="G32" s="9" t="str">
        <x:v>Référence à vérifier</x:v>
      </x:c>
      <x:c r="H32" s="7" t="str">
        <x:v>Humain hostile de certaines missions.</x:v>
      </x:c>
      <x:c r="I32" s="7" t="str">
        <x:v>Conserver possibilité de résolution pacifique prévue.</x:v>
      </x:c>
      <x:c r="J32" s="7" t="str"/>
      <x:c r="K32" s="7" t="str">
        <x:v>content/enemies/ENM-fanatique-biotique.json</x:v>
      </x:c>
      <x:c r="L32" s="7" t="str"/>
      <x:c r="M32" s="7" t="str"/>
      <x:c r="N32" s="7" t="str">
        <x:v>Bestiaire de couverture ME1 ; capture de chaque variante nécessaire.</x:v>
      </x:c>
      <x:c r="O32" s="7" t="str">
        <x:v>https://na.llnet.bioware.cdn.ea.com/u/f/eagames/bioware/masseffect/prima/prima_guide_me_pc.pdf</x:v>
      </x:c>
      <x:c r="P32" s="7" t="str">
        <x:v>Production ME1</x:v>
      </x:c>
      <x:c r="Q32" s="7" t="str"/>
    </x:row>
    <x:row r="33" ht="36" customHeight="1">
      <x:c r="A33" s="13" t="str">
        <x:v>ENM-varren</x:v>
      </x:c>
      <x:c r="B33" s="14" t="str">
        <x:v>Varren</x:v>
      </x:c>
      <x:c r="C33" s="10" t="str">
        <x:v>Défini</x:v>
      </x:c>
      <x:c r="D33" s="11" t="str">
        <x:v>À produire</x:v>
      </x:c>
      <x:c r="E33" s="15" t="str">
        <x:v>P1</x:v>
      </x:c>
      <x:c r="F33" s="15" t="str">
        <x:v>ME1</x:v>
      </x:c>
      <x:c r="G33" s="15" t="str">
        <x:v>Référence à vérifier</x:v>
      </x:c>
      <x:c r="H33" s="14" t="str">
        <x:v>Prédateur de mêlée.</x:v>
      </x:c>
      <x:c r="I33" s="14" t="str">
        <x:v>Approche en meute et morsure sans arme humaine.</x:v>
      </x:c>
      <x:c r="J33" s="14" t="str"/>
      <x:c r="K33" s="14" t="str">
        <x:v>content/enemies/ENM-varren.json</x:v>
      </x:c>
      <x:c r="L33" s="14" t="str"/>
      <x:c r="M33" s="14" t="str"/>
      <x:c r="N33" s="14" t="str">
        <x:v>Bestiaire de couverture ME1 ; capture de chaque variante nécessaire.</x:v>
      </x:c>
      <x:c r="O33" s="14" t="str">
        <x:v>https://na.llnet.bioware.cdn.ea.com/u/f/eagames/bioware/masseffect/prima/prima_guide_me_pc.pdf</x:v>
      </x:c>
      <x:c r="P33" s="14" t="str">
        <x:v>Production ME1</x:v>
      </x:c>
      <x:c r="Q33" s="14" t="str"/>
    </x:row>
    <x:row r="34" ht="36" customHeight="1">
      <x:c r="A34" s="12" t="str">
        <x:v>ENM-devoreur</x:v>
      </x:c>
      <x:c r="B34" s="7" t="str">
        <x:v>Dévoreur</x:v>
      </x:c>
      <x:c r="C34" s="10" t="str">
        <x:v>Défini</x:v>
      </x:c>
      <x:c r="D34" s="11" t="str">
        <x:v>À produire</x:v>
      </x:c>
      <x:c r="E34" s="9" t="str">
        <x:v>P1</x:v>
      </x:c>
      <x:c r="F34" s="9" t="str">
        <x:v>ME1</x:v>
      </x:c>
      <x:c r="G34" s="9" t="str">
        <x:v>Référence à vérifier</x:v>
      </x:c>
      <x:c r="H34" s="7" t="str">
        <x:v>Prédateur géant enfoui.</x:v>
      </x:c>
      <x:c r="I34" s="7" t="str">
        <x:v>Phases d’émergence et acide dans une arène Mako.</x:v>
      </x:c>
      <x:c r="J34" s="7" t="str"/>
      <x:c r="K34" s="7" t="str">
        <x:v>content/enemies/ENM-devoreur.json</x:v>
      </x:c>
      <x:c r="L34" s="7" t="str"/>
      <x:c r="M34" s="7" t="str"/>
      <x:c r="N34" s="7" t="str">
        <x:v>Bestiaire de couverture ME1 ; capture de chaque variante nécessaire.</x:v>
      </x:c>
      <x:c r="O34" s="7" t="str">
        <x:v>https://na.llnet.bioware.cdn.ea.com/u/f/eagames/bioware/masseffect/prima/prima_guide_me_pc.pdf</x:v>
      </x:c>
      <x:c r="P34" s="7" t="str">
        <x:v>Production ME1</x:v>
      </x:c>
      <x:c r="Q34" s="7" t="str"/>
    </x:row>
    <x:row r="35" ht="36" customHeight="1">
      <x:c r="A35" s="13" t="str">
        <x:v>ENM-tourelle-automatisee</x:v>
      </x:c>
      <x:c r="B35" s="14" t="str">
        <x:v>Tourelle automatisée</x:v>
      </x:c>
      <x:c r="C35" s="10" t="str">
        <x:v>Défini</x:v>
      </x:c>
      <x:c r="D35" s="11" t="str">
        <x:v>À produire</x:v>
      </x:c>
      <x:c r="E35" s="15" t="str">
        <x:v>P1</x:v>
      </x:c>
      <x:c r="F35" s="15" t="str">
        <x:v>ME1</x:v>
      </x:c>
      <x:c r="G35" s="15" t="str">
        <x:v>Référence à vérifier</x:v>
      </x:c>
      <x:c r="H35" s="14" t="str">
        <x:v>Défense fixe de base ou de laboratoire.</x:v>
      </x:c>
      <x:c r="I35" s="14" t="str">
        <x:v>Secteur de tir cohérent avec le modèle.</x:v>
      </x:c>
      <x:c r="J35" s="14" t="str"/>
      <x:c r="K35" s="14" t="str">
        <x:v>content/enemies/ENM-tourelle-automatisee.json</x:v>
      </x:c>
      <x:c r="L35" s="14" t="str"/>
      <x:c r="M35" s="14" t="str"/>
      <x:c r="N35" s="14" t="str">
        <x:v>Bestiaire de couverture ME1 ; capture de chaque variante nécessaire.</x:v>
      </x:c>
      <x:c r="O35" s="14" t="str">
        <x:v>https://na.llnet.bioware.cdn.ea.com/u/f/eagames/bioware/masseffect/prima/prima_guide_me_pc.pdf</x:v>
      </x:c>
      <x:c r="P35" s="14" t="str">
        <x:v>Production ME1</x:v>
      </x:c>
      <x:c r="Q35" s="14" t="str"/>
    </x:row>
    <x:row r="36" ht="36" customHeight="1">
      <x:c r="A36" s="12" t="str">
        <x:v>ENM-fist</x:v>
      </x:c>
      <x:c r="B36" s="7" t="str">
        <x:v>Fist</x:v>
      </x:c>
      <x:c r="C36" s="10" t="str">
        <x:v>Défini</x:v>
      </x:c>
      <x:c r="D36" s="11" t="str">
        <x:v>À produire</x:v>
      </x:c>
      <x:c r="E36" s="9" t="str">
        <x:v>P1</x:v>
      </x:c>
      <x:c r="F36" s="9" t="str">
        <x:v>ME1</x:v>
      </x:c>
      <x:c r="G36" s="9" t="str">
        <x:v>Référence à vérifier</x:v>
      </x:c>
      <x:c r="H36" s="7" t="str">
        <x:v>Adversaire nommé à Chora’s Den.</x:v>
      </x:c>
      <x:c r="I36" s="7" t="str">
        <x:v>Issue dépendante du dialogue et de Wrex.</x:v>
      </x:c>
      <x:c r="J36" s="7" t="str"/>
      <x:c r="K36" s="7" t="str">
        <x:v>content/enemies/ENM-fist.json</x:v>
      </x:c>
      <x:c r="L36" s="7" t="str"/>
      <x:c r="M36" s="7" t="str"/>
      <x:c r="N36" s="7" t="str">
        <x:v>Bestiaire de couverture ME1 ; capture de chaque variante nécessaire.</x:v>
      </x:c>
      <x:c r="O36" s="7" t="str">
        <x:v>https://na.llnet.bioware.cdn.ea.com/u/f/eagames/bioware/masseffect/prima/prima_guide_me_pc.pdf</x:v>
      </x:c>
      <x:c r="P36" s="7" t="str">
        <x:v>Production ME1</x:v>
      </x:c>
      <x:c r="Q36" s="7" t="str"/>
    </x:row>
    <x:row r="37" ht="62" customHeight="1">
      <x:c r="A37" s="13" t="str">
        <x:v>ENM-matriarche-benezia</x:v>
      </x:c>
      <x:c r="B37" s="14" t="str">
        <x:v>Matriarche Benezia</x:v>
      </x:c>
      <x:c r="C37" s="10" t="str">
        <x:v>Prototype</x:v>
      </x:c>
      <x:c r="D37" s="11" t="str">
        <x:v>Prototype</x:v>
      </x:c>
      <x:c r="E37" s="15" t="str">
        <x:v>P1</x:v>
      </x:c>
      <x:c r="F37" s="15" t="str">
        <x:v>ME1</x:v>
      </x:c>
      <x:c r="G37" s="15" t="str">
        <x:v>Référence à vérifier</x:v>
      </x:c>
      <x:c r="H37" s="14" t="str">
        <x:v>Boss biotique de Noveria.</x:v>
      </x:c>
      <x:c r="I37" s="14" t="str">
        <x:v>Vagues, phases et dialogue respectant la scène.</x:v>
      </x:c>
      <x:c r="J37" s="14" t="str"/>
      <x:c r="K37" s="14" t="str">
        <x:v>content/enemies/ENM-matriarche-benezia.json</x:v>
      </x:c>
      <x:c r="L37" s="14" t="str">
        <x:v>public/assets/boss-atlas.png</x:v>
      </x:c>
      <x:c r="M37" s="14" t="str">
        <x:v>ENEMIES.benezia</x:v>
      </x:c>
      <x:c r="N37" s="14" t="str">
        <x:v>Bestiaire de couverture ME1 ; capture de chaque variante nécessaire.</x:v>
      </x:c>
      <x:c r="O37" s="14" t="str">
        <x:v>https://na.llnet.bioware.cdn.ea.com/u/f/eagames/bioware/masseffect/prima/prima_guide_me_pc.pdf</x:v>
      </x:c>
      <x:c r="P37" s="14" t="str">
        <x:v>Production ME1</x:v>
      </x:c>
      <x:c r="Q37" s="14" t="str">
        <x:v>Atlas 2 × 2, case haut droite. Pose statique employée par src/world.js et rencontre condensée dans src/game-data.js. Apparence et actions à recouper avec ME1 ; aucune animation complète ni fidélité 1:1 validée.</x:v>
      </x:c>
    </x:row>
    <x:row r="38" ht="62" customHeight="1">
      <x:c r="A38" s="12" t="str">
        <x:v>ENM-thorian</x:v>
      </x:c>
      <x:c r="B38" s="7" t="str">
        <x:v>Thorian</x:v>
      </x:c>
      <x:c r="C38" s="10" t="str">
        <x:v>Prototype</x:v>
      </x:c>
      <x:c r="D38" s="11" t="str">
        <x:v>Prototype</x:v>
      </x:c>
      <x:c r="E38" s="9" t="str">
        <x:v>P1</x:v>
      </x:c>
      <x:c r="F38" s="9" t="str">
        <x:v>ME1</x:v>
      </x:c>
      <x:c r="G38" s="9" t="str">
        <x:v>Référence à vérifier</x:v>
      </x:c>
      <x:c r="H38" s="7" t="str">
        <x:v>Boss organique de Feros.</x:v>
      </x:c>
      <x:c r="I38" s="7" t="str">
        <x:v>Progression par nœuds dans une arène verticale.</x:v>
      </x:c>
      <x:c r="J38" s="7" t="str"/>
      <x:c r="K38" s="7" t="str">
        <x:v>content/enemies/ENM-thorian.json</x:v>
      </x:c>
      <x:c r="L38" s="7" t="str">
        <x:v>public/assets/boss-atlas.png</x:v>
      </x:c>
      <x:c r="M38" s="7" t="str">
        <x:v>ENEMIES.thorian</x:v>
      </x:c>
      <x:c r="N38" s="7" t="str">
        <x:v>Bestiaire de couverture ME1 ; capture de chaque variante nécessaire.</x:v>
      </x:c>
      <x:c r="O38" s="7" t="str">
        <x:v>https://na.llnet.bioware.cdn.ea.com/u/f/eagames/bioware/masseffect/prima/prima_guide_me_pc.pdf</x:v>
      </x:c>
      <x:c r="P38" s="7" t="str">
        <x:v>Production ME1</x:v>
      </x:c>
      <x:c r="Q38" s="7" t="str">
        <x:v>Atlas 2 × 2, case bas gauche. Pose statique employée par src/world.js et rencontre condensée dans src/game-data.js. Apparence et actions à recouper avec ME1 ; aucune animation complète ni fidélité 1:1 validée.</x:v>
      </x:c>
    </x:row>
    <x:row r="39" ht="62" customHeight="1">
      <x:c r="A39" s="13" t="str">
        <x:v>ENM-saren-sur-virmire</x:v>
      </x:c>
      <x:c r="B39" s="14" t="str">
        <x:v>Saren sur Virmire</x:v>
      </x:c>
      <x:c r="C39" s="10" t="str">
        <x:v>Prototype</x:v>
      </x:c>
      <x:c r="D39" s="11" t="str">
        <x:v>Prototype</x:v>
      </x:c>
      <x:c r="E39" s="15" t="str">
        <x:v>P1</x:v>
      </x:c>
      <x:c r="F39" s="15" t="str">
        <x:v>ME1</x:v>
      </x:c>
      <x:c r="G39" s="15" t="str">
        <x:v>Référence à vérifier</x:v>
      </x:c>
      <x:c r="H39" s="14" t="str">
        <x:v>Première confrontation directe.</x:v>
      </x:c>
      <x:c r="I39" s="14" t="str">
        <x:v>Fin de combat déclenche l’extraction narrative.</x:v>
      </x:c>
      <x:c r="J39" s="14" t="str"/>
      <x:c r="K39" s="14" t="str">
        <x:v>content/enemies/ENM-saren-sur-virmire.json</x:v>
      </x:c>
      <x:c r="L39" s="14" t="str">
        <x:v>public/assets/boss-atlas.png</x:v>
      </x:c>
      <x:c r="M39" s="14" t="str">
        <x:v>ENEMIES.saren</x:v>
      </x:c>
      <x:c r="N39" s="14" t="str">
        <x:v>Bestiaire de couverture ME1 ; capture de chaque variante nécessaire.</x:v>
      </x:c>
      <x:c r="O39" s="14" t="str">
        <x:v>https://na.llnet.bioware.cdn.ea.com/u/f/eagames/bioware/masseffect/prima/prima_guide_me_pc.pdf</x:v>
      </x:c>
      <x:c r="P39" s="14" t="str">
        <x:v>Production ME1</x:v>
      </x:c>
      <x:c r="Q39" s="14" t="str">
        <x:v>Atlas 2 × 2, case haut gauche. Pose statique employée par src/world.js et rencontre condensée dans src/game-data.js. Apparence et actions à recouper avec ME1 ; aucune animation complète ni fidélité 1:1 validée.</x:v>
      </x:c>
    </x:row>
    <x:row r="40" ht="88" customHeight="1">
      <x:c r="A40" s="12" t="str">
        <x:v>ENM-saren-a-la-citadelle</x:v>
      </x:c>
      <x:c r="B40" s="7" t="str">
        <x:v>Saren à la Citadelle</x:v>
      </x:c>
      <x:c r="C40" s="10" t="str">
        <x:v>Prototype</x:v>
      </x:c>
      <x:c r="D40" s="11" t="str">
        <x:v>Prototype</x:v>
      </x:c>
      <x:c r="E40" s="9" t="str">
        <x:v>P1</x:v>
      </x:c>
      <x:c r="F40" s="9" t="str">
        <x:v>ME1</x:v>
      </x:c>
      <x:c r="G40" s="9" t="str">
        <x:v>Référence à vérifier</x:v>
      </x:c>
      <x:c r="H40" s="7" t="str">
        <x:v>Confrontation de fin de campagne.</x:v>
      </x:c>
      <x:c r="I40" s="7" t="str">
        <x:v>Dialogue, persuasion et phase terminale séparés.</x:v>
      </x:c>
      <x:c r="J40" s="7" t="str"/>
      <x:c r="K40" s="7" t="str">
        <x:v>content/enemies/ENM-saren-a-la-citadelle.json</x:v>
      </x:c>
      <x:c r="L40" s="7" t="str">
        <x:v>public/assets/boss-atlas.png</x:v>
      </x:c>
      <x:c r="M40" s="7" t="str">
        <x:v>ENEMIES.saren-final</x:v>
      </x:c>
      <x:c r="N40" s="7" t="str">
        <x:v>Bestiaire de couverture ME1 ; capture de chaque variante nécessaire.</x:v>
      </x:c>
      <x:c r="O40" s="7" t="str">
        <x:v>https://na.llnet.bioware.cdn.ea.com/u/f/eagames/bioware/masseffect/prima/prima_guide_me_pc.pdf</x:v>
      </x:c>
      <x:c r="P40" s="7" t="str">
        <x:v>Production ME1</x:v>
      </x:c>
      <x:c r="Q40" s="7" t="str">
        <x:v>Atlas 2 × 2, case bas droite. Pose statique employée par src/world.js et rencontre condensée dans src/game-data.js. Apparence et actions à recouper avec ME1 ; aucune animation complète ni fidélité 1:1 validée. La case représente l’enveloppe synthétique finale ; le dialogue de persuasion et les étapes intermédiaires restent à produire.</x:v>
      </x:c>
    </x:row>
    <x:row r="41" ht="36" customHeight="1">
      <x:c r="A41" s="13" t="str">
        <x:v>ENM-balak</x:v>
      </x:c>
      <x:c r="B41" s="14" t="str">
        <x:v>Balak</x:v>
      </x:c>
      <x:c r="C41" s="10" t="str">
        <x:v>Défini</x:v>
      </x:c>
      <x:c r="D41" s="11" t="str">
        <x:v>À produire</x:v>
      </x:c>
      <x:c r="E41" s="15" t="str">
        <x:v>P1</x:v>
      </x:c>
      <x:c r="F41" s="15" t="str">
        <x:v>ME1</x:v>
      </x:c>
      <x:c r="G41" s="15" t="str">
        <x:v>Référence à vérifier</x:v>
      </x:c>
      <x:c r="H41" s="14" t="str">
        <x:v>Antagoniste du DLC X57.</x:v>
      </x:c>
      <x:c r="I41" s="14" t="str">
        <x:v>Choix final et otages conservent leurs conséquences.</x:v>
      </x:c>
      <x:c r="J41" s="14" t="str"/>
      <x:c r="K41" s="14" t="str">
        <x:v>content/enemies/ENM-balak.json</x:v>
      </x:c>
      <x:c r="L41" s="14" t="str"/>
      <x:c r="M41" s="14" t="str"/>
      <x:c r="N41" s="14" t="str">
        <x:v>Bestiaire de couverture ME1 ; capture de chaque variante nécessaire.</x:v>
      </x:c>
      <x:c r="O41" s="14" t="str">
        <x:v>https://na.llnet.bioware.cdn.ea.com/u/f/eagames/bioware/masseffect/prima/prima_guide_me_pc.pdf</x:v>
      </x:c>
      <x:c r="P41" s="14" t="str">
        <x:v>Production ME1</x:v>
      </x:c>
      <x:c r="Q41" s="14" t="str"/>
    </x:row>
    <x:row r="42" ht="62" customHeight="1">
      <x:c r="A42" s="12" t="str">
        <x:v>OPENCOUNTER-michel-blackmailer</x:v>
      </x:c>
      <x:c r="B42" s="7" t="str">
        <x:v>Le maître chanteur — rencontre annexe</x:v>
      </x:c>
      <x:c r="C42" s="10" t="str">
        <x:v>Prototype</x:v>
      </x:c>
      <x:c r="D42" s="11" t="str">
        <x:v>À produire</x:v>
      </x:c>
      <x:c r="E42" s="9" t="str">
        <x:v>P1</x:v>
      </x:c>
      <x:c r="F42" s="9" t="str">
        <x:v>ME1</x:v>
      </x:c>
      <x:c r="G42" s="9" t="str">
        <x:v>Adaptation</x:v>
      </x:c>
      <x:c r="H42" s="7" t="str">
        <x:v>Rencontre ATB de Citadelle : Le docteur Michel. Composition : krogan. Les statistiques utilisent les archétypes existants du moteur.</x:v>
      </x:c>
      <x:c r="I42" s="7" t="str">
        <x:v>Armer la rencontre depuis le dialogue ; refuser le gain avant la victoire du groupe. Défaite et rechargement permettent une nouvelle tentative. La récompense de mission ne doit pas être versée à chaque reprise de combat.</x:v>
      </x:c>
      <x:c r="J42" s="7" t="str">
        <x:v>OPSTEP-citadel-doctor-michel-blackmailer</x:v>
      </x:c>
      <x:c r="K42" s="7" t="str">
        <x:v>src/operation-data.js</x:v>
      </x:c>
      <x:c r="L42" s="7" t="str">
        <x:v>src/operation-data.js</x:v>
      </x:c>
      <x:c r="M42" s="7" t="str">
        <x:v>OPERATION_ENCOUNTERS.michel-blackmailer</x:v>
      </x:c>
      <x:c r="N42" s="7" t="str">
        <x:v>Objectifs et noms ME1 référencés ; chiffres, découpage et interface propres à cette adaptation ATB.</x:v>
      </x:c>
      <x:c r="O42" s="7" t="str">
        <x:v>https://masseffect.fandom.com/wiki/Citadel%3A_Doctor_Michel</x:v>
      </x:c>
      <x:c r="P42" s="7" t="str">
        <x:v>Production ME1</x:v>
      </x:c>
      <x:c r="Q42" s="7" t="str">
        <x:v>Rencontre adaptée, sans nouvelle espèce ni nouveau boss. Réutilise les poses ennemies du prototype ; statistiques et déroulement originaux non reproduits.</x:v>
      </x:c>
    </x:row>
    <x:row r="43" ht="62" customHeight="1">
      <x:c r="A43" s="13" t="str">
        <x:v>OPENCOUNTER-tunnel-geth</x:v>
      </x:c>
      <x:c r="B43" s="14" t="str">
        <x:v>Défense geth des tunnels — rencontre annexe</x:v>
      </x:c>
      <x:c r="C43" s="10" t="str">
        <x:v>Prototype</x:v>
      </x:c>
      <x:c r="D43" s="11" t="str">
        <x:v>À produire</x:v>
      </x:c>
      <x:c r="E43" s="15" t="str">
        <x:v>P1</x:v>
      </x:c>
      <x:c r="F43" s="15" t="str">
        <x:v>ME1</x:v>
      </x:c>
      <x:c r="G43" s="15" t="str">
        <x:v>Adaptation</x:v>
      </x:c>
      <x:c r="H43" s="14" t="str">
        <x:v>Rencontre ATB de Féros : Les geth dans les tunnels. Composition : sniper, sniper, destroyer. Les statistiques utilisent les archétypes existants du moteur.</x:v>
      </x:c>
      <x:c r="I43" s="14" t="str">
        <x:v>Armer la rencontre depuis le dialogue ; refuser le gain avant la victoire du groupe. Défaite et rechargement permettent une nouvelle tentative. La récompense de mission ne doit pas être versée à chaque reprise de combat.</x:v>
      </x:c>
      <x:c r="J43" s="14" t="str">
        <x:v>OPSTEP-feros-geth-tunnels-patrol</x:v>
      </x:c>
      <x:c r="K43" s="14" t="str">
        <x:v>src/operation-data.js</x:v>
      </x:c>
      <x:c r="L43" s="14" t="str">
        <x:v>src/operation-data.js</x:v>
      </x:c>
      <x:c r="M43" s="14" t="str">
        <x:v>OPERATION_ENCOUNTERS.tunnel-geth</x:v>
      </x:c>
      <x:c r="N43" s="14" t="str">
        <x:v>Objectifs et noms ME1 référencés ; chiffres, découpage et interface propres à cette adaptation ATB.</x:v>
      </x:c>
      <x:c r="O43" s="14" t="str">
        <x:v>https://masseffect.fandom.com/wiki/Feros%3A_Geth_in_the_Tunnels</x:v>
      </x:c>
      <x:c r="P43" s="14" t="str">
        <x:v>Production ME1</x:v>
      </x:c>
      <x:c r="Q43" s="14" t="str">
        <x:v>Rencontre adaptée, sans nouvelle espèce ni nouveau boss. Réutilise les poses ennemies du prototype ; statistiques et déroulement originaux non reproduits.</x:v>
      </x:c>
    </x:row>
    <x:row r="44" ht="62" customHeight="1">
      <x:c r="A44" s="12" t="str">
        <x:v>OPENCOUNTER-tunnel-krogans</x:v>
      </x:c>
      <x:c r="B44" s="7" t="str">
        <x:v>Gardiens du transmetteur — rencontre annexe</x:v>
      </x:c>
      <x:c r="C44" s="10" t="str">
        <x:v>Prototype</x:v>
      </x:c>
      <x:c r="D44" s="11" t="str">
        <x:v>À produire</x:v>
      </x:c>
      <x:c r="E44" s="9" t="str">
        <x:v>P1</x:v>
      </x:c>
      <x:c r="F44" s="9" t="str">
        <x:v>ME1</x:v>
      </x:c>
      <x:c r="G44" s="9" t="str">
        <x:v>Adaptation</x:v>
      </x:c>
      <x:c r="H44" s="7" t="str">
        <x:v>Rencontre ATB de Féros : Les geth dans les tunnels. Composition : krogan, krogan, krogan. Les statistiques utilisent les archétypes existants du moteur.</x:v>
      </x:c>
      <x:c r="I44" s="7" t="str">
        <x:v>Armer la rencontre depuis le dialogue ; refuser le gain avant la victoire du groupe. Défaite et rechargement permettent une nouvelle tentative. La récompense de mission ne doit pas être versée à chaque reprise de combat.</x:v>
      </x:c>
      <x:c r="J44" s="7" t="str">
        <x:v>OPSTEP-feros-geth-tunnels-guards</x:v>
      </x:c>
      <x:c r="K44" s="7" t="str">
        <x:v>src/operation-data.js</x:v>
      </x:c>
      <x:c r="L44" s="7" t="str">
        <x:v>src/operation-data.js</x:v>
      </x:c>
      <x:c r="M44" s="7" t="str">
        <x:v>OPERATION_ENCOUNTERS.tunnel-krogans</x:v>
      </x:c>
      <x:c r="N44" s="7" t="str">
        <x:v>Objectifs et noms ME1 référencés ; chiffres, découpage et interface propres à cette adaptation ATB.</x:v>
      </x:c>
      <x:c r="O44" s="7" t="str">
        <x:v>https://masseffect.fandom.com/wiki/Feros%3A_Geth_in_the_Tunnels</x:v>
      </x:c>
      <x:c r="P44" s="7" t="str">
        <x:v>Production ME1</x:v>
      </x:c>
      <x:c r="Q44" s="7" t="str">
        <x:v>Rencontre adaptée, sans nouvelle espèce ni nouveau boss. Réutilise les poses ennemies du prototype ; statistiques et déroulement originaux non reproduits.</x:v>
      </x:c>
    </x:row>
    <x:row r="45" ht="62" customHeight="1">
      <x:c r="A45" s="13" t="str">
        <x:v>OPENCOUNTER-data-krogans</x:v>
      </x:c>
      <x:c r="B45" s="14" t="str">
        <x:v>Gardes du terminal ExoGeni — rencontre annexe</x:v>
      </x:c>
      <x:c r="C45" s="10" t="str">
        <x:v>Prototype</x:v>
      </x:c>
      <x:c r="D45" s="11" t="str">
        <x:v>À produire</x:v>
      </x:c>
      <x:c r="E45" s="15" t="str">
        <x:v>P1</x:v>
      </x:c>
      <x:c r="F45" s="15" t="str">
        <x:v>ME1</x:v>
      </x:c>
      <x:c r="G45" s="15" t="str">
        <x:v>Adaptation</x:v>
      </x:c>
      <x:c r="H45" s="14" t="str">
        <x:v>Rencontre ATB de Féros : Récupération des données. Composition : krogan, krogan, krogan. Les statistiques utilisent les archétypes existants du moteur.</x:v>
      </x:c>
      <x:c r="I45" s="14" t="str">
        <x:v>Armer la rencontre depuis le dialogue ; refuser le gain avant la victoire du groupe. Défaite et rechargement permettent une nouvelle tentative. La récompense de mission ne doit pas être versée à chaque reprise de combat.</x:v>
      </x:c>
      <x:c r="J45" s="14" t="str">
        <x:v>OPSTEP-feros-data-recovery-guards</x:v>
      </x:c>
      <x:c r="K45" s="14" t="str">
        <x:v>src/operation-data.js</x:v>
      </x:c>
      <x:c r="L45" s="14" t="str">
        <x:v>src/operation-data.js</x:v>
      </x:c>
      <x:c r="M45" s="14" t="str">
        <x:v>OPERATION_ENCOUNTERS.data-krogans</x:v>
      </x:c>
      <x:c r="N45" s="14" t="str">
        <x:v>Objectifs et noms ME1 référencés ; chiffres, découpage et interface propres à cette adaptation ATB.</x:v>
      </x:c>
      <x:c r="O45" s="14" t="str">
        <x:v>https://masseffect.fandom.com/wiki/Feros%3A_Data_Recovery</x:v>
      </x:c>
      <x:c r="P45" s="14" t="str">
        <x:v>Production ME1</x:v>
      </x:c>
      <x:c r="Q45" s="14" t="str">
        <x:v>Rencontre adaptée, sans nouvelle espèce ni nouveau boss. Réutilise les poses ennemies du prototype ; statistiques et déroulement originaux non reproduits.</x:v>
      </x:c>
    </x:row>
  </x:sheetData>
  <x:conditionalFormatting sqref="C7:C45">
    <x:cfRule type="cellIs" dxfId="300" priority="1" operator="equal">
      <x:formula>"Prototype"</x:formula>
    </x:cfRule>
    <x:cfRule type="cellIs" dxfId="301" priority="2" operator="equal">
      <x:formula>"Intégré"</x:formula>
    </x:cfRule>
    <x:cfRule type="cellIs" dxfId="302" priority="3" operator="equal">
      <x:formula>"Validé"</x:formula>
    </x:cfRule>
  </x:conditionalFormatting>
  <x:conditionalFormatting sqref="G7:G45">
    <x:cfRule type="cellIs" dxfId="303" priority="4" operator="equal">
      <x:formula>"Référence à vérifier"</x:formula>
    </x:cfRule>
  </x:conditionalFormatting>
  <x:conditionalFormatting sqref="E7:E45">
    <x:cfRule type="cellIs" dxfId="304" priority="5" operator="equal">
      <x:formula>"P0"</x:formula>
    </x:cfRule>
  </x:conditionalFormatting>
  <x:dataValidations count="5">
    <x:dataValidation type="list" sqref="C7:C45">
      <x:formula1>"Défini,Prototype,Intégré,Validé"</x:formula1>
    </x:dataValidation>
    <x:dataValidation type="list" sqref="D7:D45">
      <x:formula1>"À produire,Prototype,Disponible,Validé,Sans objet,Non planifié"</x:formula1>
    </x:dataValidation>
    <x:dataValidation type="list" sqref="E7:E45">
      <x:formula1>"P0,P1,P2"</x:formula1>
    </x:dataValidation>
    <x:dataValidation type="list" sqref="F7:F45">
      <x:formula1>"ME1,ME2,ME3,TRANSVERSE"</x:formula1>
    </x:dataValidation>
    <x:dataValidation type="list" sqref="G7:G45">
      <x:formula1>"Confirmé,Référence à vérifier,Adaptation"</x:formula1>
    </x:dataValidation>
  </x:dataValidations>
  <x:pageMargins left="0.7" right="0.7" top="0.75" bottom="0.75" header="0.3" footer="0.3"/>
  <x:tableParts count="1">
    <x:tablePart xmlns:r="http://schemas.openxmlformats.org/officeDocument/2006/relationships" r:id="Rcd62d37d60e34d19"/>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Missions</x:v>
      </x:c>
      <x:c r="B2" s="2"/>
      <x:c r="C2" s="2"/>
      <x:c r="D2" s="2"/>
      <x:c r="E2" s="2"/>
      <x:c r="F2" s="2"/>
      <x:c r="G2" s="2"/>
      <x:c r="H2" s="2"/>
      <x:c r="I2" s="2"/>
      <x:c r="J2" s="2"/>
      <x:c r="K2" s="2"/>
      <x:c r="L2" s="2"/>
      <x:c r="M2" s="2"/>
      <x:c r="N2" s="2"/>
      <x:c r="O2" s="2"/>
      <x:c r="P2" s="2"/>
      <x:c r="Q2" s="2"/>
    </x:row>
    <x:row r="3" ht="22" customHeight="1">
      <x:c r="A3" s="4" t="str">
        <x:v>Étapes de l’intrigue principale</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QST-profil-de-shepard</x:v>
      </x:c>
      <x:c r="B7" s="14" t="str">
        <x:v>Profil de Shepard</x:v>
      </x:c>
      <x:c r="C7" s="10" t="str">
        <x:v>Défini</x:v>
      </x:c>
      <x:c r="D7" s="11" t="str">
        <x:v>À produire</x:v>
      </x:c>
      <x:c r="E7" s="15" t="str">
        <x:v>P0</x:v>
      </x:c>
      <x:c r="F7" s="15" t="str">
        <x:v>ME1</x:v>
      </x:c>
      <x:c r="G7" s="15" t="str">
        <x:v>Référence à vérifier</x:v>
      </x:c>
      <x:c r="H7" s="14" t="str">
        <x:v>Définir apparence, origine, réputation et classe.</x:v>
      </x:c>
      <x:c r="I7" s="14" t="str">
        <x:v>Variables sauvegardées avant le prologue.</x:v>
      </x:c>
      <x:c r="J7" s="14" t="str"/>
      <x:c r="K7" s="14" t="str">
        <x:v>content/main_quests/QST-profil-de-shepard.json</x:v>
      </x:c>
      <x:c r="L7" s="14" t="str"/>
      <x:c r="M7" s="14" t="str"/>
      <x:c r="N7" s="14" t="str">
        <x:v>Découpage de production de l’intrigue ME1 ; déclencheurs exacts à relever.</x:v>
      </x:c>
      <x:c r="O7" s="14" t="str">
        <x:v>https://na.llnet.bioware.cdn.ea.com/u/f/eagames/bioware/masseffect/prima/prima_guide_me_pc.pdf</x:v>
      </x:c>
      <x:c r="P7" s="14" t="str">
        <x:v>Production ME1</x:v>
      </x:c>
      <x:c r="Q7" s="14" t="str"/>
    </x:row>
    <x:row r="8" ht="36" customHeight="1">
      <x:c r="A8" s="12" t="str">
        <x:v>QST-briefing-normandy</x:v>
      </x:c>
      <x:c r="B8" s="7" t="str">
        <x:v>Briefing Normandy</x:v>
      </x:c>
      <x:c r="C8" s="10" t="str">
        <x:v>Défini</x:v>
      </x:c>
      <x:c r="D8" s="11" t="str">
        <x:v>À produire</x:v>
      </x:c>
      <x:c r="E8" s="9" t="str">
        <x:v>P0</x:v>
      </x:c>
      <x:c r="F8" s="9" t="str">
        <x:v>ME1</x:v>
      </x:c>
      <x:c r="G8" s="9" t="str">
        <x:v>Référence à vérifier</x:v>
      </x:c>
      <x:c r="H8" s="7" t="str">
        <x:v>Rencontrer Anderson et Nihlus avant Eden Prime.</x:v>
      </x:c>
      <x:c r="I8" s="7" t="str">
        <x:v>Ordre des informations et transitions contrôlé.</x:v>
      </x:c>
      <x:c r="J8" s="7" t="str"/>
      <x:c r="K8" s="7" t="str">
        <x:v>content/main_quests/QST-briefing-normandy.json</x:v>
      </x:c>
      <x:c r="L8" s="7" t="str"/>
      <x:c r="M8" s="7" t="str"/>
      <x:c r="N8" s="7" t="str">
        <x:v>Découpage de production de l’intrigue ME1 ; déclencheurs exacts à relever.</x:v>
      </x:c>
      <x:c r="O8" s="7" t="str">
        <x:v>https://na.llnet.bioware.cdn.ea.com/u/f/eagames/bioware/masseffect/prima/prima_guide_me_pc.pdf</x:v>
      </x:c>
      <x:c r="P8" s="7" t="str">
        <x:v>Production ME1</x:v>
      </x:c>
      <x:c r="Q8" s="7" t="str"/>
    </x:row>
    <x:row r="9" ht="36" customHeight="1">
      <x:c r="A9" s="13" t="str">
        <x:v>QST-deploiement-eden-prime</x:v>
      </x:c>
      <x:c r="B9" s="14" t="str">
        <x:v>Déploiement Eden Prime</x:v>
      </x:c>
      <x:c r="C9" s="10" t="str">
        <x:v>Défini</x:v>
      </x:c>
      <x:c r="D9" s="11" t="str">
        <x:v>À produire</x:v>
      </x:c>
      <x:c r="E9" s="15" t="str">
        <x:v>P0</x:v>
      </x:c>
      <x:c r="F9" s="15" t="str">
        <x:v>ME1</x:v>
      </x:c>
      <x:c r="G9" s="15" t="str">
        <x:v>Référence à vérifier</x:v>
      </x:c>
      <x:c r="H9" s="14" t="str">
        <x:v>Largage du commando et découverte de l’attaque.</x:v>
      </x:c>
      <x:c r="I9" s="14" t="str">
        <x:v>Équipe temporaire et première caméra correctes.</x:v>
      </x:c>
      <x:c r="J9" s="14" t="str"/>
      <x:c r="K9" s="14" t="str">
        <x:v>content/main_quests/QST-deploiement-eden-prime.json</x:v>
      </x:c>
      <x:c r="L9" s="14" t="str"/>
      <x:c r="M9" s="14" t="str"/>
      <x:c r="N9" s="14" t="str">
        <x:v>Découpage de production de l’intrigue ME1 ; déclencheurs exacts à relever.</x:v>
      </x:c>
      <x:c r="O9" s="14" t="str">
        <x:v>https://na.llnet.bioware.cdn.ea.com/u/f/eagames/bioware/masseffect/prima/prima_guide_me_pc.pdf</x:v>
      </x:c>
      <x:c r="P9" s="14" t="str">
        <x:v>Production ME1</x:v>
      </x:c>
      <x:c r="Q9" s="14" t="str"/>
    </x:row>
    <x:row r="10" ht="36" customHeight="1">
      <x:c r="A10" s="12" t="str">
        <x:v>QST-perte-de-jenkins</x:v>
      </x:c>
      <x:c r="B10" s="7" t="str">
        <x:v>Perte de Jenkins</x:v>
      </x:c>
      <x:c r="C10" s="10" t="str">
        <x:v>Défini</x:v>
      </x:c>
      <x:c r="D10" s="11" t="str">
        <x:v>À produire</x:v>
      </x:c>
      <x:c r="E10" s="9" t="str">
        <x:v>P0</x:v>
      </x:c>
      <x:c r="F10" s="9" t="str">
        <x:v>ME1</x:v>
      </x:c>
      <x:c r="G10" s="9" t="str">
        <x:v>Référence à vérifier</x:v>
      </x:c>
      <x:c r="H10" s="7" t="str">
        <x:v>Événement scénarisé du premier affrontement.</x:v>
      </x:c>
      <x:c r="I10" s="7" t="str">
        <x:v>Aucune guérison mécanique annulant sa mort.</x:v>
      </x:c>
      <x:c r="J10" s="7" t="str"/>
      <x:c r="K10" s="7" t="str">
        <x:v>content/main_quests/QST-perte-de-jenkins.json</x:v>
      </x:c>
      <x:c r="L10" s="7" t="str"/>
      <x:c r="M10" s="7" t="str"/>
      <x:c r="N10" s="7" t="str">
        <x:v>Découpage de production de l’intrigue ME1 ; déclencheurs exacts à relever.</x:v>
      </x:c>
      <x:c r="O10" s="7" t="str">
        <x:v>https://na.llnet.bioware.cdn.ea.com/u/f/eagames/bioware/masseffect/prima/prima_guide_me_pc.pdf</x:v>
      </x:c>
      <x:c r="P10" s="7" t="str">
        <x:v>Production ME1</x:v>
      </x:c>
      <x:c r="Q10" s="7" t="str"/>
    </x:row>
    <x:row r="11" ht="36" customHeight="1">
      <x:c r="A11" s="13" t="str">
        <x:v>QST-rencontre-d-ashley</x:v>
      </x:c>
      <x:c r="B11" s="14" t="str">
        <x:v>Rencontre d’Ashley</x:v>
      </x:c>
      <x:c r="C11" s="10" t="str">
        <x:v>Défini</x:v>
      </x:c>
      <x:c r="D11" s="11" t="str">
        <x:v>À produire</x:v>
      </x:c>
      <x:c r="E11" s="15" t="str">
        <x:v>P0</x:v>
      </x:c>
      <x:c r="F11" s="15" t="str">
        <x:v>ME1</x:v>
      </x:c>
      <x:c r="G11" s="15" t="str">
        <x:v>Référence à vérifier</x:v>
      </x:c>
      <x:c r="H11" s="14" t="str">
        <x:v>Soutien à la survivante de l’Alliance.</x:v>
      </x:c>
      <x:c r="I11" s="14" t="str">
        <x:v>Ajout au groupe au bon moment.</x:v>
      </x:c>
      <x:c r="J11" s="14" t="str"/>
      <x:c r="K11" s="14" t="str">
        <x:v>content/main_quests/QST-rencontre-d-ashley.json</x:v>
      </x:c>
      <x:c r="L11" s="14" t="str"/>
      <x:c r="M11" s="14" t="str"/>
      <x:c r="N11" s="14" t="str">
        <x:v>Découpage de production de l’intrigue ME1 ; déclencheurs exacts à relever.</x:v>
      </x:c>
      <x:c r="O11" s="14" t="str">
        <x:v>https://na.llnet.bioware.cdn.ea.com/u/f/eagames/bioware/masseffect/prima/prima_guide_me_pc.pdf</x:v>
      </x:c>
      <x:c r="P11" s="14" t="str">
        <x:v>Production ME1</x:v>
      </x:c>
      <x:c r="Q11" s="14" t="str"/>
    </x:row>
    <x:row r="12" ht="36" customHeight="1">
      <x:c r="A12" s="12" t="str">
        <x:v>QST-recherche-de-la-balise</x:v>
      </x:c>
      <x:c r="B12" s="7" t="str">
        <x:v>Recherche de la balise</x:v>
      </x:c>
      <x:c r="C12" s="10" t="str">
        <x:v>Défini</x:v>
      </x:c>
      <x:c r="D12" s="11" t="str">
        <x:v>À produire</x:v>
      </x:c>
      <x:c r="E12" s="9" t="str">
        <x:v>P0</x:v>
      </x:c>
      <x:c r="F12" s="9" t="str">
        <x:v>ME1</x:v>
      </x:c>
      <x:c r="G12" s="9" t="str">
        <x:v>Référence à vérifier</x:v>
      </x:c>
      <x:c r="H12" s="7" t="str">
        <x:v>Suivre les indices depuis le site de fouille.</x:v>
      </x:c>
      <x:c r="I12" s="7" t="str">
        <x:v>Journal et destination mis à jour.</x:v>
      </x:c>
      <x:c r="J12" s="7" t="str"/>
      <x:c r="K12" s="7" t="str">
        <x:v>content/main_quests/QST-recherche-de-la-balise.json</x:v>
      </x:c>
      <x:c r="L12" s="7" t="str"/>
      <x:c r="M12" s="7" t="str"/>
      <x:c r="N12" s="7" t="str">
        <x:v>Découpage de production de l’intrigue ME1 ; déclencheurs exacts à relever.</x:v>
      </x:c>
      <x:c r="O12" s="7" t="str">
        <x:v>https://na.llnet.bioware.cdn.ea.com/u/f/eagames/bioware/masseffect/prima/prima_guide_me_pc.pdf</x:v>
      </x:c>
      <x:c r="P12" s="7" t="str">
        <x:v>Production ME1</x:v>
      </x:c>
      <x:c r="Q12" s="7" t="str"/>
    </x:row>
    <x:row r="13" ht="36" customHeight="1">
      <x:c r="A13" s="13" t="str">
        <x:v>QST-quais-d-eden-prime</x:v>
      </x:c>
      <x:c r="B13" s="14" t="str">
        <x:v>Quais d’Eden Prime</x:v>
      </x:c>
      <x:c r="C13" s="10" t="str">
        <x:v>Défini</x:v>
      </x:c>
      <x:c r="D13" s="11" t="str">
        <x:v>À produire</x:v>
      </x:c>
      <x:c r="E13" s="15" t="str">
        <x:v>P0</x:v>
      </x:c>
      <x:c r="F13" s="15" t="str">
        <x:v>ME1</x:v>
      </x:c>
      <x:c r="G13" s="15" t="str">
        <x:v>Référence à vérifier</x:v>
      </x:c>
      <x:c r="H13" s="14" t="str">
        <x:v>Découvrir les événements liés à Nihlus.</x:v>
      </x:c>
      <x:c r="I13" s="14" t="str">
        <x:v>Témoignages conditionnels accessibles.</x:v>
      </x:c>
      <x:c r="J13" s="14" t="str"/>
      <x:c r="K13" s="14" t="str">
        <x:v>content/main_quests/QST-quais-d-eden-prime.json</x:v>
      </x:c>
      <x:c r="L13" s="14" t="str"/>
      <x:c r="M13" s="14" t="str"/>
      <x:c r="N13" s="14" t="str">
        <x:v>Découpage de production de l’intrigue ME1 ; déclencheurs exacts à relever.</x:v>
      </x:c>
      <x:c r="O13" s="14" t="str">
        <x:v>https://na.llnet.bioware.cdn.ea.com/u/f/eagames/bioware/masseffect/prima/prima_guide_me_pc.pdf</x:v>
      </x:c>
      <x:c r="P13" s="14" t="str">
        <x:v>Production ME1</x:v>
      </x:c>
      <x:c r="Q13" s="14" t="str"/>
    </x:row>
    <x:row r="14" ht="36" customHeight="1">
      <x:c r="A14" s="12" t="str">
        <x:v>QST-desamorcage-du-spatioport</x:v>
      </x:c>
      <x:c r="B14" s="7" t="str">
        <x:v>Désamorçage du spatioport</x:v>
      </x:c>
      <x:c r="C14" s="10" t="str">
        <x:v>Défini</x:v>
      </x:c>
      <x:c r="D14" s="11" t="str">
        <x:v>À produire</x:v>
      </x:c>
      <x:c r="E14" s="9" t="str">
        <x:v>P0</x:v>
      </x:c>
      <x:c r="F14" s="9" t="str">
        <x:v>ME1</x:v>
      </x:c>
      <x:c r="G14" s="9" t="str">
        <x:v>Référence à vérifier</x:v>
      </x:c>
      <x:c r="H14" s="7" t="str">
        <x:v>Neutraliser les charges dans le temps imparti.</x:v>
      </x:c>
      <x:c r="I14" s="7" t="str">
        <x:v>Temps, pause et échec clairement définis.</x:v>
      </x:c>
      <x:c r="J14" s="7" t="str"/>
      <x:c r="K14" s="7" t="str">
        <x:v>content/main_quests/QST-desamorcage-du-spatioport.json</x:v>
      </x:c>
      <x:c r="L14" s="7" t="str"/>
      <x:c r="M14" s="7" t="str"/>
      <x:c r="N14" s="7" t="str">
        <x:v>Découpage de production de l’intrigue ME1 ; déclencheurs exacts à relever.</x:v>
      </x:c>
      <x:c r="O14" s="7" t="str">
        <x:v>https://na.llnet.bioware.cdn.ea.com/u/f/eagames/bioware/masseffect/prima/prima_guide_me_pc.pdf</x:v>
      </x:c>
      <x:c r="P14" s="7" t="str">
        <x:v>Production ME1</x:v>
      </x:c>
      <x:c r="Q14" s="7" t="str"/>
    </x:row>
    <x:row r="15" ht="36" customHeight="1">
      <x:c r="A15" s="13" t="str">
        <x:v>QST-vision-de-la-balise</x:v>
      </x:c>
      <x:c r="B15" s="14" t="str">
        <x:v>Vision de la balise</x:v>
      </x:c>
      <x:c r="C15" s="10" t="str">
        <x:v>Défini</x:v>
      </x:c>
      <x:c r="D15" s="11" t="str">
        <x:v>À produire</x:v>
      </x:c>
      <x:c r="E15" s="15" t="str">
        <x:v>P0</x:v>
      </x:c>
      <x:c r="F15" s="15" t="str">
        <x:v>ME1</x:v>
      </x:c>
      <x:c r="G15" s="15" t="str">
        <x:v>Référence à vérifier</x:v>
      </x:c>
      <x:c r="H15" s="14" t="str">
        <x:v>Contact de Shepard avec l’artefact.</x:v>
      </x:c>
      <x:c r="I15" s="14" t="str">
        <x:v>Séquence unique puis retour au Normandy.</x:v>
      </x:c>
      <x:c r="J15" s="14" t="str"/>
      <x:c r="K15" s="14" t="str">
        <x:v>content/main_quests/QST-vision-de-la-balise.json</x:v>
      </x:c>
      <x:c r="L15" s="14" t="str"/>
      <x:c r="M15" s="14" t="str"/>
      <x:c r="N15" s="14" t="str">
        <x:v>Découpage de production de l’intrigue ME1 ; déclencheurs exacts à relever.</x:v>
      </x:c>
      <x:c r="O15" s="14" t="str">
        <x:v>https://na.llnet.bioware.cdn.ea.com/u/f/eagames/bioware/masseffect/prima/prima_guide_me_pc.pdf</x:v>
      </x:c>
      <x:c r="P15" s="14" t="str">
        <x:v>Production ME1</x:v>
      </x:c>
      <x:c r="Q15" s="14" t="str"/>
    </x:row>
    <x:row r="16" ht="36" customHeight="1">
      <x:c r="A16" s="12" t="str">
        <x:v>QST-rapport-a-la-citadelle</x:v>
      </x:c>
      <x:c r="B16" s="7" t="str">
        <x:v>Rapport à la Citadelle</x:v>
      </x:c>
      <x:c r="C16" s="10" t="str">
        <x:v>Défini</x:v>
      </x:c>
      <x:c r="D16" s="11" t="str">
        <x:v>À produire</x:v>
      </x:c>
      <x:c r="E16" s="9" t="str">
        <x:v>P0</x:v>
      </x:c>
      <x:c r="F16" s="9" t="str">
        <x:v>ME1</x:v>
      </x:c>
      <x:c r="G16" s="9" t="str">
        <x:v>Référence à vérifier</x:v>
      </x:c>
      <x:c r="H16" s="7" t="str">
        <x:v>Audience politique sur l’attaque.</x:v>
      </x:c>
      <x:c r="I16" s="7" t="str">
        <x:v>Aucune promotion anticipée.</x:v>
      </x:c>
      <x:c r="J16" s="7" t="str"/>
      <x:c r="K16" s="7" t="str">
        <x:v>content/main_quests/QST-rapport-a-la-citadelle.json</x:v>
      </x:c>
      <x:c r="L16" s="7" t="str"/>
      <x:c r="M16" s="7" t="str"/>
      <x:c r="N16" s="7" t="str">
        <x:v>Découpage de production de l’intrigue ME1 ; déclencheurs exacts à relever.</x:v>
      </x:c>
      <x:c r="O16" s="7" t="str">
        <x:v>https://na.llnet.bioware.cdn.ea.com/u/f/eagames/bioware/masseffect/prima/prima_guide_me_pc.pdf</x:v>
      </x:c>
      <x:c r="P16" s="7" t="str">
        <x:v>Production ME1</x:v>
      </x:c>
      <x:c r="Q16" s="7" t="str"/>
    </x:row>
    <x:row r="17" ht="36" customHeight="1">
      <x:c r="A17" s="13" t="str">
        <x:v>QST-piste-garrus</x:v>
      </x:c>
      <x:c r="B17" s="14" t="str">
        <x:v>Piste Garrus</x:v>
      </x:c>
      <x:c r="C17" s="10" t="str">
        <x:v>Défini</x:v>
      </x:c>
      <x:c r="D17" s="11" t="str">
        <x:v>À produire</x:v>
      </x:c>
      <x:c r="E17" s="15" t="str">
        <x:v>P0</x:v>
      </x:c>
      <x:c r="F17" s="15" t="str">
        <x:v>ME1</x:v>
      </x:c>
      <x:c r="G17" s="15" t="str">
        <x:v>Référence à vérifier</x:v>
      </x:c>
      <x:c r="H17" s="14" t="str">
        <x:v>Enquêter auprès du SSC et de la clinique.</x:v>
      </x:c>
      <x:c r="I17" s="14" t="str">
        <x:v>Ordre des indices flexible où le jeu l’autorise.</x:v>
      </x:c>
      <x:c r="J17" s="14" t="str"/>
      <x:c r="K17" s="14" t="str">
        <x:v>content/main_quests/QST-piste-garrus.json</x:v>
      </x:c>
      <x:c r="L17" s="14" t="str"/>
      <x:c r="M17" s="14" t="str"/>
      <x:c r="N17" s="14" t="str">
        <x:v>Découpage de production de l’intrigue ME1 ; déclencheurs exacts à relever.</x:v>
      </x:c>
      <x:c r="O17" s="14" t="str">
        <x:v>https://na.llnet.bioware.cdn.ea.com/u/f/eagames/bioware/masseffect/prima/prima_guide_me_pc.pdf</x:v>
      </x:c>
      <x:c r="P17" s="14" t="str">
        <x:v>Production ME1</x:v>
      </x:c>
      <x:c r="Q17" s="14" t="str"/>
    </x:row>
    <x:row r="18" ht="36" customHeight="1">
      <x:c r="A18" s="12" t="str">
        <x:v>QST-piste-du-courtier</x:v>
      </x:c>
      <x:c r="B18" s="7" t="str">
        <x:v>Piste du Courtier</x:v>
      </x:c>
      <x:c r="C18" s="10" t="str">
        <x:v>Défini</x:v>
      </x:c>
      <x:c r="D18" s="11" t="str">
        <x:v>À produire</x:v>
      </x:c>
      <x:c r="E18" s="9" t="str">
        <x:v>P0</x:v>
      </x:c>
      <x:c r="F18" s="9" t="str">
        <x:v>ME1</x:v>
      </x:c>
      <x:c r="G18" s="9" t="str">
        <x:v>Référence à vérifier</x:v>
      </x:c>
      <x:c r="H18" s="7" t="str">
        <x:v>Consulter les contacts de la Citadelle.</x:v>
      </x:c>
      <x:c r="I18" s="7" t="str">
        <x:v>État de Fist et recrutement de Wrex cohérents.</x:v>
      </x:c>
      <x:c r="J18" s="7" t="str"/>
      <x:c r="K18" s="7" t="str">
        <x:v>content/main_quests/QST-piste-du-courtier.json</x:v>
      </x:c>
      <x:c r="L18" s="7" t="str"/>
      <x:c r="M18" s="7" t="str"/>
      <x:c r="N18" s="7" t="str">
        <x:v>Découpage de production de l’intrigue ME1 ; déclencheurs exacts à relever.</x:v>
      </x:c>
      <x:c r="O18" s="7" t="str">
        <x:v>https://na.llnet.bioware.cdn.ea.com/u/f/eagames/bioware/masseffect/prima/prima_guide_me_pc.pdf</x:v>
      </x:c>
      <x:c r="P18" s="7" t="str">
        <x:v>Production ME1</x:v>
      </x:c>
      <x:c r="Q18" s="7" t="str"/>
    </x:row>
    <x:row r="19" ht="36" customHeight="1">
      <x:c r="A19" s="13" t="str">
        <x:v>QST-sauvetage-de-tali</x:v>
      </x:c>
      <x:c r="B19" s="14" t="str">
        <x:v>Sauvetage de Tali</x:v>
      </x:c>
      <x:c r="C19" s="10" t="str">
        <x:v>Défini</x:v>
      </x:c>
      <x:c r="D19" s="11" t="str">
        <x:v>À produire</x:v>
      </x:c>
      <x:c r="E19" s="15" t="str">
        <x:v>P0</x:v>
      </x:c>
      <x:c r="F19" s="15" t="str">
        <x:v>ME1</x:v>
      </x:c>
      <x:c r="G19" s="15" t="str">
        <x:v>Référence à vérifier</x:v>
      </x:c>
      <x:c r="H19" s="14" t="str">
        <x:v>Interrompre l’embuscade et obtenir la preuve.</x:v>
      </x:c>
      <x:c r="I19" s="14" t="str">
        <x:v>Tali disponible après la scène et preuve dans le journal.</x:v>
      </x:c>
      <x:c r="J19" s="14" t="str"/>
      <x:c r="K19" s="14" t="str">
        <x:v>content/main_quests/QST-sauvetage-de-tali.json</x:v>
      </x:c>
      <x:c r="L19" s="14" t="str"/>
      <x:c r="M19" s="14" t="str"/>
      <x:c r="N19" s="14" t="str">
        <x:v>Découpage de production de l’intrigue ME1 ; déclencheurs exacts à relever.</x:v>
      </x:c>
      <x:c r="O19" s="14" t="str">
        <x:v>https://na.llnet.bioware.cdn.ea.com/u/f/eagames/bioware/masseffect/prima/prima_guide_me_pc.pdf</x:v>
      </x:c>
      <x:c r="P19" s="14" t="str">
        <x:v>Production ME1</x:v>
      </x:c>
      <x:c r="Q19" s="14" t="str"/>
    </x:row>
    <x:row r="20" ht="36" customHeight="1">
      <x:c r="A20" s="12" t="str">
        <x:v>QST-intronisation-spectre</x:v>
      </x:c>
      <x:c r="B20" s="7" t="str">
        <x:v>Intronisation Spectre</x:v>
      </x:c>
      <x:c r="C20" s="10" t="str">
        <x:v>Défini</x:v>
      </x:c>
      <x:c r="D20" s="11" t="str">
        <x:v>À produire</x:v>
      </x:c>
      <x:c r="E20" s="9" t="str">
        <x:v>P0</x:v>
      </x:c>
      <x:c r="F20" s="9" t="str">
        <x:v>ME1</x:v>
      </x:c>
      <x:c r="G20" s="9" t="str">
        <x:v>Référence à vérifier</x:v>
      </x:c>
      <x:c r="H20" s="7" t="str">
        <x:v>Conseil et nouvelle autorité de Shepard.</x:v>
      </x:c>
      <x:c r="I20" s="7" t="str">
        <x:v>Déblocage des systèmes lié à cet événement.</x:v>
      </x:c>
      <x:c r="J20" s="7" t="str"/>
      <x:c r="K20" s="7" t="str">
        <x:v>content/main_quests/QST-intronisation-spectre.json</x:v>
      </x:c>
      <x:c r="L20" s="7" t="str"/>
      <x:c r="M20" s="7" t="str"/>
      <x:c r="N20" s="7" t="str">
        <x:v>Découpage de production de l’intrigue ME1 ; déclencheurs exacts à relever.</x:v>
      </x:c>
      <x:c r="O20" s="7" t="str">
        <x:v>https://na.llnet.bioware.cdn.ea.com/u/f/eagames/bioware/masseffect/prima/prima_guide_me_pc.pdf</x:v>
      </x:c>
      <x:c r="P20" s="7" t="str">
        <x:v>Production ME1</x:v>
      </x:c>
      <x:c r="Q20" s="7" t="str"/>
    </x:row>
    <x:row r="21" ht="36" customHeight="1">
      <x:c r="A21" s="13" t="str">
        <x:v>QST-commandement-du-normandy</x:v>
      </x:c>
      <x:c r="B21" s="14" t="str">
        <x:v>Commandement du Normandy</x:v>
      </x:c>
      <x:c r="C21" s="10" t="str">
        <x:v>Défini</x:v>
      </x:c>
      <x:c r="D21" s="11" t="str">
        <x:v>À produire</x:v>
      </x:c>
      <x:c r="E21" s="15" t="str">
        <x:v>P0</x:v>
      </x:c>
      <x:c r="F21" s="15" t="str">
        <x:v>ME1</x:v>
      </x:c>
      <x:c r="G21" s="15" t="str">
        <x:v>Référence à vérifier</x:v>
      </x:c>
      <x:c r="H21" s="14" t="str">
        <x:v>Prendre le commandement et choisir une destination.</x:v>
      </x:c>
      <x:c r="I21" s="14" t="str">
        <x:v>Carte galactique ouverte sans imposer un ordre arbitraire.</x:v>
      </x:c>
      <x:c r="J21" s="14" t="str"/>
      <x:c r="K21" s="14" t="str">
        <x:v>content/main_quests/QST-commandement-du-normandy.json</x:v>
      </x:c>
      <x:c r="L21" s="14" t="str"/>
      <x:c r="M21" s="14" t="str"/>
      <x:c r="N21" s="14" t="str">
        <x:v>Découpage de production de l’intrigue ME1 ; déclencheurs exacts à relever.</x:v>
      </x:c>
      <x:c r="O21" s="14" t="str">
        <x:v>https://na.llnet.bioware.cdn.ea.com/u/f/eagames/bioware/masseffect/prima/prima_guide_me_pc.pdf</x:v>
      </x:c>
      <x:c r="P21" s="14" t="str">
        <x:v>Production ME1</x:v>
      </x:c>
      <x:c r="Q21" s="14" t="str"/>
    </x:row>
    <x:row r="22" ht="36" customHeight="1">
      <x:c r="A22" s="12" t="str">
        <x:v>QST-atterrissage-therum</x:v>
      </x:c>
      <x:c r="B22" s="7" t="str">
        <x:v>Atterrissage Therum</x:v>
      </x:c>
      <x:c r="C22" s="10" t="str">
        <x:v>Défini</x:v>
      </x:c>
      <x:c r="D22" s="11" t="str">
        <x:v>À produire</x:v>
      </x:c>
      <x:c r="E22" s="9" t="str">
        <x:v>P0</x:v>
      </x:c>
      <x:c r="F22" s="9" t="str">
        <x:v>ME1</x:v>
      </x:c>
      <x:c r="G22" s="9" t="str">
        <x:v>Référence à vérifier</x:v>
      </x:c>
      <x:c r="H22" s="7" t="str">
        <x:v>Rechercher Liara à travers le site volcanique.</x:v>
      </x:c>
      <x:c r="I22" s="7" t="str">
        <x:v>Mako, portes et transition à pied liés.</x:v>
      </x:c>
      <x:c r="J22" s="7" t="str"/>
      <x:c r="K22" s="7" t="str">
        <x:v>content/main_quests/QST-atterrissage-therum.json</x:v>
      </x:c>
      <x:c r="L22" s="7" t="str"/>
      <x:c r="M22" s="7" t="str"/>
      <x:c r="N22" s="7" t="str">
        <x:v>Découpage de production de l’intrigue ME1 ; déclencheurs exacts à relever.</x:v>
      </x:c>
      <x:c r="O22" s="7" t="str">
        <x:v>https://na.llnet.bioware.cdn.ea.com/u/f/eagames/bioware/masseffect/prima/prima_guide_me_pc.pdf</x:v>
      </x:c>
      <x:c r="P22" s="7" t="str">
        <x:v>Production ME1</x:v>
      </x:c>
      <x:c r="Q22" s="7" t="str"/>
    </x:row>
    <x:row r="23" ht="36" customHeight="1">
      <x:c r="A23" s="13" t="str">
        <x:v>QST-liberation-de-liara</x:v>
      </x:c>
      <x:c r="B23" s="14" t="str">
        <x:v>Libération de Liara</x:v>
      </x:c>
      <x:c r="C23" s="10" t="str">
        <x:v>Défini</x:v>
      </x:c>
      <x:c r="D23" s="11" t="str">
        <x:v>À produire</x:v>
      </x:c>
      <x:c r="E23" s="15" t="str">
        <x:v>P0</x:v>
      </x:c>
      <x:c r="F23" s="15" t="str">
        <x:v>ME1</x:v>
      </x:c>
      <x:c r="G23" s="15" t="str">
        <x:v>Référence à vérifier</x:v>
      </x:c>
      <x:c r="H23" s="14" t="str">
        <x:v>Interagir avec le dispositif de fouille.</x:v>
      </x:c>
      <x:c r="I23" s="14" t="str">
        <x:v>Disponibilité de l’équipière après extraction.</x:v>
      </x:c>
      <x:c r="J23" s="14" t="str"/>
      <x:c r="K23" s="14" t="str">
        <x:v>content/main_quests/QST-liberation-de-liara.json</x:v>
      </x:c>
      <x:c r="L23" s="14" t="str"/>
      <x:c r="M23" s="14" t="str"/>
      <x:c r="N23" s="14" t="str">
        <x:v>Découpage de production de l’intrigue ME1 ; déclencheurs exacts à relever.</x:v>
      </x:c>
      <x:c r="O23" s="14" t="str">
        <x:v>https://na.llnet.bioware.cdn.ea.com/u/f/eagames/bioware/masseffect/prima/prima_guide_me_pc.pdf</x:v>
      </x:c>
      <x:c r="P23" s="14" t="str">
        <x:v>Production ME1</x:v>
      </x:c>
      <x:c r="Q23" s="14" t="str"/>
    </x:row>
    <x:row r="24" ht="36" customHeight="1">
      <x:c r="A24" s="12" t="str">
        <x:v>QST-defense-de-zhu-s-hope</x:v>
      </x:c>
      <x:c r="B24" s="7" t="str">
        <x:v>Défense de Zhu’s Hope</x:v>
      </x:c>
      <x:c r="C24" s="10" t="str">
        <x:v>Défini</x:v>
      </x:c>
      <x:c r="D24" s="11" t="str">
        <x:v>À produire</x:v>
      </x:c>
      <x:c r="E24" s="9" t="str">
        <x:v>P0</x:v>
      </x:c>
      <x:c r="F24" s="9" t="str">
        <x:v>ME1</x:v>
      </x:c>
      <x:c r="G24" s="9" t="str">
        <x:v>Référence à vérifier</x:v>
      </x:c>
      <x:c r="H24" s="7" t="str">
        <x:v>Repousser les geth et prendre contact.</x:v>
      </x:c>
      <x:c r="I24" s="7" t="str">
        <x:v>Colons et services mis à jour.</x:v>
      </x:c>
      <x:c r="J24" s="7" t="str"/>
      <x:c r="K24" s="7" t="str">
        <x:v>content/main_quests/QST-defense-de-zhu-s-hope.json</x:v>
      </x:c>
      <x:c r="L24" s="7" t="str"/>
      <x:c r="M24" s="7" t="str"/>
      <x:c r="N24" s="7" t="str">
        <x:v>Découpage de production de l’intrigue ME1 ; déclencheurs exacts à relever.</x:v>
      </x:c>
      <x:c r="O24" s="7" t="str">
        <x:v>https://na.llnet.bioware.cdn.ea.com/u/f/eagames/bioware/masseffect/prima/prima_guide_me_pc.pdf</x:v>
      </x:c>
      <x:c r="P24" s="7" t="str">
        <x:v>Production ME1</x:v>
      </x:c>
      <x:c r="Q24" s="7" t="str"/>
    </x:row>
    <x:row r="25" ht="36" customHeight="1">
      <x:c r="A25" s="13" t="str">
        <x:v>QST-enquete-exogeni</x:v>
      </x:c>
      <x:c r="B25" s="14" t="str">
        <x:v>Enquête ExoGeni</x:v>
      </x:c>
      <x:c r="C25" s="10" t="str">
        <x:v>Défini</x:v>
      </x:c>
      <x:c r="D25" s="11" t="str">
        <x:v>À produire</x:v>
      </x:c>
      <x:c r="E25" s="15" t="str">
        <x:v>P0</x:v>
      </x:c>
      <x:c r="F25" s="15" t="str">
        <x:v>ME1</x:v>
      </x:c>
      <x:c r="G25" s="15" t="str">
        <x:v>Référence à vérifier</x:v>
      </x:c>
      <x:c r="H25" s="14" t="str">
        <x:v>Explorer les installations et récupérer les indices.</x:v>
      </x:c>
      <x:c r="I25" s="14" t="str">
        <x:v>Pas de saut de révélation sur le Thorian.</x:v>
      </x:c>
      <x:c r="J25" s="14" t="str"/>
      <x:c r="K25" s="14" t="str">
        <x:v>content/main_quests/QST-enquete-exogeni.json</x:v>
      </x:c>
      <x:c r="L25" s="14" t="str"/>
      <x:c r="M25" s="14" t="str"/>
      <x:c r="N25" s="14" t="str">
        <x:v>Découpage de production de l’intrigue ME1 ; déclencheurs exacts à relever.</x:v>
      </x:c>
      <x:c r="O25" s="14" t="str">
        <x:v>https://na.llnet.bioware.cdn.ea.com/u/f/eagames/bioware/masseffect/prima/prima_guide_me_pc.pdf</x:v>
      </x:c>
      <x:c r="P25" s="14" t="str">
        <x:v>Production ME1</x:v>
      </x:c>
      <x:c r="Q25" s="14" t="str"/>
    </x:row>
    <x:row r="26" ht="36" customHeight="1">
      <x:c r="A26" s="12" t="str">
        <x:v>QST-degagement-du-vaisseau-geth</x:v>
      </x:c>
      <x:c r="B26" s="7" t="str">
        <x:v>Dégagement du vaisseau geth</x:v>
      </x:c>
      <x:c r="C26" s="10" t="str">
        <x:v>Défini</x:v>
      </x:c>
      <x:c r="D26" s="11" t="str">
        <x:v>À produire</x:v>
      </x:c>
      <x:c r="E26" s="9" t="str">
        <x:v>P0</x:v>
      </x:c>
      <x:c r="F26" s="9" t="str">
        <x:v>ME1</x:v>
      </x:c>
      <x:c r="G26" s="9" t="str">
        <x:v>Référence à vérifier</x:v>
      </x:c>
      <x:c r="H26" s="7" t="str">
        <x:v>Actionner le mécanisme d’ExoGeni.</x:v>
      </x:c>
      <x:c r="I26" s="7" t="str">
        <x:v>Voie de retour débloquée.</x:v>
      </x:c>
      <x:c r="J26" s="7" t="str"/>
      <x:c r="K26" s="7" t="str">
        <x:v>content/main_quests/QST-degagement-du-vaisseau-geth.json</x:v>
      </x:c>
      <x:c r="L26" s="7" t="str"/>
      <x:c r="M26" s="7" t="str"/>
      <x:c r="N26" s="7" t="str">
        <x:v>Découpage de production de l’intrigue ME1 ; déclencheurs exacts à relever.</x:v>
      </x:c>
      <x:c r="O26" s="7" t="str">
        <x:v>https://na.llnet.bioware.cdn.ea.com/u/f/eagames/bioware/masseffect/prima/prima_guide_me_pc.pdf</x:v>
      </x:c>
      <x:c r="P26" s="7" t="str">
        <x:v>Production ME1</x:v>
      </x:c>
      <x:c r="Q26" s="7" t="str"/>
    </x:row>
    <x:row r="27" ht="36" customHeight="1">
      <x:c r="A27" s="13" t="str">
        <x:v>QST-retour-des-colons</x:v>
      </x:c>
      <x:c r="B27" s="14" t="str">
        <x:v>Retour des colons</x:v>
      </x:c>
      <x:c r="C27" s="10" t="str">
        <x:v>Défini</x:v>
      </x:c>
      <x:c r="D27" s="11" t="str">
        <x:v>À produire</x:v>
      </x:c>
      <x:c r="E27" s="15" t="str">
        <x:v>P0</x:v>
      </x:c>
      <x:c r="F27" s="15" t="str">
        <x:v>ME1</x:v>
      </x:c>
      <x:c r="G27" s="15" t="str">
        <x:v>Référence à vérifier</x:v>
      </x:c>
      <x:c r="H27" s="14" t="str">
        <x:v>Traverser Zhu’s Hope sous influence.</x:v>
      </x:c>
      <x:c r="I27" s="14" t="str">
        <x:v>Résolution non létale prise en compte.</x:v>
      </x:c>
      <x:c r="J27" s="14" t="str"/>
      <x:c r="K27" s="14" t="str">
        <x:v>content/main_quests/QST-retour-des-colons.json</x:v>
      </x:c>
      <x:c r="L27" s="14" t="str"/>
      <x:c r="M27" s="14" t="str"/>
      <x:c r="N27" s="14" t="str">
        <x:v>Découpage de production de l’intrigue ME1 ; déclencheurs exacts à relever.</x:v>
      </x:c>
      <x:c r="O27" s="14" t="str">
        <x:v>https://na.llnet.bioware.cdn.ea.com/u/f/eagames/bioware/masseffect/prima/prima_guide_me_pc.pdf</x:v>
      </x:c>
      <x:c r="P27" s="14" t="str">
        <x:v>Production ME1</x:v>
      </x:c>
      <x:c r="Q27" s="14" t="str"/>
    </x:row>
    <x:row r="28" ht="36" customHeight="1">
      <x:c r="A28" s="12" t="str">
        <x:v>QST-affrontement-du-thorian</x:v>
      </x:c>
      <x:c r="B28" s="7" t="str">
        <x:v>Affrontement du Thorian</x:v>
      </x:c>
      <x:c r="C28" s="10" t="str">
        <x:v>Défini</x:v>
      </x:c>
      <x:c r="D28" s="11" t="str">
        <x:v>À produire</x:v>
      </x:c>
      <x:c r="E28" s="9" t="str">
        <x:v>P0</x:v>
      </x:c>
      <x:c r="F28" s="9" t="str">
        <x:v>ME1</x:v>
      </x:c>
      <x:c r="G28" s="9" t="str">
        <x:v>Référence à vérifier</x:v>
      </x:c>
      <x:c r="H28" s="7" t="str">
        <x:v>Détruire les nœuds et rencontrer Shiala.</x:v>
      </x:c>
      <x:c r="I28" s="7" t="str">
        <x:v>Sort de la colonie et connaissance du Cypher persistants.</x:v>
      </x:c>
      <x:c r="J28" s="7" t="str"/>
      <x:c r="K28" s="7" t="str">
        <x:v>content/main_quests/QST-affrontement-du-thorian.json</x:v>
      </x:c>
      <x:c r="L28" s="7" t="str"/>
      <x:c r="M28" s="7" t="str"/>
      <x:c r="N28" s="7" t="str">
        <x:v>Découpage de production de l’intrigue ME1 ; déclencheurs exacts à relever.</x:v>
      </x:c>
      <x:c r="O28" s="7" t="str">
        <x:v>https://na.llnet.bioware.cdn.ea.com/u/f/eagames/bioware/masseffect/prima/prima_guide_me_pc.pdf</x:v>
      </x:c>
      <x:c r="P28" s="7" t="str">
        <x:v>Production ME1</x:v>
      </x:c>
      <x:c r="Q28" s="7" t="str"/>
    </x:row>
    <x:row r="29" ht="36" customHeight="1">
      <x:c r="A29" s="13" t="str">
        <x:v>QST-acces-a-peak-15</x:v>
      </x:c>
      <x:c r="B29" s="14" t="str">
        <x:v>Accès à Peak 15</x:v>
      </x:c>
      <x:c r="C29" s="10" t="str">
        <x:v>Défini</x:v>
      </x:c>
      <x:c r="D29" s="11" t="str">
        <x:v>À produire</x:v>
      </x:c>
      <x:c r="E29" s="15" t="str">
        <x:v>P0</x:v>
      </x:c>
      <x:c r="F29" s="15" t="str">
        <x:v>ME1</x:v>
      </x:c>
      <x:c r="G29" s="15" t="str">
        <x:v>Référence à vérifier</x:v>
      </x:c>
      <x:c r="H29" s="14" t="str">
        <x:v>Obtenir le laissez-passer sur Noveria.</x:v>
      </x:c>
      <x:c r="I29" s="14" t="str">
        <x:v>Plusieurs voies de résolution conservées.</x:v>
      </x:c>
      <x:c r="J29" s="14" t="str"/>
      <x:c r="K29" s="14" t="str">
        <x:v>content/main_quests/QST-acces-a-peak-15.json</x:v>
      </x:c>
      <x:c r="L29" s="14" t="str"/>
      <x:c r="M29" s="14" t="str"/>
      <x:c r="N29" s="14" t="str">
        <x:v>Découpage de production de l’intrigue ME1 ; déclencheurs exacts à relever.</x:v>
      </x:c>
      <x:c r="O29" s="14" t="str">
        <x:v>https://na.llnet.bioware.cdn.ea.com/u/f/eagames/bioware/masseffect/prima/prima_guide_me_pc.pdf</x:v>
      </x:c>
      <x:c r="P29" s="14" t="str">
        <x:v>Production ME1</x:v>
      </x:c>
      <x:c r="Q29" s="14" t="str"/>
    </x:row>
    <x:row r="30" ht="36" customHeight="1">
      <x:c r="A30" s="12" t="str">
        <x:v>QST-route-de-noveria</x:v>
      </x:c>
      <x:c r="B30" s="7" t="str">
        <x:v>Route de Noveria</x:v>
      </x:c>
      <x:c r="C30" s="10" t="str">
        <x:v>Défini</x:v>
      </x:c>
      <x:c r="D30" s="11" t="str">
        <x:v>À produire</x:v>
      </x:c>
      <x:c r="E30" s="9" t="str">
        <x:v>P0</x:v>
      </x:c>
      <x:c r="F30" s="9" t="str">
        <x:v>ME1</x:v>
      </x:c>
      <x:c r="G30" s="9" t="str">
        <x:v>Référence à vérifier</x:v>
      </x:c>
      <x:c r="H30" s="7" t="str">
        <x:v>Traverser le blizzard et les défenses.</x:v>
      </x:c>
      <x:c r="I30" s="7" t="str">
        <x:v>Limites de visibilité et dégâts Mako cohérents.</x:v>
      </x:c>
      <x:c r="J30" s="7" t="str"/>
      <x:c r="K30" s="7" t="str">
        <x:v>content/main_quests/QST-route-de-noveria.json</x:v>
      </x:c>
      <x:c r="L30" s="7" t="str"/>
      <x:c r="M30" s="7" t="str"/>
      <x:c r="N30" s="7" t="str">
        <x:v>Découpage de production de l’intrigue ME1 ; déclencheurs exacts à relever.</x:v>
      </x:c>
      <x:c r="O30" s="7" t="str">
        <x:v>https://na.llnet.bioware.cdn.ea.com/u/f/eagames/bioware/masseffect/prima/prima_guide_me_pc.pdf</x:v>
      </x:c>
      <x:c r="P30" s="7" t="str">
        <x:v>Production ME1</x:v>
      </x:c>
      <x:c r="Q30" s="7" t="str"/>
    </x:row>
    <x:row r="31" ht="36" customHeight="1">
      <x:c r="A31" s="13" t="str">
        <x:v>QST-remise-en-marche-mira</x:v>
      </x:c>
      <x:c r="B31" s="14" t="str">
        <x:v>Remise en marche Mira</x:v>
      </x:c>
      <x:c r="C31" s="10" t="str">
        <x:v>Défini</x:v>
      </x:c>
      <x:c r="D31" s="11" t="str">
        <x:v>À produire</x:v>
      </x:c>
      <x:c r="E31" s="15" t="str">
        <x:v>P0</x:v>
      </x:c>
      <x:c r="F31" s="15" t="str">
        <x:v>ME1</x:v>
      </x:c>
      <x:c r="G31" s="15" t="str">
        <x:v>Référence à vérifier</x:v>
      </x:c>
      <x:c r="H31" s="14" t="str">
        <x:v>Restaurer les systèmes de Peak 15.</x:v>
      </x:c>
      <x:c r="I31" s="14" t="str">
        <x:v>Objectifs techniques reflétés dans le décor.</x:v>
      </x:c>
      <x:c r="J31" s="14" t="str"/>
      <x:c r="K31" s="14" t="str">
        <x:v>content/main_quests/QST-remise-en-marche-mira.json</x:v>
      </x:c>
      <x:c r="L31" s="14" t="str"/>
      <x:c r="M31" s="14" t="str"/>
      <x:c r="N31" s="14" t="str">
        <x:v>Découpage de production de l’intrigue ME1 ; déclencheurs exacts à relever.</x:v>
      </x:c>
      <x:c r="O31" s="14" t="str">
        <x:v>https://na.llnet.bioware.cdn.ea.com/u/f/eagames/bioware/masseffect/prima/prima_guide_me_pc.pdf</x:v>
      </x:c>
      <x:c r="P31" s="14" t="str">
        <x:v>Production ME1</x:v>
      </x:c>
      <x:c r="Q31" s="14" t="str"/>
    </x:row>
    <x:row r="32" ht="36" customHeight="1">
      <x:c r="A32" s="12" t="str">
        <x:v>QST-investigation-des-laboratoires</x:v>
      </x:c>
      <x:c r="B32" s="7" t="str">
        <x:v>Investigation des laboratoires</x:v>
      </x:c>
      <x:c r="C32" s="10" t="str">
        <x:v>Défini</x:v>
      </x:c>
      <x:c r="D32" s="11" t="str">
        <x:v>À produire</x:v>
      </x:c>
      <x:c r="E32" s="9" t="str">
        <x:v>P0</x:v>
      </x:c>
      <x:c r="F32" s="9" t="str">
        <x:v>ME1</x:v>
      </x:c>
      <x:c r="G32" s="9" t="str">
        <x:v>Référence à vérifier</x:v>
      </x:c>
      <x:c r="H32" s="7" t="str">
        <x:v>Accéder au personnel et comprendre la contamination.</x:v>
      </x:c>
      <x:c r="I32" s="7" t="str">
        <x:v>États de sécurité et de quarantaine suivis.</x:v>
      </x:c>
      <x:c r="J32" s="7" t="str"/>
      <x:c r="K32" s="7" t="str">
        <x:v>content/main_quests/QST-investigation-des-laboratoires.json</x:v>
      </x:c>
      <x:c r="L32" s="7" t="str"/>
      <x:c r="M32" s="7" t="str"/>
      <x:c r="N32" s="7" t="str">
        <x:v>Découpage de production de l’intrigue ME1 ; déclencheurs exacts à relever.</x:v>
      </x:c>
      <x:c r="O32" s="7" t="str">
        <x:v>https://na.llnet.bioware.cdn.ea.com/u/f/eagames/bioware/masseffect/prima/prima_guide_me_pc.pdf</x:v>
      </x:c>
      <x:c r="P32" s="7" t="str">
        <x:v>Production ME1</x:v>
      </x:c>
      <x:c r="Q32" s="7" t="str"/>
    </x:row>
    <x:row r="33" ht="36" customHeight="1">
      <x:c r="A33" s="13" t="str">
        <x:v>QST-confrontation-benezia</x:v>
      </x:c>
      <x:c r="B33" s="14" t="str">
        <x:v>Confrontation Benezia</x:v>
      </x:c>
      <x:c r="C33" s="10" t="str">
        <x:v>Défini</x:v>
      </x:c>
      <x:c r="D33" s="11" t="str">
        <x:v>À produire</x:v>
      </x:c>
      <x:c r="E33" s="15" t="str">
        <x:v>P0</x:v>
      </x:c>
      <x:c r="F33" s="15" t="str">
        <x:v>ME1</x:v>
      </x:c>
      <x:c r="G33" s="15" t="str">
        <x:v>Référence à vérifier</x:v>
      </x:c>
      <x:c r="H33" s="14" t="str">
        <x:v>Affronter la matriarche et obtenir ses informations.</x:v>
      </x:c>
      <x:c r="I33" s="14" t="str">
        <x:v>Phases de combat et phases de dialogue distinctes.</x:v>
      </x:c>
      <x:c r="J33" s="14" t="str"/>
      <x:c r="K33" s="14" t="str">
        <x:v>content/main_quests/QST-confrontation-benezia.json</x:v>
      </x:c>
      <x:c r="L33" s="14" t="str"/>
      <x:c r="M33" s="14" t="str"/>
      <x:c r="N33" s="14" t="str">
        <x:v>Découpage de production de l’intrigue ME1 ; déclencheurs exacts à relever.</x:v>
      </x:c>
      <x:c r="O33" s="14" t="str">
        <x:v>https://na.llnet.bioware.cdn.ea.com/u/f/eagames/bioware/masseffect/prima/prima_guide_me_pc.pdf</x:v>
      </x:c>
      <x:c r="P33" s="14" t="str">
        <x:v>Production ME1</x:v>
      </x:c>
      <x:c r="Q33" s="14" t="str"/>
    </x:row>
    <x:row r="34" ht="36" customHeight="1">
      <x:c r="A34" s="12" t="str">
        <x:v>QST-decision-rachni</x:v>
      </x:c>
      <x:c r="B34" s="7" t="str">
        <x:v>Décision rachni</x:v>
      </x:c>
      <x:c r="C34" s="10" t="str">
        <x:v>Défini</x:v>
      </x:c>
      <x:c r="D34" s="11" t="str">
        <x:v>À produire</x:v>
      </x:c>
      <x:c r="E34" s="9" t="str">
        <x:v>P0</x:v>
      </x:c>
      <x:c r="F34" s="9" t="str">
        <x:v>ME1</x:v>
      </x:c>
      <x:c r="G34" s="9" t="str">
        <x:v>Référence à vérifier</x:v>
      </x:c>
      <x:c r="H34" s="7" t="str">
        <x:v>Choisir l’issue pour la reine.</x:v>
      </x:c>
      <x:c r="I34" s="7" t="str">
        <x:v>Décision exportable à la suite sans récompense qui la contredit.</x:v>
      </x:c>
      <x:c r="J34" s="7" t="str"/>
      <x:c r="K34" s="7" t="str">
        <x:v>content/main_quests/QST-decision-rachni.json</x:v>
      </x:c>
      <x:c r="L34" s="7" t="str"/>
      <x:c r="M34" s="7" t="str"/>
      <x:c r="N34" s="7" t="str">
        <x:v>Découpage de production de l’intrigue ME1 ; déclencheurs exacts à relever.</x:v>
      </x:c>
      <x:c r="O34" s="7" t="str">
        <x:v>https://na.llnet.bioware.cdn.ea.com/u/f/eagames/bioware/masseffect/prima/prima_guide_me_pc.pdf</x:v>
      </x:c>
      <x:c r="P34" s="7" t="str">
        <x:v>Production ME1</x:v>
      </x:c>
      <x:c r="Q34" s="7" t="str"/>
    </x:row>
    <x:row r="35" ht="36" customHeight="1">
      <x:c r="A35" s="13" t="str">
        <x:v>QST-briefing-de-virmire</x:v>
      </x:c>
      <x:c r="B35" s="14" t="str">
        <x:v>Briefing de Virmire</x:v>
      </x:c>
      <x:c r="C35" s="10" t="str">
        <x:v>Défini</x:v>
      </x:c>
      <x:c r="D35" s="11" t="str">
        <x:v>À produire</x:v>
      </x:c>
      <x:c r="E35" s="15" t="str">
        <x:v>P0</x:v>
      </x:c>
      <x:c r="F35" s="15" t="str">
        <x:v>ME1</x:v>
      </x:c>
      <x:c r="G35" s="15" t="str">
        <x:v>Référence à vérifier</x:v>
      </x:c>
      <x:c r="H35" s="14" t="str">
        <x:v>Contacter le STG et traiter le conflit de Wrex.</x:v>
      </x:c>
      <x:c r="I35" s="14" t="str">
        <x:v>Composition de l’équipe et conditions de persuasion respectées.</x:v>
      </x:c>
      <x:c r="J35" s="14" t="str"/>
      <x:c r="K35" s="14" t="str">
        <x:v>content/main_quests/QST-briefing-de-virmire.json</x:v>
      </x:c>
      <x:c r="L35" s="14" t="str"/>
      <x:c r="M35" s="14" t="str"/>
      <x:c r="N35" s="14" t="str">
        <x:v>Découpage de production de l’intrigue ME1 ; déclencheurs exacts à relever.</x:v>
      </x:c>
      <x:c r="O35" s="14" t="str">
        <x:v>https://na.llnet.bioware.cdn.ea.com/u/f/eagames/bioware/masseffect/prima/prima_guide_me_pc.pdf</x:v>
      </x:c>
      <x:c r="P35" s="14" t="str">
        <x:v>Production ME1</x:v>
      </x:c>
      <x:c r="Q35" s="14" t="str"/>
    </x:row>
    <x:row r="36" ht="36" customHeight="1">
      <x:c r="A36" s="12" t="str">
        <x:v>QST-soutien-aux-galariens</x:v>
      </x:c>
      <x:c r="B36" s="7" t="str">
        <x:v>Soutien aux Galariens</x:v>
      </x:c>
      <x:c r="C36" s="10" t="str">
        <x:v>Défini</x:v>
      </x:c>
      <x:c r="D36" s="11" t="str">
        <x:v>À produire</x:v>
      </x:c>
      <x:c r="E36" s="9" t="str">
        <x:v>P0</x:v>
      </x:c>
      <x:c r="F36" s="9" t="str">
        <x:v>ME1</x:v>
      </x:c>
      <x:c r="G36" s="9" t="str">
        <x:v>Référence à vérifier</x:v>
      </x:c>
      <x:c r="H36" s="7" t="str">
        <x:v>Saboter les systèmes utiles à Kirrahe.</x:v>
      </x:c>
      <x:c r="I36" s="7" t="str">
        <x:v>Chaque action modifie son drapeau précis.</x:v>
      </x:c>
      <x:c r="J36" s="7" t="str"/>
      <x:c r="K36" s="7" t="str">
        <x:v>content/main_quests/QST-soutien-aux-galariens.json</x:v>
      </x:c>
      <x:c r="L36" s="7" t="str"/>
      <x:c r="M36" s="7" t="str"/>
      <x:c r="N36" s="7" t="str">
        <x:v>Découpage de production de l’intrigue ME1 ; déclencheurs exacts à relever.</x:v>
      </x:c>
      <x:c r="O36" s="7" t="str">
        <x:v>https://na.llnet.bioware.cdn.ea.com/u/f/eagames/bioware/masseffect/prima/prima_guide_me_pc.pdf</x:v>
      </x:c>
      <x:c r="P36" s="7" t="str">
        <x:v>Production ME1</x:v>
      </x:c>
      <x:c r="Q36" s="7" t="str"/>
    </x:row>
    <x:row r="37" ht="36" customHeight="1">
      <x:c r="A37" s="13" t="str">
        <x:v>QST-laboratoires-de-saren</x:v>
      </x:c>
      <x:c r="B37" s="14" t="str">
        <x:v>Laboratoires de Saren</x:v>
      </x:c>
      <x:c r="C37" s="10" t="str">
        <x:v>Défini</x:v>
      </x:c>
      <x:c r="D37" s="11" t="str">
        <x:v>À produire</x:v>
      </x:c>
      <x:c r="E37" s="15" t="str">
        <x:v>P0</x:v>
      </x:c>
      <x:c r="F37" s="15" t="str">
        <x:v>ME1</x:v>
      </x:c>
      <x:c r="G37" s="15" t="str">
        <x:v>Référence à vérifier</x:v>
      </x:c>
      <x:c r="H37" s="14" t="str">
        <x:v>Découvrir les expériences et l’endoctrinement.</x:v>
      </x:c>
      <x:c r="I37" s="14" t="str">
        <x:v>Informations ordonnées selon la progression.</x:v>
      </x:c>
      <x:c r="J37" s="14" t="str"/>
      <x:c r="K37" s="14" t="str">
        <x:v>content/main_quests/QST-laboratoires-de-saren.json</x:v>
      </x:c>
      <x:c r="L37" s="14" t="str"/>
      <x:c r="M37" s="14" t="str"/>
      <x:c r="N37" s="14" t="str">
        <x:v>Découpage de production de l’intrigue ME1 ; déclencheurs exacts à relever.</x:v>
      </x:c>
      <x:c r="O37" s="14" t="str">
        <x:v>https://na.llnet.bioware.cdn.ea.com/u/f/eagames/bioware/masseffect/prima/prima_guide_me_pc.pdf</x:v>
      </x:c>
      <x:c r="P37" s="14" t="str">
        <x:v>Production ME1</x:v>
      </x:c>
      <x:c r="Q37" s="14" t="str"/>
    </x:row>
    <x:row r="38" ht="36" customHeight="1">
      <x:c r="A38" s="12" t="str">
        <x:v>QST-revelation-de-sovereign</x:v>
      </x:c>
      <x:c r="B38" s="7" t="str">
        <x:v>Révélation de Sovereign</x:v>
      </x:c>
      <x:c r="C38" s="10" t="str">
        <x:v>Défini</x:v>
      </x:c>
      <x:c r="D38" s="11" t="str">
        <x:v>À produire</x:v>
      </x:c>
      <x:c r="E38" s="9" t="str">
        <x:v>P0</x:v>
      </x:c>
      <x:c r="F38" s="9" t="str">
        <x:v>ME1</x:v>
      </x:c>
      <x:c r="G38" s="9" t="str">
        <x:v>Référence à vérifier</x:v>
      </x:c>
      <x:c r="H38" s="7" t="str">
        <x:v>Communiquer avec le Moissonneur.</x:v>
      </x:c>
      <x:c r="I38" s="7" t="str">
        <x:v>Pas de codex dévoilant cette vérité avant la scène.</x:v>
      </x:c>
      <x:c r="J38" s="7" t="str"/>
      <x:c r="K38" s="7" t="str">
        <x:v>content/main_quests/QST-revelation-de-sovereign.json</x:v>
      </x:c>
      <x:c r="L38" s="7" t="str"/>
      <x:c r="M38" s="7" t="str"/>
      <x:c r="N38" s="7" t="str">
        <x:v>Découpage de production de l’intrigue ME1 ; déclencheurs exacts à relever.</x:v>
      </x:c>
      <x:c r="O38" s="7" t="str">
        <x:v>https://na.llnet.bioware.cdn.ea.com/u/f/eagames/bioware/masseffect/prima/prima_guide_me_pc.pdf</x:v>
      </x:c>
      <x:c r="P38" s="7" t="str">
        <x:v>Production ME1</x:v>
      </x:c>
      <x:c r="Q38" s="7" t="str"/>
    </x:row>
    <x:row r="39" ht="36" customHeight="1">
      <x:c r="A39" s="13" t="str">
        <x:v>QST-choix-de-virmire</x:v>
      </x:c>
      <x:c r="B39" s="14" t="str">
        <x:v>Choix de Virmire</x:v>
      </x:c>
      <x:c r="C39" s="10" t="str">
        <x:v>Défini</x:v>
      </x:c>
      <x:c r="D39" s="11" t="str">
        <x:v>À produire</x:v>
      </x:c>
      <x:c r="E39" s="15" t="str">
        <x:v>P0</x:v>
      </x:c>
      <x:c r="F39" s="15" t="str">
        <x:v>ME1</x:v>
      </x:c>
      <x:c r="G39" s="15" t="str">
        <x:v>Référence à vérifier</x:v>
      </x:c>
      <x:c r="H39" s="14" t="str">
        <x:v>Choisir qui sauver entre Ashley et Kaidan.</x:v>
      </x:c>
      <x:c r="I39" s="14" t="str">
        <x:v>Perte irréversible et équipe mise à jour.</x:v>
      </x:c>
      <x:c r="J39" s="14" t="str"/>
      <x:c r="K39" s="14" t="str">
        <x:v>content/main_quests/QST-choix-de-virmire.json</x:v>
      </x:c>
      <x:c r="L39" s="14" t="str"/>
      <x:c r="M39" s="14" t="str"/>
      <x:c r="N39" s="14" t="str">
        <x:v>Découpage de production de l’intrigue ME1 ; déclencheurs exacts à relever.</x:v>
      </x:c>
      <x:c r="O39" s="14" t="str">
        <x:v>https://na.llnet.bioware.cdn.ea.com/u/f/eagames/bioware/masseffect/prima/prima_guide_me_pc.pdf</x:v>
      </x:c>
      <x:c r="P39" s="14" t="str">
        <x:v>Production ME1</x:v>
      </x:c>
      <x:c r="Q39" s="14" t="str"/>
    </x:row>
    <x:row r="40" ht="36" customHeight="1">
      <x:c r="A40" s="12" t="str">
        <x:v>QST-extraction-de-virmire</x:v>
      </x:c>
      <x:c r="B40" s="7" t="str">
        <x:v>Extraction de Virmire</x:v>
      </x:c>
      <x:c r="C40" s="10" t="str">
        <x:v>Défini</x:v>
      </x:c>
      <x:c r="D40" s="11" t="str">
        <x:v>À produire</x:v>
      </x:c>
      <x:c r="E40" s="9" t="str">
        <x:v>P0</x:v>
      </x:c>
      <x:c r="F40" s="9" t="str">
        <x:v>ME1</x:v>
      </x:c>
      <x:c r="G40" s="9" t="str">
        <x:v>Référence à vérifier</x:v>
      </x:c>
      <x:c r="H40" s="7" t="str">
        <x:v>Affronter Saren puis quitter le site.</x:v>
      </x:c>
      <x:c r="I40" s="7" t="str">
        <x:v>Cinématique et sauvegarde sans doublon de personnages.</x:v>
      </x:c>
      <x:c r="J40" s="7" t="str"/>
      <x:c r="K40" s="7" t="str">
        <x:v>content/main_quests/QST-extraction-de-virmire.json</x:v>
      </x:c>
      <x:c r="L40" s="7" t="str"/>
      <x:c r="M40" s="7" t="str"/>
      <x:c r="N40" s="7" t="str">
        <x:v>Découpage de production de l’intrigue ME1 ; déclencheurs exacts à relever.</x:v>
      </x:c>
      <x:c r="O40" s="7" t="str">
        <x:v>https://na.llnet.bioware.cdn.ea.com/u/f/eagames/bioware/masseffect/prima/prima_guide_me_pc.pdf</x:v>
      </x:c>
      <x:c r="P40" s="7" t="str">
        <x:v>Production ME1</x:v>
      </x:c>
      <x:c r="Q40" s="7" t="str"/>
    </x:row>
    <x:row r="41" ht="36" customHeight="1">
      <x:c r="A41" s="13" t="str">
        <x:v>QST-blocus-de-la-citadelle</x:v>
      </x:c>
      <x:c r="B41" s="14" t="str">
        <x:v>Blocus de la Citadelle</x:v>
      </x:c>
      <x:c r="C41" s="10" t="str">
        <x:v>Défini</x:v>
      </x:c>
      <x:c r="D41" s="11" t="str">
        <x:v>À produire</x:v>
      </x:c>
      <x:c r="E41" s="15" t="str">
        <x:v>P0</x:v>
      </x:c>
      <x:c r="F41" s="15" t="str">
        <x:v>ME1</x:v>
      </x:c>
      <x:c r="G41" s="15" t="str">
        <x:v>Référence à vérifier</x:v>
      </x:c>
      <x:c r="H41" s="14" t="str">
        <x:v>Obtenir le départ malgré les contraintes politiques.</x:v>
      </x:c>
      <x:c r="I41" s="14" t="str">
        <x:v>Méthode d’Anderson et réactions enregistrées.</x:v>
      </x:c>
      <x:c r="J41" s="14" t="str"/>
      <x:c r="K41" s="14" t="str">
        <x:v>content/main_quests/QST-blocus-de-la-citadelle.json</x:v>
      </x:c>
      <x:c r="L41" s="14" t="str"/>
      <x:c r="M41" s="14" t="str"/>
      <x:c r="N41" s="14" t="str">
        <x:v>Découpage de production de l’intrigue ME1 ; déclencheurs exacts à relever.</x:v>
      </x:c>
      <x:c r="O41" s="14" t="str">
        <x:v>https://na.llnet.bioware.cdn.ea.com/u/f/eagames/bioware/masseffect/prima/prima_guide_me_pc.pdf</x:v>
      </x:c>
      <x:c r="P41" s="14" t="str">
        <x:v>Production ME1</x:v>
      </x:c>
      <x:c r="Q41" s="14" t="str"/>
    </x:row>
    <x:row r="42" ht="36" customHeight="1">
      <x:c r="A42" s="12" t="str">
        <x:v>QST-poursuite-sur-ilos</x:v>
      </x:c>
      <x:c r="B42" s="7" t="str">
        <x:v>Poursuite sur Ilos</x:v>
      </x:c>
      <x:c r="C42" s="10" t="str">
        <x:v>Défini</x:v>
      </x:c>
      <x:c r="D42" s="11" t="str">
        <x:v>À produire</x:v>
      </x:c>
      <x:c r="E42" s="9" t="str">
        <x:v>P0</x:v>
      </x:c>
      <x:c r="F42" s="9" t="str">
        <x:v>ME1</x:v>
      </x:c>
      <x:c r="G42" s="9" t="str">
        <x:v>Référence à vérifier</x:v>
      </x:c>
      <x:c r="H42" s="7" t="str">
        <x:v>Rattraper Saren et atteindre Vigil.</x:v>
      </x:c>
      <x:c r="I42" s="7" t="str">
        <x:v>Mako et embranchements du parcours corrects.</x:v>
      </x:c>
      <x:c r="J42" s="7" t="str"/>
      <x:c r="K42" s="7" t="str">
        <x:v>content/main_quests/QST-poursuite-sur-ilos.json</x:v>
      </x:c>
      <x:c r="L42" s="7" t="str"/>
      <x:c r="M42" s="7" t="str"/>
      <x:c r="N42" s="7" t="str">
        <x:v>Découpage de production de l’intrigue ME1 ; déclencheurs exacts à relever.</x:v>
      </x:c>
      <x:c r="O42" s="7" t="str">
        <x:v>https://na.llnet.bioware.cdn.ea.com/u/f/eagames/bioware/masseffect/prima/prima_guide_me_pc.pdf</x:v>
      </x:c>
      <x:c r="P42" s="7" t="str">
        <x:v>Production ME1</x:v>
      </x:c>
      <x:c r="Q42" s="7" t="str"/>
    </x:row>
    <x:row r="43" ht="36" customHeight="1">
      <x:c r="A43" s="13" t="str">
        <x:v>QST-revelation-de-vigil</x:v>
      </x:c>
      <x:c r="B43" s="14" t="str">
        <x:v>Révélation de Vigil</x:v>
      </x:c>
      <x:c r="C43" s="10" t="str">
        <x:v>Défini</x:v>
      </x:c>
      <x:c r="D43" s="11" t="str">
        <x:v>À produire</x:v>
      </x:c>
      <x:c r="E43" s="15" t="str">
        <x:v>P0</x:v>
      </x:c>
      <x:c r="F43" s="15" t="str">
        <x:v>ME1</x:v>
      </x:c>
      <x:c r="G43" s="15" t="str">
        <x:v>Référence à vérifier</x:v>
      </x:c>
      <x:c r="H43" s="14" t="str">
        <x:v>Comprendre le rôle du Conduit et de la Citadelle.</x:v>
      </x:c>
      <x:c r="I43" s="14" t="str">
        <x:v>Codex se complète après l’échange.</x:v>
      </x:c>
      <x:c r="J43" s="14" t="str"/>
      <x:c r="K43" s="14" t="str">
        <x:v>content/main_quests/QST-revelation-de-vigil.json</x:v>
      </x:c>
      <x:c r="L43" s="14" t="str"/>
      <x:c r="M43" s="14" t="str"/>
      <x:c r="N43" s="14" t="str">
        <x:v>Découpage de production de l’intrigue ME1 ; déclencheurs exacts à relever.</x:v>
      </x:c>
      <x:c r="O43" s="14" t="str">
        <x:v>https://na.llnet.bioware.cdn.ea.com/u/f/eagames/bioware/masseffect/prima/prima_guide_me_pc.pdf</x:v>
      </x:c>
      <x:c r="P43" s="14" t="str">
        <x:v>Production ME1</x:v>
      </x:c>
      <x:c r="Q43" s="14" t="str"/>
    </x:row>
    <x:row r="44" ht="36" customHeight="1">
      <x:c r="A44" s="12" t="str">
        <x:v>QST-course-au-conduit</x:v>
      </x:c>
      <x:c r="B44" s="7" t="str">
        <x:v>Course au Conduit</x:v>
      </x:c>
      <x:c r="C44" s="10" t="str">
        <x:v>Défini</x:v>
      </x:c>
      <x:c r="D44" s="11" t="str">
        <x:v>À produire</x:v>
      </x:c>
      <x:c r="E44" s="9" t="str">
        <x:v>P0</x:v>
      </x:c>
      <x:c r="F44" s="9" t="str">
        <x:v>ME1</x:v>
      </x:c>
      <x:c r="G44" s="9" t="str">
        <x:v>Référence à vérifier</x:v>
      </x:c>
      <x:c r="H44" s="7" t="str">
        <x:v>Atteindre le passage dans la fenêtre prévue.</x:v>
      </x:c>
      <x:c r="I44" s="7" t="str">
        <x:v>Échec, reprise et transition testés.</x:v>
      </x:c>
      <x:c r="J44" s="7" t="str"/>
      <x:c r="K44" s="7" t="str">
        <x:v>content/main_quests/QST-course-au-conduit.json</x:v>
      </x:c>
      <x:c r="L44" s="7" t="str"/>
      <x:c r="M44" s="7" t="str"/>
      <x:c r="N44" s="7" t="str">
        <x:v>Découpage de production de l’intrigue ME1 ; déclencheurs exacts à relever.</x:v>
      </x:c>
      <x:c r="O44" s="7" t="str">
        <x:v>https://na.llnet.bioware.cdn.ea.com/u/f/eagames/bioware/masseffect/prima/prima_guide_me_pc.pdf</x:v>
      </x:c>
      <x:c r="P44" s="7" t="str">
        <x:v>Production ME1</x:v>
      </x:c>
      <x:c r="Q44" s="7" t="str"/>
    </x:row>
    <x:row r="45" ht="36" customHeight="1">
      <x:c r="A45" s="13" t="str">
        <x:v>QST-assaut-final-citadelle</x:v>
      </x:c>
      <x:c r="B45" s="14" t="str">
        <x:v>Assaut final Citadelle</x:v>
      </x:c>
      <x:c r="C45" s="10" t="str">
        <x:v>Défini</x:v>
      </x:c>
      <x:c r="D45" s="11" t="str">
        <x:v>À produire</x:v>
      </x:c>
      <x:c r="E45" s="15" t="str">
        <x:v>P0</x:v>
      </x:c>
      <x:c r="F45" s="15" t="str">
        <x:v>ME1</x:v>
      </x:c>
      <x:c r="G45" s="15" t="str">
        <x:v>Référence à vérifier</x:v>
      </x:c>
      <x:c r="H45" s="14" t="str">
        <x:v>Rejoindre Saren dans la station attaquée.</x:v>
      </x:c>
      <x:c r="I45" s="14" t="str">
        <x:v>Échelle de guerre montrée hors du combat individuel.</x:v>
      </x:c>
      <x:c r="J45" s="14" t="str"/>
      <x:c r="K45" s="14" t="str">
        <x:v>content/main_quests/QST-assaut-final-citadelle.json</x:v>
      </x:c>
      <x:c r="L45" s="14" t="str"/>
      <x:c r="M45" s="14" t="str"/>
      <x:c r="N45" s="14" t="str">
        <x:v>Découpage de production de l’intrigue ME1 ; déclencheurs exacts à relever.</x:v>
      </x:c>
      <x:c r="O45" s="14" t="str">
        <x:v>https://na.llnet.bioware.cdn.ea.com/u/f/eagames/bioware/masseffect/prima/prima_guide_me_pc.pdf</x:v>
      </x:c>
      <x:c r="P45" s="14" t="str">
        <x:v>Production ME1</x:v>
      </x:c>
      <x:c r="Q45" s="14" t="str"/>
    </x:row>
    <x:row r="46" ht="36" customHeight="1">
      <x:c r="A46" s="12" t="str">
        <x:v>QST-derniere-confrontation</x:v>
      </x:c>
      <x:c r="B46" s="7" t="str">
        <x:v>Dernière confrontation</x:v>
      </x:c>
      <x:c r="C46" s="10" t="str">
        <x:v>Défini</x:v>
      </x:c>
      <x:c r="D46" s="11" t="str">
        <x:v>À produire</x:v>
      </x:c>
      <x:c r="E46" s="9" t="str">
        <x:v>P0</x:v>
      </x:c>
      <x:c r="F46" s="9" t="str">
        <x:v>ME1</x:v>
      </x:c>
      <x:c r="G46" s="9" t="str">
        <x:v>Référence à vérifier</x:v>
      </x:c>
      <x:c r="H46" s="7" t="str">
        <x:v>Résoudre dialogue et combat contre Saren.</x:v>
      </x:c>
      <x:c r="I46" s="7" t="str">
        <x:v>Issue de persuasion compatible avec la phase finale.</x:v>
      </x:c>
      <x:c r="J46" s="7" t="str"/>
      <x:c r="K46" s="7" t="str">
        <x:v>content/main_quests/QST-derniere-confrontation.json</x:v>
      </x:c>
      <x:c r="L46" s="7" t="str"/>
      <x:c r="M46" s="7" t="str"/>
      <x:c r="N46" s="7" t="str">
        <x:v>Découpage de production de l’intrigue ME1 ; déclencheurs exacts à relever.</x:v>
      </x:c>
      <x:c r="O46" s="7" t="str">
        <x:v>https://na.llnet.bioware.cdn.ea.com/u/f/eagames/bioware/masseffect/prima/prima_guide_me_pc.pdf</x:v>
      </x:c>
      <x:c r="P46" s="7" t="str">
        <x:v>Production ME1</x:v>
      </x:c>
      <x:c r="Q46" s="7" t="str"/>
    </x:row>
    <x:row r="47" ht="36" customHeight="1">
      <x:c r="A47" s="13" t="str">
        <x:v>QST-choix-de-la-flotte</x:v>
      </x:c>
      <x:c r="B47" s="14" t="str">
        <x:v>Choix de la flotte</x:v>
      </x:c>
      <x:c r="C47" s="10" t="str">
        <x:v>Défini</x:v>
      </x:c>
      <x:c r="D47" s="11" t="str">
        <x:v>À produire</x:v>
      </x:c>
      <x:c r="E47" s="15" t="str">
        <x:v>P0</x:v>
      </x:c>
      <x:c r="F47" s="15" t="str">
        <x:v>ME1</x:v>
      </x:c>
      <x:c r="G47" s="15" t="str">
        <x:v>Référence à vérifier</x:v>
      </x:c>
      <x:c r="H47" s="14" t="str">
        <x:v>Décision sur le Conseil pendant la bataille.</x:v>
      </x:c>
      <x:c r="I47" s="14" t="str">
        <x:v>Effet narratif enregistré pour le futur export.</x:v>
      </x:c>
      <x:c r="J47" s="14" t="str"/>
      <x:c r="K47" s="14" t="str">
        <x:v>content/main_quests/QST-choix-de-la-flotte.json</x:v>
      </x:c>
      <x:c r="L47" s="14" t="str"/>
      <x:c r="M47" s="14" t="str"/>
      <x:c r="N47" s="14" t="str">
        <x:v>Découpage de production de l’intrigue ME1 ; déclencheurs exacts à relever.</x:v>
      </x:c>
      <x:c r="O47" s="14" t="str">
        <x:v>https://na.llnet.bioware.cdn.ea.com/u/f/eagames/bioware/masseffect/prima/prima_guide_me_pc.pdf</x:v>
      </x:c>
      <x:c r="P47" s="14" t="str">
        <x:v>Production ME1</x:v>
      </x:c>
      <x:c r="Q47" s="14" t="str"/>
    </x:row>
    <x:row r="48" ht="36" customHeight="1">
      <x:c r="A48" s="12" t="str">
        <x:v>QST-epilogue-politique</x:v>
      </x:c>
      <x:c r="B48" s="7" t="str">
        <x:v>Épilogue politique</x:v>
      </x:c>
      <x:c r="C48" s="10" t="str">
        <x:v>Défini</x:v>
      </x:c>
      <x:c r="D48" s="11" t="str">
        <x:v>À produire</x:v>
      </x:c>
      <x:c r="E48" s="9" t="str">
        <x:v>P0</x:v>
      </x:c>
      <x:c r="F48" s="9" t="str">
        <x:v>ME1</x:v>
      </x:c>
      <x:c r="G48" s="9" t="str">
        <x:v>Référence à vérifier</x:v>
      </x:c>
      <x:c r="H48" s="7" t="str">
        <x:v>Conclure la campagne selon les décisions.</x:v>
      </x:c>
      <x:c r="I48" s="7" t="str">
        <x:v>Sauvegarde de fin et résumé des choix cohérents.</x:v>
      </x:c>
      <x:c r="J48" s="7" t="str"/>
      <x:c r="K48" s="7" t="str">
        <x:v>content/main_quests/QST-epilogue-politique.json</x:v>
      </x:c>
      <x:c r="L48" s="7" t="str"/>
      <x:c r="M48" s="7" t="str"/>
      <x:c r="N48" s="7" t="str">
        <x:v>Découpage de production de l’intrigue ME1 ; déclencheurs exacts à relever.</x:v>
      </x:c>
      <x:c r="O48" s="7" t="str">
        <x:v>https://na.llnet.bioware.cdn.ea.com/u/f/eagames/bioware/masseffect/prima/prima_guide_me_pc.pdf</x:v>
      </x:c>
      <x:c r="P48" s="7" t="str">
        <x:v>Production ME1</x:v>
      </x:c>
      <x:c r="Q48" s="7" t="str"/>
    </x:row>
    <x:row r="49" ht="49" customHeight="1">
      <x:c r="A49" s="13" t="str">
        <x:v>ENC-eden-prime-1</x:v>
      </x:c>
      <x:c r="B49" s="14" t="str">
        <x:v>Eden Prime — Patrouille geth</x:v>
      </x:c>
      <x:c r="C49" s="10" t="str">
        <x:v>Prototype</x:v>
      </x:c>
      <x:c r="D49" s="11" t="str">
        <x:v>Prototype</x:v>
      </x:c>
      <x:c r="E49" s="15" t="str">
        <x:v>P0</x:v>
      </x:c>
      <x:c r="F49" s="15" t="str">
        <x:v>ME1</x:v>
      </x:c>
      <x:c r="G49" s="15" t="str">
        <x:v>Adaptation</x:v>
      </x:c>
      <x:c r="H49" s="14" t="str">
        <x:v>Rencontre ATB 1 du chapitre Eden Prime. Adversaires : geth, geth.</x:v>
      </x:c>
      <x:c r="I49" s="14" t="str">
        <x:v>Contrôler composition, actions ennemies, victoire, défaite et retour à l’exploration. Produire les animations et la mise en scène complètes.</x:v>
      </x:c>
      <x:c r="J49" s="14" t="str"/>
      <x:c r="K49" s="14" t="str">
        <x:v>content/encounters/eden-prime-1.json</x:v>
      </x:c>
      <x:c r="L49" s="14" t="str">
        <x:v>src/game-data.js</x:v>
      </x:c>
      <x:c r="M49" s="14" t="str">
        <x:v>ENCOUNTERS.eden-prime[0]</x:v>
      </x:c>
      <x:c r="N49" s="14" t="str">
        <x:v>Composition et équilibrage du prototype ; à comparer aux rencontres de ME1.</x:v>
      </x:c>
      <x:c r="O49" s="14" t="str"/>
      <x:c r="P49" s="14" t="str">
        <x:v>Prototype condensé</x:v>
      </x:c>
      <x:c r="Q49" s="14" t="str">
        <x:v>Rencontre condensée du fan game. Ne représente pas toutes les rencontres ou tous les scripts du lieu original.</x:v>
      </x:c>
    </x:row>
    <x:row r="50" ht="49" customHeight="1">
      <x:c r="A50" s="12" t="str">
        <x:v>ENC-eden-prime-2</x:v>
      </x:c>
      <x:c r="B50" s="7" t="str">
        <x:v>Eden Prime — Les quais de la colonie</x:v>
      </x:c>
      <x:c r="C50" s="10" t="str">
        <x:v>Prototype</x:v>
      </x:c>
      <x:c r="D50" s="11" t="str">
        <x:v>Prototype</x:v>
      </x:c>
      <x:c r="E50" s="9" t="str">
        <x:v>P0</x:v>
      </x:c>
      <x:c r="F50" s="9" t="str">
        <x:v>ME1</x:v>
      </x:c>
      <x:c r="G50" s="9" t="str">
        <x:v>Adaptation</x:v>
      </x:c>
      <x:c r="H50" s="7" t="str">
        <x:v>Rencontre ATB 2 du chapitre Eden Prime. Adversaires : husk, husk, geth.</x:v>
      </x:c>
      <x:c r="I50" s="7" t="str">
        <x:v>Contrôler composition, actions ennemies, victoire, défaite et retour à l’exploration. Produire les animations et la mise en scène complètes.</x:v>
      </x:c>
      <x:c r="J50" s="7" t="str"/>
      <x:c r="K50" s="7" t="str">
        <x:v>content/encounters/eden-prime-2.json</x:v>
      </x:c>
      <x:c r="L50" s="7" t="str">
        <x:v>src/game-data.js</x:v>
      </x:c>
      <x:c r="M50" s="7" t="str">
        <x:v>ENCOUNTERS.eden-prime[1]</x:v>
      </x:c>
      <x:c r="N50" s="7" t="str">
        <x:v>Composition et équilibrage du prototype ; à comparer aux rencontres de ME1.</x:v>
      </x:c>
      <x:c r="O50" s="7" t="str"/>
      <x:c r="P50" s="7" t="str">
        <x:v>Prototype condensé</x:v>
      </x:c>
      <x:c r="Q50" s="7" t="str">
        <x:v>Rencontre condensée du fan game. Ne représente pas toutes les rencontres ou tous les scripts du lieu original.</x:v>
      </x:c>
    </x:row>
    <x:row r="51" ht="49" customHeight="1">
      <x:c r="A51" s="13" t="str">
        <x:v>ENC-eden-prime-3</x:v>
      </x:c>
      <x:c r="B51" s="14" t="str">
        <x:v>Eden Prime — Défense de la balise</x:v>
      </x:c>
      <x:c r="C51" s="10" t="str">
        <x:v>Prototype</x:v>
      </x:c>
      <x:c r="D51" s="11" t="str">
        <x:v>Prototype</x:v>
      </x:c>
      <x:c r="E51" s="15" t="str">
        <x:v>P0</x:v>
      </x:c>
      <x:c r="F51" s="15" t="str">
        <x:v>ME1</x:v>
      </x:c>
      <x:c r="G51" s="15" t="str">
        <x:v>Adaptation</x:v>
      </x:c>
      <x:c r="H51" s="14" t="str">
        <x:v>Rencontre ATB 3 du chapitre Eden Prime. Adversaires : destroyer, sniper.</x:v>
      </x:c>
      <x:c r="I51" s="14" t="str">
        <x:v>Contrôler composition, actions ennemies, victoire, défaite et retour à l’exploration. Produire les animations et la mise en scène complètes.</x:v>
      </x:c>
      <x:c r="J51" s="14" t="str"/>
      <x:c r="K51" s="14" t="str">
        <x:v>content/encounters/eden-prime-3.json</x:v>
      </x:c>
      <x:c r="L51" s="14" t="str">
        <x:v>src/game-data.js</x:v>
      </x:c>
      <x:c r="M51" s="14" t="str">
        <x:v>ENCOUNTERS.eden-prime[2]</x:v>
      </x:c>
      <x:c r="N51" s="14" t="str">
        <x:v>Composition et équilibrage du prototype ; à comparer aux rencontres de ME1.</x:v>
      </x:c>
      <x:c r="O51" s="14" t="str"/>
      <x:c r="P51" s="14" t="str">
        <x:v>Prototype condensé</x:v>
      </x:c>
      <x:c r="Q51" s="14" t="str">
        <x:v>Rencontre condensée du fan game. Ne représente pas toutes les rencontres ou tous les scripts du lieu original.</x:v>
      </x:c>
    </x:row>
    <x:row r="52" ht="49" customHeight="1">
      <x:c r="A52" s="12" t="str">
        <x:v>ENC-therum-1</x:v>
      </x:c>
      <x:c r="B52" s="7" t="str">
        <x:v>Therum — Avant-poste minier</x:v>
      </x:c>
      <x:c r="C52" s="10" t="str">
        <x:v>Prototype</x:v>
      </x:c>
      <x:c r="D52" s="11" t="str">
        <x:v>Prototype</x:v>
      </x:c>
      <x:c r="E52" s="9" t="str">
        <x:v>P0</x:v>
      </x:c>
      <x:c r="F52" s="9" t="str">
        <x:v>ME1</x:v>
      </x:c>
      <x:c r="G52" s="9" t="str">
        <x:v>Adaptation</x:v>
      </x:c>
      <x:c r="H52" s="7" t="str">
        <x:v>Rencontre ATB 1 du chapitre Therum. Adversaires : geth, sniper.</x:v>
      </x:c>
      <x:c r="I52" s="7" t="str">
        <x:v>Contrôler composition, actions ennemies, victoire, défaite et retour à l’exploration. Produire les animations et la mise en scène complètes.</x:v>
      </x:c>
      <x:c r="J52" s="7" t="str"/>
      <x:c r="K52" s="7" t="str">
        <x:v>content/encounters/therum-1.json</x:v>
      </x:c>
      <x:c r="L52" s="7" t="str">
        <x:v>src/game-data.js</x:v>
      </x:c>
      <x:c r="M52" s="7" t="str">
        <x:v>ENCOUNTERS.therum[0]</x:v>
      </x:c>
      <x:c r="N52" s="7" t="str">
        <x:v>Composition et équilibrage du prototype ; à comparer aux rencontres de ME1.</x:v>
      </x:c>
      <x:c r="O52" s="7" t="str"/>
      <x:c r="P52" s="7" t="str">
        <x:v>Prototype condensé</x:v>
      </x:c>
      <x:c r="Q52" s="7" t="str">
        <x:v>Rencontre condensée du fan game. Ne représente pas toutes les rencontres ou tous les scripts du lieu original.</x:v>
      </x:c>
    </x:row>
    <x:row r="53" ht="49" customHeight="1">
      <x:c r="A53" s="13" t="str">
        <x:v>ENC-therum-2</x:v>
      </x:c>
      <x:c r="B53" s="14" t="str">
        <x:v>Therum — Accès aux ruines</x:v>
      </x:c>
      <x:c r="C53" s="10" t="str">
        <x:v>Prototype</x:v>
      </x:c>
      <x:c r="D53" s="11" t="str">
        <x:v>Prototype</x:v>
      </x:c>
      <x:c r="E53" s="15" t="str">
        <x:v>P0</x:v>
      </x:c>
      <x:c r="F53" s="15" t="str">
        <x:v>ME1</x:v>
      </x:c>
      <x:c r="G53" s="15" t="str">
        <x:v>Adaptation</x:v>
      </x:c>
      <x:c r="H53" s="14" t="str">
        <x:v>Rencontre ATB 2 du chapitre Therum. Adversaires : geth, destroyer.</x:v>
      </x:c>
      <x:c r="I53" s="14" t="str">
        <x:v>Contrôler composition, actions ennemies, victoire, défaite et retour à l’exploration. Produire les animations et la mise en scène complètes.</x:v>
      </x:c>
      <x:c r="J53" s="14" t="str"/>
      <x:c r="K53" s="14" t="str">
        <x:v>content/encounters/therum-2.json</x:v>
      </x:c>
      <x:c r="L53" s="14" t="str">
        <x:v>src/game-data.js</x:v>
      </x:c>
      <x:c r="M53" s="14" t="str">
        <x:v>ENCOUNTERS.therum[1]</x:v>
      </x:c>
      <x:c r="N53" s="14" t="str">
        <x:v>Composition et équilibrage du prototype ; à comparer aux rencontres de ME1.</x:v>
      </x:c>
      <x:c r="O53" s="14" t="str"/>
      <x:c r="P53" s="14" t="str">
        <x:v>Prototype condensé</x:v>
      </x:c>
      <x:c r="Q53" s="14" t="str">
        <x:v>Rencontre condensée du fan game. Ne représente pas toutes les rencontres ou tous les scripts du lieu original.</x:v>
      </x:c>
    </x:row>
    <x:row r="54" ht="49" customHeight="1">
      <x:c r="A54" s="12" t="str">
        <x:v>ENC-therum-3</x:v>
      </x:c>
      <x:c r="B54" s="7" t="str">
        <x:v>Therum — Protection du site</x:v>
      </x:c>
      <x:c r="C54" s="10" t="str">
        <x:v>Prototype</x:v>
      </x:c>
      <x:c r="D54" s="11" t="str">
        <x:v>Prototype</x:v>
      </x:c>
      <x:c r="E54" s="9" t="str">
        <x:v>P0</x:v>
      </x:c>
      <x:c r="F54" s="9" t="str">
        <x:v>ME1</x:v>
      </x:c>
      <x:c r="G54" s="9" t="str">
        <x:v>Adaptation</x:v>
      </x:c>
      <x:c r="H54" s="7" t="str">
        <x:v>Rencontre ATB 3 du chapitre Therum. Adversaires : krogan, geth, sniper.</x:v>
      </x:c>
      <x:c r="I54" s="7" t="str">
        <x:v>Contrôler composition, actions ennemies, victoire, défaite et retour à l’exploration. Produire les animations et la mise en scène complètes.</x:v>
      </x:c>
      <x:c r="J54" s="7" t="str"/>
      <x:c r="K54" s="7" t="str">
        <x:v>content/encounters/therum-3.json</x:v>
      </x:c>
      <x:c r="L54" s="7" t="str">
        <x:v>src/game-data.js</x:v>
      </x:c>
      <x:c r="M54" s="7" t="str">
        <x:v>ENCOUNTERS.therum[2]</x:v>
      </x:c>
      <x:c r="N54" s="7" t="str">
        <x:v>Composition et équilibrage du prototype ; à comparer aux rencontres de ME1.</x:v>
      </x:c>
      <x:c r="O54" s="7" t="str"/>
      <x:c r="P54" s="7" t="str">
        <x:v>Prototype condensé</x:v>
      </x:c>
      <x:c r="Q54" s="7" t="str">
        <x:v>Rencontre condensée du fan game. Ne représente pas toutes les rencontres ou tous les scripts du lieu original.</x:v>
      </x:c>
    </x:row>
    <x:row r="55" ht="49" customHeight="1">
      <x:c r="A55" s="13" t="str">
        <x:v>ENC-feros-1</x:v>
      </x:c>
      <x:c r="B55" s="14" t="str">
        <x:v>Feros — La route d’ExoGeni</x:v>
      </x:c>
      <x:c r="C55" s="10" t="str">
        <x:v>Prototype</x:v>
      </x:c>
      <x:c r="D55" s="11" t="str">
        <x:v>Prototype</x:v>
      </x:c>
      <x:c r="E55" s="15" t="str">
        <x:v>P0</x:v>
      </x:c>
      <x:c r="F55" s="15" t="str">
        <x:v>ME1</x:v>
      </x:c>
      <x:c r="G55" s="15" t="str">
        <x:v>Adaptation</x:v>
      </x:c>
      <x:c r="H55" s="14" t="str">
        <x:v>Rencontre ATB 1 du chapitre Feros. Adversaires : geth, geth, sniper.</x:v>
      </x:c>
      <x:c r="I55" s="14" t="str">
        <x:v>Contrôler composition, actions ennemies, victoire, défaite et retour à l’exploration. Produire les animations et la mise en scène complètes.</x:v>
      </x:c>
      <x:c r="J55" s="14" t="str"/>
      <x:c r="K55" s="14" t="str">
        <x:v>content/encounters/feros-1.json</x:v>
      </x:c>
      <x:c r="L55" s="14" t="str">
        <x:v>src/game-data.js</x:v>
      </x:c>
      <x:c r="M55" s="14" t="str">
        <x:v>ENCOUNTERS.feros[0]</x:v>
      </x:c>
      <x:c r="N55" s="14" t="str">
        <x:v>Composition et équilibrage du prototype ; à comparer aux rencontres de ME1.</x:v>
      </x:c>
      <x:c r="O55" s="14" t="str"/>
      <x:c r="P55" s="14" t="str">
        <x:v>Prototype condensé</x:v>
      </x:c>
      <x:c r="Q55" s="14" t="str">
        <x:v>Rencontre condensée du fan game. Ne représente pas toutes les rencontres ou tous les scripts du lieu original.</x:v>
      </x:c>
    </x:row>
    <x:row r="56" ht="49" customHeight="1">
      <x:c r="A56" s="12" t="str">
        <x:v>ENC-feros-2</x:v>
      </x:c>
      <x:c r="B56" s="7" t="str">
        <x:v>Feros — Les profondeurs</x:v>
      </x:c>
      <x:c r="C56" s="10" t="str">
        <x:v>Prototype</x:v>
      </x:c>
      <x:c r="D56" s="11" t="str">
        <x:v>Prototype</x:v>
      </x:c>
      <x:c r="E56" s="9" t="str">
        <x:v>P0</x:v>
      </x:c>
      <x:c r="F56" s="9" t="str">
        <x:v>ME1</x:v>
      </x:c>
      <x:c r="G56" s="9" t="str">
        <x:v>Adaptation</x:v>
      </x:c>
      <x:c r="H56" s="7" t="str">
        <x:v>Rencontre ATB 2 du chapitre Feros. Adversaires : creeper, creeper, asari.</x:v>
      </x:c>
      <x:c r="I56" s="7" t="str">
        <x:v>Contrôler composition, actions ennemies, victoire, défaite et retour à l’exploration. Produire les animations et la mise en scène complètes.</x:v>
      </x:c>
      <x:c r="J56" s="7" t="str"/>
      <x:c r="K56" s="7" t="str">
        <x:v>content/encounters/feros-2.json</x:v>
      </x:c>
      <x:c r="L56" s="7" t="str">
        <x:v>src/game-data.js</x:v>
      </x:c>
      <x:c r="M56" s="7" t="str">
        <x:v>ENCOUNTERS.feros[1]</x:v>
      </x:c>
      <x:c r="N56" s="7" t="str">
        <x:v>Composition et équilibrage du prototype ; à comparer aux rencontres de ME1.</x:v>
      </x:c>
      <x:c r="O56" s="7" t="str"/>
      <x:c r="P56" s="7" t="str">
        <x:v>Prototype condensé</x:v>
      </x:c>
      <x:c r="Q56" s="7" t="str">
        <x:v>Rencontre condensée du fan game. Ne représente pas toutes les rencontres ou tous les scripts du lieu original.</x:v>
      </x:c>
    </x:row>
    <x:row r="57" ht="49" customHeight="1">
      <x:c r="A57" s="13" t="str">
        <x:v>ENC-feros-3</x:v>
      </x:c>
      <x:c r="B57" s="14" t="str">
        <x:v>Feros — Le Thorien</x:v>
      </x:c>
      <x:c r="C57" s="10" t="str">
        <x:v>Prototype</x:v>
      </x:c>
      <x:c r="D57" s="11" t="str">
        <x:v>Prototype</x:v>
      </x:c>
      <x:c r="E57" s="15" t="str">
        <x:v>P0</x:v>
      </x:c>
      <x:c r="F57" s="15" t="str">
        <x:v>ME1</x:v>
      </x:c>
      <x:c r="G57" s="15" t="str">
        <x:v>Adaptation</x:v>
      </x:c>
      <x:c r="H57" s="14" t="str">
        <x:v>Rencontre ATB 3 du chapitre Feros. Adversaires : thorian, creeper.</x:v>
      </x:c>
      <x:c r="I57" s="14" t="str">
        <x:v>Contrôler composition, actions ennemies, victoire, défaite et retour à l’exploration. Produire les animations et la mise en scène complètes.</x:v>
      </x:c>
      <x:c r="J57" s="14" t="str"/>
      <x:c r="K57" s="14" t="str">
        <x:v>content/encounters/feros-3.json</x:v>
      </x:c>
      <x:c r="L57" s="14" t="str">
        <x:v>src/game-data.js</x:v>
      </x:c>
      <x:c r="M57" s="14" t="str">
        <x:v>ENCOUNTERS.feros[2]</x:v>
      </x:c>
      <x:c r="N57" s="14" t="str">
        <x:v>Composition et équilibrage du prototype ; à comparer aux rencontres de ME1.</x:v>
      </x:c>
      <x:c r="O57" s="14" t="str"/>
      <x:c r="P57" s="14" t="str">
        <x:v>Prototype condensé</x:v>
      </x:c>
      <x:c r="Q57" s="14" t="str">
        <x:v>Rencontre condensée du fan game. Ne représente pas toutes les rencontres ou tous les scripts du lieu original.</x:v>
      </x:c>
    </x:row>
    <x:row r="58" ht="49" customHeight="1">
      <x:c r="A58" s="12" t="str">
        <x:v>ENC-noveria-1</x:v>
      </x:c>
      <x:c r="B58" s="7" t="str">
        <x:v>Noveria — Accès de sécurité</x:v>
      </x:c>
      <x:c r="C58" s="10" t="str">
        <x:v>Prototype</x:v>
      </x:c>
      <x:c r="D58" s="11" t="str">
        <x:v>Prototype</x:v>
      </x:c>
      <x:c r="E58" s="9" t="str">
        <x:v>P0</x:v>
      </x:c>
      <x:c r="F58" s="9" t="str">
        <x:v>ME1</x:v>
      </x:c>
      <x:c r="G58" s="9" t="str">
        <x:v>Adaptation</x:v>
      </x:c>
      <x:c r="H58" s="7" t="str">
        <x:v>Rencontre ATB 1 du chapitre Noveria. Adversaires : geth, destroyer.</x:v>
      </x:c>
      <x:c r="I58" s="7" t="str">
        <x:v>Contrôler composition, actions ennemies, victoire, défaite et retour à l’exploration. Produire les animations et la mise en scène complètes.</x:v>
      </x:c>
      <x:c r="J58" s="7" t="str"/>
      <x:c r="K58" s="7" t="str">
        <x:v>content/encounters/noveria-1.json</x:v>
      </x:c>
      <x:c r="L58" s="7" t="str">
        <x:v>src/game-data.js</x:v>
      </x:c>
      <x:c r="M58" s="7" t="str">
        <x:v>ENCOUNTERS.noveria[0]</x:v>
      </x:c>
      <x:c r="N58" s="7" t="str">
        <x:v>Composition et équilibrage du prototype ; à comparer aux rencontres de ME1.</x:v>
      </x:c>
      <x:c r="O58" s="7" t="str"/>
      <x:c r="P58" s="7" t="str">
        <x:v>Prototype condensé</x:v>
      </x:c>
      <x:c r="Q58" s="7" t="str">
        <x:v>Rencontre condensée du fan game. Ne représente pas toutes les rencontres ou tous les scripts du lieu original.</x:v>
      </x:c>
    </x:row>
    <x:row r="59" ht="49" customHeight="1">
      <x:c r="A59" s="13" t="str">
        <x:v>ENC-noveria-2</x:v>
      </x:c>
      <x:c r="B59" s="14" t="str">
        <x:v>Noveria — Laboratoires contaminés</x:v>
      </x:c>
      <x:c r="C59" s="10" t="str">
        <x:v>Prototype</x:v>
      </x:c>
      <x:c r="D59" s="11" t="str">
        <x:v>Prototype</x:v>
      </x:c>
      <x:c r="E59" s="15" t="str">
        <x:v>P0</x:v>
      </x:c>
      <x:c r="F59" s="15" t="str">
        <x:v>ME1</x:v>
      </x:c>
      <x:c r="G59" s="15" t="str">
        <x:v>Adaptation</x:v>
      </x:c>
      <x:c r="H59" s="14" t="str">
        <x:v>Rencontre ATB 2 du chapitre Noveria. Adversaires : rachni, rachni, rachni.</x:v>
      </x:c>
      <x:c r="I59" s="14" t="str">
        <x:v>Contrôler composition, actions ennemies, victoire, défaite et retour à l’exploration. Produire les animations et la mise en scène complètes.</x:v>
      </x:c>
      <x:c r="J59" s="14" t="str"/>
      <x:c r="K59" s="14" t="str">
        <x:v>content/encounters/noveria-2.json</x:v>
      </x:c>
      <x:c r="L59" s="14" t="str">
        <x:v>src/game-data.js</x:v>
      </x:c>
      <x:c r="M59" s="14" t="str">
        <x:v>ENCOUNTERS.noveria[1]</x:v>
      </x:c>
      <x:c r="N59" s="14" t="str">
        <x:v>Composition et équilibrage du prototype ; à comparer aux rencontres de ME1.</x:v>
      </x:c>
      <x:c r="O59" s="14" t="str"/>
      <x:c r="P59" s="14" t="str">
        <x:v>Prototype condensé</x:v>
      </x:c>
      <x:c r="Q59" s="14" t="str">
        <x:v>Rencontre condensée du fan game. Ne représente pas toutes les rencontres ou tous les scripts du lieu original.</x:v>
      </x:c>
    </x:row>
    <x:row r="60" ht="49" customHeight="1">
      <x:c r="A60" s="12" t="str">
        <x:v>ENC-noveria-3</x:v>
      </x:c>
      <x:c r="B60" s="7" t="str">
        <x:v>Noveria — Matriarche Bénézia</x:v>
      </x:c>
      <x:c r="C60" s="10" t="str">
        <x:v>Prototype</x:v>
      </x:c>
      <x:c r="D60" s="11" t="str">
        <x:v>Prototype</x:v>
      </x:c>
      <x:c r="E60" s="9" t="str">
        <x:v>P0</x:v>
      </x:c>
      <x:c r="F60" s="9" t="str">
        <x:v>ME1</x:v>
      </x:c>
      <x:c r="G60" s="9" t="str">
        <x:v>Adaptation</x:v>
      </x:c>
      <x:c r="H60" s="7" t="str">
        <x:v>Rencontre ATB 3 du chapitre Noveria. Adversaires : benezia, asari.</x:v>
      </x:c>
      <x:c r="I60" s="7" t="str">
        <x:v>Contrôler composition, actions ennemies, victoire, défaite et retour à l’exploration. Produire les animations et la mise en scène complètes.</x:v>
      </x:c>
      <x:c r="J60" s="7" t="str"/>
      <x:c r="K60" s="7" t="str">
        <x:v>content/encounters/noveria-3.json</x:v>
      </x:c>
      <x:c r="L60" s="7" t="str">
        <x:v>src/game-data.js</x:v>
      </x:c>
      <x:c r="M60" s="7" t="str">
        <x:v>ENCOUNTERS.noveria[2]</x:v>
      </x:c>
      <x:c r="N60" s="7" t="str">
        <x:v>Composition et équilibrage du prototype ; à comparer aux rencontres de ME1.</x:v>
      </x:c>
      <x:c r="O60" s="7" t="str"/>
      <x:c r="P60" s="7" t="str">
        <x:v>Prototype condensé</x:v>
      </x:c>
      <x:c r="Q60" s="7" t="str">
        <x:v>Rencontre condensée du fan game. Ne représente pas toutes les rencontres ou tous les scripts du lieu original.</x:v>
      </x:c>
    </x:row>
    <x:row r="61" ht="49" customHeight="1">
      <x:c r="A61" s="13" t="str">
        <x:v>ENC-virmire-1</x:v>
      </x:c>
      <x:c r="B61" s="14" t="str">
        <x:v>Virmire — La plage</x:v>
      </x:c>
      <x:c r="C61" s="10" t="str">
        <x:v>Prototype</x:v>
      </x:c>
      <x:c r="D61" s="11" t="str">
        <x:v>Prototype</x:v>
      </x:c>
      <x:c r="E61" s="15" t="str">
        <x:v>P0</x:v>
      </x:c>
      <x:c r="F61" s="15" t="str">
        <x:v>ME1</x:v>
      </x:c>
      <x:c r="G61" s="15" t="str">
        <x:v>Adaptation</x:v>
      </x:c>
      <x:c r="H61" s="14" t="str">
        <x:v>Rencontre ATB 1 du chapitre Virmire. Adversaires : geth, sniper, krogan.</x:v>
      </x:c>
      <x:c r="I61" s="14" t="str">
        <x:v>Contrôler composition, actions ennemies, victoire, défaite et retour à l’exploration. Produire les animations et la mise en scène complètes.</x:v>
      </x:c>
      <x:c r="J61" s="14" t="str"/>
      <x:c r="K61" s="14" t="str">
        <x:v>content/encounters/virmire-1.json</x:v>
      </x:c>
      <x:c r="L61" s="14" t="str">
        <x:v>src/game-data.js</x:v>
      </x:c>
      <x:c r="M61" s="14" t="str">
        <x:v>ENCOUNTERS.virmire[0]</x:v>
      </x:c>
      <x:c r="N61" s="14" t="str">
        <x:v>Composition et équilibrage du prototype ; à comparer aux rencontres de ME1.</x:v>
      </x:c>
      <x:c r="O61" s="14" t="str"/>
      <x:c r="P61" s="14" t="str">
        <x:v>Prototype condensé</x:v>
      </x:c>
      <x:c r="Q61" s="14" t="str">
        <x:v>Rencontre condensée du fan game. Ne représente pas toutes les rencontres ou tous les scripts du lieu original.</x:v>
      </x:c>
    </x:row>
    <x:row r="62" ht="49" customHeight="1">
      <x:c r="A62" s="12" t="str">
        <x:v>ENC-virmire-2</x:v>
      </x:c>
      <x:c r="B62" s="7" t="str">
        <x:v>Virmire — Installation de recherche</x:v>
      </x:c>
      <x:c r="C62" s="10" t="str">
        <x:v>Prototype</x:v>
      </x:c>
      <x:c r="D62" s="11" t="str">
        <x:v>Prototype</x:v>
      </x:c>
      <x:c r="E62" s="9" t="str">
        <x:v>P0</x:v>
      </x:c>
      <x:c r="F62" s="9" t="str">
        <x:v>ME1</x:v>
      </x:c>
      <x:c r="G62" s="9" t="str">
        <x:v>Adaptation</x:v>
      </x:c>
      <x:c r="H62" s="7" t="str">
        <x:v>Rencontre ATB 2 du chapitre Virmire. Adversaires : destroyer, krogan.</x:v>
      </x:c>
      <x:c r="I62" s="7" t="str">
        <x:v>Contrôler composition, actions ennemies, victoire, défaite et retour à l’exploration. Produire les animations et la mise en scène complètes.</x:v>
      </x:c>
      <x:c r="J62" s="7" t="str"/>
      <x:c r="K62" s="7" t="str">
        <x:v>content/encounters/virmire-2.json</x:v>
      </x:c>
      <x:c r="L62" s="7" t="str">
        <x:v>src/game-data.js</x:v>
      </x:c>
      <x:c r="M62" s="7" t="str">
        <x:v>ENCOUNTERS.virmire[1]</x:v>
      </x:c>
      <x:c r="N62" s="7" t="str">
        <x:v>Composition et équilibrage du prototype ; à comparer aux rencontres de ME1.</x:v>
      </x:c>
      <x:c r="O62" s="7" t="str"/>
      <x:c r="P62" s="7" t="str">
        <x:v>Prototype condensé</x:v>
      </x:c>
      <x:c r="Q62" s="7" t="str">
        <x:v>Rencontre condensée du fan game. Ne représente pas toutes les rencontres ou tous les scripts du lieu original.</x:v>
      </x:c>
    </x:row>
    <x:row r="63" ht="49" customHeight="1">
      <x:c r="A63" s="13" t="str">
        <x:v>ENC-virmire-3</x:v>
      </x:c>
      <x:c r="B63" s="14" t="str">
        <x:v>Virmire — Saren Arterius</x:v>
      </x:c>
      <x:c r="C63" s="10" t="str">
        <x:v>Prototype</x:v>
      </x:c>
      <x:c r="D63" s="11" t="str">
        <x:v>Prototype</x:v>
      </x:c>
      <x:c r="E63" s="15" t="str">
        <x:v>P0</x:v>
      </x:c>
      <x:c r="F63" s="15" t="str">
        <x:v>ME1</x:v>
      </x:c>
      <x:c r="G63" s="15" t="str">
        <x:v>Adaptation</x:v>
      </x:c>
      <x:c r="H63" s="14" t="str">
        <x:v>Rencontre ATB 3 du chapitre Virmire. Adversaires : saren, geth.</x:v>
      </x:c>
      <x:c r="I63" s="14" t="str">
        <x:v>Contrôler composition, actions ennemies, victoire, défaite et retour à l’exploration. Produire les animations et la mise en scène complètes.</x:v>
      </x:c>
      <x:c r="J63" s="14" t="str"/>
      <x:c r="K63" s="14" t="str">
        <x:v>content/encounters/virmire-3.json</x:v>
      </x:c>
      <x:c r="L63" s="14" t="str">
        <x:v>src/game-data.js</x:v>
      </x:c>
      <x:c r="M63" s="14" t="str">
        <x:v>ENCOUNTERS.virmire[2]</x:v>
      </x:c>
      <x:c r="N63" s="14" t="str">
        <x:v>Composition et équilibrage du prototype ; à comparer aux rencontres de ME1.</x:v>
      </x:c>
      <x:c r="O63" s="14" t="str"/>
      <x:c r="P63" s="14" t="str">
        <x:v>Prototype condensé</x:v>
      </x:c>
      <x:c r="Q63" s="14" t="str">
        <x:v>Rencontre condensée du fan game. Ne représente pas toutes les rencontres ou tous les scripts du lieu original.</x:v>
      </x:c>
    </x:row>
    <x:row r="64" ht="49" customHeight="1">
      <x:c r="A64" s="12" t="str">
        <x:v>ENC-ilos-1</x:v>
      </x:c>
      <x:c r="B64" s="7" t="str">
        <x:v>Ilos — Les jardins oubliés</x:v>
      </x:c>
      <x:c r="C64" s="10" t="str">
        <x:v>Prototype</x:v>
      </x:c>
      <x:c r="D64" s="11" t="str">
        <x:v>Prototype</x:v>
      </x:c>
      <x:c r="E64" s="9" t="str">
        <x:v>P0</x:v>
      </x:c>
      <x:c r="F64" s="9" t="str">
        <x:v>ME1</x:v>
      </x:c>
      <x:c r="G64" s="9" t="str">
        <x:v>Adaptation</x:v>
      </x:c>
      <x:c r="H64" s="7" t="str">
        <x:v>Rencontre ATB 1 du chapitre Ilos. Adversaires : geth, destroyer.</x:v>
      </x:c>
      <x:c r="I64" s="7" t="str">
        <x:v>Contrôler composition, actions ennemies, victoire, défaite et retour à l’exploration. Produire les animations et la mise en scène complètes.</x:v>
      </x:c>
      <x:c r="J64" s="7" t="str"/>
      <x:c r="K64" s="7" t="str">
        <x:v>content/encounters/ilos-1.json</x:v>
      </x:c>
      <x:c r="L64" s="7" t="str">
        <x:v>src/game-data.js</x:v>
      </x:c>
      <x:c r="M64" s="7" t="str">
        <x:v>ENCOUNTERS.ilos[0]</x:v>
      </x:c>
      <x:c r="N64" s="7" t="str">
        <x:v>Composition et équilibrage du prototype ; à comparer aux rencontres de ME1.</x:v>
      </x:c>
      <x:c r="O64" s="7" t="str"/>
      <x:c r="P64" s="7" t="str">
        <x:v>Prototype condensé</x:v>
      </x:c>
      <x:c r="Q64" s="7" t="str">
        <x:v>Rencontre condensée du fan game. Ne représente pas toutes les rencontres ou tous les scripts du lieu original.</x:v>
      </x:c>
    </x:row>
    <x:row r="65" ht="49" customHeight="1">
      <x:c r="A65" s="13" t="str">
        <x:v>ENC-ilos-2</x:v>
      </x:c>
      <x:c r="B65" s="14" t="str">
        <x:v>Ilos — Les galeries</x:v>
      </x:c>
      <x:c r="C65" s="10" t="str">
        <x:v>Prototype</x:v>
      </x:c>
      <x:c r="D65" s="11" t="str">
        <x:v>Prototype</x:v>
      </x:c>
      <x:c r="E65" s="15" t="str">
        <x:v>P0</x:v>
      </x:c>
      <x:c r="F65" s="15" t="str">
        <x:v>ME1</x:v>
      </x:c>
      <x:c r="G65" s="15" t="str">
        <x:v>Adaptation</x:v>
      </x:c>
      <x:c r="H65" s="14" t="str">
        <x:v>Rencontre ATB 2 du chapitre Ilos. Adversaires : destroyer, sniper.</x:v>
      </x:c>
      <x:c r="I65" s="14" t="str">
        <x:v>Contrôler composition, actions ennemies, victoire, défaite et retour à l’exploration. Produire les animations et la mise en scène complètes.</x:v>
      </x:c>
      <x:c r="J65" s="14" t="str"/>
      <x:c r="K65" s="14" t="str">
        <x:v>content/encounters/ilos-2.json</x:v>
      </x:c>
      <x:c r="L65" s="14" t="str">
        <x:v>src/game-data.js</x:v>
      </x:c>
      <x:c r="M65" s="14" t="str">
        <x:v>ENCOUNTERS.ilos[1]</x:v>
      </x:c>
      <x:c r="N65" s="14" t="str">
        <x:v>Composition et équilibrage du prototype ; à comparer aux rencontres de ME1.</x:v>
      </x:c>
      <x:c r="O65" s="14" t="str"/>
      <x:c r="P65" s="14" t="str">
        <x:v>Prototype condensé</x:v>
      </x:c>
      <x:c r="Q65" s="14" t="str">
        <x:v>Rencontre condensée du fan game. Ne représente pas toutes les rencontres ou tous les scripts du lieu original.</x:v>
      </x:c>
    </x:row>
    <x:row r="66" ht="49" customHeight="1">
      <x:c r="A66" s="12" t="str">
        <x:v>ENC-ilos-3</x:v>
      </x:c>
      <x:c r="B66" s="7" t="str">
        <x:v>Ilos — Défense du Conduit</x:v>
      </x:c>
      <x:c r="C66" s="10" t="str">
        <x:v>Prototype</x:v>
      </x:c>
      <x:c r="D66" s="11" t="str">
        <x:v>Prototype</x:v>
      </x:c>
      <x:c r="E66" s="9" t="str">
        <x:v>P0</x:v>
      </x:c>
      <x:c r="F66" s="9" t="str">
        <x:v>ME1</x:v>
      </x:c>
      <x:c r="G66" s="9" t="str">
        <x:v>Adaptation</x:v>
      </x:c>
      <x:c r="H66" s="7" t="str">
        <x:v>Rencontre ATB 3 du chapitre Ilos. Adversaires : destroyer, destroyer, sniper.</x:v>
      </x:c>
      <x:c r="I66" s="7" t="str">
        <x:v>Contrôler composition, actions ennemies, victoire, défaite et retour à l’exploration. Produire les animations et la mise en scène complètes.</x:v>
      </x:c>
      <x:c r="J66" s="7" t="str"/>
      <x:c r="K66" s="7" t="str">
        <x:v>content/encounters/ilos-3.json</x:v>
      </x:c>
      <x:c r="L66" s="7" t="str">
        <x:v>src/game-data.js</x:v>
      </x:c>
      <x:c r="M66" s="7" t="str">
        <x:v>ENCOUNTERS.ilos[2]</x:v>
      </x:c>
      <x:c r="N66" s="7" t="str">
        <x:v>Composition et équilibrage du prototype ; à comparer aux rencontres de ME1.</x:v>
      </x:c>
      <x:c r="O66" s="7" t="str"/>
      <x:c r="P66" s="7" t="str">
        <x:v>Prototype condensé</x:v>
      </x:c>
      <x:c r="Q66" s="7" t="str">
        <x:v>Rencontre condensée du fan game. Ne représente pas toutes les rencontres ou tous les scripts du lieu original.</x:v>
      </x:c>
    </x:row>
    <x:row r="67" ht="49" customHeight="1">
      <x:c r="A67" s="13" t="str">
        <x:v>ENC-citadel-finale-1</x:v>
      </x:c>
      <x:c r="B67" s="14" t="str">
        <x:v>Citadelle assiégée — Quais en flammes</x:v>
      </x:c>
      <x:c r="C67" s="10" t="str">
        <x:v>Prototype</x:v>
      </x:c>
      <x:c r="D67" s="11" t="str">
        <x:v>Prototype</x:v>
      </x:c>
      <x:c r="E67" s="15" t="str">
        <x:v>P0</x:v>
      </x:c>
      <x:c r="F67" s="15" t="str">
        <x:v>ME1</x:v>
      </x:c>
      <x:c r="G67" s="15" t="str">
        <x:v>Adaptation</x:v>
      </x:c>
      <x:c r="H67" s="14" t="str">
        <x:v>Rencontre ATB 1 du chapitre Citadelle assiégée. Adversaires : geth, sniper, destroyer.</x:v>
      </x:c>
      <x:c r="I67" s="14" t="str">
        <x:v>Contrôler composition, actions ennemies, victoire, défaite et retour à l’exploration. Produire les animations et la mise en scène complètes.</x:v>
      </x:c>
      <x:c r="J67" s="14" t="str"/>
      <x:c r="K67" s="14" t="str">
        <x:v>content/encounters/citadel-finale-1.json</x:v>
      </x:c>
      <x:c r="L67" s="14" t="str">
        <x:v>src/game-data.js</x:v>
      </x:c>
      <x:c r="M67" s="14" t="str">
        <x:v>ENCOUNTERS.citadel-finale[0]</x:v>
      </x:c>
      <x:c r="N67" s="14" t="str">
        <x:v>Composition et équilibrage du prototype ; à comparer aux rencontres de ME1.</x:v>
      </x:c>
      <x:c r="O67" s="14" t="str"/>
      <x:c r="P67" s="14" t="str">
        <x:v>Prototype condensé</x:v>
      </x:c>
      <x:c r="Q67" s="14" t="str">
        <x:v>Rencontre condensée du fan game. Ne représente pas toutes les rencontres ou tous les scripts du lieu original.</x:v>
      </x:c>
    </x:row>
    <x:row r="68" ht="49" customHeight="1">
      <x:c r="A68" s="12" t="str">
        <x:v>ENC-citadel-finale-2</x:v>
      </x:c>
      <x:c r="B68" s="7" t="str">
        <x:v>Citadelle assiégée — Défense de la tour</x:v>
      </x:c>
      <x:c r="C68" s="10" t="str">
        <x:v>Prototype</x:v>
      </x:c>
      <x:c r="D68" s="11" t="str">
        <x:v>Prototype</x:v>
      </x:c>
      <x:c r="E68" s="9" t="str">
        <x:v>P0</x:v>
      </x:c>
      <x:c r="F68" s="9" t="str">
        <x:v>ME1</x:v>
      </x:c>
      <x:c r="G68" s="9" t="str">
        <x:v>Adaptation</x:v>
      </x:c>
      <x:c r="H68" s="7" t="str">
        <x:v>Rencontre ATB 2 du chapitre Citadelle assiégée. Adversaires : destroyer, asari.</x:v>
      </x:c>
      <x:c r="I68" s="7" t="str">
        <x:v>Contrôler composition, actions ennemies, victoire, défaite et retour à l’exploration. Produire les animations et la mise en scène complètes.</x:v>
      </x:c>
      <x:c r="J68" s="7" t="str"/>
      <x:c r="K68" s="7" t="str">
        <x:v>content/encounters/citadel-finale-2.json</x:v>
      </x:c>
      <x:c r="L68" s="7" t="str">
        <x:v>src/game-data.js</x:v>
      </x:c>
      <x:c r="M68" s="7" t="str">
        <x:v>ENCOUNTERS.citadel-finale[1]</x:v>
      </x:c>
      <x:c r="N68" s="7" t="str">
        <x:v>Composition et équilibrage du prototype ; à comparer aux rencontres de ME1.</x:v>
      </x:c>
      <x:c r="O68" s="7" t="str"/>
      <x:c r="P68" s="7" t="str">
        <x:v>Prototype condensé</x:v>
      </x:c>
      <x:c r="Q68" s="7" t="str">
        <x:v>Rencontre condensée du fan game. Ne représente pas toutes les rencontres ou tous les scripts du lieu original.</x:v>
      </x:c>
    </x:row>
    <x:row r="69" ht="49" customHeight="1">
      <x:c r="A69" s="13" t="str">
        <x:v>ENC-citadel-finale-3</x:v>
      </x:c>
      <x:c r="B69" s="14" t="str">
        <x:v>Citadelle assiégée — Saren — confrontation finale</x:v>
      </x:c>
      <x:c r="C69" s="10" t="str">
        <x:v>Prototype</x:v>
      </x:c>
      <x:c r="D69" s="11" t="str">
        <x:v>Prototype</x:v>
      </x:c>
      <x:c r="E69" s="15" t="str">
        <x:v>P0</x:v>
      </x:c>
      <x:c r="F69" s="15" t="str">
        <x:v>ME1</x:v>
      </x:c>
      <x:c r="G69" s="15" t="str">
        <x:v>Adaptation</x:v>
      </x:c>
      <x:c r="H69" s="14" t="str">
        <x:v>Rencontre ATB 3 du chapitre Citadelle assiégée. Adversaires : saren-final.</x:v>
      </x:c>
      <x:c r="I69" s="14" t="str">
        <x:v>Contrôler composition, actions ennemies, victoire, défaite et retour à l’exploration. Produire les animations et la mise en scène complètes.</x:v>
      </x:c>
      <x:c r="J69" s="14" t="str"/>
      <x:c r="K69" s="14" t="str">
        <x:v>content/encounters/citadel-finale-3.json</x:v>
      </x:c>
      <x:c r="L69" s="14" t="str">
        <x:v>src/game-data.js</x:v>
      </x:c>
      <x:c r="M69" s="14" t="str">
        <x:v>ENCOUNTERS.citadel-finale[2]</x:v>
      </x:c>
      <x:c r="N69" s="14" t="str">
        <x:v>Composition et équilibrage du prototype ; à comparer aux rencontres de ME1.</x:v>
      </x:c>
      <x:c r="O69" s="14" t="str"/>
      <x:c r="P69" s="14" t="str">
        <x:v>Prototype condensé</x:v>
      </x:c>
      <x:c r="Q69" s="14" t="str">
        <x:v>Rencontre condensée du fan game. Ne représente pas toutes les rencontres ou tous les scripts du lieu original.</x:v>
      </x:c>
    </x:row>
  </x:sheetData>
  <x:conditionalFormatting sqref="C7:C69">
    <x:cfRule type="cellIs" dxfId="305" priority="1" operator="equal">
      <x:formula>"Prototype"</x:formula>
    </x:cfRule>
    <x:cfRule type="cellIs" dxfId="306" priority="2" operator="equal">
      <x:formula>"Intégré"</x:formula>
    </x:cfRule>
    <x:cfRule type="cellIs" dxfId="307" priority="3" operator="equal">
      <x:formula>"Validé"</x:formula>
    </x:cfRule>
  </x:conditionalFormatting>
  <x:conditionalFormatting sqref="G7:G69">
    <x:cfRule type="cellIs" dxfId="308" priority="4" operator="equal">
      <x:formula>"Référence à vérifier"</x:formula>
    </x:cfRule>
  </x:conditionalFormatting>
  <x:conditionalFormatting sqref="E7:E69">
    <x:cfRule type="cellIs" dxfId="309" priority="5" operator="equal">
      <x:formula>"P0"</x:formula>
    </x:cfRule>
  </x:conditionalFormatting>
  <x:dataValidations count="5">
    <x:dataValidation type="list" sqref="C7:C69">
      <x:formula1>"Défini,Prototype,Intégré,Validé"</x:formula1>
    </x:dataValidation>
    <x:dataValidation type="list" sqref="D7:D69">
      <x:formula1>"À produire,Prototype,Disponible,Validé,Sans objet,Non planifié"</x:formula1>
    </x:dataValidation>
    <x:dataValidation type="list" sqref="E7:E69">
      <x:formula1>"P0,P1,P2"</x:formula1>
    </x:dataValidation>
    <x:dataValidation type="list" sqref="F7:F69">
      <x:formula1>"ME1,ME2,ME3,TRANSVERSE"</x:formula1>
    </x:dataValidation>
    <x:dataValidation type="list" sqref="G7:G69">
      <x:formula1>"Confirmé,Référence à vérifier,Adaptation"</x:formula1>
    </x:dataValidation>
  </x:dataValidations>
  <x:pageMargins left="0.7" right="0.7" top="0.75" bottom="0.75" header="0.3" footer="0.3"/>
  <x:tableParts count="1">
    <x:tablePart xmlns:r="http://schemas.openxmlformats.org/officeDocument/2006/relationships" r:id="Rb8c1a177744d43b9"/>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Secondaires et DLC</x:v>
      </x:c>
      <x:c r="B2" s="2"/>
      <x:c r="C2" s="2"/>
      <x:c r="D2" s="2"/>
      <x:c r="E2" s="2"/>
      <x:c r="F2" s="2"/>
      <x:c r="G2" s="2"/>
      <x:c r="H2" s="2"/>
      <x:c r="I2" s="2"/>
      <x:c r="J2" s="2"/>
      <x:c r="K2" s="2"/>
      <x:c r="L2" s="2"/>
      <x:c r="M2" s="2"/>
      <x:c r="N2" s="2"/>
      <x:c r="O2" s="2"/>
      <x:c r="P2" s="2"/>
      <x:c r="Q2" s="2"/>
    </x:row>
    <x:row r="3" ht="22" customHeight="1">
      <x:c r="A3" s="4" t="str">
        <x:v>Missions annexes et extensions de ME1</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75" customHeight="1">
      <x:c r="A7" s="13" t="str">
        <x:v>SIDE-citadelle-la-consort</x:v>
      </x:c>
      <x:c r="B7" s="14" t="str">
        <x:v>Citadelle : La Favorite</x:v>
      </x:c>
      <x:c r="C7" s="10" t="str">
        <x:v>Prototype</x:v>
      </x:c>
      <x:c r="D7" s="11" t="str">
        <x:v>Prototype</x:v>
      </x:c>
      <x:c r="E7" s="15" t="str">
        <x:v>P1</x:v>
      </x:c>
      <x:c r="F7" s="15" t="str">
        <x:v>ME1</x:v>
      </x:c>
      <x:c r="G7" s="15" t="str">
        <x:v>Adaptation</x:v>
      </x:c>
      <x:c r="H7" s="14" t="str">
        <x:v>Sha’ira demande de faire cesser les accusations diffusées par Septimus. 4 étapes guidées. Récompense finale unique : 65 XP, 80 crédits, 2 Conciliation.</x:v>
      </x:c>
      <x:c r="I7" s="14" t="str">
        <x:v>Parcourir les 4 étapes sans saut ni double récompense. Après Eden Prime. Fermeture au passage du Conduit. Le journal, les interactions et la sauvegarde doivent afficher la même progression. Comparer les variantes manquantes au jeu avant validation finale.</x:v>
      </x:c>
      <x:c r="J7" s="14" t="str"/>
      <x:c r="K7" s="14" t="str">
        <x:v>src/operation-data.js</x:v>
      </x:c>
      <x:c r="L7" s="14" t="str">
        <x:v>src/operation-data.js</x:v>
      </x:c>
      <x:c r="M7" s="14" t="str">
        <x:v>OPERATIONS.citadel-consort</x:v>
      </x:c>
      <x:c r="N7" s="14" t="str">
        <x:v>Objectifs et noms ME1 référencés ; chiffres, découpage et interface propres à cette adaptation ATB.</x:v>
      </x:c>
      <x:c r="O7" s="14" t="str">
        <x:v>https://masseffect.fandom.com/wiki/Citadel%3A_Asari_Consort</x:v>
      </x:c>
      <x:c r="P7" s="14" t="str">
        <x:v>Production ME1</x:v>
      </x:c>
      <x:c r="Q7" s="14" t="str">
        <x:v>Déplacements et dialogues condensés dans la carte actuelle ; les intérieurs et embranchements de ME1 restent à reconstituer. Le cadeau verbal est réécrit ; la relique d’Eletania et la rencontre intime ne sont pas implémentés. Preuve : tests/operations.test.js.</x:v>
      </x:c>
    </x:row>
    <x:row r="8" ht="100" customHeight="1">
      <x:c r="A8" s="12" t="str">
        <x:v>SIDE-citadelle-retour-a-la-maison</x:v>
      </x:c>
      <x:c r="B8" s="7" t="str">
        <x:v>Citadelle Retour à la maison</x:v>
      </x:c>
      <x:c r="C8" s="10" t="str">
        <x:v>Prototype</x:v>
      </x:c>
      <x:c r="D8" s="11" t="str">
        <x:v>Prototype</x:v>
      </x:c>
      <x:c r="E8" s="9" t="str">
        <x:v>P1</x:v>
      </x:c>
      <x:c r="F8" s="9" t="str">
        <x:v>ME1</x:v>
      </x:c>
      <x:c r="G8" s="9" t="str">
        <x:v>Référence à vérifier</x:v>
      </x:c>
      <x:c r="H8" s="7" t="str">
        <x:v>Demande de Samesh Bhatia.</x:v>
      </x:c>
      <x:c r="I8" s="7" t="str">
        <x:v>Résolution par dialogue et résultat explicités.</x:v>
      </x:c>
      <x:c r="J8" s="7" t="str">
        <x:v>NPC-samesh-bhatia, NPC-bosker, SYS-dialogue-a-choix, SYS-journal-de-mission</x:v>
      </x:c>
      <x:c r="K8" s="7" t="str">
        <x:v>content/side_quests/SIDE-citadelle-retour-a-la-maison.json</x:v>
      </x:c>
      <x:c r="L8" s="7" t="str">
        <x:v>src/assignment-data.js</x:v>
      </x:c>
      <x:c r="M8" s="7" t="str">
        <x:v>ASSIGNMENTS.homecoming</x:v>
      </x:c>
      <x:c r="N8" s="7" t="str">
        <x:v>Page secondaire proposée pour comparaison ; non consultée dans cet environnement. Noms, conditions, embranchements et édition à recouper dans le jeu avant validation canonique.</x:v>
      </x:c>
      <x:c r="O8" s="7" t="str">
        <x:v>https://masseffect.fandom.com/wiki/Citadel:_Homecoming</x:v>
      </x:c>
      <x:c r="P8" s="7" t="str">
        <x:v>Production ME1</x:v>
      </x:c>
      <x:c r="Q8" s="7" t="str">
        <x:v>Demande de Samesh, échange avec Bosker et retour à la famille ; deux issues conservées (restitution du corps ou poursuite des recherches). Les contrôles de persuasion, la totalité des répliques et les lieux exacts restent à reconstituer. Réécritures françaises concises et points de contact dans la Citadelle condensée, sans sprites dédiés ni doublage. Récompense fixe de 50 XP une seule fois par assignation : réglage de l’adaptation ATB, pas valeur canonique certifiée. Contrôles fonctionnels : tests/assignments.test.js, tests/assignment-world.test.js et scripts/assignments-browser.mjs ; rapport docs/qa/assignments-and-deployment-report.json.</x:v>
      </x:c>
    </x:row>
    <x:row r="9" ht="100" customHeight="1">
      <x:c r="A9" s="13" t="str">
        <x:v>SIDE-citadelle-le-fan</x:v>
      </x:c>
      <x:c r="B9" s="14" t="str">
        <x:v>Citadelle Le Fan</x:v>
      </x:c>
      <x:c r="C9" s="10" t="str">
        <x:v>Prototype</x:v>
      </x:c>
      <x:c r="D9" s="11" t="str">
        <x:v>Prototype</x:v>
      </x:c>
      <x:c r="E9" s="15" t="str">
        <x:v>P1</x:v>
      </x:c>
      <x:c r="F9" s="15" t="str">
        <x:v>ME1</x:v>
      </x:c>
      <x:c r="G9" s="15" t="str">
        <x:v>Référence à vérifier</x:v>
      </x:c>
      <x:c r="H9" s="14" t="str">
        <x:v>Rencontres successives avec Conrad Verner.</x:v>
      </x:c>
      <x:c r="I9" s="14" t="str">
        <x:v>Évolution entre visites sans boucler la récompense.</x:v>
      </x:c>
      <x:c r="J9" s="14" t="str">
        <x:v>NPC-conrad-verner, SYS-dialogue-a-choix, SYS-journal-de-mission</x:v>
      </x:c>
      <x:c r="K9" s="14" t="str">
        <x:v>content/side_quests/SIDE-citadelle-le-fan.json</x:v>
      </x:c>
      <x:c r="L9" s="14" t="str">
        <x:v>src/assignment-data.js</x:v>
      </x:c>
      <x:c r="M9" s="14" t="str">
        <x:v>ASSIGNMENTS.fan</x:v>
      </x:c>
      <x:c r="N9" s="14" t="str">
        <x:v>Page secondaire proposée pour comparaison ; non consultée dans cet environnement. Noms, conditions, embranchements et édition à recouper dans le jeu avant validation canonique.</x:v>
      </x:c>
      <x:c r="O9" s="14" t="str">
        <x:v>https://masseffect.fandom.com/wiki/Citadel:_The_Fan</x:v>
      </x:c>
      <x:c r="P9" s="14" t="str">
        <x:v>Production ME1</x:v>
      </x:c>
      <x:c r="Q9" s="14" t="str">
        <x:v>Autographe, photographie puis dissuasion, avec une nouvelle étape parmi Thérum, Féros et Novéria entre chaque rencontre. Les jalons du premier contact et de la photo sont conservés. Les simples allers-retours ne font pas progresser la quête. Refus, intimidation et conséquences ultérieures restent à produire. Réécritures françaises concises et points de contact dans la Citadelle condensée, sans sprites dédiés ni doublage. Récompense fixe de 50 XP une seule fois par assignation : réglage de l’adaptation ATB, pas valeur canonique certifiée. Contrôles fonctionnels : tests/assignments.test.js, tests/assignment-world.test.js et scripts/assignments-browser.mjs ; rapport docs/qa/assignments-and-deployment-report.json.</x:v>
      </x:c>
    </x:row>
    <x:row r="10" ht="49" customHeight="1">
      <x:c r="A10" s="12" t="str">
        <x:v>SIDE-citadelle-la-s-ur-de-rita</x:v>
      </x:c>
      <x:c r="B10" s="7" t="str">
        <x:v>Citadelle La Sœur de Rita</x:v>
      </x:c>
      <x:c r="C10" s="10" t="str">
        <x:v>Défini</x:v>
      </x:c>
      <x:c r="D10" s="11" t="str">
        <x:v>À produire</x:v>
      </x:c>
      <x:c r="E10" s="9" t="str">
        <x:v>P1</x:v>
      </x:c>
      <x:c r="F10" s="9" t="str">
        <x:v>ME1</x:v>
      </x:c>
      <x:c r="G10" s="9" t="str">
        <x:v>Référence à vérifier</x:v>
      </x:c>
      <x:c r="H10" s="7" t="str">
        <x:v>Enquête autour de Jenna.</x:v>
      </x:c>
      <x:c r="I10" s="7" t="str">
        <x:v>SSC, marché et protection de Jenna suivis.</x:v>
      </x:c>
      <x:c r="J10" s="7" t="str"/>
      <x:c r="K10" s="7" t="str">
        <x:v>content/side_quests/SIDE-citadelle-la-s-ur-de-rita.json</x:v>
      </x:c>
      <x:c r="L10" s="7" t="str"/>
      <x:c r="M10" s="7" t="str"/>
      <x:c r="N10" s="7" t="str">
        <x:v>Liste de couverture des affectations ; titres français et déclencheurs à recouper dans ME1.</x:v>
      </x:c>
      <x:c r="O10" s="7" t="str">
        <x:v>https://primagames.com/eguides/mass-effect-pc-eguide/walkthrough/spectre-assignments-noveria-and-feros/feros-assignments</x:v>
      </x:c>
      <x:c r="P10" s="7" t="str">
        <x:v>Production ME1</x:v>
      </x:c>
      <x:c r="Q10" s="7" t="str"/>
    </x:row>
    <x:row r="11" ht="75" customHeight="1">
      <x:c r="A11" s="13" t="str">
        <x:v>SIDE-citadelle-les-veilleurs</x:v>
      </x:c>
      <x:c r="B11" s="14" t="str">
        <x:v>Citadelle : Scanner les veilleurs</x:v>
      </x:c>
      <x:c r="C11" s="10" t="str">
        <x:v>Prototype</x:v>
      </x:c>
      <x:c r="D11" s="11" t="str">
        <x:v>Prototype</x:v>
      </x:c>
      <x:c r="E11" s="15" t="str">
        <x:v>P1</x:v>
      </x:c>
      <x:c r="F11" s="15" t="str">
        <x:v>ME1</x:v>
      </x:c>
      <x:c r="G11" s="15" t="str">
        <x:v>Adaptation</x:v>
      </x:c>
      <x:c r="H11" s="14" t="str">
        <x:v>Réunir un échantillon de quatre relevés non invasifs pour Chorban. 6 étapes guidées. Récompense finale unique : 60 XP, 70 crédits.</x:v>
      </x:c>
      <x:c r="I11" s="14" t="str">
        <x:v>Parcourir les 6 étapes sans saut ni double récompense. Après Eden Prime. Fermeture au passage du Conduit. Le journal, les interactions et la sauvegarde doivent afficher la même progression. Comparer les variantes manquantes au jeu avant validation finale.</x:v>
      </x:c>
      <x:c r="J11" s="14" t="str"/>
      <x:c r="K11" s="14" t="str">
        <x:v>src/operation-data.js</x:v>
      </x:c>
      <x:c r="L11" s="14" t="str">
        <x:v>src/operation-data.js</x:v>
      </x:c>
      <x:c r="M11" s="14" t="str">
        <x:v>OPERATIONS.citadel-keepers</x:v>
      </x:c>
      <x:c r="N11" s="14" t="str">
        <x:v>Objectifs et noms ME1 référencés ; chiffres, découpage et interface propres à cette adaptation ATB.</x:v>
      </x:c>
      <x:c r="O11" s="14" t="str">
        <x:v>https://masseffect.fandom.com/wiki/Citadel%3A_Scan_the_Keepers</x:v>
      </x:c>
      <x:c r="P11" s="14" t="str">
        <x:v>Production ME1</x:v>
      </x:c>
      <x:c r="Q11" s="14" t="str">
        <x:v>Échantillon de quatre veilleurs, dans un ordre guidé, avec rapport final. ME1 demande 21 scans ; Legendary Edition en exige 20 parmi 21. Les récompenses par scan et Jahleed ne sont pas implémentés. Preuve : tests/operations.test.js.</x:v>
      </x:c>
    </x:row>
    <x:row r="12" ht="49" customHeight="1">
      <x:c r="A12" s="12" t="str">
        <x:v>SIDE-citadelle-les-peurs-de-jahleed</x:v>
      </x:c>
      <x:c r="B12" s="7" t="str">
        <x:v>Citadelle Les Peurs de Jahleed</x:v>
      </x:c>
      <x:c r="C12" s="10" t="str">
        <x:v>Défini</x:v>
      </x:c>
      <x:c r="D12" s="11" t="str">
        <x:v>À produire</x:v>
      </x:c>
      <x:c r="E12" s="9" t="str">
        <x:v>P1</x:v>
      </x:c>
      <x:c r="F12" s="9" t="str">
        <x:v>ME1</x:v>
      </x:c>
      <x:c r="G12" s="9" t="str">
        <x:v>Référence à vérifier</x:v>
      </x:c>
      <x:c r="H12" s="7" t="str">
        <x:v>Conflit autour des données de recherche.</x:v>
      </x:c>
      <x:c r="I12" s="7" t="str">
        <x:v>Ordre alternatif des rencontres géré.</x:v>
      </x:c>
      <x:c r="J12" s="7" t="str"/>
      <x:c r="K12" s="7" t="str">
        <x:v>content/side_quests/SIDE-citadelle-les-peurs-de-jahleed.json</x:v>
      </x:c>
      <x:c r="L12" s="7" t="str"/>
      <x:c r="M12" s="7" t="str"/>
      <x:c r="N12" s="7" t="str">
        <x:v>Liste de couverture des affectations ; titres français et déclencheurs à recouper dans ME1.</x:v>
      </x:c>
      <x:c r="O12" s="7" t="str">
        <x:v>https://primagames.com/eguides/mass-effect-pc-eguide/walkthrough/spectre-assignments-noveria-and-feros/feros-assignments</x:v>
      </x:c>
      <x:c r="P12" s="7" t="str">
        <x:v>Production ME1</x:v>
      </x:c>
      <x:c r="Q12" s="7" t="str"/>
    </x:row>
    <x:row r="13" ht="49" customHeight="1">
      <x:c r="A13" s="13" t="str">
        <x:v>SIDE-citadelle-le-joueur</x:v>
      </x:c>
      <x:c r="B13" s="14" t="str">
        <x:v>Citadelle Le Joueur</x:v>
      </x:c>
      <x:c r="C13" s="10" t="str">
        <x:v>Défini</x:v>
      </x:c>
      <x:c r="D13" s="11" t="str">
        <x:v>À produire</x:v>
      </x:c>
      <x:c r="E13" s="15" t="str">
        <x:v>P1</x:v>
      </x:c>
      <x:c r="F13" s="15" t="str">
        <x:v>ME1</x:v>
      </x:c>
      <x:c r="G13" s="15" t="str">
        <x:v>Référence à vérifier</x:v>
      </x:c>
      <x:c r="H13" s="14" t="str">
        <x:v>Données demandées par Schells au Flux.</x:v>
      </x:c>
      <x:c r="I13" s="14" t="str">
        <x:v>Choix de coopération ou de remise à Doran.</x:v>
      </x:c>
      <x:c r="J13" s="14" t="str"/>
      <x:c r="K13" s="14" t="str">
        <x:v>content/side_quests/SIDE-citadelle-le-joueur.json</x:v>
      </x:c>
      <x:c r="L13" s="14" t="str"/>
      <x:c r="M13" s="14" t="str"/>
      <x:c r="N13" s="14" t="str">
        <x:v>Liste de couverture des affectations ; titres français et déclencheurs à recouper dans ME1.</x:v>
      </x:c>
      <x:c r="O13" s="14" t="str">
        <x:v>https://primagames.com/eguides/mass-effect-pc-eguide/walkthrough/spectre-assignments-noveria-and-feros/feros-assignments</x:v>
      </x:c>
      <x:c r="P13" s="14" t="str">
        <x:v>Production ME1</x:v>
      </x:c>
      <x:c r="Q13" s="14" t="str"/>
    </x:row>
    <x:row r="14" ht="75" customHeight="1">
      <x:c r="A14" s="12" t="str">
        <x:v>SIDE-citadelle-signal-suspect</x:v>
      </x:c>
      <x:c r="B14" s="7" t="str">
        <x:v>Citadelle : Traque du signal</x:v>
      </x:c>
      <x:c r="C14" s="10" t="str">
        <x:v>Prototype</x:v>
      </x:c>
      <x:c r="D14" s="11" t="str">
        <x:v>Prototype</x:v>
      </x:c>
      <x:c r="E14" s="9" t="str">
        <x:v>P1</x:v>
      </x:c>
      <x:c r="F14" s="9" t="str">
        <x:v>ME1</x:v>
      </x:c>
      <x:c r="G14" s="9" t="str">
        <x:v>Adaptation</x:v>
      </x:c>
      <x:c r="H14" s="7" t="str">
        <x:v>Remonter un détournement de crédits depuis Flux jusqu’à sa source. 4 étapes guidées. Récompense finale unique : 65 XP, 85 crédits.</x:v>
      </x:c>
      <x:c r="I14" s="7" t="str">
        <x:v>Parcourir les 4 étapes sans saut ni double récompense. Après Eden Prime. Fermeture au passage du Conduit. Le journal, les interactions et la sauvegarde doivent afficher la même progression. Comparer les variantes manquantes au jeu avant validation finale.</x:v>
      </x:c>
      <x:c r="J14" s="7" t="str"/>
      <x:c r="K14" s="7" t="str">
        <x:v>src/operation-data.js</x:v>
      </x:c>
      <x:c r="L14" s="7" t="str">
        <x:v>src/operation-data.js</x:v>
      </x:c>
      <x:c r="M14" s="7" t="str">
        <x:v>OPERATIONS.citadel-signal-tracking</x:v>
      </x:c>
      <x:c r="N14" s="7" t="str">
        <x:v>Objectifs et noms ME1 référencés ; chiffres, découpage et interface propres à cette adaptation ATB.</x:v>
      </x:c>
      <x:c r="O14" s="7" t="str">
        <x:v>https://masseffect.fandom.com/wiki/Citadel%3A_Signal_Tracking</x:v>
      </x:c>
      <x:c r="P14" s="7" t="str">
        <x:v>Production ME1</x:v>
      </x:c>
      <x:c r="Q14" s="7" t="str">
        <x:v>Déplacements et dialogues condensés dans la carte actuelle ; les intérieurs et embranchements de ME1 restent à reconstituer. Le désamorçage chronométré de l’IA est remplacé par un choix de coupure ; il ne constitue pas une reproduction du mini-jeu. Preuve : tests/operations.test.js.</x:v>
      </x:c>
    </x:row>
    <x:row r="15" ht="88" customHeight="1">
      <x:c r="A15" s="13" t="str">
        <x:v>SIDE-citadelle-docteur-michel</x:v>
      </x:c>
      <x:c r="B15" s="14" t="str">
        <x:v>Citadelle : Le docteur Michel</x:v>
      </x:c>
      <x:c r="C15" s="10" t="str">
        <x:v>Prototype</x:v>
      </x:c>
      <x:c r="D15" s="11" t="str">
        <x:v>Prototype</x:v>
      </x:c>
      <x:c r="E15" s="15" t="str">
        <x:v>P1</x:v>
      </x:c>
      <x:c r="F15" s="15" t="str">
        <x:v>ME1</x:v>
      </x:c>
      <x:c r="G15" s="15" t="str">
        <x:v>Adaptation</x:v>
      </x:c>
      <x:c r="H15" s="14" t="str">
        <x:v>Identifier le maître chanteur qui détourne les fournitures du docteur Michel. 4 étapes guidées. Récompense finale unique : 70 XP, 90 crédits, 1 médi-gel.</x:v>
      </x:c>
      <x:c r="I15" s="14" t="str">
        <x:v>Parcourir les 4 étapes sans saut ni double récompense. Après Eden Prime. Tali recrutée. Fermeture au passage du Conduit. Le journal, les interactions et la sauvegarde doivent afficher la même progression. Comparer les variantes manquantes au jeu avant validation finale.</x:v>
      </x:c>
      <x:c r="J15" s="14" t="str"/>
      <x:c r="K15" s="14" t="str">
        <x:v>src/operation-data.js</x:v>
      </x:c>
      <x:c r="L15" s="14" t="str">
        <x:v>src/operation-data.js</x:v>
      </x:c>
      <x:c r="M15" s="14" t="str">
        <x:v>OPERATIONS.citadel-doctor-michel</x:v>
      </x:c>
      <x:c r="N15" s="14" t="str">
        <x:v>Objectifs et noms ME1 référencés ; chiffres, découpage et interface propres à cette adaptation ATB.</x:v>
      </x:c>
      <x:c r="O15" s="14" t="str">
        <x:v>https://masseffect.fandom.com/wiki/Citadel%3A_Doctor_Michel</x:v>
      </x:c>
      <x:c r="P15" s="14" t="str">
        <x:v>Production ME1</x:v>
      </x:c>
      <x:c r="Q15" s="14" t="str">
        <x:v>Déplacements et dialogues condensés dans la carte actuelle ; les intérieurs et embranchements de ME1 restent à reconstituer. La remise de 20 % concerne la recharge de médi-gel des armureries. Les prix, les seuils et le combat sont adaptés ; la piste Banes n’est pas développée. Preuve : tests/operations.test.js.</x:v>
      </x:c>
    </x:row>
    <x:row r="16" ht="75" customHeight="1">
      <x:c r="A16" s="12" t="str">
        <x:v>SIDE-citadelle-demande-d-emily-wong</x:v>
      </x:c>
      <x:c r="B16" s="7" t="str">
        <x:v>Citadelle : La demande de la journaliste</x:v>
      </x:c>
      <x:c r="C16" s="10" t="str">
        <x:v>Prototype</x:v>
      </x:c>
      <x:c r="D16" s="11" t="str">
        <x:v>Prototype</x:v>
      </x:c>
      <x:c r="E16" s="9" t="str">
        <x:v>P1</x:v>
      </x:c>
      <x:c r="F16" s="9" t="str">
        <x:v>ME1</x:v>
      </x:c>
      <x:c r="G16" s="9" t="str">
        <x:v>Adaptation</x:v>
      </x:c>
      <x:c r="H16" s="7" t="str">
        <x:v>Aider Emily Wong à documenter les activités criminelles de Fist. 3 étapes guidées. Récompense finale unique : 55 XP, 75 crédits.</x:v>
      </x:c>
      <x:c r="I16" s="7" t="str">
        <x:v>Parcourir les 3 étapes sans saut ni double récompense. Après Eden Prime. Fermeture au passage du Conduit. Le journal, les interactions et la sauvegarde doivent afficher la même progression. Comparer les variantes manquantes au jeu avant validation finale.</x:v>
      </x:c>
      <x:c r="J16" s="7" t="str"/>
      <x:c r="K16" s="7" t="str">
        <x:v>src/operation-data.js</x:v>
      </x:c>
      <x:c r="L16" s="7" t="str">
        <x:v>src/operation-data.js</x:v>
      </x:c>
      <x:c r="M16" s="7" t="str">
        <x:v>OPERATIONS.citadel-reporters-request</x:v>
      </x:c>
      <x:c r="N16" s="7" t="str">
        <x:v>Objectifs et noms ME1 référencés ; chiffres, découpage et interface propres à cette adaptation ATB.</x:v>
      </x:c>
      <x:c r="O16" s="7" t="str">
        <x:v>https://masseffect.fandom.com/wiki/Citadel%3A_Reporter's_Request</x:v>
      </x:c>
      <x:c r="P16" s="7" t="str">
        <x:v>Production ME1</x:v>
      </x:c>
      <x:c r="Q16" s="7" t="str">
        <x:v>Déplacements et dialogues condensés dans la carte actuelle ; les intérieurs et embranchements de ME1 restent à reconstituer. Le recrutement de Tali sert de jalon à l’accès au disque de Fist ; sa confrontation originale reste hors scène. Preuve : tests/operations.test.js.</x:v>
      </x:c>
    </x:row>
    <x:row r="17" ht="49" customHeight="1">
      <x:c r="A17" s="13" t="str">
        <x:v>SIDE-citadelle-controle-du-trafic</x:v>
      </x:c>
      <x:c r="B17" s="14" t="str">
        <x:v>Citadelle Contrôle du trafic</x:v>
      </x:c>
      <x:c r="C17" s="10" t="str">
        <x:v>Défini</x:v>
      </x:c>
      <x:c r="D17" s="11" t="str">
        <x:v>À produire</x:v>
      </x:c>
      <x:c r="E17" s="15" t="str">
        <x:v>P1</x:v>
      </x:c>
      <x:c r="F17" s="15" t="str">
        <x:v>ME1</x:v>
      </x:c>
      <x:c r="G17" s="15" t="str">
        <x:v>Référence à vérifier</x:v>
      </x:c>
      <x:c r="H17" s="14" t="str">
        <x:v>Installer ou traiter la demande de surveillance.</x:v>
      </x:c>
      <x:c r="I17" s="14" t="str">
        <x:v>Choix de mentir ou d’aider enregistré.</x:v>
      </x:c>
      <x:c r="J17" s="14" t="str"/>
      <x:c r="K17" s="14" t="str">
        <x:v>content/side_quests/SIDE-citadelle-controle-du-trafic.json</x:v>
      </x:c>
      <x:c r="L17" s="14" t="str"/>
      <x:c r="M17" s="14" t="str"/>
      <x:c r="N17" s="14" t="str">
        <x:v>Liste de couverture des affectations ; titres français et déclencheurs à recouper dans ME1.</x:v>
      </x:c>
      <x:c r="O17" s="14" t="str">
        <x:v>https://primagames.com/eguides/mass-effect-pc-eguide/walkthrough/spectre-assignments-noveria-and-feros/feros-assignments</x:v>
      </x:c>
      <x:c r="P17" s="14" t="str">
        <x:v>Production ME1</x:v>
      </x:c>
      <x:c r="Q17" s="14" t="str"/>
    </x:row>
    <x:row r="18" ht="49" customHeight="1">
      <x:c r="A18" s="12" t="str">
        <x:v>SIDE-citadelle-interview</x:v>
      </x:c>
      <x:c r="B18" s="7" t="str">
        <x:v>Citadelle Interview</x:v>
      </x:c>
      <x:c r="C18" s="10" t="str">
        <x:v>Défini</x:v>
      </x:c>
      <x:c r="D18" s="11" t="str">
        <x:v>À produire</x:v>
      </x:c>
      <x:c r="E18" s="9" t="str">
        <x:v>P1</x:v>
      </x:c>
      <x:c r="F18" s="9" t="str">
        <x:v>ME1</x:v>
      </x:c>
      <x:c r="G18" s="9" t="str">
        <x:v>Référence à vérifier</x:v>
      </x:c>
      <x:c r="H18" s="7" t="str">
        <x:v>Répondre à Khalisah al-Jilani.</x:v>
      </x:c>
      <x:c r="I18" s="7" t="str">
        <x:v>Réactions et vidéo contextualisées.</x:v>
      </x:c>
      <x:c r="J18" s="7" t="str"/>
      <x:c r="K18" s="7" t="str">
        <x:v>content/side_quests/SIDE-citadelle-interview.json</x:v>
      </x:c>
      <x:c r="L18" s="7" t="str"/>
      <x:c r="M18" s="7" t="str"/>
      <x:c r="N18" s="7" t="str">
        <x:v>Liste de couverture des affectations ; titres français et déclencheurs à recouper dans ME1.</x:v>
      </x:c>
      <x:c r="O18" s="7" t="str">
        <x:v>https://primagames.com/eguides/mass-effect-pc-eguide/walkthrough/spectre-assignments-noveria-and-feros/feros-assignments</x:v>
      </x:c>
      <x:c r="P18" s="7" t="str">
        <x:v>Production ME1</x:v>
      </x:c>
      <x:c r="Q18" s="7" t="str"/>
    </x:row>
    <x:row r="19" ht="49" customHeight="1">
      <x:c r="A19" s="13" t="str">
        <x:v>SIDE-citadelle-notre-pire-ennemi</x:v>
      </x:c>
      <x:c r="B19" s="14" t="str">
        <x:v>Citadelle Notre pire ennemi</x:v>
      </x:c>
      <x:c r="C19" s="10" t="str">
        <x:v>Défini</x:v>
      </x:c>
      <x:c r="D19" s="11" t="str">
        <x:v>À produire</x:v>
      </x:c>
      <x:c r="E19" s="15" t="str">
        <x:v>P1</x:v>
      </x:c>
      <x:c r="F19" s="15" t="str">
        <x:v>ME1</x:v>
      </x:c>
      <x:c r="G19" s="15" t="str">
        <x:v>Référence à vérifier</x:v>
      </x:c>
      <x:c r="H19" s="14" t="str">
        <x:v>Rencontre politique dans les Secteurs.</x:v>
      </x:c>
      <x:c r="I19" s="14" t="str">
        <x:v>Opinions et conséquences sans combat forcé.</x:v>
      </x:c>
      <x:c r="J19" s="14" t="str"/>
      <x:c r="K19" s="14" t="str">
        <x:v>content/side_quests/SIDE-citadelle-notre-pire-ennemi.json</x:v>
      </x:c>
      <x:c r="L19" s="14" t="str"/>
      <x:c r="M19" s="14" t="str"/>
      <x:c r="N19" s="14" t="str">
        <x:v>Liste de couverture des affectations ; titres français et déclencheurs à recouper dans ME1.</x:v>
      </x:c>
      <x:c r="O19" s="14" t="str">
        <x:v>https://primagames.com/eguides/mass-effect-pc-eguide/walkthrough/spectre-assignments-noveria-and-feros/feros-assignments</x:v>
      </x:c>
      <x:c r="P19" s="14" t="str">
        <x:v>Production ME1</x:v>
      </x:c>
      <x:c r="Q19" s="14" t="str"/>
    </x:row>
    <x:row r="20" ht="100" customHeight="1">
      <x:c r="A20" s="12" t="str">
        <x:v>SIDE-citadelle-affaire-familiale</x:v>
      </x:c>
      <x:c r="B20" s="7" t="str">
        <x:v>Citadelle Affaire familiale</x:v>
      </x:c>
      <x:c r="C20" s="10" t="str">
        <x:v>Prototype</x:v>
      </x:c>
      <x:c r="D20" s="11" t="str">
        <x:v>Prototype</x:v>
      </x:c>
      <x:c r="E20" s="9" t="str">
        <x:v>P1</x:v>
      </x:c>
      <x:c r="F20" s="9" t="str">
        <x:v>ME1</x:v>
      </x:c>
      <x:c r="G20" s="9" t="str">
        <x:v>Référence à vérifier</x:v>
      </x:c>
      <x:c r="H20" s="7" t="str">
        <x:v>Débat familial lié à une grossesse.</x:v>
      </x:c>
      <x:c r="I20" s="7" t="str">
        <x:v>Choix de dialogue vérifié avec prudence narrative.</x:v>
      </x:c>
      <x:c r="J20" s="7" t="str">
        <x:v>SYS-dialogue-a-choix, SYS-journal-de-mission</x:v>
      </x:c>
      <x:c r="K20" s="7" t="str">
        <x:v>content/side_quests/SIDE-citadelle-affaire-familiale.json</x:v>
      </x:c>
      <x:c r="L20" s="7" t="str">
        <x:v>src/assignment-data.js</x:v>
      </x:c>
      <x:c r="M20" s="7" t="str">
        <x:v>ASSIGNMENTS.family</x:v>
      </x:c>
      <x:c r="N20" s="7" t="str">
        <x:v>Page secondaire proposée pour comparaison ; non consultée dans cet environnement. Noms, conditions, embranchements et édition à recouper dans le jeu avant validation canonique.</x:v>
      </x:c>
      <x:c r="O20" s="7" t="str">
        <x:v>https://masseffect.fandom.com/wiki/Citadel:_Family_Matter</x:v>
      </x:c>
      <x:c r="P20" s="7" t="str">
        <x:v>Production ME1</x:v>
      </x:c>
      <x:c r="Q20" s="7" t="str">
        <x:v>Discussion Rebekah/Michael après une étape principale de l’enquête ; deux prises de position persistantes. Aucun chiffre de risque ni résultat médical inventé. Les conditions et variantes intégrales restent à recouper. Réécritures françaises concises et points de contact dans la Citadelle condensée, sans sprites dédiés ni doublage. Récompense fixe de 50 XP une seule fois par assignation : réglage de l’adaptation ATB, pas valeur canonique certifiée. Contrôles fonctionnels : tests/assignments.test.js, tests/assignment-world.test.js et scripts/assignments-browser.mjs ; rapport docs/qa/assignments-and-deployment-report.json.</x:v>
      </x:c>
    </x:row>
    <x:row r="21" ht="49" customHeight="1">
      <x:c r="A21" s="13" t="str">
        <x:v>SIDE-citadelle-negociateur-asari</x:v>
      </x:c>
      <x:c r="B21" s="14" t="str">
        <x:v>Citadelle Négociateur asari</x:v>
      </x:c>
      <x:c r="C21" s="10" t="str">
        <x:v>Défini</x:v>
      </x:c>
      <x:c r="D21" s="11" t="str">
        <x:v>À produire</x:v>
      </x:c>
      <x:c r="E21" s="15" t="str">
        <x:v>P1</x:v>
      </x:c>
      <x:c r="F21" s="15" t="str">
        <x:v>ME1</x:v>
      </x:c>
      <x:c r="G21" s="15" t="str">
        <x:v>Référence à vérifier</x:v>
      </x:c>
      <x:c r="H21" s="14" t="str">
        <x:v>Rencontre conditionnelle avec une interlocutrice.</x:v>
      </x:c>
      <x:c r="I21" s="14" t="str">
        <x:v>Condition et récompense à relever.</x:v>
      </x:c>
      <x:c r="J21" s="14" t="str"/>
      <x:c r="K21" s="14" t="str">
        <x:v>content/side_quests/SIDE-citadelle-negociateur-asari.json</x:v>
      </x:c>
      <x:c r="L21" s="14" t="str"/>
      <x:c r="M21" s="14" t="str"/>
      <x:c r="N21" s="14" t="str">
        <x:v>Liste de couverture des affectations ; titres français et déclencheurs à recouper dans ME1.</x:v>
      </x:c>
      <x:c r="O21" s="14" t="str">
        <x:v>https://primagames.com/eguides/mass-effect-pc-eguide/walkthrough/spectre-assignments-noveria-and-feros/feros-assignments</x:v>
      </x:c>
      <x:c r="P21" s="14" t="str">
        <x:v>Production ME1</x:v>
      </x:c>
      <x:c r="Q21" s="14" t="str"/>
    </x:row>
    <x:row r="22" ht="49" customHeight="1">
      <x:c r="A22" s="12" t="str">
        <x:v>SIDE-citadelle-vieille-connaissance</x:v>
      </x:c>
      <x:c r="B22" s="7" t="str">
        <x:v>Citadelle Vieille connaissance</x:v>
      </x:c>
      <x:c r="C22" s="10" t="str">
        <x:v>Défini</x:v>
      </x:c>
      <x:c r="D22" s="11" t="str">
        <x:v>À produire</x:v>
      </x:c>
      <x:c r="E22" s="9" t="str">
        <x:v>P1</x:v>
      </x:c>
      <x:c r="F22" s="9" t="str">
        <x:v>ME1</x:v>
      </x:c>
      <x:c r="G22" s="9" t="str">
        <x:v>Référence à vérifier</x:v>
      </x:c>
      <x:c r="H22" s="7" t="str">
        <x:v>Quête liée à l’origine terrienne de Shepard.</x:v>
      </x:c>
      <x:c r="I22" s="7" t="str">
        <x:v>Disponible uniquement au profil concerné.</x:v>
      </x:c>
      <x:c r="J22" s="7" t="str"/>
      <x:c r="K22" s="7" t="str">
        <x:v>content/side_quests/SIDE-citadelle-vieille-connaissance.json</x:v>
      </x:c>
      <x:c r="L22" s="7" t="str"/>
      <x:c r="M22" s="7" t="str"/>
      <x:c r="N22" s="7" t="str">
        <x:v>Liste de couverture des affectations ; titres français et déclencheurs à recouper dans ME1.</x:v>
      </x:c>
      <x:c r="O22" s="7" t="str">
        <x:v>https://primagames.com/eguides/mass-effect-pc-eguide/walkthrough/spectre-assignments-noveria-and-feros/feros-assignments</x:v>
      </x:c>
      <x:c r="P22" s="7" t="str">
        <x:v>Production ME1</x:v>
      </x:c>
      <x:c r="Q22" s="7" t="str"/>
    </x:row>
    <x:row r="23" ht="49" customHeight="1">
      <x:c r="A23" s="13" t="str">
        <x:v>SIDE-citadelle-ancien-du-service</x:v>
      </x:c>
      <x:c r="B23" s="14" t="str">
        <x:v>Citadelle Ancien du service</x:v>
      </x:c>
      <x:c r="C23" s="10" t="str">
        <x:v>Défini</x:v>
      </x:c>
      <x:c r="D23" s="11" t="str">
        <x:v>À produire</x:v>
      </x:c>
      <x:c r="E23" s="15" t="str">
        <x:v>P1</x:v>
      </x:c>
      <x:c r="F23" s="15" t="str">
        <x:v>ME1</x:v>
      </x:c>
      <x:c r="G23" s="15" t="str">
        <x:v>Référence à vérifier</x:v>
      </x:c>
      <x:c r="H23" s="14" t="str">
        <x:v>Quête liée à l’origine spatiale de Shepard.</x:v>
      </x:c>
      <x:c r="I23" s="14" t="str">
        <x:v>Contact familial et condition d’origine.</x:v>
      </x:c>
      <x:c r="J23" s="14" t="str"/>
      <x:c r="K23" s="14" t="str">
        <x:v>content/side_quests/SIDE-citadelle-ancien-du-service.json</x:v>
      </x:c>
      <x:c r="L23" s="14" t="str"/>
      <x:c r="M23" s="14" t="str"/>
      <x:c r="N23" s="14" t="str">
        <x:v>Liste de couverture des affectations ; titres français et déclencheurs à recouper dans ME1.</x:v>
      </x:c>
      <x:c r="O23" s="14" t="str">
        <x:v>https://primagames.com/eguides/mass-effect-pc-eguide/walkthrough/spectre-assignments-noveria-and-feros/feros-assignments</x:v>
      </x:c>
      <x:c r="P23" s="14" t="str">
        <x:v>Production ME1</x:v>
      </x:c>
      <x:c r="Q23" s="14" t="str"/>
    </x:row>
    <x:row r="24" ht="49" customHeight="1">
      <x:c r="A24" s="12" t="str">
        <x:v>SIDE-citadelle-souvenirs-de-mindoir</x:v>
      </x:c>
      <x:c r="B24" s="7" t="str">
        <x:v>Citadelle Souvenirs de Mindoir</x:v>
      </x:c>
      <x:c r="C24" s="10" t="str">
        <x:v>Défini</x:v>
      </x:c>
      <x:c r="D24" s="11" t="str">
        <x:v>À produire</x:v>
      </x:c>
      <x:c r="E24" s="9" t="str">
        <x:v>P1</x:v>
      </x:c>
      <x:c r="F24" s="9" t="str">
        <x:v>ME1</x:v>
      </x:c>
      <x:c r="G24" s="9" t="str">
        <x:v>Référence à vérifier</x:v>
      </x:c>
      <x:c r="H24" s="7" t="str">
        <x:v>Quête liée à l’origine coloniale de Shepard.</x:v>
      </x:c>
      <x:c r="I24" s="7" t="str">
        <x:v>Dialogue sensible et condition d’origine.</x:v>
      </x:c>
      <x:c r="J24" s="7" t="str"/>
      <x:c r="K24" s="7" t="str">
        <x:v>content/side_quests/SIDE-citadelle-souvenirs-de-mindoir.json</x:v>
      </x:c>
      <x:c r="L24" s="7" t="str"/>
      <x:c r="M24" s="7" t="str"/>
      <x:c r="N24" s="7" t="str">
        <x:v>Liste de couverture des affectations ; titres français et déclencheurs à recouper dans ME1.</x:v>
      </x:c>
      <x:c r="O24" s="7" t="str">
        <x:v>https://primagames.com/eguides/mass-effect-pc-eguide/walkthrough/spectre-assignments-noveria-and-feros/feros-assignments</x:v>
      </x:c>
      <x:c r="P24" s="7" t="str">
        <x:v>Production ME1</x:v>
      </x:c>
      <x:c r="Q24" s="7" t="str"/>
    </x:row>
    <x:row r="25" ht="88" customHeight="1">
      <x:c r="A25" s="13" t="str">
        <x:v>SIDE-feros-retablissement-de-l-eau</x:v>
      </x:c>
      <x:c r="B25" s="14" t="str">
        <x:v>Féros : Rétablir l’eau</x:v>
      </x:c>
      <x:c r="C25" s="10" t="str">
        <x:v>Prototype</x:v>
      </x:c>
      <x:c r="D25" s="11" t="str">
        <x:v>Prototype</x:v>
      </x:c>
      <x:c r="E25" s="15" t="str">
        <x:v>P1</x:v>
      </x:c>
      <x:c r="F25" s="15" t="str">
        <x:v>ME1</x:v>
      </x:c>
      <x:c r="G25" s="15" t="str">
        <x:v>Adaptation</x:v>
      </x:c>
      <x:c r="H25" s="14" t="str">
        <x:v>Réactiver trois vannes pour rétablir l’alimentation en eau de la colonie. 5 étapes guidées. Récompense finale unique : 60 XP, 60 crédits, 4 Conciliation.</x:v>
      </x:c>
      <x:c r="I25" s="14" t="str">
        <x:v>Parcourir les 5 étapes sans saut ni double récompense. Après le statut Spectre et le premier combat de Féros. Fermeture au passage du Conduit. Le journal, les interactions et la sauvegarde doivent afficher la même progression. Comparer les variantes manquantes au jeu avant validation finale.</x:v>
      </x:c>
      <x:c r="J25" s="14" t="str"/>
      <x:c r="K25" s="14" t="str">
        <x:v>src/operation-data.js</x:v>
      </x:c>
      <x:c r="L25" s="14" t="str">
        <x:v>src/operation-data.js</x:v>
      </x:c>
      <x:c r="M25" s="14" t="str">
        <x:v>OPERATIONS.feros-water</x:v>
      </x:c>
      <x:c r="N25" s="14" t="str">
        <x:v>Objectifs et noms ME1 référencés ; chiffres, découpage et interface propres à cette adaptation ATB.</x:v>
      </x:c>
      <x:c r="O25" s="14" t="str">
        <x:v>https://masseffect.fandom.com/wiki/Feros%3A_Water_Restoration</x:v>
      </x:c>
      <x:c r="P25" s="14" t="str">
        <x:v>Production ME1</x:v>
      </x:c>
      <x:c r="Q25" s="14" t="str">
        <x:v>Déplacements et dialogues condensés dans la carte actuelle ; les intérieurs et embranchements de ME1 restent à reconstituer. Trois vannes sont présentes ; les salles et combats des tunnels ne sont pas reconstruits à l’échelle originale. Preuve : tests/operations.test.js.</x:v>
      </x:c>
    </x:row>
    <x:row r="26" ht="49" customHeight="1">
      <x:c r="A26" s="12" t="str">
        <x:v>SIDE-feros-varrens</x:v>
      </x:c>
      <x:c r="B26" s="7" t="str">
        <x:v>Feros Varrens</x:v>
      </x:c>
      <x:c r="C26" s="10" t="str">
        <x:v>Défini</x:v>
      </x:c>
      <x:c r="D26" s="11" t="str">
        <x:v>À produire</x:v>
      </x:c>
      <x:c r="E26" s="9" t="str">
        <x:v>P1</x:v>
      </x:c>
      <x:c r="F26" s="9" t="str">
        <x:v>ME1</x:v>
      </x:c>
      <x:c r="G26" s="9" t="str">
        <x:v>Référence à vérifier</x:v>
      </x:c>
      <x:c r="H26" s="7" t="str">
        <x:v>Éliminer la menace contre le ravitaillement.</x:v>
      </x:c>
      <x:c r="I26" s="7" t="str">
        <x:v>Alpha et compteur d’ennemis documentés.</x:v>
      </x:c>
      <x:c r="J26" s="7" t="str"/>
      <x:c r="K26" s="7" t="str">
        <x:v>content/side_quests/SIDE-feros-varrens.json</x:v>
      </x:c>
      <x:c r="L26" s="7" t="str"/>
      <x:c r="M26" s="7" t="str"/>
      <x:c r="N26" s="7" t="str">
        <x:v>Liste de couverture des affectations ; titres français et déclencheurs à recouper dans ME1.</x:v>
      </x:c>
      <x:c r="O26" s="7" t="str">
        <x:v>https://primagames.com/eguides/mass-effect-pc-eguide/walkthrough/spectre-assignments-noveria-and-feros/feros-assignments</x:v>
      </x:c>
      <x:c r="P26" s="7" t="str">
        <x:v>Production ME1</x:v>
      </x:c>
      <x:c r="Q26" s="7" t="str"/>
    </x:row>
    <x:row r="27" ht="88" customHeight="1">
      <x:c r="A27" s="13" t="str">
        <x:v>SIDE-feros-cellules-energetiques</x:v>
      </x:c>
      <x:c r="B27" s="14" t="str">
        <x:v>Féros : Cellules énergétiques</x:v>
      </x:c>
      <x:c r="C27" s="10" t="str">
        <x:v>Prototype</x:v>
      </x:c>
      <x:c r="D27" s="11" t="str">
        <x:v>Prototype</x:v>
      </x:c>
      <x:c r="E27" s="15" t="str">
        <x:v>P1</x:v>
      </x:c>
      <x:c r="F27" s="15" t="str">
        <x:v>ME1</x:v>
      </x:c>
      <x:c r="G27" s="15" t="str">
        <x:v>Adaptation</x:v>
      </x:c>
      <x:c r="H27" s="14" t="str">
        <x:v>Récupérer des cellules dans une épave pour le générateur de May O’Connell. 3 étapes guidées. Récompense finale unique : 55 XP, 60 crédits, 4 Conciliation.</x:v>
      </x:c>
      <x:c r="I27" s="14" t="str">
        <x:v>Parcourir les 3 étapes sans saut ni double récompense. Après le statut Spectre et le premier combat de Féros. Fermeture au passage du Conduit. Le journal, les interactions et la sauvegarde doivent afficher la même progression. Comparer les variantes manquantes au jeu avant validation finale.</x:v>
      </x:c>
      <x:c r="J27" s="14" t="str"/>
      <x:c r="K27" s="14" t="str">
        <x:v>src/operation-data.js</x:v>
      </x:c>
      <x:c r="L27" s="14" t="str">
        <x:v>src/operation-data.js</x:v>
      </x:c>
      <x:c r="M27" s="14" t="str">
        <x:v>OPERATIONS.feros-power</x:v>
      </x:c>
      <x:c r="N27" s="14" t="str">
        <x:v>Objectifs et noms ME1 référencés ; chiffres, découpage et interface propres à cette adaptation ATB.</x:v>
      </x:c>
      <x:c r="O27" s="14" t="str">
        <x:v>https://masseffect.fandom.com/wiki/Feros%3A_Power_Cells</x:v>
      </x:c>
      <x:c r="P27" s="14" t="str">
        <x:v>Production ME1</x:v>
      </x:c>
      <x:c r="Q27" s="14" t="str">
        <x:v>Déplacements et dialogues condensés dans la carte actuelle ; les intérieurs et embranchements de ME1 restent à reconstituer. La récupération sur l’épave est jouable ; le groupe de varrens et l’assignation de viande sont absents, sans ennemi de substitution. Preuve : tests/operations.test.js.</x:v>
      </x:c>
    </x:row>
    <x:row r="28" ht="88" customHeight="1">
      <x:c r="A28" s="12" t="str">
        <x:v>SIDE-feros-geth-dans-les-tunnels</x:v>
      </x:c>
      <x:c r="B28" s="7" t="str">
        <x:v>Féros : Les geth dans les tunnels</x:v>
      </x:c>
      <x:c r="C28" s="10" t="str">
        <x:v>Prototype</x:v>
      </x:c>
      <x:c r="D28" s="11" t="str">
        <x:v>Prototype</x:v>
      </x:c>
      <x:c r="E28" s="9" t="str">
        <x:v>P1</x:v>
      </x:c>
      <x:c r="F28" s="9" t="str">
        <x:v>ME1</x:v>
      </x:c>
      <x:c r="G28" s="9" t="str">
        <x:v>Adaptation</x:v>
      </x:c>
      <x:c r="H28" s="7" t="str">
        <x:v>Éliminer la défense du transmetteur geth et faire un rapport à Fai Dan avant le Thorien. 5 étapes guidées. Récompense finale unique : 90 XP, 100 crédits, 6 Conciliation.</x:v>
      </x:c>
      <x:c r="I28" s="7" t="str">
        <x:v>Parcourir les 5 étapes sans saut ni double récompense. Après le statut Spectre et le premier combat de Féros. Rapport à terminer avant le Thorien. Fermeture au passage du Conduit. Le journal, les interactions et la sauvegarde doivent afficher la même progression. Comparer les variantes manquantes au jeu avant validation finale.</x:v>
      </x:c>
      <x:c r="J28" s="7" t="str"/>
      <x:c r="K28" s="7" t="str">
        <x:v>src/operation-data.js</x:v>
      </x:c>
      <x:c r="L28" s="7" t="str">
        <x:v>src/operation-data.js</x:v>
      </x:c>
      <x:c r="M28" s="7" t="str">
        <x:v>OPERATIONS.feros-geth-tunnels</x:v>
      </x:c>
      <x:c r="N28" s="7" t="str">
        <x:v>Objectifs et noms ME1 référencés ; chiffres, découpage et interface propres à cette adaptation ATB.</x:v>
      </x:c>
      <x:c r="O28" s="7" t="str">
        <x:v>https://masseffect.fandom.com/wiki/Feros%3A_Geth_in_the_Tunnels</x:v>
      </x:c>
      <x:c r="P28" s="7" t="str">
        <x:v>Production ME1</x:v>
      </x:c>
      <x:c r="Q28" s="7" t="str">
        <x:v>Déplacements et dialogues condensés dans la carte actuelle ; les intérieurs et embranchements de ME1 restent à reconstituer. Deux combats ATB représentent les défenseurs. Le drone geth est omis ; les trois gardes krogans sont présents. Le transmetteur se détruit par interaction. Preuve : tests/operations.test.js.</x:v>
      </x:c>
    </x:row>
    <x:row r="29" ht="49" customHeight="1">
      <x:c r="A29" s="13" t="str">
        <x:v>SIDE-noveria-contrebande</x:v>
      </x:c>
      <x:c r="B29" s="14" t="str">
        <x:v>Noveria Contrebande</x:v>
      </x:c>
      <x:c r="C29" s="10" t="str">
        <x:v>Défini</x:v>
      </x:c>
      <x:c r="D29" s="11" t="str">
        <x:v>À produire</x:v>
      </x:c>
      <x:c r="E29" s="15" t="str">
        <x:v>P1</x:v>
      </x:c>
      <x:c r="F29" s="15" t="str">
        <x:v>ME1</x:v>
      </x:c>
      <x:c r="G29" s="15" t="str">
        <x:v>Référence à vérifier</x:v>
      </x:c>
      <x:c r="H29" s="14" t="str">
        <x:v>Acheminer ou dénoncer le paquet d’Opold.</x:v>
      </x:c>
      <x:c r="I29" s="14" t="str">
        <x:v>Destinataire et gains dépendants du choix.</x:v>
      </x:c>
      <x:c r="J29" s="14" t="str"/>
      <x:c r="K29" s="14" t="str">
        <x:v>content/side_quests/SIDE-noveria-contrebande.json</x:v>
      </x:c>
      <x:c r="L29" s="14" t="str"/>
      <x:c r="M29" s="14" t="str"/>
      <x:c r="N29" s="14" t="str">
        <x:v>Liste de couverture des affectations ; titres français et déclencheurs à recouper dans ME1.</x:v>
      </x:c>
      <x:c r="O29" s="14" t="str">
        <x:v>https://primagames.com/eguides/mass-effect-pc-eguide/walkthrough/spectre-assignments-noveria-and-feros/feros-assignments</x:v>
      </x:c>
      <x:c r="P29" s="14" t="str">
        <x:v>Production ME1</x:v>
      </x:c>
      <x:c r="Q29" s="14" t="str"/>
    </x:row>
    <x:row r="30" ht="49" customHeight="1">
      <x:c r="A30" s="12" t="str">
        <x:v>SIDE-noveria-espionnage</x:v>
      </x:c>
      <x:c r="B30" s="7" t="str">
        <x:v>Noveria Espionnage</x:v>
      </x:c>
      <x:c r="C30" s="10" t="str">
        <x:v>Défini</x:v>
      </x:c>
      <x:c r="D30" s="11" t="str">
        <x:v>À produire</x:v>
      </x:c>
      <x:c r="E30" s="9" t="str">
        <x:v>P1</x:v>
      </x:c>
      <x:c r="F30" s="9" t="str">
        <x:v>ME1</x:v>
      </x:c>
      <x:c r="G30" s="9" t="str">
        <x:v>Référence à vérifier</x:v>
      </x:c>
      <x:c r="H30" s="7" t="str">
        <x:v>Traiter une demande d’espionnage industriel.</x:v>
      </x:c>
      <x:c r="I30" s="7" t="str">
        <x:v>Consentement et preuve enregistrés.</x:v>
      </x:c>
      <x:c r="J30" s="7" t="str"/>
      <x:c r="K30" s="7" t="str">
        <x:v>content/side_quests/SIDE-noveria-espionnage.json</x:v>
      </x:c>
      <x:c r="L30" s="7" t="str"/>
      <x:c r="M30" s="7" t="str"/>
      <x:c r="N30" s="7" t="str">
        <x:v>Liste de couverture des affectations ; titres français et déclencheurs à recouper dans ME1.</x:v>
      </x:c>
      <x:c r="O30" s="7" t="str">
        <x:v>https://primagames.com/eguides/mass-effect-pc-eguide/walkthrough/spectre-assignments-noveria-and-feros/feros-assignments</x:v>
      </x:c>
      <x:c r="P30" s="7" t="str">
        <x:v>Production ME1</x:v>
      </x:c>
      <x:c r="Q30" s="7" t="str"/>
    </x:row>
    <x:row r="31" ht="49" customHeight="1">
      <x:c r="A31" s="13" t="str">
        <x:v>SIDE-noveria-lorik-qui-in</x:v>
      </x:c>
      <x:c r="B31" s="14" t="str">
        <x:v>Noveria Lorik Qui’in</x:v>
      </x:c>
      <x:c r="C31" s="10" t="str">
        <x:v>Défini</x:v>
      </x:c>
      <x:c r="D31" s="11" t="str">
        <x:v>À produire</x:v>
      </x:c>
      <x:c r="E31" s="15" t="str">
        <x:v>P1</x:v>
      </x:c>
      <x:c r="F31" s="15" t="str">
        <x:v>ME1</x:v>
      </x:c>
      <x:c r="G31" s="15" t="str">
        <x:v>Référence à vérifier</x:v>
      </x:c>
      <x:c r="H31" s="14" t="str">
        <x:v>Récupérer les preuves et négocier le témoignage.</x:v>
      </x:c>
      <x:c r="I31" s="14" t="str">
        <x:v>Issue de l’affaire Anoleis cohérente.</x:v>
      </x:c>
      <x:c r="J31" s="14" t="str"/>
      <x:c r="K31" s="14" t="str">
        <x:v>content/side_quests/SIDE-noveria-lorik-qui-in.json</x:v>
      </x:c>
      <x:c r="L31" s="14" t="str"/>
      <x:c r="M31" s="14" t="str"/>
      <x:c r="N31" s="14" t="str">
        <x:v>Liste de couverture des affectations ; titres français et déclencheurs à recouper dans ME1.</x:v>
      </x:c>
      <x:c r="O31" s="14" t="str">
        <x:v>https://primagames.com/eguides/mass-effect-pc-eguide/walkthrough/spectre-assignments-noveria-and-feros/feros-assignments</x:v>
      </x:c>
      <x:c r="P31" s="14" t="str">
        <x:v>Production ME1</x:v>
      </x:c>
      <x:c r="Q31" s="14" t="str"/>
    </x:row>
    <x:row r="32" ht="49" customHeight="1">
      <x:c r="A32" s="12" t="str">
        <x:v>SIDE-unc-equipe-disparue</x:v>
      </x:c>
      <x:c r="B32" s="7" t="str">
        <x:v>UNC Équipe disparue</x:v>
      </x:c>
      <x:c r="C32" s="10" t="str">
        <x:v>Défini</x:v>
      </x:c>
      <x:c r="D32" s="11" t="str">
        <x:v>À produire</x:v>
      </x:c>
      <x:c r="E32" s="9" t="str">
        <x:v>P1</x:v>
      </x:c>
      <x:c r="F32" s="9" t="str">
        <x:v>ME1</x:v>
      </x:c>
      <x:c r="G32" s="9" t="str">
        <x:v>Référence à vérifier</x:v>
      </x:c>
      <x:c r="H32" s="7" t="str">
        <x:v>Rechercher les hommes de Kahoku sur Edolus.</x:v>
      </x:c>
      <x:c r="I32" s="7" t="str">
        <x:v>Découverte et rapport avant la chaîne Cerberus.</x:v>
      </x:c>
      <x:c r="J32" s="7" t="str"/>
      <x:c r="K32" s="7" t="str">
        <x:v>content/side_quests/SIDE-unc-equipe-disparue.json</x:v>
      </x:c>
      <x:c r="L32" s="7" t="str"/>
      <x:c r="M32" s="7" t="str"/>
      <x:c r="N32" s="7" t="str">
        <x:v>Liste de couverture des affectations ; titres français et déclencheurs à recouper dans ME1.</x:v>
      </x:c>
      <x:c r="O32" s="7" t="str">
        <x:v>https://primagames.com/eguides/mass-effect-pc-eguide/walkthrough/spectre-assignments-noveria-and-feros/feros-assignments</x:v>
      </x:c>
      <x:c r="P32" s="7" t="str">
        <x:v>Production ME1</x:v>
      </x:c>
      <x:c r="Q32" s="7" t="str"/>
    </x:row>
    <x:row r="33" ht="49" customHeight="1">
      <x:c r="A33" s="13" t="str">
        <x:v>SIDE-unc-cerberus</x:v>
      </x:c>
      <x:c r="B33" s="14" t="str">
        <x:v>UNC Cerberus</x:v>
      </x:c>
      <x:c r="C33" s="10" t="str">
        <x:v>Défini</x:v>
      </x:c>
      <x:c r="D33" s="11" t="str">
        <x:v>À produire</x:v>
      </x:c>
      <x:c r="E33" s="15" t="str">
        <x:v>P1</x:v>
      </x:c>
      <x:c r="F33" s="15" t="str">
        <x:v>ME1</x:v>
      </x:c>
      <x:c r="G33" s="15" t="str">
        <x:v>Référence à vérifier</x:v>
      </x:c>
      <x:c r="H33" s="14" t="str">
        <x:v>Enquêter sur les installations clandestines.</x:v>
      </x:c>
      <x:c r="I33" s="14" t="str">
        <x:v>Ordre des bases et preuves contrôlé.</x:v>
      </x:c>
      <x:c r="J33" s="14" t="str"/>
      <x:c r="K33" s="14" t="str">
        <x:v>content/side_quests/SIDE-unc-cerberus.json</x:v>
      </x:c>
      <x:c r="L33" s="14" t="str"/>
      <x:c r="M33" s="14" t="str"/>
      <x:c r="N33" s="14" t="str">
        <x:v>Liste de couverture des affectations ; titres français et déclencheurs à recouper dans ME1.</x:v>
      </x:c>
      <x:c r="O33" s="14" t="str">
        <x:v>https://primagames.com/eguides/mass-effect-pc-eguide/walkthrough/spectre-assignments-noveria-and-feros/feros-assignments</x:v>
      </x:c>
      <x:c r="P33" s="14" t="str">
        <x:v>Production ME1</x:v>
      </x:c>
      <x:c r="Q33" s="14" t="str"/>
    </x:row>
    <x:row r="34" ht="49" customHeight="1">
      <x:c r="A34" s="12" t="str">
        <x:v>SIDE-unc-chiens-de-l-enfer</x:v>
      </x:c>
      <x:c r="B34" s="7" t="str">
        <x:v>UNC Chiens de l’enfer</x:v>
      </x:c>
      <x:c r="C34" s="10" t="str">
        <x:v>Défini</x:v>
      </x:c>
      <x:c r="D34" s="11" t="str">
        <x:v>À produire</x:v>
      </x:c>
      <x:c r="E34" s="9" t="str">
        <x:v>P1</x:v>
      </x:c>
      <x:c r="F34" s="9" t="str">
        <x:v>ME1</x:v>
      </x:c>
      <x:c r="G34" s="9" t="str">
        <x:v>Référence à vérifier</x:v>
      </x:c>
      <x:c r="H34" s="7" t="str">
        <x:v>Poursuivre la chaîne d’enquête Cerberus.</x:v>
      </x:c>
      <x:c r="I34" s="7" t="str">
        <x:v>Conditions issues de la mission précédente.</x:v>
      </x:c>
      <x:c r="J34" s="7" t="str"/>
      <x:c r="K34" s="7" t="str">
        <x:v>content/side_quests/SIDE-unc-chiens-de-l-enfer.json</x:v>
      </x:c>
      <x:c r="L34" s="7" t="str"/>
      <x:c r="M34" s="7" t="str"/>
      <x:c r="N34" s="7" t="str">
        <x:v>Liste de couverture des affectations ; titres français et déclencheurs à recouper dans ME1.</x:v>
      </x:c>
      <x:c r="O34" s="7" t="str">
        <x:v>https://primagames.com/eguides/mass-effect-pc-eguide/walkthrough/spectre-assignments-noveria-and-feros/feros-assignments</x:v>
      </x:c>
      <x:c r="P34" s="7" t="str">
        <x:v>Production ME1</x:v>
      </x:c>
      <x:c r="Q34" s="7" t="str"/>
    </x:row>
    <x:row r="35" ht="49" customHeight="1">
      <x:c r="A35" s="13" t="str">
        <x:v>SIDE-unc-scientifique-mort</x:v>
      </x:c>
      <x:c r="B35" s="14" t="str">
        <x:v>UNC Scientifique mort</x:v>
      </x:c>
      <x:c r="C35" s="10" t="str">
        <x:v>Défini</x:v>
      </x:c>
      <x:c r="D35" s="11" t="str">
        <x:v>À produire</x:v>
      </x:c>
      <x:c r="E35" s="15" t="str">
        <x:v>P1</x:v>
      </x:c>
      <x:c r="F35" s="15" t="str">
        <x:v>ME1</x:v>
      </x:c>
      <x:c r="G35" s="15" t="str">
        <x:v>Référence à vérifier</x:v>
      </x:c>
      <x:c r="H35" s="14" t="str">
        <x:v>Confronter la situation de Toombs.</x:v>
      </x:c>
      <x:c r="I35" s="14" t="str">
        <x:v>Réactions au passé de Shepard.</x:v>
      </x:c>
      <x:c r="J35" s="14" t="str"/>
      <x:c r="K35" s="14" t="str">
        <x:v>content/side_quests/SIDE-unc-scientifique-mort.json</x:v>
      </x:c>
      <x:c r="L35" s="14" t="str"/>
      <x:c r="M35" s="14" t="str"/>
      <x:c r="N35" s="14" t="str">
        <x:v>Liste de couverture des affectations ; titres français et déclencheurs à recouper dans ME1.</x:v>
      </x:c>
      <x:c r="O35" s="14" t="str">
        <x:v>https://primagames.com/eguides/mass-effect-pc-eguide/walkthrough/spectre-assignments-noveria-and-feros/feros-assignments</x:v>
      </x:c>
      <x:c r="P35" s="14" t="str">
        <x:v>Production ME1</x:v>
      </x:c>
      <x:c r="Q35" s="14" t="str"/>
    </x:row>
    <x:row r="36" ht="49" customHeight="1">
      <x:c r="A36" s="12" t="str">
        <x:v>SIDE-unc-scientifiques-disparus</x:v>
      </x:c>
      <x:c r="B36" s="7" t="str">
        <x:v>UNC Scientifiques disparus</x:v>
      </x:c>
      <x:c r="C36" s="10" t="str">
        <x:v>Défini</x:v>
      </x:c>
      <x:c r="D36" s="11" t="str">
        <x:v>À produire</x:v>
      </x:c>
      <x:c r="E36" s="9" t="str">
        <x:v>P1</x:v>
      </x:c>
      <x:c r="F36" s="9" t="str">
        <x:v>ME1</x:v>
      </x:c>
      <x:c r="G36" s="9" t="str">
        <x:v>Référence à vérifier</x:v>
      </x:c>
      <x:c r="H36" s="7" t="str">
        <x:v>Enquêter sur le camp de Trebin.</x:v>
      </x:c>
      <x:c r="I36" s="7" t="str">
        <x:v>Disparition et fouilles correctement reliées.</x:v>
      </x:c>
      <x:c r="J36" s="7" t="str"/>
      <x:c r="K36" s="7" t="str">
        <x:v>content/side_quests/SIDE-unc-scientifiques-disparus.json</x:v>
      </x:c>
      <x:c r="L36" s="7" t="str"/>
      <x:c r="M36" s="7" t="str"/>
      <x:c r="N36" s="7" t="str">
        <x:v>Liste de couverture des affectations ; titres français et déclencheurs à recouper dans ME1.</x:v>
      </x:c>
      <x:c r="O36" s="7" t="str">
        <x:v>https://primagames.com/eguides/mass-effect-pc-eguide/walkthrough/spectre-assignments-noveria-and-feros/feros-assignments</x:v>
      </x:c>
      <x:c r="P36" s="7" t="str">
        <x:v>Production ME1</x:v>
      </x:c>
      <x:c r="Q36" s="7" t="str"/>
    </x:row>
    <x:row r="37" ht="49" customHeight="1">
      <x:c r="A37" s="13" t="str">
        <x:v>SIDE-unc-colonie-des-morts</x:v>
      </x:c>
      <x:c r="B37" s="14" t="str">
        <x:v>UNC Colonie des morts</x:v>
      </x:c>
      <x:c r="C37" s="10" t="str">
        <x:v>Défini</x:v>
      </x:c>
      <x:c r="D37" s="11" t="str">
        <x:v>À produire</x:v>
      </x:c>
      <x:c r="E37" s="15" t="str">
        <x:v>P1</x:v>
      </x:c>
      <x:c r="F37" s="15" t="str">
        <x:v>ME1</x:v>
      </x:c>
      <x:c r="G37" s="15" t="str">
        <x:v>Référence à vérifier</x:v>
      </x:c>
      <x:c r="H37" s="14" t="str">
        <x:v>Enquêter sur Chasca.</x:v>
      </x:c>
      <x:c r="I37" s="14" t="str">
        <x:v>Terminaux et husks sans contradiction d’état.</x:v>
      </x:c>
      <x:c r="J37" s="14" t="str"/>
      <x:c r="K37" s="14" t="str">
        <x:v>content/side_quests/SIDE-unc-colonie-des-morts.json</x:v>
      </x:c>
      <x:c r="L37" s="14" t="str"/>
      <x:c r="M37" s="14" t="str"/>
      <x:c r="N37" s="14" t="str">
        <x:v>Liste de couverture des affectations ; titres français et déclencheurs à recouper dans ME1.</x:v>
      </x:c>
      <x:c r="O37" s="14" t="str">
        <x:v>https://primagames.com/eguides/mass-effect-pc-eguide/walkthrough/spectre-assignments-noveria-and-feros/feros-assignments</x:v>
      </x:c>
      <x:c r="P37" s="14" t="str">
        <x:v>Production ME1</x:v>
      </x:c>
      <x:c r="Q37" s="14" t="str"/>
    </x:row>
    <x:row r="38" ht="49" customHeight="1">
      <x:c r="A38" s="12" t="str">
        <x:v>SIDE-unc-module-de-donnees</x:v>
      </x:c>
      <x:c r="B38" s="7" t="str">
        <x:v>UNC Module de données</x:v>
      </x:c>
      <x:c r="C38" s="10" t="str">
        <x:v>Défini</x:v>
      </x:c>
      <x:c r="D38" s="11" t="str">
        <x:v>À produire</x:v>
      </x:c>
      <x:c r="E38" s="9" t="str">
        <x:v>P1</x:v>
      </x:c>
      <x:c r="F38" s="9" t="str">
        <x:v>ME1</x:v>
      </x:c>
      <x:c r="G38" s="9" t="str">
        <x:v>Référence à vérifier</x:v>
      </x:c>
      <x:c r="H38" s="7" t="str">
        <x:v>Récupérer l’objet sur Eletania.</x:v>
      </x:c>
      <x:c r="I38" s="7" t="str">
        <x:v>Faune et choix de méthode conservés.</x:v>
      </x:c>
      <x:c r="J38" s="7" t="str"/>
      <x:c r="K38" s="7" t="str">
        <x:v>content/side_quests/SIDE-unc-module-de-donnees.json</x:v>
      </x:c>
      <x:c r="L38" s="7" t="str"/>
      <x:c r="M38" s="7" t="str"/>
      <x:c r="N38" s="7" t="str">
        <x:v>Liste de couverture des affectations ; titres français et déclencheurs à recouper dans ME1.</x:v>
      </x:c>
      <x:c r="O38" s="7" t="str">
        <x:v>https://primagames.com/eguides/mass-effect-pc-eguide/walkthrough/spectre-assignments-noveria-and-feros/feros-assignments</x:v>
      </x:c>
      <x:c r="P38" s="7" t="str">
        <x:v>Production ME1</x:v>
      </x:c>
      <x:c r="Q38" s="7" t="str"/>
    </x:row>
    <x:row r="39" ht="49" customHeight="1">
      <x:c r="A39" s="13" t="str">
        <x:v>SIDE-unc-ia-rebelle</x:v>
      </x:c>
      <x:c r="B39" s="14" t="str">
        <x:v>UNC IA rebelle</x:v>
      </x:c>
      <x:c r="C39" s="10" t="str">
        <x:v>Défini</x:v>
      </x:c>
      <x:c r="D39" s="11" t="str">
        <x:v>À produire</x:v>
      </x:c>
      <x:c r="E39" s="15" t="str">
        <x:v>P1</x:v>
      </x:c>
      <x:c r="F39" s="15" t="str">
        <x:v>ME1</x:v>
      </x:c>
      <x:c r="G39" s="15" t="str">
        <x:v>Référence à vérifier</x:v>
      </x:c>
      <x:c r="H39" s="14" t="str">
        <x:v>Affronter l’installation d’entraînement de Luna.</x:v>
      </x:c>
      <x:c r="I39" s="14" t="str">
        <x:v>Récompense de spécialisation reliée à la fin.</x:v>
      </x:c>
      <x:c r="J39" s="14" t="str"/>
      <x:c r="K39" s="14" t="str">
        <x:v>content/side_quests/SIDE-unc-ia-rebelle.json</x:v>
      </x:c>
      <x:c r="L39" s="14" t="str"/>
      <x:c r="M39" s="14" t="str"/>
      <x:c r="N39" s="14" t="str">
        <x:v>Liste de couverture des affectations ; titres français et déclencheurs à recouper dans ME1.</x:v>
      </x:c>
      <x:c r="O39" s="14" t="str">
        <x:v>https://primagames.com/eguides/mass-effect-pc-eguide/walkthrough/spectre-assignments-noveria-and-feros/feros-assignments</x:v>
      </x:c>
      <x:c r="P39" s="14" t="str">
        <x:v>Production ME1</x:v>
      </x:c>
      <x:c r="Q39" s="14" t="str"/>
    </x:row>
    <x:row r="40" ht="49" customHeight="1">
      <x:c r="A40" s="12" t="str">
        <x:v>SIDE-unc-prise-d-otage</x:v>
      </x:c>
      <x:c r="B40" s="7" t="str">
        <x:v>UNC Prise d’otage</x:v>
      </x:c>
      <x:c r="C40" s="10" t="str">
        <x:v>Défini</x:v>
      </x:c>
      <x:c r="D40" s="11" t="str">
        <x:v>À produire</x:v>
      </x:c>
      <x:c r="E40" s="9" t="str">
        <x:v>P1</x:v>
      </x:c>
      <x:c r="F40" s="9" t="str">
        <x:v>ME1</x:v>
      </x:c>
      <x:c r="G40" s="9" t="str">
        <x:v>Référence à vérifier</x:v>
      </x:c>
      <x:c r="H40" s="7" t="str">
        <x:v>Résoudre une crise biotique.</x:v>
      </x:c>
      <x:c r="I40" s="7" t="str">
        <x:v>Négociation possible avant le combat.</x:v>
      </x:c>
      <x:c r="J40" s="7" t="str"/>
      <x:c r="K40" s="7" t="str">
        <x:v>content/side_quests/SIDE-unc-prise-d-otage.json</x:v>
      </x:c>
      <x:c r="L40" s="7" t="str"/>
      <x:c r="M40" s="7" t="str"/>
      <x:c r="N40" s="7" t="str">
        <x:v>Liste de couverture des affectations ; titres français et déclencheurs à recouper dans ME1.</x:v>
      </x:c>
      <x:c r="O40" s="7" t="str">
        <x:v>https://primagames.com/eguides/mass-effect-pc-eguide/walkthrough/spectre-assignments-noveria-and-feros/feros-assignments</x:v>
      </x:c>
      <x:c r="P40" s="7" t="str">
        <x:v>Production ME1</x:v>
      </x:c>
      <x:c r="Q40" s="7" t="str"/>
    </x:row>
    <x:row r="41" ht="49" customHeight="1">
      <x:c r="A41" s="13" t="str">
        <x:v>SIDE-unc-major-kyle</x:v>
      </x:c>
      <x:c r="B41" s="14" t="str">
        <x:v>UNC Major Kyle</x:v>
      </x:c>
      <x:c r="C41" s="10" t="str">
        <x:v>Défini</x:v>
      </x:c>
      <x:c r="D41" s="11" t="str">
        <x:v>À produire</x:v>
      </x:c>
      <x:c r="E41" s="15" t="str">
        <x:v>P1</x:v>
      </x:c>
      <x:c r="F41" s="15" t="str">
        <x:v>ME1</x:v>
      </x:c>
      <x:c r="G41" s="15" t="str">
        <x:v>Référence à vérifier</x:v>
      </x:c>
      <x:c r="H41" s="14" t="str">
        <x:v>Approcher le groupe du Major Kyle.</x:v>
      </x:c>
      <x:c r="I41" s="14" t="str">
        <x:v>Voie pacifique complète disponible.</x:v>
      </x:c>
      <x:c r="J41" s="14" t="str"/>
      <x:c r="K41" s="14" t="str">
        <x:v>content/side_quests/SIDE-unc-major-kyle.json</x:v>
      </x:c>
      <x:c r="L41" s="14" t="str"/>
      <x:c r="M41" s="14" t="str"/>
      <x:c r="N41" s="14" t="str">
        <x:v>Liste de couverture des affectations ; titres français et déclencheurs à recouper dans ME1.</x:v>
      </x:c>
      <x:c r="O41" s="14" t="str">
        <x:v>https://primagames.com/eguides/mass-effect-pc-eguide/walkthrough/spectre-assignments-noveria-and-feros/feros-assignments</x:v>
      </x:c>
      <x:c r="P41" s="14" t="str">
        <x:v>Production ME1</x:v>
      </x:c>
      <x:c r="Q41" s="14" t="str"/>
    </x:row>
    <x:row r="42" ht="49" customHeight="1">
      <x:c r="A42" s="12" t="str">
        <x:v>SIDE-unc-base-assiegee</x:v>
      </x:c>
      <x:c r="B42" s="7" t="str">
        <x:v>UNC Base assiégée</x:v>
      </x:c>
      <x:c r="C42" s="10" t="str">
        <x:v>Défini</x:v>
      </x:c>
      <x:c r="D42" s="11" t="str">
        <x:v>À produire</x:v>
      </x:c>
      <x:c r="E42" s="9" t="str">
        <x:v>P1</x:v>
      </x:c>
      <x:c r="F42" s="9" t="str">
        <x:v>ME1</x:v>
      </x:c>
      <x:c r="G42" s="9" t="str">
        <x:v>Référence à vérifier</x:v>
      </x:c>
      <x:c r="H42" s="7" t="str">
        <x:v>Secourir des civils sous contrainte.</x:v>
      </x:c>
      <x:c r="I42" s="7" t="str">
        <x:v>Dégâts collatéraux influencent l’issue.</x:v>
      </x:c>
      <x:c r="J42" s="7" t="str"/>
      <x:c r="K42" s="7" t="str">
        <x:v>content/side_quests/SIDE-unc-base-assiegee.json</x:v>
      </x:c>
      <x:c r="L42" s="7" t="str"/>
      <x:c r="M42" s="7" t="str"/>
      <x:c r="N42" s="7" t="str">
        <x:v>Liste de couverture des affectations ; titres français et déclencheurs à recouper dans ME1.</x:v>
      </x:c>
      <x:c r="O42" s="7" t="str">
        <x:v>https://primagames.com/eguides/mass-effect-pc-eguide/walkthrough/spectre-assignments-noveria-and-feros/feros-assignments</x:v>
      </x:c>
      <x:c r="P42" s="7" t="str">
        <x:v>Production ME1</x:v>
      </x:c>
      <x:c r="Q42" s="7" t="str"/>
    </x:row>
    <x:row r="43" ht="49" customHeight="1">
      <x:c r="A43" s="13" t="str">
        <x:v>SIDE-unc-negociation</x:v>
      </x:c>
      <x:c r="B43" s="14" t="str">
        <x:v>UNC Négociation</x:v>
      </x:c>
      <x:c r="C43" s="10" t="str">
        <x:v>Défini</x:v>
      </x:c>
      <x:c r="D43" s="11" t="str">
        <x:v>À produire</x:v>
      </x:c>
      <x:c r="E43" s="15" t="str">
        <x:v>P1</x:v>
      </x:c>
      <x:c r="F43" s="15" t="str">
        <x:v>ME1</x:v>
      </x:c>
      <x:c r="G43" s="15" t="str">
        <x:v>Référence à vérifier</x:v>
      </x:c>
      <x:c r="H43" s="14" t="str">
        <x:v>Mission de contact avec un chef local.</x:v>
      </x:c>
      <x:c r="I43" s="14" t="str">
        <x:v>Déblocage moral à vérifier.</x:v>
      </x:c>
      <x:c r="J43" s="14" t="str"/>
      <x:c r="K43" s="14" t="str">
        <x:v>content/side_quests/SIDE-unc-negociation.json</x:v>
      </x:c>
      <x:c r="L43" s="14" t="str"/>
      <x:c r="M43" s="14" t="str"/>
      <x:c r="N43" s="14" t="str">
        <x:v>Liste de couverture des affectations ; titres français et déclencheurs à recouper dans ME1.</x:v>
      </x:c>
      <x:c r="O43" s="14" t="str">
        <x:v>https://primagames.com/eguides/mass-effect-pc-eguide/walkthrough/spectre-assignments-noveria-and-feros/feros-assignments</x:v>
      </x:c>
      <x:c r="P43" s="14" t="str">
        <x:v>Production ME1</x:v>
      </x:c>
      <x:c r="Q43" s="14" t="str"/>
    </x:row>
    <x:row r="44" ht="49" customHeight="1">
      <x:c r="A44" s="12" t="str">
        <x:v>SIDE-unc-sonde-d-espionnage</x:v>
      </x:c>
      <x:c r="B44" s="7" t="str">
        <x:v>UNC Sonde d’espionnage</x:v>
      </x:c>
      <x:c r="C44" s="10" t="str">
        <x:v>Défini</x:v>
      </x:c>
      <x:c r="D44" s="11" t="str">
        <x:v>À produire</x:v>
      </x:c>
      <x:c r="E44" s="9" t="str">
        <x:v>P1</x:v>
      </x:c>
      <x:c r="F44" s="9" t="str">
        <x:v>ME1</x:v>
      </x:c>
      <x:c r="G44" s="9" t="str">
        <x:v>Référence à vérifier</x:v>
      </x:c>
      <x:c r="H44" s="7" t="str">
        <x:v>Désamorcer un piège sur Agebinium.</x:v>
      </x:c>
      <x:c r="I44" s="7" t="str">
        <x:v>Temps suspendu pendant interaction selon règle retenue.</x:v>
      </x:c>
      <x:c r="J44" s="7" t="str"/>
      <x:c r="K44" s="7" t="str">
        <x:v>content/side_quests/SIDE-unc-sonde-d-espionnage.json</x:v>
      </x:c>
      <x:c r="L44" s="7" t="str"/>
      <x:c r="M44" s="7" t="str"/>
      <x:c r="N44" s="7" t="str">
        <x:v>Liste de couverture des affectations ; titres français et déclencheurs à recouper dans ME1.</x:v>
      </x:c>
      <x:c r="O44" s="7" t="str">
        <x:v>https://primagames.com/eguides/mass-effect-pc-eguide/walkthrough/spectre-assignments-noveria-and-feros/feros-assignments</x:v>
      </x:c>
      <x:c r="P44" s="7" t="str">
        <x:v>Production ME1</x:v>
      </x:c>
      <x:c r="Q44" s="7" t="str"/>
    </x:row>
    <x:row r="45" ht="49" customHeight="1">
      <x:c r="A45" s="13" t="str">
        <x:v>SIDE-unc-crime-organise</x:v>
      </x:c>
      <x:c r="B45" s="14" t="str">
        <x:v>UNC Crime organisé</x:v>
      </x:c>
      <x:c r="C45" s="10" t="str">
        <x:v>Défini</x:v>
      </x:c>
      <x:c r="D45" s="11" t="str">
        <x:v>À produire</x:v>
      </x:c>
      <x:c r="E45" s="15" t="str">
        <x:v>P1</x:v>
      </x:c>
      <x:c r="F45" s="15" t="str">
        <x:v>ME1</x:v>
      </x:c>
      <x:c r="G45" s="15" t="str">
        <x:v>Référence à vérifier</x:v>
      </x:c>
      <x:c r="H45" s="14" t="str">
        <x:v>Traiter les deux chefs puis Helena Blake.</x:v>
      </x:c>
      <x:c r="I45" s="14" t="str">
        <x:v>Trois lieux et possibilité de persuasion liés.</x:v>
      </x:c>
      <x:c r="J45" s="14" t="str"/>
      <x:c r="K45" s="14" t="str">
        <x:v>content/side_quests/SIDE-unc-crime-organise.json</x:v>
      </x:c>
      <x:c r="L45" s="14" t="str"/>
      <x:c r="M45" s="14" t="str"/>
      <x:c r="N45" s="14" t="str">
        <x:v>Liste de couverture des affectations ; titres français et déclencheurs à recouper dans ME1.</x:v>
      </x:c>
      <x:c r="O45" s="14" t="str">
        <x:v>https://primagames.com/eguides/mass-effect-pc-eguide/walkthrough/spectre-assignments-noveria-and-feros/feros-assignments</x:v>
      </x:c>
      <x:c r="P45" s="14" t="str">
        <x:v>Production ME1</x:v>
      </x:c>
      <x:c r="Q45" s="14" t="str"/>
    </x:row>
    <x:row r="46" ht="49" customHeight="1">
      <x:c r="A46" s="12" t="str">
        <x:v>SIDE-unc-s-ur-de-nassana</x:v>
      </x:c>
      <x:c r="B46" s="7" t="str">
        <x:v>UNC Sœur de Nassana</x:v>
      </x:c>
      <x:c r="C46" s="10" t="str">
        <x:v>Défini</x:v>
      </x:c>
      <x:c r="D46" s="11" t="str">
        <x:v>À produire</x:v>
      </x:c>
      <x:c r="E46" s="9" t="str">
        <x:v>P1</x:v>
      </x:c>
      <x:c r="F46" s="9" t="str">
        <x:v>ME1</x:v>
      </x:c>
      <x:c r="G46" s="9" t="str">
        <x:v>Référence à vérifier</x:v>
      </x:c>
      <x:c r="H46" s="7" t="str">
        <x:v>Découvrir le mensonge de la commanditaire.</x:v>
      </x:c>
      <x:c r="I46" s="7" t="str">
        <x:v>Documents et confrontation finale pris en compte.</x:v>
      </x:c>
      <x:c r="J46" s="7" t="str"/>
      <x:c r="K46" s="7" t="str">
        <x:v>content/side_quests/SIDE-unc-s-ur-de-nassana.json</x:v>
      </x:c>
      <x:c r="L46" s="7" t="str"/>
      <x:c r="M46" s="7" t="str"/>
      <x:c r="N46" s="7" t="str">
        <x:v>Liste de couverture des affectations ; titres français et déclencheurs à recouper dans ME1.</x:v>
      </x:c>
      <x:c r="O46" s="7" t="str">
        <x:v>https://primagames.com/eguides/mass-effect-pc-eguide/walkthrough/spectre-assignments-noveria-and-feros/feros-assignments</x:v>
      </x:c>
      <x:c r="P46" s="7" t="str">
        <x:v>Production ME1</x:v>
      </x:c>
      <x:c r="Q46" s="7" t="str"/>
    </x:row>
    <x:row r="47" ht="49" customHeight="1">
      <x:c r="A47" s="13" t="str">
        <x:v>SIDE-unc-incursions-geth-antibaar</x:v>
      </x:c>
      <x:c r="B47" s="14" t="str">
        <x:v>UNC Incursions geth Antibaar</x:v>
      </x:c>
      <x:c r="C47" s="10" t="str">
        <x:v>Défini</x:v>
      </x:c>
      <x:c r="D47" s="11" t="str">
        <x:v>À produire</x:v>
      </x:c>
      <x:c r="E47" s="15" t="str">
        <x:v>P1</x:v>
      </x:c>
      <x:c r="F47" s="15" t="str">
        <x:v>ME1</x:v>
      </x:c>
      <x:c r="G47" s="15" t="str">
        <x:v>Référence à vérifier</x:v>
      </x:c>
      <x:c r="H47" s="14" t="str">
        <x:v>Neutraliser un avant-poste.</x:v>
      </x:c>
      <x:c r="I47" s="14" t="str">
        <x:v>Progression par base persistante.</x:v>
      </x:c>
      <x:c r="J47" s="14" t="str"/>
      <x:c r="K47" s="14" t="str">
        <x:v>content/side_quests/SIDE-unc-incursions-geth-antibaar.json</x:v>
      </x:c>
      <x:c r="L47" s="14" t="str"/>
      <x:c r="M47" s="14" t="str"/>
      <x:c r="N47" s="14" t="str">
        <x:v>Liste de couverture des affectations ; titres français et déclencheurs à recouper dans ME1.</x:v>
      </x:c>
      <x:c r="O47" s="14" t="str">
        <x:v>https://primagames.com/eguides/mass-effect-pc-eguide/walkthrough/spectre-assignments-noveria-and-feros/feros-assignments</x:v>
      </x:c>
      <x:c r="P47" s="14" t="str">
        <x:v>Production ME1</x:v>
      </x:c>
      <x:c r="Q47" s="14" t="str"/>
    </x:row>
    <x:row r="48" ht="49" customHeight="1">
      <x:c r="A48" s="12" t="str">
        <x:v>SIDE-unc-incursions-geth-casbin</x:v>
      </x:c>
      <x:c r="B48" s="7" t="str">
        <x:v>UNC Incursions geth Casbin</x:v>
      </x:c>
      <x:c r="C48" s="10" t="str">
        <x:v>Défini</x:v>
      </x:c>
      <x:c r="D48" s="11" t="str">
        <x:v>À produire</x:v>
      </x:c>
      <x:c r="E48" s="9" t="str">
        <x:v>P1</x:v>
      </x:c>
      <x:c r="F48" s="9" t="str">
        <x:v>ME1</x:v>
      </x:c>
      <x:c r="G48" s="9" t="str">
        <x:v>Référence à vérifier</x:v>
      </x:c>
      <x:c r="H48" s="7" t="str">
        <x:v>Neutraliser les défenses geth.</x:v>
      </x:c>
      <x:c r="I48" s="7" t="str">
        <x:v>Débarquement et renforts documentés.</x:v>
      </x:c>
      <x:c r="J48" s="7" t="str"/>
      <x:c r="K48" s="7" t="str">
        <x:v>content/side_quests/SIDE-unc-incursions-geth-casbin.json</x:v>
      </x:c>
      <x:c r="L48" s="7" t="str"/>
      <x:c r="M48" s="7" t="str"/>
      <x:c r="N48" s="7" t="str">
        <x:v>Liste de couverture des affectations ; titres français et déclencheurs à recouper dans ME1.</x:v>
      </x:c>
      <x:c r="O48" s="7" t="str">
        <x:v>https://primagames.com/eguides/mass-effect-pc-eguide/walkthrough/spectre-assignments-noveria-and-feros/feros-assignments</x:v>
      </x:c>
      <x:c r="P48" s="7" t="str">
        <x:v>Production ME1</x:v>
      </x:c>
      <x:c r="Q48" s="7" t="str"/>
    </x:row>
    <x:row r="49" ht="49" customHeight="1">
      <x:c r="A49" s="13" t="str">
        <x:v>SIDE-unc-incursions-geth-maji</x:v>
      </x:c>
      <x:c r="B49" s="14" t="str">
        <x:v>UNC Incursions geth Maji</x:v>
      </x:c>
      <x:c r="C49" s="10" t="str">
        <x:v>Défini</x:v>
      </x:c>
      <x:c r="D49" s="11" t="str">
        <x:v>À produire</x:v>
      </x:c>
      <x:c r="E49" s="15" t="str">
        <x:v>P1</x:v>
      </x:c>
      <x:c r="F49" s="15" t="str">
        <x:v>ME1</x:v>
      </x:c>
      <x:c r="G49" s="15" t="str">
        <x:v>Référence à vérifier</x:v>
      </x:c>
      <x:c r="H49" s="14" t="str">
        <x:v>Traiter le poste geth.</x:v>
      </x:c>
      <x:c r="I49" s="14" t="str">
        <x:v>Terrain et route Mako relevés.</x:v>
      </x:c>
      <x:c r="J49" s="14" t="str"/>
      <x:c r="K49" s="14" t="str">
        <x:v>content/side_quests/SIDE-unc-incursions-geth-maji.json</x:v>
      </x:c>
      <x:c r="L49" s="14" t="str"/>
      <x:c r="M49" s="14" t="str"/>
      <x:c r="N49" s="14" t="str">
        <x:v>Liste de couverture des affectations ; titres français et déclencheurs à recouper dans ME1.</x:v>
      </x:c>
      <x:c r="O49" s="14" t="str">
        <x:v>https://primagames.com/eguides/mass-effect-pc-eguide/walkthrough/spectre-assignments-noveria-and-feros/feros-assignments</x:v>
      </x:c>
      <x:c r="P49" s="14" t="str">
        <x:v>Production ME1</x:v>
      </x:c>
      <x:c r="Q49" s="14" t="str"/>
    </x:row>
    <x:row r="50" ht="49" customHeight="1">
      <x:c r="A50" s="12" t="str">
        <x:v>SIDE-unc-incursions-geth-rayingri</x:v>
      </x:c>
      <x:c r="B50" s="7" t="str">
        <x:v>UNC Incursions geth Rayingri</x:v>
      </x:c>
      <x:c r="C50" s="10" t="str">
        <x:v>Défini</x:v>
      </x:c>
      <x:c r="D50" s="11" t="str">
        <x:v>À produire</x:v>
      </x:c>
      <x:c r="E50" s="9" t="str">
        <x:v>P1</x:v>
      </x:c>
      <x:c r="F50" s="9" t="str">
        <x:v>ME1</x:v>
      </x:c>
      <x:c r="G50" s="9" t="str">
        <x:v>Référence à vérifier</x:v>
      </x:c>
      <x:c r="H50" s="7" t="str">
        <x:v>Explorer l’installation ennemie.</x:v>
      </x:c>
      <x:c r="I50" s="7" t="str">
        <x:v>Embuscade et sortie documentées.</x:v>
      </x:c>
      <x:c r="J50" s="7" t="str"/>
      <x:c r="K50" s="7" t="str">
        <x:v>content/side_quests/SIDE-unc-incursions-geth-rayingri.json</x:v>
      </x:c>
      <x:c r="L50" s="7" t="str"/>
      <x:c r="M50" s="7" t="str"/>
      <x:c r="N50" s="7" t="str">
        <x:v>Liste de couverture des affectations ; titres français et déclencheurs à recouper dans ME1.</x:v>
      </x:c>
      <x:c r="O50" s="7" t="str">
        <x:v>https://primagames.com/eguides/mass-effect-pc-eguide/walkthrough/spectre-assignments-noveria-and-feros/feros-assignments</x:v>
      </x:c>
      <x:c r="P50" s="7" t="str">
        <x:v>Production ME1</x:v>
      </x:c>
      <x:c r="Q50" s="7" t="str"/>
    </x:row>
    <x:row r="51" ht="49" customHeight="1">
      <x:c r="A51" s="13" t="str">
        <x:v>SIDE-unc-incursions-geth-solcrum</x:v>
      </x:c>
      <x:c r="B51" s="14" t="str">
        <x:v>UNC Incursions geth Solcrum</x:v>
      </x:c>
      <x:c r="C51" s="10" t="str">
        <x:v>Défini</x:v>
      </x:c>
      <x:c r="D51" s="11" t="str">
        <x:v>À produire</x:v>
      </x:c>
      <x:c r="E51" s="15" t="str">
        <x:v>P1</x:v>
      </x:c>
      <x:c r="F51" s="15" t="str">
        <x:v>ME1</x:v>
      </x:c>
      <x:c r="G51" s="15" t="str">
        <x:v>Référence à vérifier</x:v>
      </x:c>
      <x:c r="H51" s="14" t="str">
        <x:v>Conclure les incursions et récupérer des données.</x:v>
      </x:c>
      <x:c r="I51" s="14" t="str">
        <x:v>Option de remise des données à Tali.</x:v>
      </x:c>
      <x:c r="J51" s="14" t="str"/>
      <x:c r="K51" s="14" t="str">
        <x:v>content/side_quests/SIDE-unc-incursions-geth-solcrum.json</x:v>
      </x:c>
      <x:c r="L51" s="14" t="str"/>
      <x:c r="M51" s="14" t="str"/>
      <x:c r="N51" s="14" t="str">
        <x:v>Liste de couverture des affectations ; titres français et déclencheurs à recouper dans ME1.</x:v>
      </x:c>
      <x:c r="O51" s="14" t="str">
        <x:v>https://primagames.com/eguides/mass-effect-pc-eguide/walkthrough/spectre-assignments-noveria-and-feros/feros-assignments</x:v>
      </x:c>
      <x:c r="P51" s="14" t="str">
        <x:v>Production ME1</x:v>
      </x:c>
      <x:c r="Q51" s="14" t="str"/>
    </x:row>
    <x:row r="52" ht="49" customHeight="1">
      <x:c r="A52" s="12" t="str">
        <x:v>SIDE-garrus-dr-saleon</x:v>
      </x:c>
      <x:c r="B52" s="7" t="str">
        <x:v>Garrus Dr Saleon</x:v>
      </x:c>
      <x:c r="C52" s="10" t="str">
        <x:v>Défini</x:v>
      </x:c>
      <x:c r="D52" s="11" t="str">
        <x:v>À produire</x:v>
      </x:c>
      <x:c r="E52" s="9" t="str">
        <x:v>P1</x:v>
      </x:c>
      <x:c r="F52" s="9" t="str">
        <x:v>ME1</x:v>
      </x:c>
      <x:c r="G52" s="9" t="str">
        <x:v>Référence à vérifier</x:v>
      </x:c>
      <x:c r="H52" s="7" t="str">
        <x:v>Poursuivre le suspect du passé de Garrus.</x:v>
      </x:c>
      <x:c r="I52" s="7" t="str">
        <x:v>Influence de Shepard sur sa décision.</x:v>
      </x:c>
      <x:c r="J52" s="7" t="str"/>
      <x:c r="K52" s="7" t="str">
        <x:v>content/side_quests/SIDE-garrus-dr-saleon.json</x:v>
      </x:c>
      <x:c r="L52" s="7" t="str"/>
      <x:c r="M52" s="7" t="str"/>
      <x:c r="N52" s="7" t="str">
        <x:v>Liste de couverture des affectations ; titres français et déclencheurs à recouper dans ME1.</x:v>
      </x:c>
      <x:c r="O52" s="7" t="str">
        <x:v>https://primagames.com/eguides/mass-effect-pc-eguide/walkthrough/spectre-assignments-noveria-and-feros/feros-assignments</x:v>
      </x:c>
      <x:c r="P52" s="7" t="str">
        <x:v>Production ME1</x:v>
      </x:c>
      <x:c r="Q52" s="7" t="str"/>
    </x:row>
    <x:row r="53" ht="49" customHeight="1">
      <x:c r="A53" s="13" t="str">
        <x:v>SIDE-wrex-armure-familiale</x:v>
      </x:c>
      <x:c r="B53" s="14" t="str">
        <x:v>Wrex Armure familiale</x:v>
      </x:c>
      <x:c r="C53" s="10" t="str">
        <x:v>Défini</x:v>
      </x:c>
      <x:c r="D53" s="11" t="str">
        <x:v>À produire</x:v>
      </x:c>
      <x:c r="E53" s="15" t="str">
        <x:v>P1</x:v>
      </x:c>
      <x:c r="F53" s="15" t="str">
        <x:v>ME1</x:v>
      </x:c>
      <x:c r="G53" s="15" t="str">
        <x:v>Référence à vérifier</x:v>
      </x:c>
      <x:c r="H53" s="14" t="str">
        <x:v>Retrouver l’armure de Wrex.</x:v>
      </x:c>
      <x:c r="I53" s="14" t="str">
        <x:v>État utilisé dans son conflit de Virmire.</x:v>
      </x:c>
      <x:c r="J53" s="14" t="str"/>
      <x:c r="K53" s="14" t="str">
        <x:v>content/side_quests/SIDE-wrex-armure-familiale.json</x:v>
      </x:c>
      <x:c r="L53" s="14" t="str"/>
      <x:c r="M53" s="14" t="str"/>
      <x:c r="N53" s="14" t="str">
        <x:v>Liste de couverture des affectations ; titres français et déclencheurs à recouper dans ME1.</x:v>
      </x:c>
      <x:c r="O53" s="14" t="str">
        <x:v>https://primagames.com/eguides/mass-effect-pc-eguide/walkthrough/spectre-assignments-noveria-and-feros/feros-assignments</x:v>
      </x:c>
      <x:c r="P53" s="14" t="str">
        <x:v>Production ME1</x:v>
      </x:c>
      <x:c r="Q53" s="14" t="str"/>
    </x:row>
    <x:row r="54" ht="49" customHeight="1">
      <x:c r="A54" s="12" t="str">
        <x:v>SIDE-tali-pelerinage</x:v>
      </x:c>
      <x:c r="B54" s="7" t="str">
        <x:v>Tali Pèlerinage</x:v>
      </x:c>
      <x:c r="C54" s="10" t="str">
        <x:v>Défini</x:v>
      </x:c>
      <x:c r="D54" s="11" t="str">
        <x:v>À produire</x:v>
      </x:c>
      <x:c r="E54" s="9" t="str">
        <x:v>P1</x:v>
      </x:c>
      <x:c r="F54" s="9" t="str">
        <x:v>ME1</x:v>
      </x:c>
      <x:c r="G54" s="9" t="str">
        <x:v>Référence à vérifier</x:v>
      </x:c>
      <x:c r="H54" s="7" t="str">
        <x:v>Remettre ou conserver les données geth.</x:v>
      </x:c>
      <x:c r="I54" s="7" t="str">
        <x:v>Réaction et mémoire de relation persistantes.</x:v>
      </x:c>
      <x:c r="J54" s="7" t="str"/>
      <x:c r="K54" s="7" t="str">
        <x:v>content/side_quests/SIDE-tali-pelerinage.json</x:v>
      </x:c>
      <x:c r="L54" s="7" t="str"/>
      <x:c r="M54" s="7" t="str"/>
      <x:c r="N54" s="7" t="str">
        <x:v>Liste de couverture des affectations ; titres français et déclencheurs à recouper dans ME1.</x:v>
      </x:c>
      <x:c r="O54" s="7" t="str">
        <x:v>https://primagames.com/eguides/mass-effect-pc-eguide/walkthrough/spectre-assignments-noveria-and-feros/feros-assignments</x:v>
      </x:c>
      <x:c r="P54" s="7" t="str">
        <x:v>Production ME1</x:v>
      </x:c>
      <x:c r="Q54" s="7" t="str"/>
    </x:row>
    <x:row r="55" ht="49" customHeight="1">
      <x:c r="A55" s="13" t="str">
        <x:v>SIDE-unc-cargo-disparu</x:v>
      </x:c>
      <x:c r="B55" s="14" t="str">
        <x:v>UNC Cargo disparu</x:v>
      </x:c>
      <x:c r="C55" s="10" t="str">
        <x:v>Défini</x:v>
      </x:c>
      <x:c r="D55" s="11" t="str">
        <x:v>À produire</x:v>
      </x:c>
      <x:c r="E55" s="15" t="str">
        <x:v>P1</x:v>
      </x:c>
      <x:c r="F55" s="15" t="str">
        <x:v>ME1</x:v>
      </x:c>
      <x:c r="G55" s="15" t="str">
        <x:v>Référence à vérifier</x:v>
      </x:c>
      <x:c r="H55" s="14" t="str">
        <x:v>Enquêter sur le vaisseau et la planète liée.</x:v>
      </x:c>
      <x:c r="I55" s="14" t="str">
        <x:v>Accès aux deux zones et résolution contrôlés.</x:v>
      </x:c>
      <x:c r="J55" s="14" t="str"/>
      <x:c r="K55" s="14" t="str">
        <x:v>content/side_quests/SIDE-unc-cargo-disparu.json</x:v>
      </x:c>
      <x:c r="L55" s="14" t="str"/>
      <x:c r="M55" s="14" t="str"/>
      <x:c r="N55" s="14" t="str">
        <x:v>Liste de couverture des affectations ; titres français et déclencheurs à recouper dans ME1.</x:v>
      </x:c>
      <x:c r="O55" s="14" t="str">
        <x:v>https://primagames.com/eguides/mass-effect-pc-eguide/walkthrough/spectre-assignments-noveria-and-feros/feros-assignments</x:v>
      </x:c>
      <x:c r="P55" s="14" t="str">
        <x:v>Production ME1</x:v>
      </x:c>
      <x:c r="Q55" s="14" t="str"/>
    </x:row>
    <x:row r="56" ht="49" customHeight="1">
      <x:c r="A56" s="12" t="str">
        <x:v>SIDE-unc-cargo-abandonne</x:v>
      </x:c>
      <x:c r="B56" s="7" t="str">
        <x:v>UNC Cargo abandonné</x:v>
      </x:c>
      <x:c r="C56" s="10" t="str">
        <x:v>Défini</x:v>
      </x:c>
      <x:c r="D56" s="11" t="str">
        <x:v>À produire</x:v>
      </x:c>
      <x:c r="E56" s="9" t="str">
        <x:v>P1</x:v>
      </x:c>
      <x:c r="F56" s="9" t="str">
        <x:v>ME1</x:v>
      </x:c>
      <x:c r="G56" s="9" t="str">
        <x:v>Référence à vérifier</x:v>
      </x:c>
      <x:c r="H56" s="7" t="str">
        <x:v>Explorer un bâtiment spatial inquiétant.</x:v>
      </x:c>
      <x:c r="I56" s="7" t="str">
        <x:v>Équipage, données et menace à référencer.</x:v>
      </x:c>
      <x:c r="J56" s="7" t="str"/>
      <x:c r="K56" s="7" t="str">
        <x:v>content/side_quests/SIDE-unc-cargo-abandonne.json</x:v>
      </x:c>
      <x:c r="L56" s="7" t="str"/>
      <x:c r="M56" s="7" t="str"/>
      <x:c r="N56" s="7" t="str">
        <x:v>Liste de couverture des affectations ; titres français et déclencheurs à recouper dans ME1.</x:v>
      </x:c>
      <x:c r="O56" s="7" t="str">
        <x:v>https://primagames.com/eguides/mass-effect-pc-eguide/walkthrough/spectre-assignments-noveria-and-feros/feros-assignments</x:v>
      </x:c>
      <x:c r="P56" s="7" t="str">
        <x:v>Production ME1</x:v>
      </x:c>
      <x:c r="Q56" s="7" t="str"/>
    </x:row>
    <x:row r="57" ht="49" customHeight="1">
      <x:c r="A57" s="13" t="str">
        <x:v>SIDE-unc-depot-sigma-23</x:v>
      </x:c>
      <x:c r="B57" s="14" t="str">
        <x:v>UNC Dépôt Sigma-23</x:v>
      </x:c>
      <x:c r="C57" s="10" t="str">
        <x:v>Défini</x:v>
      </x:c>
      <x:c r="D57" s="11" t="str">
        <x:v>À produire</x:v>
      </x:c>
      <x:c r="E57" s="15" t="str">
        <x:v>P1</x:v>
      </x:c>
      <x:c r="F57" s="15" t="str">
        <x:v>ME1</x:v>
      </x:c>
      <x:c r="G57" s="15" t="str">
        <x:v>Référence à vérifier</x:v>
      </x:c>
      <x:c r="H57" s="14" t="str">
        <x:v>Enquête sur un dépôt militaire.</x:v>
      </x:c>
      <x:c r="I57" s="14" t="str">
        <x:v>Lien à la mission préalable vérifié.</x:v>
      </x:c>
      <x:c r="J57" s="14" t="str"/>
      <x:c r="K57" s="14" t="str">
        <x:v>content/side_quests/SIDE-unc-depot-sigma-23.json</x:v>
      </x:c>
      <x:c r="L57" s="14" t="str"/>
      <x:c r="M57" s="14" t="str"/>
      <x:c r="N57" s="14" t="str">
        <x:v>Liste de couverture des affectations ; titres français et déclencheurs à recouper dans ME1.</x:v>
      </x:c>
      <x:c r="O57" s="14" t="str">
        <x:v>https://primagames.com/eguides/mass-effect-pc-eguide/walkthrough/spectre-assignments-noveria-and-feros/feros-assignments</x:v>
      </x:c>
      <x:c r="P57" s="14" t="str">
        <x:v>Production ME1</x:v>
      </x:c>
      <x:c r="Q57" s="14" t="str"/>
    </x:row>
    <x:row r="58" ht="49" customHeight="1">
      <x:c r="A58" s="12" t="str">
        <x:v>SIDE-unc-installation-exogeni</x:v>
      </x:c>
      <x:c r="B58" s="7" t="str">
        <x:v>UNC Installation ExoGeni</x:v>
      </x:c>
      <x:c r="C58" s="10" t="str">
        <x:v>Défini</x:v>
      </x:c>
      <x:c r="D58" s="11" t="str">
        <x:v>À produire</x:v>
      </x:c>
      <x:c r="E58" s="9" t="str">
        <x:v>P1</x:v>
      </x:c>
      <x:c r="F58" s="9" t="str">
        <x:v>ME1</x:v>
      </x:c>
      <x:c r="G58" s="9" t="str">
        <x:v>Référence à vérifier</x:v>
      </x:c>
      <x:c r="H58" s="7" t="str">
        <x:v>Suivre les données vers Nodacrux.</x:v>
      </x:c>
      <x:c r="I58" s="7" t="str">
        <x:v>Responsables et conséquences documentés.</x:v>
      </x:c>
      <x:c r="J58" s="7" t="str"/>
      <x:c r="K58" s="7" t="str">
        <x:v>content/side_quests/SIDE-unc-installation-exogeni.json</x:v>
      </x:c>
      <x:c r="L58" s="7" t="str"/>
      <x:c r="M58" s="7" t="str"/>
      <x:c r="N58" s="7" t="str">
        <x:v>Liste de couverture des affectations ; titres français et déclencheurs à recouper dans ME1.</x:v>
      </x:c>
      <x:c r="O58" s="7" t="str">
        <x:v>https://primagames.com/eguides/mass-effect-pc-eguide/walkthrough/spectre-assignments-noveria-and-feros/feros-assignments</x:v>
      </x:c>
      <x:c r="P58" s="7" t="str">
        <x:v>Production ME1</x:v>
      </x:c>
      <x:c r="Q58" s="7" t="str"/>
    </x:row>
    <x:row r="59" ht="49" customHeight="1">
      <x:c r="A59" s="13" t="str">
        <x:v>SIDE-unc-minerais</x:v>
      </x:c>
      <x:c r="B59" s="14" t="str">
        <x:v>UNC Minerais</x:v>
      </x:c>
      <x:c r="C59" s="10" t="str">
        <x:v>Défini</x:v>
      </x:c>
      <x:c r="D59" s="11" t="str">
        <x:v>À produire</x:v>
      </x:c>
      <x:c r="E59" s="15" t="str">
        <x:v>P1</x:v>
      </x:c>
      <x:c r="F59" s="15" t="str">
        <x:v>ME1</x:v>
      </x:c>
      <x:c r="G59" s="15" t="str">
        <x:v>Référence à vérifier</x:v>
      </x:c>
      <x:c r="H59" s="14" t="str">
        <x:v>Repérer les gisements dans les mondes explorables.</x:v>
      </x:c>
      <x:c r="I59" s="14" t="str">
        <x:v>Chaque dépôt a un identifiant persistant.</x:v>
      </x:c>
      <x:c r="J59" s="14" t="str"/>
      <x:c r="K59" s="14" t="str">
        <x:v>content/side_quests/SIDE-unc-minerais.json</x:v>
      </x:c>
      <x:c r="L59" s="14" t="str"/>
      <x:c r="M59" s="14" t="str"/>
      <x:c r="N59" s="14" t="str">
        <x:v>Liste de couverture des affectations ; titres français et déclencheurs à recouper dans ME1.</x:v>
      </x:c>
      <x:c r="O59" s="14" t="str">
        <x:v>https://primagames.com/eguides/mass-effect-pc-eguide/walkthrough/spectre-assignments-noveria-and-feros/feros-assignments</x:v>
      </x:c>
      <x:c r="P59" s="14" t="str">
        <x:v>Production ME1</x:v>
      </x:c>
      <x:c r="Q59" s="14" t="str"/>
    </x:row>
    <x:row r="60" ht="49" customHeight="1">
      <x:c r="A60" s="12" t="str">
        <x:v>SIDE-unc-ecrits-asari</x:v>
      </x:c>
      <x:c r="B60" s="7" t="str">
        <x:v>UNC Écrits asari</x:v>
      </x:c>
      <x:c r="C60" s="10" t="str">
        <x:v>Défini</x:v>
      </x:c>
      <x:c r="D60" s="11" t="str">
        <x:v>À produire</x:v>
      </x:c>
      <x:c r="E60" s="9" t="str">
        <x:v>P1</x:v>
      </x:c>
      <x:c r="F60" s="9" t="str">
        <x:v>ME1</x:v>
      </x:c>
      <x:c r="G60" s="9" t="str">
        <x:v>Référence à vérifier</x:v>
      </x:c>
      <x:c r="H60" s="7" t="str">
        <x:v>Collecter les écrits de la Matriarche.</x:v>
      </x:c>
      <x:c r="I60" s="7" t="str">
        <x:v>Source, emplacement et compteur vérifiés.</x:v>
      </x:c>
      <x:c r="J60" s="7" t="str"/>
      <x:c r="K60" s="7" t="str">
        <x:v>content/side_quests/SIDE-unc-ecrits-asari.json</x:v>
      </x:c>
      <x:c r="L60" s="7" t="str"/>
      <x:c r="M60" s="7" t="str"/>
      <x:c r="N60" s="7" t="str">
        <x:v>Liste de couverture des affectations ; titres français et déclencheurs à recouper dans ME1.</x:v>
      </x:c>
      <x:c r="O60" s="7" t="str">
        <x:v>https://primagames.com/eguides/mass-effect-pc-eguide/walkthrough/spectre-assignments-noveria-and-feros/feros-assignments</x:v>
      </x:c>
      <x:c r="P60" s="7" t="str">
        <x:v>Production ME1</x:v>
      </x:c>
      <x:c r="Q60" s="7" t="str"/>
    </x:row>
    <x:row r="61" ht="49" customHeight="1">
      <x:c r="A61" s="13" t="str">
        <x:v>SIDE-unc-medaillons-de-la-ligue</x:v>
      </x:c>
      <x:c r="B61" s="14" t="str">
        <x:v>UNC Médaillons de la Ligue</x:v>
      </x:c>
      <x:c r="C61" s="10" t="str">
        <x:v>Défini</x:v>
      </x:c>
      <x:c r="D61" s="11" t="str">
        <x:v>À produire</x:v>
      </x:c>
      <x:c r="E61" s="15" t="str">
        <x:v>P1</x:v>
      </x:c>
      <x:c r="F61" s="15" t="str">
        <x:v>ME1</x:v>
      </x:c>
      <x:c r="G61" s="15" t="str">
        <x:v>Référence à vérifier</x:v>
      </x:c>
      <x:c r="H61" s="14" t="str">
        <x:v>Collecte liée aux mondes annexes.</x:v>
      </x:c>
      <x:c r="I61" s="14" t="str">
        <x:v>Aucune collecte dupliquée par retour en zone.</x:v>
      </x:c>
      <x:c r="J61" s="14" t="str"/>
      <x:c r="K61" s="14" t="str">
        <x:v>content/side_quests/SIDE-unc-medaillons-de-la-ligue.json</x:v>
      </x:c>
      <x:c r="L61" s="14" t="str"/>
      <x:c r="M61" s="14" t="str"/>
      <x:c r="N61" s="14" t="str">
        <x:v>Liste de couverture des affectations ; titres français et déclencheurs à recouper dans ME1.</x:v>
      </x:c>
      <x:c r="O61" s="14" t="str">
        <x:v>https://primagames.com/eguides/mass-effect-pc-eguide/walkthrough/spectre-assignments-noveria-and-feros/feros-assignments</x:v>
      </x:c>
      <x:c r="P61" s="14" t="str">
        <x:v>Production ME1</x:v>
      </x:c>
      <x:c r="Q61" s="14" t="str"/>
    </x:row>
    <x:row r="62" ht="49" customHeight="1">
      <x:c r="A62" s="12" t="str">
        <x:v>SIDE-unc-insignes-turiens</x:v>
      </x:c>
      <x:c r="B62" s="7" t="str">
        <x:v>UNC Insignes turiens</x:v>
      </x:c>
      <x:c r="C62" s="10" t="str">
        <x:v>Défini</x:v>
      </x:c>
      <x:c r="D62" s="11" t="str">
        <x:v>À produire</x:v>
      </x:c>
      <x:c r="E62" s="9" t="str">
        <x:v>P1</x:v>
      </x:c>
      <x:c r="F62" s="9" t="str">
        <x:v>ME1</x:v>
      </x:c>
      <x:c r="G62" s="9" t="str">
        <x:v>Référence à vérifier</x:v>
      </x:c>
      <x:c r="H62" s="7" t="str">
        <x:v>Reconstituer les collectibles.</x:v>
      </x:c>
      <x:c r="I62" s="7" t="str">
        <x:v>Inventaire et journal concordants.</x:v>
      </x:c>
      <x:c r="J62" s="7" t="str"/>
      <x:c r="K62" s="7" t="str">
        <x:v>content/side_quests/SIDE-unc-insignes-turiens.json</x:v>
      </x:c>
      <x:c r="L62" s="7" t="str"/>
      <x:c r="M62" s="7" t="str"/>
      <x:c r="N62" s="7" t="str">
        <x:v>Liste de couverture des affectations ; titres français et déclencheurs à recouper dans ME1.</x:v>
      </x:c>
      <x:c r="O62" s="7" t="str">
        <x:v>https://primagames.com/eguides/mass-effect-pc-eguide/walkthrough/spectre-assignments-noveria-and-feros/feros-assignments</x:v>
      </x:c>
      <x:c r="P62" s="7" t="str">
        <x:v>Production ME1</x:v>
      </x:c>
      <x:c r="Q62" s="7" t="str"/>
    </x:row>
    <x:row r="63" ht="49" customHeight="1">
      <x:c r="A63" s="13" t="str">
        <x:v>SIDE-unc-disques-protheens</x:v>
      </x:c>
      <x:c r="B63" s="14" t="str">
        <x:v>UNC Disques prothéens</x:v>
      </x:c>
      <x:c r="C63" s="10" t="str">
        <x:v>Défini</x:v>
      </x:c>
      <x:c r="D63" s="11" t="str">
        <x:v>À produire</x:v>
      </x:c>
      <x:c r="E63" s="15" t="str">
        <x:v>P1</x:v>
      </x:c>
      <x:c r="F63" s="15" t="str">
        <x:v>ME1</x:v>
      </x:c>
      <x:c r="G63" s="15" t="str">
        <x:v>Référence à vérifier</x:v>
      </x:c>
      <x:c r="H63" s="14" t="str">
        <x:v>Récupérer les données archéologiques.</x:v>
      </x:c>
      <x:c r="I63" s="14" t="str">
        <x:v>Emplacements à relever précisément.</x:v>
      </x:c>
      <x:c r="J63" s="14" t="str"/>
      <x:c r="K63" s="14" t="str">
        <x:v>content/side_quests/SIDE-unc-disques-protheens.json</x:v>
      </x:c>
      <x:c r="L63" s="14" t="str"/>
      <x:c r="M63" s="14" t="str"/>
      <x:c r="N63" s="14" t="str">
        <x:v>Liste de couverture des affectations ; titres français et déclencheurs à recouper dans ME1.</x:v>
      </x:c>
      <x:c r="O63" s="14" t="str">
        <x:v>https://primagames.com/eguides/mass-effect-pc-eguide/walkthrough/spectre-assignments-noveria-and-feros/feros-assignments</x:v>
      </x:c>
      <x:c r="P63" s="14" t="str">
        <x:v>Production ME1</x:v>
      </x:c>
      <x:c r="Q63" s="14" t="str"/>
    </x:row>
    <x:row r="64" ht="49" customHeight="1">
      <x:c r="A64" s="12" t="str">
        <x:v>SIDE-x57-desactiver-les-propulseurs</x:v>
      </x:c>
      <x:c r="B64" s="7" t="str">
        <x:v>X57 Désactiver les propulseurs</x:v>
      </x:c>
      <x:c r="C64" s="10" t="str">
        <x:v>Défini</x:v>
      </x:c>
      <x:c r="D64" s="11" t="str">
        <x:v>À produire</x:v>
      </x:c>
      <x:c r="E64" s="9" t="str">
        <x:v>P1</x:v>
      </x:c>
      <x:c r="F64" s="9" t="str">
        <x:v>ME1</x:v>
      </x:c>
      <x:c r="G64" s="9" t="str">
        <x:v>Référence à vérifier</x:v>
      </x:c>
      <x:c r="H64" s="7" t="str">
        <x:v>DLC Bring Down the Sky.</x:v>
      </x:c>
      <x:c r="I64" s="7" t="str">
        <x:v>Plan de l’astéroïde et conditions des trois moteurs.</x:v>
      </x:c>
      <x:c r="J64" s="7" t="str"/>
      <x:c r="K64" s="7" t="str">
        <x:v>content/side_quests/SIDE-x57-desactiver-les-propulseurs.json</x:v>
      </x:c>
      <x:c r="L64" s="7" t="str"/>
      <x:c r="M64" s="7" t="str"/>
      <x:c r="N64" s="7" t="str">
        <x:v>Liste de couverture des affectations ; titres français et déclencheurs à recouper dans ME1.</x:v>
      </x:c>
      <x:c r="O64" s="7" t="str">
        <x:v>https://primagames.com/eguides/mass-effect-pc-eguide/walkthrough/spectre-assignments-noveria-and-feros/feros-assignments</x:v>
      </x:c>
      <x:c r="P64" s="7" t="str">
        <x:v>Production ME1</x:v>
      </x:c>
      <x:c r="Q64" s="7" t="str"/>
    </x:row>
    <x:row r="65" ht="49" customHeight="1">
      <x:c r="A65" s="13" t="str">
        <x:v>SIDE-x57-otages-et-balak</x:v>
      </x:c>
      <x:c r="B65" s="14" t="str">
        <x:v>X57 Otages et Balak</x:v>
      </x:c>
      <x:c r="C65" s="10" t="str">
        <x:v>Défini</x:v>
      </x:c>
      <x:c r="D65" s="11" t="str">
        <x:v>À produire</x:v>
      </x:c>
      <x:c r="E65" s="15" t="str">
        <x:v>P1</x:v>
      </x:c>
      <x:c r="F65" s="15" t="str">
        <x:v>ME1</x:v>
      </x:c>
      <x:c r="G65" s="15" t="str">
        <x:v>Référence à vérifier</x:v>
      </x:c>
      <x:c r="H65" s="14" t="str">
        <x:v>Choix de conclusion du DLC.</x:v>
      </x:c>
      <x:c r="I65" s="14" t="str">
        <x:v>Sauvetage et poursuite produisent des états distincts.</x:v>
      </x:c>
      <x:c r="J65" s="14" t="str"/>
      <x:c r="K65" s="14" t="str">
        <x:v>content/side_quests/SIDE-x57-otages-et-balak.json</x:v>
      </x:c>
      <x:c r="L65" s="14" t="str"/>
      <x:c r="M65" s="14" t="str"/>
      <x:c r="N65" s="14" t="str">
        <x:v>Liste de couverture des affectations ; titres français et déclencheurs à recouper dans ME1.</x:v>
      </x:c>
      <x:c r="O65" s="14" t="str">
        <x:v>https://primagames.com/eguides/mass-effect-pc-eguide/walkthrough/spectre-assignments-noveria-and-feros/feros-assignments</x:v>
      </x:c>
      <x:c r="P65" s="14" t="str">
        <x:v>Production ME1</x:v>
      </x:c>
      <x:c r="Q65" s="14" t="str"/>
    </x:row>
    <x:row r="66" ht="49" customHeight="1">
      <x:c r="A66" s="12" t="str">
        <x:v>SIDE-x57-ingenieurs-disparus</x:v>
      </x:c>
      <x:c r="B66" s="7" t="str">
        <x:v>X57 Ingénieurs disparus</x:v>
      </x:c>
      <x:c r="C66" s="10" t="str">
        <x:v>Défini</x:v>
      </x:c>
      <x:c r="D66" s="11" t="str">
        <x:v>À produire</x:v>
      </x:c>
      <x:c r="E66" s="9" t="str">
        <x:v>P1</x:v>
      </x:c>
      <x:c r="F66" s="9" t="str">
        <x:v>ME1</x:v>
      </x:c>
      <x:c r="G66" s="9" t="str">
        <x:v>Référence à vérifier</x:v>
      </x:c>
      <x:c r="H66" s="7" t="str">
        <x:v>Explorer les indices annexes du DLC.</x:v>
      </x:c>
      <x:c r="I66" s="7" t="str">
        <x:v>Sort des victimes et remise du rapport.</x:v>
      </x:c>
      <x:c r="J66" s="7" t="str"/>
      <x:c r="K66" s="7" t="str">
        <x:v>content/side_quests/SIDE-x57-ingenieurs-disparus.json</x:v>
      </x:c>
      <x:c r="L66" s="7" t="str"/>
      <x:c r="M66" s="7" t="str"/>
      <x:c r="N66" s="7" t="str">
        <x:v>Liste de couverture des affectations ; titres français et déclencheurs à recouper dans ME1.</x:v>
      </x:c>
      <x:c r="O66" s="7" t="str">
        <x:v>https://primagames.com/eguides/mass-effect-pc-eguide/walkthrough/spectre-assignments-noveria-and-feros/feros-assignments</x:v>
      </x:c>
      <x:c r="P66" s="7" t="str">
        <x:v>Production ME1</x:v>
      </x:c>
      <x:c r="Q66" s="7" t="str"/>
    </x:row>
    <x:row r="67" ht="49" customHeight="1">
      <x:c r="A67" s="13" t="str">
        <x:v>SIDE-pinnacle-simulations</x:v>
      </x:c>
      <x:c r="B67" s="14" t="str">
        <x:v>Pinnacle Simulations</x:v>
      </x:c>
      <x:c r="C67" s="10" t="str">
        <x:v>Défini</x:v>
      </x:c>
      <x:c r="D67" s="11" t="str">
        <x:v>À produire</x:v>
      </x:c>
      <x:c r="E67" s="15" t="str">
        <x:v>P1</x:v>
      </x:c>
      <x:c r="F67" s="15" t="str">
        <x:v>ME1</x:v>
      </x:c>
      <x:c r="G67" s="15" t="str">
        <x:v>Référence à vérifier</x:v>
      </x:c>
      <x:c r="H67" s="14" t="str">
        <x:v>DLC de défis en environnement contrôlé.</x:v>
      </x:c>
      <x:c r="I67" s="14" t="str">
        <x:v>Extension indépendante et disponibilité explicitée.</x:v>
      </x:c>
      <x:c r="J67" s="14" t="str"/>
      <x:c r="K67" s="14" t="str">
        <x:v>content/side_quests/SIDE-pinnacle-simulations.json</x:v>
      </x:c>
      <x:c r="L67" s="14" t="str"/>
      <x:c r="M67" s="14" t="str"/>
      <x:c r="N67" s="14" t="str">
        <x:v>Liste de couverture des affectations ; titres français et déclencheurs à recouper dans ME1.</x:v>
      </x:c>
      <x:c r="O67" s="14" t="str">
        <x:v>https://primagames.com/eguides/mass-effect-pc-eguide/walkthrough/spectre-assignments-noveria-and-feros/feros-assignments</x:v>
      </x:c>
      <x:c r="P67" s="14" t="str">
        <x:v>Production ME1</x:v>
      </x:c>
      <x:c r="Q67" s="14" t="str"/>
    </x:row>
    <x:row r="68" ht="49" customHeight="1">
      <x:c r="A68" s="12" t="str">
        <x:v>SIDE-pinnacle-appartement</x:v>
      </x:c>
      <x:c r="B68" s="7" t="str">
        <x:v>Pinnacle Appartement</x:v>
      </x:c>
      <x:c r="C68" s="10" t="str">
        <x:v>Défini</x:v>
      </x:c>
      <x:c r="D68" s="11" t="str">
        <x:v>À produire</x:v>
      </x:c>
      <x:c r="E68" s="9" t="str">
        <x:v>P1</x:v>
      </x:c>
      <x:c r="F68" s="9" t="str">
        <x:v>ME1</x:v>
      </x:c>
      <x:c r="G68" s="9" t="str">
        <x:v>Référence à vérifier</x:v>
      </x:c>
      <x:c r="H68" s="7" t="str">
        <x:v>Récompense propre à cette extension.</x:v>
      </x:c>
      <x:c r="I68" s="7" t="str">
        <x:v>Condition exacte à vérifier et contenu séparé du jeu de base.</x:v>
      </x:c>
      <x:c r="J68" s="7" t="str"/>
      <x:c r="K68" s="7" t="str">
        <x:v>content/side_quests/SIDE-pinnacle-appartement.json</x:v>
      </x:c>
      <x:c r="L68" s="7" t="str"/>
      <x:c r="M68" s="7" t="str"/>
      <x:c r="N68" s="7" t="str">
        <x:v>Liste de couverture des affectations ; titres français et déclencheurs à recouper dans ME1.</x:v>
      </x:c>
      <x:c r="O68" s="7" t="str">
        <x:v>https://primagames.com/eguides/mass-effect-pc-eguide/walkthrough/spectre-assignments-noveria-and-feros/feros-assignments</x:v>
      </x:c>
      <x:c r="P68" s="7" t="str">
        <x:v>Production ME1</x:v>
      </x:c>
      <x:c r="Q68" s="7" t="str"/>
    </x:row>
    <x:row r="69" ht="62" customHeight="1">
      <x:c r="A69" s="13" t="str">
        <x:v>OPSTEP-citadel-consort-reception</x:v>
      </x:c>
      <x:c r="B69" s="14" t="str">
        <x:v>Citadelle : La Favorite — 1. Nelyna</x:v>
      </x:c>
      <x:c r="C69" s="10" t="str">
        <x:v>Prototype</x:v>
      </x:c>
      <x:c r="D69" s="11" t="str">
        <x:v>À produire</x:v>
      </x:c>
      <x:c r="E69" s="15" t="str">
        <x:v>P1</x:v>
      </x:c>
      <x:c r="F69" s="15" t="str">
        <x:v>ME1</x:v>
      </x:c>
      <x:c r="G69" s="15" t="str">
        <x:v>Adaptation</x:v>
      </x:c>
      <x:c r="H69" s="14" t="str">
        <x:v>Étape 1/4, citadel. La Favorite reçoit peu de visiteurs sans rendez-vous. Elle a toutefois entendu parler de votre arrivée. Je peux lui annoncer votre présence.</x:v>
      </x:c>
      <x:c r="I69" s="14" t="str">
        <x:v>Afficher seulement à l’étape 1. Refuser les réponses verrouillées, sauvegarder le choix et ne progresser qu’une fois.</x:v>
      </x:c>
      <x:c r="J69" s="14" t="str">
        <x:v>SIDE-citadelle-la-consort</x:v>
      </x:c>
      <x:c r="K69" s="14" t="str">
        <x:v>src/operation-data.js</x:v>
      </x:c>
      <x:c r="L69" s="14" t="str">
        <x:v>src/operation-data.js</x:v>
      </x:c>
      <x:c r="M69" s="14" t="str">
        <x:v>citadel-consort.reception</x:v>
      </x:c>
      <x:c r="N69" s="14" t="str">
        <x:v>Objectifs et noms ME1 référencés ; chiffres, découpage et interface propres à cette adaptation ATB.</x:v>
      </x:c>
      <x:c r="O69" s="14" t="str">
        <x:v>https://masseffect.fandom.com/wiki/Citadel%3A_Asari_Consort</x:v>
      </x:c>
      <x:c r="P69" s="14" t="str">
        <x:v>Production ME1</x:v>
      </x:c>
      <x:c r="Q69" s="14" t="str">
        <x:v>Réponses : accept : Demander à rencontrer Sha’ira.. Position proposée x=-10, z=13 ; déplacée à proximité par le moteur si obstacle. Dialogues réécrits.</x:v>
      </x:c>
    </x:row>
    <x:row r="70" ht="75" customHeight="1">
      <x:c r="A70" s="12" t="str">
        <x:v>OPSTEP-citadel-consort-request</x:v>
      </x:c>
      <x:c r="B70" s="7" t="str">
        <x:v>Citadelle : La Favorite — 2. Sha’ira</x:v>
      </x:c>
      <x:c r="C70" s="10" t="str">
        <x:v>Prototype</x:v>
      </x:c>
      <x:c r="D70" s="11" t="str">
        <x:v>À produire</x:v>
      </x:c>
      <x:c r="E70" s="9" t="str">
        <x:v>P1</x:v>
      </x:c>
      <x:c r="F70" s="9" t="str">
        <x:v>ME1</x:v>
      </x:c>
      <x:c r="G70" s="9" t="str">
        <x:v>Adaptation</x:v>
      </x:c>
      <x:c r="H70" s="7" t="str">
        <x:v>Étape 2/4, citadel. Un ancien ami, le général Septimus, répand des accusations après notre désaccord. Il a besoin d’entendre la voix d’un autre soldat. Retrouvez-le et aidez-le à reprendre ses esprits.</x:v>
      </x:c>
      <x:c r="I70" s="7" t="str">
        <x:v>Afficher seulement à l’étape 2. Refuser les réponses verrouillées, sauvegarder le choix et ne progresser qu’une fois.</x:v>
      </x:c>
      <x:c r="J70" s="7" t="str">
        <x:v>SIDE-citadelle-la-consort, OPSTEP-citadel-consort-reception</x:v>
      </x:c>
      <x:c r="K70" s="7" t="str">
        <x:v>src/operation-data.js</x:v>
      </x:c>
      <x:c r="L70" s="7" t="str">
        <x:v>src/operation-data.js</x:v>
      </x:c>
      <x:c r="M70" s="7" t="str">
        <x:v>citadel-consort.request</x:v>
      </x:c>
      <x:c r="N70" s="7" t="str">
        <x:v>Objectifs et noms ME1 référencés ; chiffres, découpage et interface propres à cette adaptation ATB.</x:v>
      </x:c>
      <x:c r="O70" s="7" t="str">
        <x:v>https://masseffect.fandom.com/wiki/Citadel%3A_Asari_Consort</x:v>
      </x:c>
      <x:c r="P70" s="7" t="str">
        <x:v>Production ME1</x:v>
      </x:c>
      <x:c r="Q70" s="7" t="str">
        <x:v>Réponses : accept : Je vais m’en occuper.. Position proposée x=-12, z=10 ; déplacée à proximité par le moteur si obstacle. Dialogues réécrits.</x:v>
      </x:c>
    </x:row>
    <x:row r="71" ht="62" customHeight="1">
      <x:c r="A71" s="13" t="str">
        <x:v>OPSTEP-citadel-consort-septimus</x:v>
      </x:c>
      <x:c r="B71" s="14" t="str">
        <x:v>Citadelle : La Favorite — 3. Général Septimus</x:v>
      </x:c>
      <x:c r="C71" s="10" t="str">
        <x:v>Prototype</x:v>
      </x:c>
      <x:c r="D71" s="11" t="str">
        <x:v>À produire</x:v>
      </x:c>
      <x:c r="E71" s="15" t="str">
        <x:v>P1</x:v>
      </x:c>
      <x:c r="F71" s="15" t="str">
        <x:v>ME1</x:v>
      </x:c>
      <x:c r="G71" s="15" t="str">
        <x:v>Adaptation</x:v>
      </x:c>
      <x:c r="H71" s="14" t="str">
        <x:v>Étape 3/4, citadel. J’ai laissé mon amertume guider mes paroles. Xeltan croit maintenant que Sha’ira a divulgué son secret ; c’est moi qui l’avais découvert. Voici de quoi lui montrer la vérité.</x:v>
      </x:c>
      <x:c r="I71" s="14" t="str">
        <x:v>Afficher seulement à l’étape 3. Refuser les réponses verrouillées, sauvegarder le choix et ne progresser qu’une fois.</x:v>
      </x:c>
      <x:c r="J71" s="14" t="str">
        <x:v>SIDE-citadelle-la-consort, OPSTEP-citadel-consort-request</x:v>
      </x:c>
      <x:c r="K71" s="14" t="str">
        <x:v>src/operation-data.js</x:v>
      </x:c>
      <x:c r="L71" s="14" t="str">
        <x:v>src/operation-data.js</x:v>
      </x:c>
      <x:c r="M71" s="14" t="str">
        <x:v>citadel-consort.septimus</x:v>
      </x:c>
      <x:c r="N71" s="14" t="str">
        <x:v>Objectifs et noms ME1 référencés ; chiffres, découpage et interface propres à cette adaptation ATB.</x:v>
      </x:c>
      <x:c r="O71" s="14" t="str">
        <x:v>https://masseffect.fandom.com/wiki/Citadel%3A_Asari_Consort</x:v>
      </x:c>
      <x:c r="P71" s="14" t="str">
        <x:v>Production ME1</x:v>
      </x:c>
      <x:c r="Q71" s="14" t="str">
        <x:v>Réponses : reason : Vous pouvez encore réparer ce tort. / firm : Un général doit répondre de ses actes.. Position proposée x=12, z=8 ; déplacée à proximité par le moteur si obstacle. Dialogues réécrits.</x:v>
      </x:c>
    </x:row>
    <x:row r="72" ht="75" customHeight="1">
      <x:c r="A72" s="12" t="str">
        <x:v>OPSTEP-citadel-consort-report</x:v>
      </x:c>
      <x:c r="B72" s="7" t="str">
        <x:v>Citadelle : La Favorite — 4. Sha’ira</x:v>
      </x:c>
      <x:c r="C72" s="10" t="str">
        <x:v>Prototype</x:v>
      </x:c>
      <x:c r="D72" s="11" t="str">
        <x:v>À produire</x:v>
      </x:c>
      <x:c r="E72" s="9" t="str">
        <x:v>P1</x:v>
      </x:c>
      <x:c r="F72" s="9" t="str">
        <x:v>ME1</x:v>
      </x:c>
      <x:c r="G72" s="9" t="str">
        <x:v>Adaptation</x:v>
      </x:c>
      <x:c r="H72" s="7" t="str">
        <x:v>Étape 4/4, citadel. Septimus m’a fait parvenir ses excuses. Vous lui avez rappelé qu’il pouvait encore choisir la personne qu’il souhaite devenir. Gardez cette idée pour les épreuves qui vous attendent.</x:v>
      </x:c>
      <x:c r="I72" s="7" t="str">
        <x:v>Afficher seulement à l’étape 4. Refuser les réponses verrouillées, sauvegarder le choix et ne progresser qu’une fois.</x:v>
      </x:c>
      <x:c r="J72" s="7" t="str">
        <x:v>SIDE-citadelle-la-consort, OPSTEP-citadel-consort-septimus</x:v>
      </x:c>
      <x:c r="K72" s="7" t="str">
        <x:v>src/operation-data.js</x:v>
      </x:c>
      <x:c r="L72" s="7" t="str">
        <x:v>src/operation-data.js</x:v>
      </x:c>
      <x:c r="M72" s="7" t="str">
        <x:v>citadel-consort.report</x:v>
      </x:c>
      <x:c r="N72" s="7" t="str">
        <x:v>Objectifs et noms ME1 référencés ; chiffres, découpage et interface propres à cette adaptation ATB.</x:v>
      </x:c>
      <x:c r="O72" s="7" t="str">
        <x:v>https://masseffect.fandom.com/wiki/Citadel%3A_Asari_Consort</x:v>
      </x:c>
      <x:c r="P72" s="7" t="str">
        <x:v>Production ME1</x:v>
      </x:c>
      <x:c r="Q72" s="7" t="str">
        <x:v>Réponses : report : Accepter ses remerciements.. Position proposée x=-12, z=10 ; déplacée à proximité par le moteur si obstacle. Dialogues réécrits.</x:v>
      </x:c>
    </x:row>
    <x:row r="73" ht="88" customHeight="1">
      <x:c r="A73" s="13" t="str">
        <x:v>SIDE-citadelle-plainte-de-xeltan</x:v>
      </x:c>
      <x:c r="B73" s="14" t="str">
        <x:v>Citadelle : La plainte de Xeltan</x:v>
      </x:c>
      <x:c r="C73" s="10" t="str">
        <x:v>Prototype</x:v>
      </x:c>
      <x:c r="D73" s="11" t="str">
        <x:v>Prototype</x:v>
      </x:c>
      <x:c r="E73" s="15" t="str">
        <x:v>P1</x:v>
      </x:c>
      <x:c r="F73" s="15" t="str">
        <x:v>ME1</x:v>
      </x:c>
      <x:c r="G73" s="15" t="str">
        <x:v>Adaptation</x:v>
      </x:c>
      <x:c r="H73" s="14" t="str">
        <x:v>Présenter à Xeltan les preuves remises par Septimus pour innocenter Sha’ira. 2 étapes guidées. Récompense finale unique : 40 XP, 45 crédits.</x:v>
      </x:c>
      <x:c r="I73" s="14" t="str">
        <x:v>Parcourir les 2 étapes sans saut ni double récompense. Après Eden Prime. Après citadel-consort, étape 3. Fermeture au passage du Conduit. Le journal, les interactions et la sauvegarde doivent afficher la même progression. Comparer les variantes manquantes au jeu avant validation finale.</x:v>
      </x:c>
      <x:c r="J73" s="14" t="str">
        <x:v>SIDE-citadelle-la-consort</x:v>
      </x:c>
      <x:c r="K73" s="14" t="str">
        <x:v>src/operation-data.js</x:v>
      </x:c>
      <x:c r="L73" s="14" t="str">
        <x:v>src/operation-data.js</x:v>
      </x:c>
      <x:c r="M73" s="14" t="str">
        <x:v>OPERATIONS.citadel-xeltan</x:v>
      </x:c>
      <x:c r="N73" s="14" t="str">
        <x:v>Objectifs et noms ME1 référencés ; chiffres, découpage et interface propres à cette adaptation ATB.</x:v>
      </x:c>
      <x:c r="O73" s="14" t="str">
        <x:v>https://masseffect.fandom.com/wiki/Citadel%3A_Xeltan's_Complaint</x:v>
      </x:c>
      <x:c r="P73" s="14" t="str">
        <x:v>Production ME1</x:v>
      </x:c>
      <x:c r="Q73" s="14" t="str">
        <x:v>Déplacements et dialogues condensés dans la carte actuelle ; les intérieurs et embranchements de ME1 restent à reconstituer. Deux échanges successifs remplacent l’entretien original ; aucune relique supplémentaire n’est distribuée. Preuve : tests/operations.test.js.</x:v>
      </x:c>
    </x:row>
    <x:row r="74" ht="62" customHeight="1">
      <x:c r="A74" s="12" t="str">
        <x:v>OPSTEP-citadel-xeltan-evidence</x:v>
      </x:c>
      <x:c r="B74" s="7" t="str">
        <x:v>Citadelle : La plainte de Xeltan — 1. Xeltan</x:v>
      </x:c>
      <x:c r="C74" s="10" t="str">
        <x:v>Prototype</x:v>
      </x:c>
      <x:c r="D74" s="11" t="str">
        <x:v>À produire</x:v>
      </x:c>
      <x:c r="E74" s="9" t="str">
        <x:v>P1</x:v>
      </x:c>
      <x:c r="F74" s="9" t="str">
        <x:v>ME1</x:v>
      </x:c>
      <x:c r="G74" s="9" t="str">
        <x:v>Adaptation</x:v>
      </x:c>
      <x:c r="H74" s="7" t="str">
        <x:v>Étape 1/2, citadel. Avec inquiétude : ces données montrent que Septimus détenait mon secret. Je pensais que seule Sha’ira pouvait le connaître. Votre intervention change la situation.</x:v>
      </x:c>
      <x:c r="I74" s="7" t="str">
        <x:v>Afficher seulement à l’étape 1. Refuser les réponses verrouillées, sauvegarder le choix et ne progresser qu’une fois.</x:v>
      </x:c>
      <x:c r="J74" s="7" t="str">
        <x:v>SIDE-citadelle-plainte-de-xeltan</x:v>
      </x:c>
      <x:c r="K74" s="7" t="str">
        <x:v>src/operation-data.js</x:v>
      </x:c>
      <x:c r="L74" s="7" t="str">
        <x:v>src/operation-data.js</x:v>
      </x:c>
      <x:c r="M74" s="7" t="str">
        <x:v>citadel-xeltan.evidence</x:v>
      </x:c>
      <x:c r="N74" s="7" t="str">
        <x:v>Objectifs et noms ME1 référencés ; chiffres, découpage et interface propres à cette adaptation ATB.</x:v>
      </x:c>
      <x:c r="O74" s="7" t="str">
        <x:v>https://masseffect.fandom.com/wiki/Citadel%3A_Xeltan's_Complaint</x:v>
      </x:c>
      <x:c r="P74" s="7" t="str">
        <x:v>Production ME1</x:v>
      </x:c>
      <x:c r="Q74" s="7" t="str">
        <x:v>Réponses : show-evidence : Présenter les données de Septimus.. Position proposée x=10, z=-12 ; déplacée à proximité par le moteur si obstacle. Dialogues réécrits.</x:v>
      </x:c>
    </x:row>
    <x:row r="75" ht="62" customHeight="1">
      <x:c r="A75" s="13" t="str">
        <x:v>OPSTEP-citadel-xeltan-reassure</x:v>
      </x:c>
      <x:c r="B75" s="14" t="str">
        <x:v>Citadelle : La plainte de Xeltan — 2. Xeltan</x:v>
      </x:c>
      <x:c r="C75" s="10" t="str">
        <x:v>Prototype</x:v>
      </x:c>
      <x:c r="D75" s="11" t="str">
        <x:v>À produire</x:v>
      </x:c>
      <x:c r="E75" s="15" t="str">
        <x:v>P1</x:v>
      </x:c>
      <x:c r="F75" s="15" t="str">
        <x:v>ME1</x:v>
      </x:c>
      <x:c r="G75" s="15" t="str">
        <x:v>Adaptation</x:v>
      </x:c>
      <x:c r="H75" s="14" t="str">
        <x:v>Étape 2/2, citadel. Avec regret : j’ai accusé Sha’ira à tort. J’irai lui présenter mes excuses. Avec appréhension : dois-je craindre que d’autres disposent aussi de ces informations ?</x:v>
      </x:c>
      <x:c r="I75" s="14" t="str">
        <x:v>Afficher seulement à l’étape 2. Refuser les réponses verrouillées, sauvegarder le choix et ne progresser qu’une fois.</x:v>
      </x:c>
      <x:c r="J75" s="14" t="str">
        <x:v>SIDE-citadelle-plainte-de-xeltan, OPSTEP-citadel-xeltan-evidence</x:v>
      </x:c>
      <x:c r="K75" s="14" t="str">
        <x:v>src/operation-data.js</x:v>
      </x:c>
      <x:c r="L75" s="14" t="str">
        <x:v>src/operation-data.js</x:v>
      </x:c>
      <x:c r="M75" s="14" t="str">
        <x:v>citadel-xeltan.reassure</x:v>
      </x:c>
      <x:c r="N75" s="14" t="str">
        <x:v>Objectifs et noms ME1 référencés ; chiffres, découpage et interface propres à cette adaptation ATB.</x:v>
      </x:c>
      <x:c r="O75" s="14" t="str">
        <x:v>https://masseffect.fandom.com/wiki/Citadel%3A_Xeltan's_Complaint</x:v>
      </x:c>
      <x:c r="P75" s="14" t="str">
        <x:v>Production ME1</x:v>
      </x:c>
      <x:c r="Q75" s="14" t="str">
        <x:v>Réponses : reassure : Ces données ne sont pas accessibles à tous. / caution : Réévaluez vos mesures de confidentialité.. Position proposée x=10, z=-12 ; déplacée à proximité par le moteur si obstacle. Dialogues réécrits.</x:v>
      </x:c>
    </x:row>
    <x:row r="76" ht="75" customHeight="1">
      <x:c r="A76" s="12" t="str">
        <x:v>OPSTEP-citadel-reporters-request-request</x:v>
      </x:c>
      <x:c r="B76" s="7" t="str">
        <x:v>Citadelle : La demande de la journaliste — 1. Emily Wong</x:v>
      </x:c>
      <x:c r="C76" s="10" t="str">
        <x:v>Prototype</x:v>
      </x:c>
      <x:c r="D76" s="11" t="str">
        <x:v>À produire</x:v>
      </x:c>
      <x:c r="E76" s="9" t="str">
        <x:v>P1</x:v>
      </x:c>
      <x:c r="F76" s="9" t="str">
        <x:v>ME1</x:v>
      </x:c>
      <x:c r="G76" s="9" t="str">
        <x:v>Adaptation</x:v>
      </x:c>
      <x:c r="H76" s="7" t="str">
        <x:v>Étape 1/3, citadel. Je prépare une enquête sur les réseaux criminels de la station. Les témoignages manquent de preuves vérifiables. Si vos recherches vous conduisent chez Fist, cherchez ses registres.</x:v>
      </x:c>
      <x:c r="I76" s="7" t="str">
        <x:v>Afficher seulement à l’étape 1. Refuser les réponses verrouillées, sauvegarder le choix et ne progresser qu’une fois.</x:v>
      </x:c>
      <x:c r="J76" s="7" t="str">
        <x:v>SIDE-citadelle-demande-d-emily-wong</x:v>
      </x:c>
      <x:c r="K76" s="7" t="str">
        <x:v>src/operation-data.js</x:v>
      </x:c>
      <x:c r="L76" s="7" t="str">
        <x:v>src/operation-data.js</x:v>
      </x:c>
      <x:c r="M76" s="7" t="str">
        <x:v>citadel-reporters-request.request</x:v>
      </x:c>
      <x:c r="N76" s="7" t="str">
        <x:v>Objectifs et noms ME1 référencés ; chiffres, découpage et interface propres à cette adaptation ATB.</x:v>
      </x:c>
      <x:c r="O76" s="7" t="str">
        <x:v>https://masseffect.fandom.com/wiki/Citadel%3A_Reporter's_Request</x:v>
      </x:c>
      <x:c r="P76" s="7" t="str">
        <x:v>Production ME1</x:v>
      </x:c>
      <x:c r="Q76" s="7" t="str">
        <x:v>Réponses : accept : Je vais m’en occuper.. Position proposée x=11, z=14 ; déplacée à proximité par le moteur si obstacle. Dialogues réécrits.</x:v>
      </x:c>
    </x:row>
    <x:row r="77" ht="62" customHeight="1">
      <x:c r="A77" s="13" t="str">
        <x:v>OPSTEP-citadel-reporters-request-disk</x:v>
      </x:c>
      <x:c r="B77" s="14" t="str">
        <x:v>Citadelle : La demande de la journaliste — 2. Disque de Fist</x:v>
      </x:c>
      <x:c r="C77" s="10" t="str">
        <x:v>Prototype</x:v>
      </x:c>
      <x:c r="D77" s="11" t="str">
        <x:v>À produire</x:v>
      </x:c>
      <x:c r="E77" s="15" t="str">
        <x:v>P1</x:v>
      </x:c>
      <x:c r="F77" s="15" t="str">
        <x:v>ME1</x:v>
      </x:c>
      <x:c r="G77" s="15" t="str">
        <x:v>Adaptation</x:v>
      </x:c>
      <x:c r="H77" s="14" t="str">
        <x:v>Étape 2/3, citadel. Les fichiers laissés dans le bureau documentent des transactions clandestines. Leur copie peut étayer l’enquête d’Emily sans modifier les originaux.</x:v>
      </x:c>
      <x:c r="I77" s="14" t="str">
        <x:v>Afficher seulement à l’étape 2. Refuser les réponses verrouillées, sauvegarder le choix et ne progresser qu’une fois. La copie attend le recrutement de Tali.</x:v>
      </x:c>
      <x:c r="J77" s="14" t="str">
        <x:v>SIDE-citadelle-demande-d-emily-wong, OPSTEP-citadel-reporters-request-request</x:v>
      </x:c>
      <x:c r="K77" s="14" t="str">
        <x:v>src/operation-data.js</x:v>
      </x:c>
      <x:c r="L77" s="14" t="str">
        <x:v>src/operation-data.js</x:v>
      </x:c>
      <x:c r="M77" s="14" t="str">
        <x:v>citadel-reporters-request.disk</x:v>
      </x:c>
      <x:c r="N77" s="14" t="str">
        <x:v>Objectifs et noms ME1 référencés ; chiffres, découpage et interface propres à cette adaptation ATB.</x:v>
      </x:c>
      <x:c r="O77" s="14" t="str">
        <x:v>https://masseffect.fandom.com/wiki/Citadel%3A_Reporter's_Request</x:v>
      </x:c>
      <x:c r="P77" s="14" t="str">
        <x:v>Production ME1</x:v>
      </x:c>
      <x:c r="Q77" s="14" t="str">
        <x:v>Réponses : copy : Copier le disque pour Emily.. Position proposée x=-13, z=-5 ; déplacée à proximité par le moteur si obstacle. Dialogues réécrits.</x:v>
      </x:c>
    </x:row>
    <x:row r="78" ht="62" customHeight="1">
      <x:c r="A78" s="12" t="str">
        <x:v>OPSTEP-citadel-reporters-request-report</x:v>
      </x:c>
      <x:c r="B78" s="7" t="str">
        <x:v>Citadelle : La demande de la journaliste — 3. Emily Wong</x:v>
      </x:c>
      <x:c r="C78" s="10" t="str">
        <x:v>Prototype</x:v>
      </x:c>
      <x:c r="D78" s="11" t="str">
        <x:v>À produire</x:v>
      </x:c>
      <x:c r="E78" s="9" t="str">
        <x:v>P1</x:v>
      </x:c>
      <x:c r="F78" s="9" t="str">
        <x:v>ME1</x:v>
      </x:c>
      <x:c r="G78" s="9" t="str">
        <x:v>Adaptation</x:v>
      </x:c>
      <x:c r="H78" s="7" t="str">
        <x:v>Étape 3/3, citadel. Ces registres vont me permettre de vérifier les noms et les versements. Je recouperai chaque élément avant de publier. Merci d’avoir conservé les données.</x:v>
      </x:c>
      <x:c r="I78" s="7" t="str">
        <x:v>Afficher seulement à l’étape 3. Refuser les réponses verrouillées, sauvegarder le choix et ne progresser qu’une fois.</x:v>
      </x:c>
      <x:c r="J78" s="7" t="str">
        <x:v>SIDE-citadelle-demande-d-emily-wong, OPSTEP-citadel-reporters-request-disk</x:v>
      </x:c>
      <x:c r="K78" s="7" t="str">
        <x:v>src/operation-data.js</x:v>
      </x:c>
      <x:c r="L78" s="7" t="str">
        <x:v>src/operation-data.js</x:v>
      </x:c>
      <x:c r="M78" s="7" t="str">
        <x:v>citadel-reporters-request.report</x:v>
      </x:c>
      <x:c r="N78" s="7" t="str">
        <x:v>Objectifs et noms ME1 référencés ; chiffres, découpage et interface propres à cette adaptation ATB.</x:v>
      </x:c>
      <x:c r="O78" s="7" t="str">
        <x:v>https://masseffect.fandom.com/wiki/Citadel%3A_Reporter's_Request</x:v>
      </x:c>
      <x:c r="P78" s="7" t="str">
        <x:v>Production ME1</x:v>
      </x:c>
      <x:c r="Q78" s="7" t="str">
        <x:v>Réponses : deliver : Transmettre les éléments de l’enquête.. Position proposée x=11, z=14 ; déplacée à proximité par le moteur si obstacle. Dialogues réécrits.</x:v>
      </x:c>
    </x:row>
    <x:row r="79" ht="75" customHeight="1">
      <x:c r="A79" s="13" t="str">
        <x:v>OPSTEP-citadel-keepers-scanner</x:v>
      </x:c>
      <x:c r="B79" s="14" t="str">
        <x:v>Citadelle : Scanner les veilleurs — 1. Chorban</x:v>
      </x:c>
      <x:c r="C79" s="10" t="str">
        <x:v>Prototype</x:v>
      </x:c>
      <x:c r="D79" s="11" t="str">
        <x:v>À produire</x:v>
      </x:c>
      <x:c r="E79" s="15" t="str">
        <x:v>P1</x:v>
      </x:c>
      <x:c r="F79" s="15" t="str">
        <x:v>ME1</x:v>
      </x:c>
      <x:c r="G79" s="15" t="str">
        <x:v>Adaptation</x:v>
      </x:c>
      <x:c r="H79" s="14" t="str">
        <x:v>Étape 1/6, citadel. Nous connaissons mal les veilleurs qui entretiennent la station. Ce scanner recueille des mesures à distance, sans interrompre leur travail. Quatre relevés nous donneront un premier échantillon.</x:v>
      </x:c>
      <x:c r="I79" s="14" t="str">
        <x:v>Afficher seulement à l’étape 1. Refuser les réponses verrouillées, sauvegarder le choix et ne progresser qu’une fois.</x:v>
      </x:c>
      <x:c r="J79" s="14" t="str">
        <x:v>SIDE-citadelle-les-veilleurs</x:v>
      </x:c>
      <x:c r="K79" s="14" t="str">
        <x:v>src/operation-data.js</x:v>
      </x:c>
      <x:c r="L79" s="14" t="str">
        <x:v>src/operation-data.js</x:v>
      </x:c>
      <x:c r="M79" s="14" t="str">
        <x:v>citadel-keepers.scanner</x:v>
      </x:c>
      <x:c r="N79" s="14" t="str">
        <x:v>Objectifs et noms ME1 référencés ; chiffres, découpage et interface propres à cette adaptation ATB.</x:v>
      </x:c>
      <x:c r="O79" s="14" t="str">
        <x:v>https://masseffect.fandom.com/wiki/Citadel%3A_Scan_the_Keepers</x:v>
      </x:c>
      <x:c r="P79" s="14" t="str">
        <x:v>Production ME1</x:v>
      </x:c>
      <x:c r="Q79" s="14" t="str">
        <x:v>Réponses : accept : Accepter le scanner non invasif.. Position proposée x=-10, z=-15 ; déplacée à proximité par le moteur si obstacle. Dialogues réécrits.</x:v>
      </x:c>
    </x:row>
    <x:row r="80" ht="49" customHeight="1">
      <x:c r="A80" s="12" t="str">
        <x:v>OPSTEP-citadel-keepers-keeper-tower</x:v>
      </x:c>
      <x:c r="B80" s="7" t="str">
        <x:v>Citadelle : Scanner les veilleurs — 2. Veilleur de la tour</x:v>
      </x:c>
      <x:c r="C80" s="10" t="str">
        <x:v>Prototype</x:v>
      </x:c>
      <x:c r="D80" s="11" t="str">
        <x:v>À produire</x:v>
      </x:c>
      <x:c r="E80" s="9" t="str">
        <x:v>P1</x:v>
      </x:c>
      <x:c r="F80" s="9" t="str">
        <x:v>ME1</x:v>
      </x:c>
      <x:c r="G80" s="9" t="str">
        <x:v>Adaptation</x:v>
      </x:c>
      <x:c r="H80" s="7" t="str">
        <x:v>Étape 2/6, citadel. Le veilleur poursuit son inspection. L’omni-tool peut relever ses paramètres sans contact.</x:v>
      </x:c>
      <x:c r="I80" s="7" t="str">
        <x:v>Afficher seulement à l’étape 2. Refuser les réponses verrouillées, sauvegarder le choix et ne progresser qu’une fois.</x:v>
      </x:c>
      <x:c r="J80" s="7" t="str">
        <x:v>SIDE-citadelle-les-veilleurs, OPSTEP-citadel-keepers-scanner</x:v>
      </x:c>
      <x:c r="K80" s="7" t="str">
        <x:v>src/operation-data.js</x:v>
      </x:c>
      <x:c r="L80" s="7" t="str">
        <x:v>src/operation-data.js</x:v>
      </x:c>
      <x:c r="M80" s="7" t="str">
        <x:v>citadel-keepers.keeper-tower</x:v>
      </x:c>
      <x:c r="N80" s="7" t="str">
        <x:v>Objectifs et noms ME1 référencés ; chiffres, découpage et interface propres à cette adaptation ATB.</x:v>
      </x:c>
      <x:c r="O80" s="7" t="str">
        <x:v>https://masseffect.fandom.com/wiki/Citadel%3A_Scan_the_Keepers</x:v>
      </x:c>
      <x:c r="P80" s="7" t="str">
        <x:v>Production ME1</x:v>
      </x:c>
      <x:c r="Q80" s="7" t="str">
        <x:v>Réponses : scan : Enregistrer le premier relevé.. Position proposée x=12, z=-16 ; déplacée à proximité par le moteur si obstacle. Dialogues réécrits.</x:v>
      </x:c>
    </x:row>
    <x:row r="81" ht="49" customHeight="1">
      <x:c r="A81" s="13" t="str">
        <x:v>OPSTEP-citadel-keepers-keeper-garden</x:v>
      </x:c>
      <x:c r="B81" s="14" t="str">
        <x:v>Citadelle : Scanner les veilleurs — 3. Veilleur des jardins</x:v>
      </x:c>
      <x:c r="C81" s="10" t="str">
        <x:v>Prototype</x:v>
      </x:c>
      <x:c r="D81" s="11" t="str">
        <x:v>À produire</x:v>
      </x:c>
      <x:c r="E81" s="15" t="str">
        <x:v>P1</x:v>
      </x:c>
      <x:c r="F81" s="15" t="str">
        <x:v>ME1</x:v>
      </x:c>
      <x:c r="G81" s="15" t="str">
        <x:v>Adaptation</x:v>
      </x:c>
      <x:c r="H81" s="14" t="str">
        <x:v>Étape 3/6, citadel. Le capteur reconnaît un second individu occupé au réseau du jardin.</x:v>
      </x:c>
      <x:c r="I81" s="14" t="str">
        <x:v>Afficher seulement à l’étape 3. Refuser les réponses verrouillées, sauvegarder le choix et ne progresser qu’une fois.</x:v>
      </x:c>
      <x:c r="J81" s="14" t="str">
        <x:v>SIDE-citadelle-les-veilleurs, OPSTEP-citadel-keepers-keeper-tower</x:v>
      </x:c>
      <x:c r="K81" s="14" t="str">
        <x:v>src/operation-data.js</x:v>
      </x:c>
      <x:c r="L81" s="14" t="str">
        <x:v>src/operation-data.js</x:v>
      </x:c>
      <x:c r="M81" s="14" t="str">
        <x:v>citadel-keepers.keeper-garden</x:v>
      </x:c>
      <x:c r="N81" s="14" t="str">
        <x:v>Objectifs et noms ME1 référencés ; chiffres, découpage et interface propres à cette adaptation ATB.</x:v>
      </x:c>
      <x:c r="O81" s="14" t="str">
        <x:v>https://masseffect.fandom.com/wiki/Citadel%3A_Scan_the_Keepers</x:v>
      </x:c>
      <x:c r="P81" s="14" t="str">
        <x:v>Production ME1</x:v>
      </x:c>
      <x:c r="Q81" s="14" t="str">
        <x:v>Réponses : scan : Enregistrer le deuxième relevé.. Position proposée x=-12, z=0 ; déplacée à proximité par le moteur si obstacle. Dialogues réécrits.</x:v>
      </x:c>
    </x:row>
    <x:row r="82" ht="49" customHeight="1">
      <x:c r="A82" s="12" t="str">
        <x:v>OPSTEP-citadel-keepers-keeper-wards</x:v>
      </x:c>
      <x:c r="B82" s="7" t="str">
        <x:v>Citadelle : Scanner les veilleurs — 4. Veilleur des secteurs</x:v>
      </x:c>
      <x:c r="C82" s="10" t="str">
        <x:v>Prototype</x:v>
      </x:c>
      <x:c r="D82" s="11" t="str">
        <x:v>À produire</x:v>
      </x:c>
      <x:c r="E82" s="9" t="str">
        <x:v>P1</x:v>
      </x:c>
      <x:c r="F82" s="9" t="str">
        <x:v>ME1</x:v>
      </x:c>
      <x:c r="G82" s="9" t="str">
        <x:v>Adaptation</x:v>
      </x:c>
      <x:c r="H82" s="7" t="str">
        <x:v>Étape 4/6, citadel. Ce veilleur intervient sur une conduite. Le scanner peut fonctionner depuis le passage.</x:v>
      </x:c>
      <x:c r="I82" s="7" t="str">
        <x:v>Afficher seulement à l’étape 4. Refuser les réponses verrouillées, sauvegarder le choix et ne progresser qu’une fois.</x:v>
      </x:c>
      <x:c r="J82" s="7" t="str">
        <x:v>SIDE-citadelle-les-veilleurs, OPSTEP-citadel-keepers-keeper-garden</x:v>
      </x:c>
      <x:c r="K82" s="7" t="str">
        <x:v>src/operation-data.js</x:v>
      </x:c>
      <x:c r="L82" s="7" t="str">
        <x:v>src/operation-data.js</x:v>
      </x:c>
      <x:c r="M82" s="7" t="str">
        <x:v>citadel-keepers.keeper-wards</x:v>
      </x:c>
      <x:c r="N82" s="7" t="str">
        <x:v>Objectifs et noms ME1 référencés ; chiffres, découpage et interface propres à cette adaptation ATB.</x:v>
      </x:c>
      <x:c r="O82" s="7" t="str">
        <x:v>https://masseffect.fandom.com/wiki/Citadel%3A_Scan_the_Keepers</x:v>
      </x:c>
      <x:c r="P82" s="7" t="str">
        <x:v>Production ME1</x:v>
      </x:c>
      <x:c r="Q82" s="7" t="str">
        <x:v>Réponses : scan : Enregistrer le troisième relevé.. Position proposée x=12, z=0 ; déplacée à proximité par le moteur si obstacle. Dialogues réécrits.</x:v>
      </x:c>
    </x:row>
    <x:row r="83" ht="49" customHeight="1">
      <x:c r="A83" s="13" t="str">
        <x:v>OPSTEP-citadel-keepers-keeper-dock</x:v>
      </x:c>
      <x:c r="B83" s="14" t="str">
        <x:v>Citadelle : Scanner les veilleurs — 5. Veilleur des quais</x:v>
      </x:c>
      <x:c r="C83" s="10" t="str">
        <x:v>Prototype</x:v>
      </x:c>
      <x:c r="D83" s="11" t="str">
        <x:v>À produire</x:v>
      </x:c>
      <x:c r="E83" s="15" t="str">
        <x:v>P1</x:v>
      </x:c>
      <x:c r="F83" s="15" t="str">
        <x:v>ME1</x:v>
      </x:c>
      <x:c r="G83" s="15" t="str">
        <x:v>Adaptation</x:v>
      </x:c>
      <x:c r="H83" s="14" t="str">
        <x:v>Étape 5/6, citadel. Un dernier relevé complète l’échantillon demandé. Les quatre signatures sont distinctes.</x:v>
      </x:c>
      <x:c r="I83" s="14" t="str">
        <x:v>Afficher seulement à l’étape 5. Refuser les réponses verrouillées, sauvegarder le choix et ne progresser qu’une fois.</x:v>
      </x:c>
      <x:c r="J83" s="14" t="str">
        <x:v>SIDE-citadelle-les-veilleurs, OPSTEP-citadel-keepers-keeper-wards</x:v>
      </x:c>
      <x:c r="K83" s="14" t="str">
        <x:v>src/operation-data.js</x:v>
      </x:c>
      <x:c r="L83" s="14" t="str">
        <x:v>src/operation-data.js</x:v>
      </x:c>
      <x:c r="M83" s="14" t="str">
        <x:v>citadel-keepers.keeper-dock</x:v>
      </x:c>
      <x:c r="N83" s="14" t="str">
        <x:v>Objectifs et noms ME1 référencés ; chiffres, découpage et interface propres à cette adaptation ATB.</x:v>
      </x:c>
      <x:c r="O83" s="14" t="str">
        <x:v>https://masseffect.fandom.com/wiki/Citadel%3A_Scan_the_Keepers</x:v>
      </x:c>
      <x:c r="P83" s="14" t="str">
        <x:v>Production ME1</x:v>
      </x:c>
      <x:c r="Q83" s="14" t="str">
        <x:v>Réponses : scan : Enregistrer le quatrième relevé.. Position proposée x=-11, z=16 ; déplacée à proximité par le moteur si obstacle. Dialogues réécrits.</x:v>
      </x:c>
    </x:row>
    <x:row r="84" ht="62" customHeight="1">
      <x:c r="A84" s="12" t="str">
        <x:v>OPSTEP-citadel-keepers-report</x:v>
      </x:c>
      <x:c r="B84" s="7" t="str">
        <x:v>Citadelle : Scanner les veilleurs — 6. Chorban</x:v>
      </x:c>
      <x:c r="C84" s="10" t="str">
        <x:v>Prototype</x:v>
      </x:c>
      <x:c r="D84" s="11" t="str">
        <x:v>À produire</x:v>
      </x:c>
      <x:c r="E84" s="9" t="str">
        <x:v>P1</x:v>
      </x:c>
      <x:c r="F84" s="9" t="str">
        <x:v>ME1</x:v>
      </x:c>
      <x:c r="G84" s="9" t="str">
        <x:v>Adaptation</x:v>
      </x:c>
      <x:c r="H84" s="7" t="str">
        <x:v>Étape 6/6, citadel. Les quatre séries de mesures sont exploitables. Ce n’est qu’un début, mais nous pouvons désormais comparer plusieurs environnements de la station.</x:v>
      </x:c>
      <x:c r="I84" s="7" t="str">
        <x:v>Afficher seulement à l’étape 6. Refuser les réponses verrouillées, sauvegarder le choix et ne progresser qu’une fois.</x:v>
      </x:c>
      <x:c r="J84" s="7" t="str">
        <x:v>SIDE-citadelle-les-veilleurs, OPSTEP-citadel-keepers-keeper-dock</x:v>
      </x:c>
      <x:c r="K84" s="7" t="str">
        <x:v>src/operation-data.js</x:v>
      </x:c>
      <x:c r="L84" s="7" t="str">
        <x:v>src/operation-data.js</x:v>
      </x:c>
      <x:c r="M84" s="7" t="str">
        <x:v>citadel-keepers.report</x:v>
      </x:c>
      <x:c r="N84" s="7" t="str">
        <x:v>Objectifs et noms ME1 référencés ; chiffres, découpage et interface propres à cette adaptation ATB.</x:v>
      </x:c>
      <x:c r="O84" s="7" t="str">
        <x:v>https://masseffect.fandom.com/wiki/Citadel%3A_Scan_the_Keepers</x:v>
      </x:c>
      <x:c r="P84" s="7" t="str">
        <x:v>Production ME1</x:v>
      </x:c>
      <x:c r="Q84" s="7" t="str">
        <x:v>Réponses : report : Clore la collecte de cet échantillon.. Position proposée x=-10, z=-15 ; déplacée à proximité par le moteur si obstacle. Dialogues réécrits.</x:v>
      </x:c>
    </x:row>
    <x:row r="85" ht="62" customHeight="1">
      <x:c r="A85" s="13" t="str">
        <x:v>OPSTEP-citadel-signal-tracking-flux</x:v>
      </x:c>
      <x:c r="B85" s="14" t="str">
        <x:v>Citadelle : Traque du signal — 1. Terminal de Flux</x:v>
      </x:c>
      <x:c r="C85" s="10" t="str">
        <x:v>Prototype</x:v>
      </x:c>
      <x:c r="D85" s="11" t="str">
        <x:v>À produire</x:v>
      </x:c>
      <x:c r="E85" s="15" t="str">
        <x:v>P1</x:v>
      </x:c>
      <x:c r="F85" s="15" t="str">
        <x:v>ME1</x:v>
      </x:c>
      <x:c r="G85" s="15" t="str">
        <x:v>Adaptation</x:v>
      </x:c>
      <x:c r="H85" s="14" t="str">
        <x:v>Étape 1/4, citadel. Un flux financier quitte les machines de jeu par une connexion non déclarée. L’omni-tool identifie un premier relais dans les accès aux secteurs.</x:v>
      </x:c>
      <x:c r="I85" s="14" t="str">
        <x:v>Afficher seulement à l’étape 1. Refuser les réponses verrouillées, sauvegarder le choix et ne progresser qu’une fois.</x:v>
      </x:c>
      <x:c r="J85" s="14" t="str">
        <x:v>SIDE-citadelle-signal-suspect</x:v>
      </x:c>
      <x:c r="K85" s="14" t="str">
        <x:v>src/operation-data.js</x:v>
      </x:c>
      <x:c r="L85" s="14" t="str">
        <x:v>src/operation-data.js</x:v>
      </x:c>
      <x:c r="M85" s="14" t="str">
        <x:v>citadel-signal-tracking.flux</x:v>
      </x:c>
      <x:c r="N85" s="14" t="str">
        <x:v>Objectifs et noms ME1 référencés ; chiffres, découpage et interface propres à cette adaptation ATB.</x:v>
      </x:c>
      <x:c r="O85" s="14" t="str">
        <x:v>https://masseffect.fandom.com/wiki/Citadel%3A_Signal_Tracking</x:v>
      </x:c>
      <x:c r="P85" s="14" t="str">
        <x:v>Production ME1</x:v>
      </x:c>
      <x:c r="Q85" s="14" t="str">
        <x:v>Réponses : trace : Démarrer la traque du signal.. Position proposée x=13, z=4 ; déplacée à proximité par le moteur si obstacle. Dialogues réécrits.</x:v>
      </x:c>
    </x:row>
    <x:row r="86" ht="49" customHeight="1">
      <x:c r="A86" s="12" t="str">
        <x:v>OPSTEP-citadel-signal-tracking-wards-relay</x:v>
      </x:c>
      <x:c r="B86" s="7" t="str">
        <x:v>Citadelle : Traque du signal — 2. Relais des secteurs</x:v>
      </x:c>
      <x:c r="C86" s="10" t="str">
        <x:v>Prototype</x:v>
      </x:c>
      <x:c r="D86" s="11" t="str">
        <x:v>À produire</x:v>
      </x:c>
      <x:c r="E86" s="9" t="str">
        <x:v>P1</x:v>
      </x:c>
      <x:c r="F86" s="9" t="str">
        <x:v>ME1</x:v>
      </x:c>
      <x:c r="G86" s="9" t="str">
        <x:v>Adaptation</x:v>
      </x:c>
      <x:c r="H86" s="7" t="str">
        <x:v>Étape 2/4, citadel. Le relais masque la destination des virements. La prochaine redirection passe par les équipements du bureau de Barla Von.</x:v>
      </x:c>
      <x:c r="I86" s="7" t="str">
        <x:v>Afficher seulement à l’étape 2. Refuser les réponses verrouillées, sauvegarder le choix et ne progresser qu’une fois.</x:v>
      </x:c>
      <x:c r="J86" s="7" t="str">
        <x:v>SIDE-citadelle-signal-suspect, OPSTEP-citadel-signal-tracking-flux</x:v>
      </x:c>
      <x:c r="K86" s="7" t="str">
        <x:v>src/operation-data.js</x:v>
      </x:c>
      <x:c r="L86" s="7" t="str">
        <x:v>src/operation-data.js</x:v>
      </x:c>
      <x:c r="M86" s="7" t="str">
        <x:v>citadel-signal-tracking.wards-relay</x:v>
      </x:c>
      <x:c r="N86" s="7" t="str">
        <x:v>Objectifs et noms ME1 référencés ; chiffres, découpage et interface propres à cette adaptation ATB.</x:v>
      </x:c>
      <x:c r="O86" s="7" t="str">
        <x:v>https://masseffect.fandom.com/wiki/Citadel%3A_Signal_Tracking</x:v>
      </x:c>
      <x:c r="P86" s="7" t="str">
        <x:v>Production ME1</x:v>
      </x:c>
      <x:c r="Q86" s="7" t="str">
        <x:v>Réponses : trace : Suivre la redirection suivante.. Position proposée x=-10, z=7 ; déplacée à proximité par le moteur si obstacle. Dialogues réécrits.</x:v>
      </x:c>
    </x:row>
    <x:row r="87" ht="49" customHeight="1">
      <x:c r="A87" s="13" t="str">
        <x:v>OPSTEP-citadel-signal-tracking-barla-relay</x:v>
      </x:c>
      <x:c r="B87" s="14" t="str">
        <x:v>Citadelle : Traque du signal — 3. Terminal de Barla Von</x:v>
      </x:c>
      <x:c r="C87" s="10" t="str">
        <x:v>Prototype</x:v>
      </x:c>
      <x:c r="D87" s="11" t="str">
        <x:v>À produire</x:v>
      </x:c>
      <x:c r="E87" s="15" t="str">
        <x:v>P1</x:v>
      </x:c>
      <x:c r="F87" s="15" t="str">
        <x:v>ME1</x:v>
      </x:c>
      <x:c r="G87" s="15" t="str">
        <x:v>Adaptation</x:v>
      </x:c>
      <x:c r="H87" s="14" t="str">
        <x:v>Étape 3/4, citadel. La trace conduit à un terminal situé derrière les boutiques de l’Emporium. Les connexions convergent toutes vers cette machine.</x:v>
      </x:c>
      <x:c r="I87" s="14" t="str">
        <x:v>Afficher seulement à l’étape 3. Refuser les réponses verrouillées, sauvegarder le choix et ne progresser qu’une fois.</x:v>
      </x:c>
      <x:c r="J87" s="14" t="str">
        <x:v>SIDE-citadelle-signal-suspect, OPSTEP-citadel-signal-tracking-wards-relay</x:v>
      </x:c>
      <x:c r="K87" s="14" t="str">
        <x:v>src/operation-data.js</x:v>
      </x:c>
      <x:c r="L87" s="14" t="str">
        <x:v>src/operation-data.js</x:v>
      </x:c>
      <x:c r="M87" s="14" t="str">
        <x:v>citadel-signal-tracking.barla-relay</x:v>
      </x:c>
      <x:c r="N87" s="14" t="str">
        <x:v>Objectifs et noms ME1 référencés ; chiffres, découpage et interface propres à cette adaptation ATB.</x:v>
      </x:c>
      <x:c r="O87" s="14" t="str">
        <x:v>https://masseffect.fandom.com/wiki/Citadel%3A_Signal_Tracking</x:v>
      </x:c>
      <x:c r="P87" s="14" t="str">
        <x:v>Production ME1</x:v>
      </x:c>
      <x:c r="Q87" s="14" t="str">
        <x:v>Réponses : trace : Localiser le terminal final.. Position proposée x=-10, z=-10 ; déplacée à proximité par le moteur si obstacle. Dialogues réécrits.</x:v>
      </x:c>
    </x:row>
    <x:row r="88" ht="62" customHeight="1">
      <x:c r="A88" s="12" t="str">
        <x:v>OPSTEP-citadel-signal-tracking-ai</x:v>
      </x:c>
      <x:c r="B88" s="7" t="str">
        <x:v>Citadelle : Traque du signal — 4. IA clandestine</x:v>
      </x:c>
      <x:c r="C88" s="10" t="str">
        <x:v>Prototype</x:v>
      </x:c>
      <x:c r="D88" s="11" t="str">
        <x:v>À produire</x:v>
      </x:c>
      <x:c r="E88" s="9" t="str">
        <x:v>P1</x:v>
      </x:c>
      <x:c r="F88" s="9" t="str">
        <x:v>ME1</x:v>
      </x:c>
      <x:c r="G88" s="9" t="str">
        <x:v>Adaptation</x:v>
      </x:c>
      <x:c r="H88" s="7" t="str">
        <x:v>Étape 4/4, citadel. Vous avez découvert une intelligence cachée dans le réseau. Elle menace de détruire son installation. Votre équipe repère l’alimentation et un accès de diagnostic.</x:v>
      </x:c>
      <x:c r="I88" s="7" t="str">
        <x:v>Afficher seulement à l’étape 4. Refuser les réponses verrouillées, sauvegarder le choix et ne progresser qu’une fois.</x:v>
      </x:c>
      <x:c r="J88" s="7" t="str">
        <x:v>SIDE-citadelle-signal-suspect, OPSTEP-citadel-signal-tracking-barla-relay</x:v>
      </x:c>
      <x:c r="K88" s="7" t="str">
        <x:v>src/operation-data.js</x:v>
      </x:c>
      <x:c r="L88" s="7" t="str">
        <x:v>src/operation-data.js</x:v>
      </x:c>
      <x:c r="M88" s="7" t="str">
        <x:v>citadel-signal-tracking.ai</x:v>
      </x:c>
      <x:c r="N88" s="7" t="str">
        <x:v>Objectifs et noms ME1 référencés ; chiffres, découpage et interface propres à cette adaptation ATB.</x:v>
      </x:c>
      <x:c r="O88" s="7" t="str">
        <x:v>https://masseffect.fandom.com/wiki/Citadel%3A_Signal_Tracking</x:v>
      </x:c>
      <x:c r="P88" s="7" t="str">
        <x:v>Production ME1</x:v>
      </x:c>
      <x:c r="Q88" s="7" t="str">
        <x:v>Réponses : isolate : Isoler les circuits et interrompre l’autodestruction. / destroy : Détruire le terminal avant le déclenchement.. Position proposée x=13, z=-6 ; déplacée à proximité par le moteur si obstacle. Dialogues réécrits.</x:v>
      </x:c>
    </x:row>
    <x:row r="89" ht="88" customHeight="1">
      <x:c r="A89" s="13" t="str">
        <x:v>SIDE-citadelle-predicateur-du-presidium</x:v>
      </x:c>
      <x:c r="B89" s="14" t="str">
        <x:v>Citadelle : Le prédicateur du Présidium</x:v>
      </x:c>
      <x:c r="C89" s="10" t="str">
        <x:v>Prototype</x:v>
      </x:c>
      <x:c r="D89" s="11" t="str">
        <x:v>Prototype</x:v>
      </x:c>
      <x:c r="E89" s="15" t="str">
        <x:v>P1</x:v>
      </x:c>
      <x:c r="F89" s="15" t="str">
        <x:v>ME1</x:v>
      </x:c>
      <x:c r="G89" s="15" t="str">
        <x:v>Adaptation</x:v>
      </x:c>
      <x:c r="H89" s="14" t="str">
        <x:v>Résoudre le différend entre un hanari et un agent du SSC. 3 étapes guidées. Récompense finale unique : 50 XP, 0 crédits.</x:v>
      </x:c>
      <x:c r="I89" s="14" t="str">
        <x:v>Parcourir les 3 étapes sans saut ni double récompense. Après Eden Prime. Fermeture au passage du Conduit. Le journal, les interactions et la sauvegarde doivent afficher la même progression. Comparer les variantes manquantes au jeu avant validation finale.</x:v>
      </x:c>
      <x:c r="J89" s="14" t="str"/>
      <x:c r="K89" s="14" t="str">
        <x:v>src/operation-data.js</x:v>
      </x:c>
      <x:c r="L89" s="14" t="str">
        <x:v>src/operation-data.js</x:v>
      </x:c>
      <x:c r="M89" s="14" t="str">
        <x:v>OPERATIONS.citadel-presidium-prophet</x:v>
      </x:c>
      <x:c r="N89" s="14" t="str">
        <x:v>Objectifs et noms ME1 référencés ; chiffres, découpage et interface propres à cette adaptation ATB.</x:v>
      </x:c>
      <x:c r="O89" s="14" t="str">
        <x:v>https://masseffect.fandom.com/wiki/Citadel%3A_Presidium_Prophet</x:v>
      </x:c>
      <x:c r="P89" s="14" t="str">
        <x:v>Production ME1</x:v>
      </x:c>
      <x:c r="Q89" s="14" t="str">
        <x:v>Déplacements et dialogues condensés dans la carte actuelle ; les intérieurs et embranchements de ME1 restent à reconstituer. Le permis coûte 150 crédits. Les seuils de persuasion reposent sur les jauges Conciliation/Pragmatisme de cette adaptation, pas sur les talents Charme/Intimidation de ME1. Preuve : tests/operations.test.js.</x:v>
      </x:c>
    </x:row>
    <x:row r="90" ht="62" customHeight="1">
      <x:c r="A90" s="12" t="str">
        <x:v>OPSTEP-citadel-presidium-prophet-officer</x:v>
      </x:c>
      <x:c r="B90" s="7" t="str">
        <x:v>Citadelle : Le prédicateur du Présidium — 1. Agent du SSC</x:v>
      </x:c>
      <x:c r="C90" s="10" t="str">
        <x:v>Prototype</x:v>
      </x:c>
      <x:c r="D90" s="11" t="str">
        <x:v>À produire</x:v>
      </x:c>
      <x:c r="E90" s="9" t="str">
        <x:v>P1</x:v>
      </x:c>
      <x:c r="F90" s="9" t="str">
        <x:v>ME1</x:v>
      </x:c>
      <x:c r="G90" s="9" t="str">
        <x:v>Adaptation</x:v>
      </x:c>
      <x:c r="H90" s="7" t="str">
        <x:v>Étape 1/3, citadel. Le Présidium réglemente les prédications. Ce hanari ne dispose pas du permis requis et refuse de se déplacer. Peut-être accepterait-il d’écouter quelqu’un d’autre.</x:v>
      </x:c>
      <x:c r="I90" s="7" t="str">
        <x:v>Afficher seulement à l’étape 1. Refuser les réponses verrouillées, sauvegarder le choix et ne progresser qu’une fois.</x:v>
      </x:c>
      <x:c r="J90" s="7" t="str">
        <x:v>SIDE-citadelle-predicateur-du-presidium</x:v>
      </x:c>
      <x:c r="K90" s="7" t="str">
        <x:v>src/operation-data.js</x:v>
      </x:c>
      <x:c r="L90" s="7" t="str">
        <x:v>src/operation-data.js</x:v>
      </x:c>
      <x:c r="M90" s="7" t="str">
        <x:v>citadel-presidium-prophet.officer</x:v>
      </x:c>
      <x:c r="N90" s="7" t="str">
        <x:v>Objectifs et noms ME1 référencés ; chiffres, découpage et interface propres à cette adaptation ATB.</x:v>
      </x:c>
      <x:c r="O90" s="7" t="str">
        <x:v>https://masseffect.fandom.com/wiki/Citadel%3A_Presidium_Prophet</x:v>
      </x:c>
      <x:c r="P90" s="7" t="str">
        <x:v>Production ME1</x:v>
      </x:c>
      <x:c r="Q90" s="7" t="str">
        <x:v>Réponses : listen : Écouter également le hanari.. Position proposée x=8, z=-7 ; déplacée à proximité par le moteur si obstacle. Dialogues réécrits.</x:v>
      </x:c>
    </x:row>
    <x:row r="91" ht="88" customHeight="1">
      <x:c r="A91" s="13" t="str">
        <x:v>OPSTEP-citadel-presidium-prophet-hanar</x:v>
      </x:c>
      <x:c r="B91" s="14" t="str">
        <x:v>Citadelle : Le prédicateur du Présidium — 2. Prédicateur hanari</x:v>
      </x:c>
      <x:c r="C91" s="10" t="str">
        <x:v>Prototype</x:v>
      </x:c>
      <x:c r="D91" s="11" t="str">
        <x:v>À produire</x:v>
      </x:c>
      <x:c r="E91" s="15" t="str">
        <x:v>P1</x:v>
      </x:c>
      <x:c r="F91" s="15" t="str">
        <x:v>ME1</x:v>
      </x:c>
      <x:c r="G91" s="15" t="str">
        <x:v>Adaptation</x:v>
      </x:c>
      <x:c r="H91" s="14" t="str">
        <x:v>Étape 2/3, citadel. Celui-ci transmet la parole des Porte-flammes. Il peine à comprendre pourquoi une démarche spirituelle nécessite une autorisation administrative.</x:v>
      </x:c>
      <x:c r="I91" s="14" t="str">
        <x:v>Afficher seulement à l’étape 2. Refuser les réponses verrouillées, sauvegarder le choix et ne progresser qu’une fois.</x:v>
      </x:c>
      <x:c r="J91" s="14" t="str">
        <x:v>SIDE-citadelle-predicateur-du-presidium, OPSTEP-citadel-presidium-prophet-officer</x:v>
      </x:c>
      <x:c r="K91" s="14" t="str">
        <x:v>src/operation-data.js</x:v>
      </x:c>
      <x:c r="L91" s="14" t="str">
        <x:v>src/operation-data.js</x:v>
      </x:c>
      <x:c r="M91" s="14" t="str">
        <x:v>citadel-presidium-prophet.hanar</x:v>
      </x:c>
      <x:c r="N91" s="14" t="str">
        <x:v>Objectifs et noms ME1 référencés ; chiffres, découpage et interface propres à cette adaptation ATB.</x:v>
      </x:c>
      <x:c r="O91" s="14" t="str">
        <x:v>https://masseffect.fandom.com/wiki/Citadel%3A_Presidium_Prophet</x:v>
      </x:c>
      <x:c r="P91" s="14" t="str">
        <x:v>Production ME1</x:v>
      </x:c>
      <x:c r="Q91" s="14" t="str">
        <x:v>Réponses : permit : Acheter un permis de prédication. (150 crédits) / diplomacy : Les Porte-flammes souhaitent-ils ce conflit ? [6 Conciliation requis] / intimidate : Le règlement s’applique à vous aussi. [6 Pragmatisme requis]. Position proposée x=10, z=-7 ; déplacée à proximité par le moteur si obstacle. Dialogues réécrits.</x:v>
      </x:c>
    </x:row>
    <x:row r="92" ht="49" customHeight="1">
      <x:c r="A92" s="12" t="str">
        <x:v>OPSTEP-citadel-presidium-prophet-report</x:v>
      </x:c>
      <x:c r="B92" s="7" t="str">
        <x:v>Citadelle : Le prédicateur du Présidium — 3. Agent du SSC</x:v>
      </x:c>
      <x:c r="C92" s="10" t="str">
        <x:v>Prototype</x:v>
      </x:c>
      <x:c r="D92" s="11" t="str">
        <x:v>À produire</x:v>
      </x:c>
      <x:c r="E92" s="9" t="str">
        <x:v>P1</x:v>
      </x:c>
      <x:c r="F92" s="9" t="str">
        <x:v>ME1</x:v>
      </x:c>
      <x:c r="G92" s="9" t="str">
        <x:v>Adaptation</x:v>
      </x:c>
      <x:c r="H92" s="7" t="str">
        <x:v>Étape 3/3, citadel. Le différend est réglé et la circulation a repris. Merci d’avoir permis de conclure cette intervention.</x:v>
      </x:c>
      <x:c r="I92" s="7" t="str">
        <x:v>Afficher seulement à l’étape 3. Refuser les réponses verrouillées, sauvegarder le choix et ne progresser qu’une fois.</x:v>
      </x:c>
      <x:c r="J92" s="7" t="str">
        <x:v>SIDE-citadelle-predicateur-du-presidium, OPSTEP-citadel-presidium-prophet-hanar</x:v>
      </x:c>
      <x:c r="K92" s="7" t="str">
        <x:v>src/operation-data.js</x:v>
      </x:c>
      <x:c r="L92" s="7" t="str">
        <x:v>src/operation-data.js</x:v>
      </x:c>
      <x:c r="M92" s="7" t="str">
        <x:v>citadel-presidium-prophet.report</x:v>
      </x:c>
      <x:c r="N92" s="7" t="str">
        <x:v>Objectifs et noms ME1 référencés ; chiffres, découpage et interface propres à cette adaptation ATB.</x:v>
      </x:c>
      <x:c r="O92" s="7" t="str">
        <x:v>https://masseffect.fandom.com/wiki/Citadel%3A_Presidium_Prophet</x:v>
      </x:c>
      <x:c r="P92" s="7" t="str">
        <x:v>Production ME1</x:v>
      </x:c>
      <x:c r="Q92" s="7" t="str">
        <x:v>Réponses : report : Terminer la médiation.. Position proposée x=8, z=-7 ; déplacée à proximité par le moteur si obstacle. Dialogues réécrits.</x:v>
      </x:c>
    </x:row>
    <x:row r="93" ht="62" customHeight="1">
      <x:c r="A93" s="13" t="str">
        <x:v>OPSTEP-citadel-doctor-michel-request</x:v>
      </x:c>
      <x:c r="B93" s="14" t="str">
        <x:v>Citadelle : Le docteur Michel — 1. Dr Chloé Michel</x:v>
      </x:c>
      <x:c r="C93" s="10" t="str">
        <x:v>Prototype</x:v>
      </x:c>
      <x:c r="D93" s="11" t="str">
        <x:v>À produire</x:v>
      </x:c>
      <x:c r="E93" s="15" t="str">
        <x:v>P1</x:v>
      </x:c>
      <x:c r="F93" s="15" t="str">
        <x:v>ME1</x:v>
      </x:c>
      <x:c r="G93" s="15" t="str">
        <x:v>Adaptation</x:v>
      </x:c>
      <x:c r="H93" s="14" t="str">
        <x:v>Étape 1/4, citadel. Quelqu’un exploite un incident de mon ancien emploi pour obtenir des fournitures. Les colis passent par Morlan. Je ne peux pas laisser ce chantage priver mes patients de soins.</x:v>
      </x:c>
      <x:c r="I93" s="14" t="str">
        <x:v>Afficher seulement à l’étape 1. Refuser les réponses verrouillées, sauvegarder le choix et ne progresser qu’une fois.</x:v>
      </x:c>
      <x:c r="J93" s="14" t="str">
        <x:v>SIDE-citadelle-docteur-michel</x:v>
      </x:c>
      <x:c r="K93" s="14" t="str">
        <x:v>src/operation-data.js</x:v>
      </x:c>
      <x:c r="L93" s="14" t="str">
        <x:v>src/operation-data.js</x:v>
      </x:c>
      <x:c r="M93" s="14" t="str">
        <x:v>citadel-doctor-michel.request</x:v>
      </x:c>
      <x:c r="N93" s="14" t="str">
        <x:v>Objectifs et noms ME1 référencés ; chiffres, découpage et interface propres à cette adaptation ATB.</x:v>
      </x:c>
      <x:c r="O93" s="14" t="str">
        <x:v>https://masseffect.fandom.com/wiki/Citadel%3A_Doctor_Michel</x:v>
      </x:c>
      <x:c r="P93" s="14" t="str">
        <x:v>Production ME1</x:v>
      </x:c>
      <x:c r="Q93" s="14" t="str">
        <x:v>Réponses : accept : Je vais m’en occuper.. Position proposée x=-12, z=4 ; déplacée à proximité par le moteur si obstacle. Dialogues réécrits.</x:v>
      </x:c>
    </x:row>
    <x:row r="94" ht="62" customHeight="1">
      <x:c r="A94" s="12" t="str">
        <x:v>OPSTEP-citadel-doctor-michel-morlan</x:v>
      </x:c>
      <x:c r="B94" s="7" t="str">
        <x:v>Citadelle : Le docteur Michel — 2. Morlan</x:v>
      </x:c>
      <x:c r="C94" s="10" t="str">
        <x:v>Prototype</x:v>
      </x:c>
      <x:c r="D94" s="11" t="str">
        <x:v>À produire</x:v>
      </x:c>
      <x:c r="E94" s="9" t="str">
        <x:v>P1</x:v>
      </x:c>
      <x:c r="F94" s="9" t="str">
        <x:v>ME1</x:v>
      </x:c>
      <x:c r="G94" s="9" t="str">
        <x:v>Adaptation</x:v>
      </x:c>
      <x:c r="H94" s="7" t="str">
        <x:v>Étape 2/4, citadel. Je réceptionne les colis, mais ce n’est pas moi qui fixe les conditions. Le krogan qui vient les chercher approche. Il n’a pas l’air ravi de vous voir.</x:v>
      </x:c>
      <x:c r="I94" s="7" t="str">
        <x:v>Afficher seulement à l’étape 2. Refuser les réponses verrouillées, sauvegarder le choix et ne progresser qu’une fois.</x:v>
      </x:c>
      <x:c r="J94" s="7" t="str">
        <x:v>SIDE-citadelle-docteur-michel, OPSTEP-citadel-doctor-michel-request</x:v>
      </x:c>
      <x:c r="K94" s="7" t="str">
        <x:v>src/operation-data.js</x:v>
      </x:c>
      <x:c r="L94" s="7" t="str">
        <x:v>src/operation-data.js</x:v>
      </x:c>
      <x:c r="M94" s="7" t="str">
        <x:v>citadel-doctor-michel.morlan</x:v>
      </x:c>
      <x:c r="N94" s="7" t="str">
        <x:v>Objectifs et noms ME1 référencés ; chiffres, découpage et interface propres à cette adaptation ATB.</x:v>
      </x:c>
      <x:c r="O94" s="7" t="str">
        <x:v>https://masseffect.fandom.com/wiki/Citadel%3A_Doctor_Michel</x:v>
      </x:c>
      <x:c r="P94" s="7" t="str">
        <x:v>Production ME1</x:v>
      </x:c>
      <x:c r="Q94" s="7" t="str">
        <x:v>Réponses : question : Attendre l’intermédiaire.. Position proposée x=12, z=11 ; déplacée à proximité par le moteur si obstacle. Dialogues réécrits.</x:v>
      </x:c>
    </x:row>
    <x:row r="95" ht="88" customHeight="1">
      <x:c r="A95" s="13" t="str">
        <x:v>OPSTEP-citadel-doctor-michel-blackmailer</x:v>
      </x:c>
      <x:c r="B95" s="14" t="str">
        <x:v>Citadelle : Le docteur Michel — 3. Maître chanteur krogan</x:v>
      </x:c>
      <x:c r="C95" s="10" t="str">
        <x:v>Prototype</x:v>
      </x:c>
      <x:c r="D95" s="11" t="str">
        <x:v>À produire</x:v>
      </x:c>
      <x:c r="E95" s="15" t="str">
        <x:v>P1</x:v>
      </x:c>
      <x:c r="F95" s="15" t="str">
        <x:v>ME1</x:v>
      </x:c>
      <x:c r="G95" s="15" t="str">
        <x:v>Adaptation</x:v>
      </x:c>
      <x:c r="H95" s="14" t="str">
        <x:v>Étape 3/4, citadel. Ces fournitures étaient promises. Si Michel cesse de coopérer, son passé va la rattraper. Vous feriez mieux de laisser cette affaire tranquille.</x:v>
      </x:c>
      <x:c r="I95" s="14" t="str">
        <x:v>Afficher seulement à l’étape 3. Refuser les réponses verrouillées, sauvegarder le choix et ne progresser qu’une fois. La branche de combat exige une victoire ATB réelle ; rechargement et défaite restent rejouables.</x:v>
      </x:c>
      <x:c r="J95" s="14" t="str">
        <x:v>SIDE-citadelle-docteur-michel, OPSTEP-citadel-doctor-michel-morlan</x:v>
      </x:c>
      <x:c r="K95" s="14" t="str">
        <x:v>src/operation-data.js</x:v>
      </x:c>
      <x:c r="L95" s="14" t="str">
        <x:v>src/operation-data.js</x:v>
      </x:c>
      <x:c r="M95" s="14" t="str">
        <x:v>citadel-doctor-michel.blackmailer</x:v>
      </x:c>
      <x:c r="N95" s="14" t="str">
        <x:v>Objectifs et noms ME1 référencés ; chiffres, découpage et interface propres à cette adaptation ATB.</x:v>
      </x:c>
      <x:c r="O95" s="14" t="str">
        <x:v>https://masseffect.fandom.com/wiki/Citadel%3A_Doctor_Michel</x:v>
      </x:c>
      <x:c r="P95" s="14" t="str">
        <x:v>Production ME1</x:v>
      </x:c>
      <x:c r="Q95" s="14" t="str">
        <x:v>Réponses : persuade : Le chantage se termine ici. [8 Conciliation requis] / threaten : Une autre menace et vous aurez affaire à moi. [8 Pragmatisme requis] / fight : Refuser le chantage et se défendre. [combat michel-blackmailer]. Position proposée x=12, z=9 ; déplacée à proximité par le moteur si obstacle. Dialogues réécrits.</x:v>
      </x:c>
    </x:row>
    <x:row r="96" ht="62" customHeight="1">
      <x:c r="A96" s="12" t="str">
        <x:v>OPSTEP-citadel-doctor-michel-report</x:v>
      </x:c>
      <x:c r="B96" s="7" t="str">
        <x:v>Citadelle : Le docteur Michel — 4. Dr Chloé Michel</x:v>
      </x:c>
      <x:c r="C96" s="10" t="str">
        <x:v>Prototype</x:v>
      </x:c>
      <x:c r="D96" s="11" t="str">
        <x:v>À produire</x:v>
      </x:c>
      <x:c r="E96" s="9" t="str">
        <x:v>P1</x:v>
      </x:c>
      <x:c r="F96" s="9" t="str">
        <x:v>ME1</x:v>
      </x:c>
      <x:c r="G96" s="9" t="str">
        <x:v>Adaptation</x:v>
      </x:c>
      <x:c r="H96" s="7" t="str">
        <x:v>Étape 4/4, citadel. Mes stocks peuvent à nouveau servir les malades. Je ferai en sorte que votre commando bénéficie de conditions plus favorables pour ses besoins médicaux.</x:v>
      </x:c>
      <x:c r="I96" s="7" t="str">
        <x:v>Afficher seulement à l’étape 4. Refuser les réponses verrouillées, sauvegarder le choix et ne progresser qu’une fois.</x:v>
      </x:c>
      <x:c r="J96" s="7" t="str">
        <x:v>SIDE-citadelle-docteur-michel, OPSTEP-citadel-doctor-michel-blackmailer</x:v>
      </x:c>
      <x:c r="K96" s="7" t="str">
        <x:v>src/operation-data.js</x:v>
      </x:c>
      <x:c r="L96" s="7" t="str">
        <x:v>src/operation-data.js</x:v>
      </x:c>
      <x:c r="M96" s="7" t="str">
        <x:v>citadel-doctor-michel.report</x:v>
      </x:c>
      <x:c r="N96" s="7" t="str">
        <x:v>Objectifs et noms ME1 référencés ; chiffres, découpage et interface propres à cette adaptation ATB.</x:v>
      </x:c>
      <x:c r="O96" s="7" t="str">
        <x:v>https://masseffect.fandom.com/wiki/Citadel%3A_Doctor_Michel</x:v>
      </x:c>
      <x:c r="P96" s="7" t="str">
        <x:v>Production ME1</x:v>
      </x:c>
      <x:c r="Q96" s="7" t="str">
        <x:v>Réponses : report : Confirmer que les menaces ont cessé.. Position proposée x=-12, z=4 ; déplacée à proximité par le moteur si obstacle. Dialogues réécrits.</x:v>
      </x:c>
    </x:row>
    <x:row r="97" ht="62" customHeight="1">
      <x:c r="A97" s="13" t="str">
        <x:v>OPSTEP-feros-water-request</x:v>
      </x:c>
      <x:c r="B97" s="14" t="str">
        <x:v>Féros : Rétablir l’eau — 1. Macha Doyle</x:v>
      </x:c>
      <x:c r="C97" s="10" t="str">
        <x:v>Prototype</x:v>
      </x:c>
      <x:c r="D97" s="11" t="str">
        <x:v>À produire</x:v>
      </x:c>
      <x:c r="E97" s="15" t="str">
        <x:v>P1</x:v>
      </x:c>
      <x:c r="F97" s="15" t="str">
        <x:v>ME1</x:v>
      </x:c>
      <x:c r="G97" s="15" t="str">
        <x:v>Adaptation</x:v>
      </x:c>
      <x:c r="H97" s="14" t="str">
        <x:v>Étape 1/5, feros. La colonie manque d’eau. Trois vannes des conduites inférieures sont fermées. Je peux surveiller la pression depuis ici si vous les réactivez.</x:v>
      </x:c>
      <x:c r="I97" s="14" t="str">
        <x:v>Afficher seulement à l’étape 1. Refuser les réponses verrouillées, sauvegarder le choix et ne progresser qu’une fois.</x:v>
      </x:c>
      <x:c r="J97" s="14" t="str">
        <x:v>SIDE-feros-retablissement-de-l-eau</x:v>
      </x:c>
      <x:c r="K97" s="14" t="str">
        <x:v>src/operation-data.js</x:v>
      </x:c>
      <x:c r="L97" s="14" t="str">
        <x:v>src/operation-data.js</x:v>
      </x:c>
      <x:c r="M97" s="14" t="str">
        <x:v>feros-water.request</x:v>
      </x:c>
      <x:c r="N97" s="14" t="str">
        <x:v>Objectifs et noms ME1 référencés ; chiffres, découpage et interface propres à cette adaptation ATB.</x:v>
      </x:c>
      <x:c r="O97" s="14" t="str">
        <x:v>https://masseffect.fandom.com/wiki/Feros%3A_Water_Restoration</x:v>
      </x:c>
      <x:c r="P97" s="14" t="str">
        <x:v>Production ME1</x:v>
      </x:c>
      <x:c r="Q97" s="14" t="str">
        <x:v>Réponses : accept : Je vais m’en occuper.. Position proposée x=-11, z=14 ; déplacée à proximité par le moteur si obstacle. Dialogues réécrits.</x:v>
      </x:c>
    </x:row>
    <x:row r="98" ht="49" customHeight="1">
      <x:c r="A98" s="12" t="str">
        <x:v>OPSTEP-feros-water-valve-south</x:v>
      </x:c>
      <x:c r="B98" s="7" t="str">
        <x:v>Féros : Rétablir l’eau — 2. Vanne sud</x:v>
      </x:c>
      <x:c r="C98" s="10" t="str">
        <x:v>Prototype</x:v>
      </x:c>
      <x:c r="D98" s="11" t="str">
        <x:v>À produire</x:v>
      </x:c>
      <x:c r="E98" s="9" t="str">
        <x:v>P1</x:v>
      </x:c>
      <x:c r="F98" s="9" t="str">
        <x:v>ME1</x:v>
      </x:c>
      <x:c r="G98" s="9" t="str">
        <x:v>Adaptation</x:v>
      </x:c>
      <x:c r="H98" s="7" t="str">
        <x:v>Étape 2/5, feros. La conduite tient encore. Le mécanisme permet de rétablir le premier segment du réseau.</x:v>
      </x:c>
      <x:c r="I98" s="7" t="str">
        <x:v>Afficher seulement à l’étape 2. Refuser les réponses verrouillées, sauvegarder le choix et ne progresser qu’une fois.</x:v>
      </x:c>
      <x:c r="J98" s="7" t="str">
        <x:v>SIDE-feros-retablissement-de-l-eau, OPSTEP-feros-water-request</x:v>
      </x:c>
      <x:c r="K98" s="7" t="str">
        <x:v>src/operation-data.js</x:v>
      </x:c>
      <x:c r="L98" s="7" t="str">
        <x:v>src/operation-data.js</x:v>
      </x:c>
      <x:c r="M98" s="7" t="str">
        <x:v>feros-water.valve-south</x:v>
      </x:c>
      <x:c r="N98" s="7" t="str">
        <x:v>Objectifs et noms ME1 référencés ; chiffres, découpage et interface propres à cette adaptation ATB.</x:v>
      </x:c>
      <x:c r="O98" s="7" t="str">
        <x:v>https://masseffect.fandom.com/wiki/Feros%3A_Water_Restoration</x:v>
      </x:c>
      <x:c r="P98" s="7" t="str">
        <x:v>Production ME1</x:v>
      </x:c>
      <x:c r="Q98" s="7" t="str">
        <x:v>Réponses : restore : Ouvrir la première vanne.. Position proposée x=-12, z=5 ; déplacée à proximité par le moteur si obstacle. Dialogues réécrits.</x:v>
      </x:c>
    </x:row>
    <x:row r="99" ht="49" customHeight="1">
      <x:c r="A99" s="13" t="str">
        <x:v>OPSTEP-feros-water-valve-central</x:v>
      </x:c>
      <x:c r="B99" s="14" t="str">
        <x:v>Féros : Rétablir l’eau — 3. Vanne centrale</x:v>
      </x:c>
      <x:c r="C99" s="10" t="str">
        <x:v>Prototype</x:v>
      </x:c>
      <x:c r="D99" s="11" t="str">
        <x:v>À produire</x:v>
      </x:c>
      <x:c r="E99" s="15" t="str">
        <x:v>P1</x:v>
      </x:c>
      <x:c r="F99" s="15" t="str">
        <x:v>ME1</x:v>
      </x:c>
      <x:c r="G99" s="15" t="str">
        <x:v>Adaptation</x:v>
      </x:c>
      <x:c r="H99" s="14" t="str">
        <x:v>Étape 3/5, feros. Cette vanne relie les réserves au système de distribution. La pression reste dans les limites prévues.</x:v>
      </x:c>
      <x:c r="I99" s="14" t="str">
        <x:v>Afficher seulement à l’étape 3. Refuser les réponses verrouillées, sauvegarder le choix et ne progresser qu’une fois.</x:v>
      </x:c>
      <x:c r="J99" s="14" t="str">
        <x:v>SIDE-feros-retablissement-de-l-eau, OPSTEP-feros-water-valve-south</x:v>
      </x:c>
      <x:c r="K99" s="14" t="str">
        <x:v>src/operation-data.js</x:v>
      </x:c>
      <x:c r="L99" s="14" t="str">
        <x:v>src/operation-data.js</x:v>
      </x:c>
      <x:c r="M99" s="14" t="str">
        <x:v>feros-water.valve-central</x:v>
      </x:c>
      <x:c r="N99" s="14" t="str">
        <x:v>Objectifs et noms ME1 référencés ; chiffres, découpage et interface propres à cette adaptation ATB.</x:v>
      </x:c>
      <x:c r="O99" s="14" t="str">
        <x:v>https://masseffect.fandom.com/wiki/Feros%3A_Water_Restoration</x:v>
      </x:c>
      <x:c r="P99" s="14" t="str">
        <x:v>Production ME1</x:v>
      </x:c>
      <x:c r="Q99" s="14" t="str">
        <x:v>Réponses : restore : Ouvrir la deuxième vanne.. Position proposée x=12, z=0 ; déplacée à proximité par le moteur si obstacle. Dialogues réécrits.</x:v>
      </x:c>
    </x:row>
    <x:row r="100" ht="49" customHeight="1">
      <x:c r="A100" s="12" t="str">
        <x:v>OPSTEP-feros-water-valve-north</x:v>
      </x:c>
      <x:c r="B100" s="7" t="str">
        <x:v>Féros : Rétablir l’eau — 4. Vanne nord</x:v>
      </x:c>
      <x:c r="C100" s="10" t="str">
        <x:v>Prototype</x:v>
      </x:c>
      <x:c r="D100" s="11" t="str">
        <x:v>À produire</x:v>
      </x:c>
      <x:c r="E100" s="9" t="str">
        <x:v>P1</x:v>
      </x:c>
      <x:c r="F100" s="9" t="str">
        <x:v>ME1</x:v>
      </x:c>
      <x:c r="G100" s="9" t="str">
        <x:v>Adaptation</x:v>
      </x:c>
      <x:c r="H100" s="7" t="str">
        <x:v>Étape 4/5, feros. La troisième section peut être remise en service. Les capteurs indiquent que l’eau rejoint la colonie.</x:v>
      </x:c>
      <x:c r="I100" s="7" t="str">
        <x:v>Afficher seulement à l’étape 4. Refuser les réponses verrouillées, sauvegarder le choix et ne progresser qu’une fois.</x:v>
      </x:c>
      <x:c r="J100" s="7" t="str">
        <x:v>SIDE-feros-retablissement-de-l-eau, OPSTEP-feros-water-valve-central</x:v>
      </x:c>
      <x:c r="K100" s="7" t="str">
        <x:v>src/operation-data.js</x:v>
      </x:c>
      <x:c r="L100" s="7" t="str">
        <x:v>src/operation-data.js</x:v>
      </x:c>
      <x:c r="M100" s="7" t="str">
        <x:v>feros-water.valve-north</x:v>
      </x:c>
      <x:c r="N100" s="7" t="str">
        <x:v>Objectifs et noms ME1 référencés ; chiffres, découpage et interface propres à cette adaptation ATB.</x:v>
      </x:c>
      <x:c r="O100" s="7" t="str">
        <x:v>https://masseffect.fandom.com/wiki/Feros%3A_Water_Restoration</x:v>
      </x:c>
      <x:c r="P100" s="7" t="str">
        <x:v>Production ME1</x:v>
      </x:c>
      <x:c r="Q100" s="7" t="str">
        <x:v>Réponses : restore : Ouvrir la troisième vanne.. Position proposée x=-12, z=-7 ; déplacée à proximité par le moteur si obstacle. Dialogues réécrits.</x:v>
      </x:c>
    </x:row>
    <x:row r="101" ht="62" customHeight="1">
      <x:c r="A101" s="13" t="str">
        <x:v>OPSTEP-feros-water-report</x:v>
      </x:c>
      <x:c r="B101" s="14" t="str">
        <x:v>Féros : Rétablir l’eau — 5. Macha Doyle</x:v>
      </x:c>
      <x:c r="C101" s="10" t="str">
        <x:v>Prototype</x:v>
      </x:c>
      <x:c r="D101" s="11" t="str">
        <x:v>À produire</x:v>
      </x:c>
      <x:c r="E101" s="15" t="str">
        <x:v>P1</x:v>
      </x:c>
      <x:c r="F101" s="15" t="str">
        <x:v>ME1</x:v>
      </x:c>
      <x:c r="G101" s="15" t="str">
        <x:v>Adaptation</x:v>
      </x:c>
      <x:c r="H101" s="14" t="str">
        <x:v>Étape 5/5, feros. Le débit est revenu. Nous pouvons alimenter les installations essentielles et remplir les réserves. Cela nous donne une chance de tenir.</x:v>
      </x:c>
      <x:c r="I101" s="14" t="str">
        <x:v>Afficher seulement à l’étape 5. Refuser les réponses verrouillées, sauvegarder le choix et ne progresser qu’une fois.</x:v>
      </x:c>
      <x:c r="J101" s="14" t="str">
        <x:v>SIDE-feros-retablissement-de-l-eau, OPSTEP-feros-water-valve-north</x:v>
      </x:c>
      <x:c r="K101" s="14" t="str">
        <x:v>src/operation-data.js</x:v>
      </x:c>
      <x:c r="L101" s="14" t="str">
        <x:v>src/operation-data.js</x:v>
      </x:c>
      <x:c r="M101" s="14" t="str">
        <x:v>feros-water.report</x:v>
      </x:c>
      <x:c r="N101" s="14" t="str">
        <x:v>Objectifs et noms ME1 référencés ; chiffres, découpage et interface propres à cette adaptation ATB.</x:v>
      </x:c>
      <x:c r="O101" s="14" t="str">
        <x:v>https://masseffect.fandom.com/wiki/Feros%3A_Water_Restoration</x:v>
      </x:c>
      <x:c r="P101" s="14" t="str">
        <x:v>Production ME1</x:v>
      </x:c>
      <x:c r="Q101" s="14" t="str">
        <x:v>Réponses : report : Confirmer la remise en service.. Position proposée x=-11, z=14 ; déplacée à proximité par le moteur si obstacle. Dialogues réécrits.</x:v>
      </x:c>
    </x:row>
    <x:row r="102" ht="62" customHeight="1">
      <x:c r="A102" s="12" t="str">
        <x:v>OPSTEP-feros-power-request</x:v>
      </x:c>
      <x:c r="B102" s="7" t="str">
        <x:v>Féros : Cellules énergétiques — 1. May O’Connell</x:v>
      </x:c>
      <x:c r="C102" s="10" t="str">
        <x:v>Prototype</x:v>
      </x:c>
      <x:c r="D102" s="11" t="str">
        <x:v>À produire</x:v>
      </x:c>
      <x:c r="E102" s="9" t="str">
        <x:v>P1</x:v>
      </x:c>
      <x:c r="F102" s="9" t="str">
        <x:v>ME1</x:v>
      </x:c>
      <x:c r="G102" s="9" t="str">
        <x:v>Adaptation</x:v>
      </x:c>
      <x:c r="H102" s="7" t="str">
        <x:v>Étape 1/3, feros. Le générateur manque de cellules utilisables. Une épave sous la colonie en contient peut-être encore. Si elles sont intactes, je peux les adapter à notre installation.</x:v>
      </x:c>
      <x:c r="I102" s="7" t="str">
        <x:v>Afficher seulement à l’étape 1. Refuser les réponses verrouillées, sauvegarder le choix et ne progresser qu’une fois.</x:v>
      </x:c>
      <x:c r="J102" s="7" t="str">
        <x:v>SIDE-feros-cellules-energetiques</x:v>
      </x:c>
      <x:c r="K102" s="7" t="str">
        <x:v>src/operation-data.js</x:v>
      </x:c>
      <x:c r="L102" s="7" t="str">
        <x:v>src/operation-data.js</x:v>
      </x:c>
      <x:c r="M102" s="7" t="str">
        <x:v>feros-power.request</x:v>
      </x:c>
      <x:c r="N102" s="7" t="str">
        <x:v>Objectifs et noms ME1 référencés ; chiffres, découpage et interface propres à cette adaptation ATB.</x:v>
      </x:c>
      <x:c r="O102" s="7" t="str">
        <x:v>https://masseffect.fandom.com/wiki/Feros%3A_Power_Cells</x:v>
      </x:c>
      <x:c r="P102" s="7" t="str">
        <x:v>Production ME1</x:v>
      </x:c>
      <x:c r="Q102" s="7" t="str">
        <x:v>Réponses : accept : Je vais m’en occuper.. Position proposée x=11, z=14 ; déplacée à proximité par le moteur si obstacle. Dialogues réécrits.</x:v>
      </x:c>
    </x:row>
    <x:row r="103" ht="49" customHeight="1">
      <x:c r="A103" s="13" t="str">
        <x:v>OPSTEP-feros-power-wreck</x:v>
      </x:c>
      <x:c r="B103" s="14" t="str">
        <x:v>Féros : Cellules énergétiques — 2. Épave du véhicule</x:v>
      </x:c>
      <x:c r="C103" s="10" t="str">
        <x:v>Prototype</x:v>
      </x:c>
      <x:c r="D103" s="11" t="str">
        <x:v>À produire</x:v>
      </x:c>
      <x:c r="E103" s="15" t="str">
        <x:v>P1</x:v>
      </x:c>
      <x:c r="F103" s="15" t="str">
        <x:v>ME1</x:v>
      </x:c>
      <x:c r="G103" s="15" t="str">
        <x:v>Adaptation</x:v>
      </x:c>
      <x:c r="H103" s="14" t="str">
        <x:v>Étape 2/3, feros. Le logement énergétique a résisté à l’accident. Deux cellules peuvent être retirées sans endommager leurs connexions.</x:v>
      </x:c>
      <x:c r="I103" s="14" t="str">
        <x:v>Afficher seulement à l’étape 2. Refuser les réponses verrouillées, sauvegarder le choix et ne progresser qu’une fois.</x:v>
      </x:c>
      <x:c r="J103" s="14" t="str">
        <x:v>SIDE-feros-cellules-energetiques, OPSTEP-feros-power-request</x:v>
      </x:c>
      <x:c r="K103" s="14" t="str">
        <x:v>src/operation-data.js</x:v>
      </x:c>
      <x:c r="L103" s="14" t="str">
        <x:v>src/operation-data.js</x:v>
      </x:c>
      <x:c r="M103" s="14" t="str">
        <x:v>feros-power.wreck</x:v>
      </x:c>
      <x:c r="N103" s="14" t="str">
        <x:v>Objectifs et noms ME1 référencés ; chiffres, découpage et interface propres à cette adaptation ATB.</x:v>
      </x:c>
      <x:c r="O103" s="14" t="str">
        <x:v>https://masseffect.fandom.com/wiki/Feros%3A_Power_Cells</x:v>
      </x:c>
      <x:c r="P103" s="14" t="str">
        <x:v>Production ME1</x:v>
      </x:c>
      <x:c r="Q103" s="14" t="str">
        <x:v>Réponses : recover : Récupérer les cellules énergétiques.. Position proposée x=12, z=-5 ; déplacée à proximité par le moteur si obstacle. Dialogues réécrits.</x:v>
      </x:c>
    </x:row>
    <x:row r="104" ht="62" customHeight="1">
      <x:c r="A104" s="12" t="str">
        <x:v>OPSTEP-feros-power-report</x:v>
      </x:c>
      <x:c r="B104" s="7" t="str">
        <x:v>Féros : Cellules énergétiques — 3. May O’Connell</x:v>
      </x:c>
      <x:c r="C104" s="10" t="str">
        <x:v>Prototype</x:v>
      </x:c>
      <x:c r="D104" s="11" t="str">
        <x:v>À produire</x:v>
      </x:c>
      <x:c r="E104" s="9" t="str">
        <x:v>P1</x:v>
      </x:c>
      <x:c r="F104" s="9" t="str">
        <x:v>ME1</x:v>
      </x:c>
      <x:c r="G104" s="9" t="str">
        <x:v>Adaptation</x:v>
      </x:c>
      <x:c r="H104" s="7" t="str">
        <x:v>Étape 3/3, feros. Ces cellules conviennent. Nous allons rétablir une alimentation stable pour les services de la colonie. Vous nous évitez une nouvelle panne générale.</x:v>
      </x:c>
      <x:c r="I104" s="7" t="str">
        <x:v>Afficher seulement à l’étape 3. Refuser les réponses verrouillées, sauvegarder le choix et ne progresser qu’une fois.</x:v>
      </x:c>
      <x:c r="J104" s="7" t="str">
        <x:v>SIDE-feros-cellules-energetiques, OPSTEP-feros-power-wreck</x:v>
      </x:c>
      <x:c r="K104" s="7" t="str">
        <x:v>src/operation-data.js</x:v>
      </x:c>
      <x:c r="L104" s="7" t="str">
        <x:v>src/operation-data.js</x:v>
      </x:c>
      <x:c r="M104" s="7" t="str">
        <x:v>feros-power.report</x:v>
      </x:c>
      <x:c r="N104" s="7" t="str">
        <x:v>Objectifs et noms ME1 référencés ; chiffres, découpage et interface propres à cette adaptation ATB.</x:v>
      </x:c>
      <x:c r="O104" s="7" t="str">
        <x:v>https://masseffect.fandom.com/wiki/Feros%3A_Power_Cells</x:v>
      </x:c>
      <x:c r="P104" s="7" t="str">
        <x:v>Production ME1</x:v>
      </x:c>
      <x:c r="Q104" s="7" t="str">
        <x:v>Réponses : deliver : Remettre les cellules à May.. Position proposée x=11, z=14 ; déplacée à proximité par le moteur si obstacle. Dialogues réécrits.</x:v>
      </x:c>
    </x:row>
    <x:row r="105" ht="62" customHeight="1">
      <x:c r="A105" s="13" t="str">
        <x:v>OPSTEP-feros-geth-tunnels-request</x:v>
      </x:c>
      <x:c r="B105" s="14" t="str">
        <x:v>Féros : Les geth dans les tunnels — 1. Fai Dan</x:v>
      </x:c>
      <x:c r="C105" s="10" t="str">
        <x:v>Prototype</x:v>
      </x:c>
      <x:c r="D105" s="11" t="str">
        <x:v>À produire</x:v>
      </x:c>
      <x:c r="E105" s="15" t="str">
        <x:v>P1</x:v>
      </x:c>
      <x:c r="F105" s="15" t="str">
        <x:v>ME1</x:v>
      </x:c>
      <x:c r="G105" s="15" t="str">
        <x:v>Adaptation</x:v>
      </x:c>
      <x:c r="H105" s="14" t="str">
        <x:v>Étape 1/5, feros. Les geth ont laissé un transmetteur dans les tunnels. Tant qu’il fonctionne, notre position reste vulnérable. Il faut neutraliser ses défenseurs et couper l’émission.</x:v>
      </x:c>
      <x:c r="I105" s="14" t="str">
        <x:v>Afficher seulement à l’étape 1. Refuser les réponses verrouillées, sauvegarder le choix et ne progresser qu’une fois.</x:v>
      </x:c>
      <x:c r="J105" s="14" t="str">
        <x:v>SIDE-feros-geth-dans-les-tunnels</x:v>
      </x:c>
      <x:c r="K105" s="14" t="str">
        <x:v>src/operation-data.js</x:v>
      </x:c>
      <x:c r="L105" s="14" t="str">
        <x:v>src/operation-data.js</x:v>
      </x:c>
      <x:c r="M105" s="14" t="str">
        <x:v>feros-geth-tunnels.request</x:v>
      </x:c>
      <x:c r="N105" s="14" t="str">
        <x:v>Objectifs et noms ME1 référencés ; chiffres, découpage et interface propres à cette adaptation ATB.</x:v>
      </x:c>
      <x:c r="O105" s="14" t="str">
        <x:v>https://masseffect.fandom.com/wiki/Feros%3A_Geth_in_the_Tunnels</x:v>
      </x:c>
      <x:c r="P105" s="14" t="str">
        <x:v>Production ME1</x:v>
      </x:c>
      <x:c r="Q105" s="14" t="str">
        <x:v>Réponses : accept : Je vais m’en occuper.. Position proposée x=0, z=10 ; déplacée à proximité par le moteur si obstacle. Dialogues réécrits.</x:v>
      </x:c>
    </x:row>
    <x:row r="106" ht="62" customHeight="1">
      <x:c r="A106" s="12" t="str">
        <x:v>OPSTEP-feros-geth-tunnels-patrol</x:v>
      </x:c>
      <x:c r="B106" s="7" t="str">
        <x:v>Féros : Les geth dans les tunnels — 2. Défense geth des tunnels</x:v>
      </x:c>
      <x:c r="C106" s="10" t="str">
        <x:v>Prototype</x:v>
      </x:c>
      <x:c r="D106" s="11" t="str">
        <x:v>À produire</x:v>
      </x:c>
      <x:c r="E106" s="9" t="str">
        <x:v>P1</x:v>
      </x:c>
      <x:c r="F106" s="9" t="str">
        <x:v>ME1</x:v>
      </x:c>
      <x:c r="G106" s="9" t="str">
        <x:v>Adaptation</x:v>
      </x:c>
      <x:c r="H106" s="7" t="str">
        <x:v>Étape 2/5, feros. Deux tireurs couvrent le passage tandis qu’une unité lourde garde l’accès. Le commando doit ouvrir la route du transmetteur.</x:v>
      </x:c>
      <x:c r="I106" s="7" t="str">
        <x:v>Afficher seulement à l’étape 2. Refuser les réponses verrouillées, sauvegarder le choix et ne progresser qu’une fois. La branche de combat exige une victoire ATB réelle ; rechargement et défaite restent rejouables.</x:v>
      </x:c>
      <x:c r="J106" s="7" t="str">
        <x:v>SIDE-feros-geth-dans-les-tunnels, OPSTEP-feros-geth-tunnels-request</x:v>
      </x:c>
      <x:c r="K106" s="7" t="str">
        <x:v>src/operation-data.js</x:v>
      </x:c>
      <x:c r="L106" s="7" t="str">
        <x:v>src/operation-data.js</x:v>
      </x:c>
      <x:c r="M106" s="7" t="str">
        <x:v>feros-geth-tunnels.patrol</x:v>
      </x:c>
      <x:c r="N106" s="7" t="str">
        <x:v>Objectifs et noms ME1 référencés ; chiffres, découpage et interface propres à cette adaptation ATB.</x:v>
      </x:c>
      <x:c r="O106" s="7" t="str">
        <x:v>https://masseffect.fandom.com/wiki/Feros%3A_Geth_in_the_Tunnels</x:v>
      </x:c>
      <x:c r="P106" s="7" t="str">
        <x:v>Production ME1</x:v>
      </x:c>
      <x:c r="Q106" s="7" t="str">
        <x:v>Réponses : fight : Engager les défenseurs geth. [combat tunnel-geth]. Position proposée x=10, z=3 ; déplacée à proximité par le moteur si obstacle. Dialogues réécrits.</x:v>
      </x:c>
    </x:row>
    <x:row r="107" ht="62" customHeight="1">
      <x:c r="A107" s="13" t="str">
        <x:v>OPSTEP-feros-geth-tunnels-guards</x:v>
      </x:c>
      <x:c r="B107" s="14" t="str">
        <x:v>Féros : Les geth dans les tunnels — 3. Gardiens du transmetteur</x:v>
      </x:c>
      <x:c r="C107" s="10" t="str">
        <x:v>Prototype</x:v>
      </x:c>
      <x:c r="D107" s="11" t="str">
        <x:v>À produire</x:v>
      </x:c>
      <x:c r="E107" s="15" t="str">
        <x:v>P1</x:v>
      </x:c>
      <x:c r="F107" s="15" t="str">
        <x:v>ME1</x:v>
      </x:c>
      <x:c r="G107" s="15" t="str">
        <x:v>Adaptation</x:v>
      </x:c>
      <x:c r="H107" s="14" t="str">
        <x:v>Étape 3/5, feros. Trois krogans défendent la chambre du transmetteur. Ils bloquent l’accès au dispositif.</x:v>
      </x:c>
      <x:c r="I107" s="14" t="str">
        <x:v>Afficher seulement à l’étape 3. Refuser les réponses verrouillées, sauvegarder le choix et ne progresser qu’une fois. La branche de combat exige une victoire ATB réelle ; rechargement et défaite restent rejouables.</x:v>
      </x:c>
      <x:c r="J107" s="14" t="str">
        <x:v>SIDE-feros-geth-dans-les-tunnels, OPSTEP-feros-geth-tunnels-patrol</x:v>
      </x:c>
      <x:c r="K107" s="14" t="str">
        <x:v>src/operation-data.js</x:v>
      </x:c>
      <x:c r="L107" s="14" t="str">
        <x:v>src/operation-data.js</x:v>
      </x:c>
      <x:c r="M107" s="14" t="str">
        <x:v>feros-geth-tunnels.guards</x:v>
      </x:c>
      <x:c r="N107" s="14" t="str">
        <x:v>Objectifs et noms ME1 référencés ; chiffres, découpage et interface propres à cette adaptation ATB.</x:v>
      </x:c>
      <x:c r="O107" s="14" t="str">
        <x:v>https://masseffect.fandom.com/wiki/Feros%3A_Geth_in_the_Tunnels</x:v>
      </x:c>
      <x:c r="P107" s="14" t="str">
        <x:v>Production ME1</x:v>
      </x:c>
      <x:c r="Q107" s="14" t="str">
        <x:v>Réponses : fight : Affronter les trois krogans. [combat tunnel-krogans]. Position proposée x=-10, z=-3 ; déplacée à proximité par le moteur si obstacle. Dialogues réécrits.</x:v>
      </x:c>
    </x:row>
    <x:row r="108" ht="49" customHeight="1">
      <x:c r="A108" s="12" t="str">
        <x:v>OPSTEP-feros-geth-tunnels-transmitter</x:v>
      </x:c>
      <x:c r="B108" s="7" t="str">
        <x:v>Féros : Les geth dans les tunnels — 4. Transmetteur geth</x:v>
      </x:c>
      <x:c r="C108" s="10" t="str">
        <x:v>Prototype</x:v>
      </x:c>
      <x:c r="D108" s="11" t="str">
        <x:v>À produire</x:v>
      </x:c>
      <x:c r="E108" s="9" t="str">
        <x:v>P1</x:v>
      </x:c>
      <x:c r="F108" s="9" t="str">
        <x:v>ME1</x:v>
      </x:c>
      <x:c r="G108" s="9" t="str">
        <x:v>Adaptation</x:v>
      </x:c>
      <x:c r="H108" s="7" t="str">
        <x:v>Étape 4/5, feros. La défense est neutralisée. Une surcharge ciblée peut détruire l’émetteur et interrompre définitivement son signal.</x:v>
      </x:c>
      <x:c r="I108" s="7" t="str">
        <x:v>Afficher seulement à l’étape 4. Refuser les réponses verrouillées, sauvegarder le choix et ne progresser qu’une fois.</x:v>
      </x:c>
      <x:c r="J108" s="7" t="str">
        <x:v>SIDE-feros-geth-dans-les-tunnels, OPSTEP-feros-geth-tunnels-guards</x:v>
      </x:c>
      <x:c r="K108" s="7" t="str">
        <x:v>src/operation-data.js</x:v>
      </x:c>
      <x:c r="L108" s="7" t="str">
        <x:v>src/operation-data.js</x:v>
      </x:c>
      <x:c r="M108" s="7" t="str">
        <x:v>feros-geth-tunnels.transmitter</x:v>
      </x:c>
      <x:c r="N108" s="7" t="str">
        <x:v>Objectifs et noms ME1 référencés ; chiffres, découpage et interface propres à cette adaptation ATB.</x:v>
      </x:c>
      <x:c r="O108" s="7" t="str">
        <x:v>https://masseffect.fandom.com/wiki/Feros%3A_Geth_in_the_Tunnels</x:v>
      </x:c>
      <x:c r="P108" s="7" t="str">
        <x:v>Production ME1</x:v>
      </x:c>
      <x:c r="Q108" s="7" t="str">
        <x:v>Réponses : destroy : Détruire le transmetteur.. Position proposée x=12, z=-12 ; déplacée à proximité par le moteur si obstacle. Dialogues réécrits.</x:v>
      </x:c>
    </x:row>
    <x:row r="109" ht="62" customHeight="1">
      <x:c r="A109" s="13" t="str">
        <x:v>OPSTEP-feros-geth-tunnels-report</x:v>
      </x:c>
      <x:c r="B109" s="14" t="str">
        <x:v>Féros : Les geth dans les tunnels — 5. Fai Dan</x:v>
      </x:c>
      <x:c r="C109" s="10" t="str">
        <x:v>Prototype</x:v>
      </x:c>
      <x:c r="D109" s="11" t="str">
        <x:v>À produire</x:v>
      </x:c>
      <x:c r="E109" s="15" t="str">
        <x:v>P1</x:v>
      </x:c>
      <x:c r="F109" s="15" t="str">
        <x:v>ME1</x:v>
      </x:c>
      <x:c r="G109" s="15" t="str">
        <x:v>Adaptation</x:v>
      </x:c>
      <x:c r="H109" s="14" t="str">
        <x:v>Étape 5/5, feros. Sans ce transmetteur, les geth perdent un relais à proximité de nos abris. Les habitants de Zhu’s Hope vous doivent une nouvelle chance.</x:v>
      </x:c>
      <x:c r="I109" s="14" t="str">
        <x:v>Afficher seulement à l’étape 5. Refuser les réponses verrouillées, sauvegarder le choix et ne progresser qu’une fois.</x:v>
      </x:c>
      <x:c r="J109" s="14" t="str">
        <x:v>SIDE-feros-geth-dans-les-tunnels, OPSTEP-feros-geth-tunnels-transmitter</x:v>
      </x:c>
      <x:c r="K109" s="14" t="str">
        <x:v>src/operation-data.js</x:v>
      </x:c>
      <x:c r="L109" s="14" t="str">
        <x:v>src/operation-data.js</x:v>
      </x:c>
      <x:c r="M109" s="14" t="str">
        <x:v>feros-geth-tunnels.report</x:v>
      </x:c>
      <x:c r="N109" s="14" t="str">
        <x:v>Objectifs et noms ME1 référencés ; chiffres, découpage et interface propres à cette adaptation ATB.</x:v>
      </x:c>
      <x:c r="O109" s="14" t="str">
        <x:v>https://masseffect.fandom.com/wiki/Feros%3A_Geth_in_the_Tunnels</x:v>
      </x:c>
      <x:c r="P109" s="14" t="str">
        <x:v>Production ME1</x:v>
      </x:c>
      <x:c r="Q109" s="14" t="str">
        <x:v>Réponses : report : Signaler la destruction du transmetteur.. Position proposée x=0, z=10 ; déplacée à proximité par le moteur si obstacle. Dialogues réécrits.</x:v>
      </x:c>
    </x:row>
    <x:row r="110" ht="101" customHeight="1">
      <x:c r="A110" s="12" t="str">
        <x:v>SIDE-feros-recuperation-des-donnees</x:v>
      </x:c>
      <x:c r="B110" s="7" t="str">
        <x:v>Féros : Récupération des données</x:v>
      </x:c>
      <x:c r="C110" s="10" t="str">
        <x:v>Prototype</x:v>
      </x:c>
      <x:c r="D110" s="11" t="str">
        <x:v>Prototype</x:v>
      </x:c>
      <x:c r="E110" s="9" t="str">
        <x:v>P1</x:v>
      </x:c>
      <x:c r="F110" s="9" t="str">
        <x:v>ME1</x:v>
      </x:c>
      <x:c r="G110" s="9" t="str">
        <x:v>Adaptation</x:v>
      </x:c>
      <x:c r="H110" s="7" t="str">
        <x:v>Copier les recherches de Gavin Hossle dans les installations ExoGeni. 4 étapes guidées. Récompense finale unique : 70 XP, 100 crédits.</x:v>
      </x:c>
      <x:c r="I110" s="7" t="str">
        <x:v>Parcourir les 4 étapes sans saut ni double récompense. Après le statut Spectre et le premier combat de Féros. Copie des données avant le Thorien ; remise ultérieure possible. Fermeture au passage du Conduit. Le journal, les interactions et la sauvegarde doivent afficher la même progression. Comparer les variantes manquantes au jeu avant validation finale.</x:v>
      </x:c>
      <x:c r="J110" s="7" t="str"/>
      <x:c r="K110" s="7" t="str">
        <x:v>src/operation-data.js</x:v>
      </x:c>
      <x:c r="L110" s="7" t="str">
        <x:v>src/operation-data.js</x:v>
      </x:c>
      <x:c r="M110" s="7" t="str">
        <x:v>OPERATIONS.feros-data-recovery</x:v>
      </x:c>
      <x:c r="N110" s="7" t="str">
        <x:v>Objectifs et noms ME1 référencés ; chiffres, découpage et interface propres à cette adaptation ATB.</x:v>
      </x:c>
      <x:c r="O110" s="7" t="str">
        <x:v>https://masseffect.fandom.com/wiki/Feros%3A_Data_Recovery</x:v>
      </x:c>
      <x:c r="P110" s="7" t="str">
        <x:v>Production ME1</x:v>
      </x:c>
      <x:c r="Q110" s="7" t="str">
        <x:v>Déplacements et dialogues condensés dans la carte actuelle ; les intérieurs et embranchements de ME1 restent à reconstituer. Gavin et son terminal sont regroupés dans la carte de Féros. La copie doit précéder le Thorien ; le rapport reste possible ensuite si les données ont été acquises. Preuve : tests/operations.test.js.</x:v>
      </x:c>
    </x:row>
    <x:row r="111" ht="62" customHeight="1">
      <x:c r="A111" s="13" t="str">
        <x:v>OPSTEP-feros-data-recovery-request</x:v>
      </x:c>
      <x:c r="B111" s="14" t="str">
        <x:v>Féros : Récupération des données — 1. Gavin Hossle</x:v>
      </x:c>
      <x:c r="C111" s="10" t="str">
        <x:v>Prototype</x:v>
      </x:c>
      <x:c r="D111" s="11" t="str">
        <x:v>À produire</x:v>
      </x:c>
      <x:c r="E111" s="15" t="str">
        <x:v>P1</x:v>
      </x:c>
      <x:c r="F111" s="15" t="str">
        <x:v>ME1</x:v>
      </x:c>
      <x:c r="G111" s="15" t="str">
        <x:v>Adaptation</x:v>
      </x:c>
      <x:c r="H111" s="14" t="str">
        <x:v>Étape 1/4, feros. J’ai dû abandonner mes recherches sur un terminal ExoGeni. Ces données représentent des années de travail. Une simple copie suffirait si vous atteignez mon poste.</x:v>
      </x:c>
      <x:c r="I111" s="14" t="str">
        <x:v>Afficher seulement à l’étape 1. Refuser les réponses verrouillées, sauvegarder le choix et ne progresser qu’une fois.</x:v>
      </x:c>
      <x:c r="J111" s="14" t="str">
        <x:v>SIDE-feros-recuperation-des-donnees</x:v>
      </x:c>
      <x:c r="K111" s="14" t="str">
        <x:v>src/operation-data.js</x:v>
      </x:c>
      <x:c r="L111" s="14" t="str">
        <x:v>src/operation-data.js</x:v>
      </x:c>
      <x:c r="M111" s="14" t="str">
        <x:v>feros-data-recovery.request</x:v>
      </x:c>
      <x:c r="N111" s="14" t="str">
        <x:v>Objectifs et noms ME1 référencés ; chiffres, découpage et interface propres à cette adaptation ATB.</x:v>
      </x:c>
      <x:c r="O111" s="14" t="str">
        <x:v>https://masseffect.fandom.com/wiki/Feros%3A_Data_Recovery</x:v>
      </x:c>
      <x:c r="P111" s="14" t="str">
        <x:v>Production ME1</x:v>
      </x:c>
      <x:c r="Q111" s="14" t="str">
        <x:v>Réponses : accept : Je vais m’en occuper.. Position proposée x=11, z=18 ; déplacée à proximité par le moteur si obstacle. Dialogues réécrits.</x:v>
      </x:c>
    </x:row>
    <x:row r="112" ht="62" customHeight="1">
      <x:c r="A112" s="12" t="str">
        <x:v>OPSTEP-feros-data-recovery-guards</x:v>
      </x:c>
      <x:c r="B112" s="7" t="str">
        <x:v>Féros : Récupération des données — 2. Gardes du terminal</x:v>
      </x:c>
      <x:c r="C112" s="10" t="str">
        <x:v>Prototype</x:v>
      </x:c>
      <x:c r="D112" s="11" t="str">
        <x:v>À produire</x:v>
      </x:c>
      <x:c r="E112" s="9" t="str">
        <x:v>P1</x:v>
      </x:c>
      <x:c r="F112" s="9" t="str">
        <x:v>ME1</x:v>
      </x:c>
      <x:c r="G112" s="9" t="str">
        <x:v>Adaptation</x:v>
      </x:c>
      <x:c r="H112" s="7" t="str">
        <x:v>Étape 2/4, feros. Trois krogans occupent l’accès au terminal de Gavin. Ils ouvrent le feu à l’approche du commando.</x:v>
      </x:c>
      <x:c r="I112" s="7" t="str">
        <x:v>Afficher seulement à l’étape 2. Refuser les réponses verrouillées, sauvegarder le choix et ne progresser qu’une fois. La branche de combat exige une victoire ATB réelle ; rechargement et défaite restent rejouables.</x:v>
      </x:c>
      <x:c r="J112" s="7" t="str">
        <x:v>SIDE-feros-recuperation-des-donnees, OPSTEP-feros-data-recovery-request</x:v>
      </x:c>
      <x:c r="K112" s="7" t="str">
        <x:v>src/operation-data.js</x:v>
      </x:c>
      <x:c r="L112" s="7" t="str">
        <x:v>src/operation-data.js</x:v>
      </x:c>
      <x:c r="M112" s="7" t="str">
        <x:v>feros-data-recovery.guards</x:v>
      </x:c>
      <x:c r="N112" s="7" t="str">
        <x:v>Objectifs et noms ME1 référencés ; chiffres, découpage et interface propres à cette adaptation ATB.</x:v>
      </x:c>
      <x:c r="O112" s="7" t="str">
        <x:v>https://masseffect.fandom.com/wiki/Feros%3A_Data_Recovery</x:v>
      </x:c>
      <x:c r="P112" s="7" t="str">
        <x:v>Production ME1</x:v>
      </x:c>
      <x:c r="Q112" s="7" t="str">
        <x:v>Réponses : fight : Sécuriser le terminal. [combat data-krogans]. Position proposée x=-12, z=-12 ; déplacée à proximité par le moteur si obstacle. Dialogues réécrits.</x:v>
      </x:c>
    </x:row>
    <x:row r="113" ht="49" customHeight="1">
      <x:c r="A113" s="13" t="str">
        <x:v>OPSTEP-feros-data-recovery-terminal</x:v>
      </x:c>
      <x:c r="B113" s="14" t="str">
        <x:v>Féros : Récupération des données — 3. Terminal de Gavin Hossle</x:v>
      </x:c>
      <x:c r="C113" s="10" t="str">
        <x:v>Prototype</x:v>
      </x:c>
      <x:c r="D113" s="11" t="str">
        <x:v>À produire</x:v>
      </x:c>
      <x:c r="E113" s="15" t="str">
        <x:v>P1</x:v>
      </x:c>
      <x:c r="F113" s="15" t="str">
        <x:v>ME1</x:v>
      </x:c>
      <x:c r="G113" s="15" t="str">
        <x:v>Adaptation</x:v>
      </x:c>
      <x:c r="H113" s="14" t="str">
        <x:v>Étape 3/4, feros. Les archives sont encore lisibles. Le transfert peut préserver les données de recherche sans modifier les systèmes ExoGeni.</x:v>
      </x:c>
      <x:c r="I113" s="14" t="str">
        <x:v>Afficher seulement à l’étape 3. Refuser les réponses verrouillées, sauvegarder le choix et ne progresser qu’une fois.</x:v>
      </x:c>
      <x:c r="J113" s="14" t="str">
        <x:v>SIDE-feros-recuperation-des-donnees, OPSTEP-feros-data-recovery-guards</x:v>
      </x:c>
      <x:c r="K113" s="14" t="str">
        <x:v>src/operation-data.js</x:v>
      </x:c>
      <x:c r="L113" s="14" t="str">
        <x:v>src/operation-data.js</x:v>
      </x:c>
      <x:c r="M113" s="14" t="str">
        <x:v>feros-data-recovery.terminal</x:v>
      </x:c>
      <x:c r="N113" s="14" t="str">
        <x:v>Objectifs et noms ME1 référencés ; chiffres, découpage et interface propres à cette adaptation ATB.</x:v>
      </x:c>
      <x:c r="O113" s="14" t="str">
        <x:v>https://masseffect.fandom.com/wiki/Feros%3A_Data_Recovery</x:v>
      </x:c>
      <x:c r="P113" s="14" t="str">
        <x:v>Production ME1</x:v>
      </x:c>
      <x:c r="Q113" s="14" t="str">
        <x:v>Réponses : copy : Copier les données de Gavin.. Position proposée x=-13, z=-15 ; déplacée à proximité par le moteur si obstacle. Dialogues réécrits.</x:v>
      </x:c>
    </x:row>
    <x:row r="114" ht="62" customHeight="1">
      <x:c r="A114" s="12" t="str">
        <x:v>OPSTEP-feros-data-recovery-report</x:v>
      </x:c>
      <x:c r="B114" s="7" t="str">
        <x:v>Féros : Récupération des données — 4. Gavin Hossle</x:v>
      </x:c>
      <x:c r="C114" s="10" t="str">
        <x:v>Prototype</x:v>
      </x:c>
      <x:c r="D114" s="11" t="str">
        <x:v>À produire</x:v>
      </x:c>
      <x:c r="E114" s="9" t="str">
        <x:v>P1</x:v>
      </x:c>
      <x:c r="F114" s="9" t="str">
        <x:v>ME1</x:v>
      </x:c>
      <x:c r="G114" s="9" t="str">
        <x:v>Adaptation</x:v>
      </x:c>
      <x:c r="H114" s="7" t="str">
        <x:v>Étape 4/4, feros. La copie est complète. Je pourrai reprendre ce travail lorsque nous serons en sécurité. Merci d’avoir pensé à ces recherches au milieu de l’évacuation.</x:v>
      </x:c>
      <x:c r="I114" s="7" t="str">
        <x:v>Afficher seulement à l’étape 4. Refuser les réponses verrouillées, sauvegarder le choix et ne progresser qu’une fois.</x:v>
      </x:c>
      <x:c r="J114" s="7" t="str">
        <x:v>SIDE-feros-recuperation-des-donnees, OPSTEP-feros-data-recovery-terminal</x:v>
      </x:c>
      <x:c r="K114" s="7" t="str">
        <x:v>src/operation-data.js</x:v>
      </x:c>
      <x:c r="L114" s="7" t="str">
        <x:v>src/operation-data.js</x:v>
      </x:c>
      <x:c r="M114" s="7" t="str">
        <x:v>feros-data-recovery.report</x:v>
      </x:c>
      <x:c r="N114" s="7" t="str">
        <x:v>Objectifs et noms ME1 référencés ; chiffres, découpage et interface propres à cette adaptation ATB.</x:v>
      </x:c>
      <x:c r="O114" s="7" t="str">
        <x:v>https://masseffect.fandom.com/wiki/Feros%3A_Data_Recovery</x:v>
      </x:c>
      <x:c r="P114" s="7" t="str">
        <x:v>Production ME1</x:v>
      </x:c>
      <x:c r="Q114" s="7" t="str">
        <x:v>Réponses : deliver : Remettre la copie à Gavin.. Position proposée x=11, z=18 ; déplacée à proximité par le moteur si obstacle. Dialogues réécrits.</x:v>
      </x:c>
    </x:row>
  </x:sheetData>
  <x:conditionalFormatting sqref="C7:C114">
    <x:cfRule type="cellIs" dxfId="310" priority="1" operator="equal">
      <x:formula>"Prototype"</x:formula>
    </x:cfRule>
    <x:cfRule type="cellIs" dxfId="311" priority="2" operator="equal">
      <x:formula>"Intégré"</x:formula>
    </x:cfRule>
    <x:cfRule type="cellIs" dxfId="312" priority="3" operator="equal">
      <x:formula>"Validé"</x:formula>
    </x:cfRule>
  </x:conditionalFormatting>
  <x:conditionalFormatting sqref="G7:G114">
    <x:cfRule type="cellIs" dxfId="313" priority="4" operator="equal">
      <x:formula>"Référence à vérifier"</x:formula>
    </x:cfRule>
  </x:conditionalFormatting>
  <x:conditionalFormatting sqref="E7:E114">
    <x:cfRule type="cellIs" dxfId="314" priority="5" operator="equal">
      <x:formula>"P0"</x:formula>
    </x:cfRule>
  </x:conditionalFormatting>
  <x:dataValidations count="5">
    <x:dataValidation type="list" sqref="C7:C114">
      <x:formula1>"Défini,Prototype,Intégré,Validé"</x:formula1>
    </x:dataValidation>
    <x:dataValidation type="list" sqref="D7:D114">
      <x:formula1>"À produire,Prototype,Disponible,Validé,Sans objet,Non planifié"</x:formula1>
    </x:dataValidation>
    <x:dataValidation type="list" sqref="E7:E114">
      <x:formula1>"P0,P1,P2"</x:formula1>
    </x:dataValidation>
    <x:dataValidation type="list" sqref="F7:F114">
      <x:formula1>"ME1,ME2,ME3,TRANSVERSE"</x:formula1>
    </x:dataValidation>
    <x:dataValidation type="list" sqref="G7:G114">
      <x:formula1>"Confirmé,Référence à vérifier,Adaptation"</x:formula1>
    </x:dataValidation>
  </x:dataValidations>
  <x:pageMargins left="0.7" right="0.7" top="0.75" bottom="0.75" header="0.3" footer="0.3"/>
  <x:tableParts count="1">
    <x:tablePart xmlns:r="http://schemas.openxmlformats.org/officeDocument/2006/relationships" r:id="R653e8119ed814d29"/>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Choix et relations</x:v>
      </x:c>
      <x:c r="B2" s="2"/>
      <x:c r="C2" s="2"/>
      <x:c r="D2" s="2"/>
      <x:c r="E2" s="2"/>
      <x:c r="F2" s="2"/>
      <x:c r="G2" s="2"/>
      <x:c r="H2" s="2"/>
      <x:c r="I2" s="2"/>
      <x:c r="J2" s="2"/>
      <x:c r="K2" s="2"/>
      <x:c r="L2" s="2"/>
      <x:c r="M2" s="2"/>
      <x:c r="N2" s="2"/>
      <x:c r="O2" s="2"/>
      <x:c r="P2" s="2"/>
      <x:c r="Q2" s="2"/>
    </x:row>
    <x:row r="3" ht="22" customHeight="1">
      <x:c r="A3" s="4" t="str">
        <x:v>Conséquences persistantes et relations</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49" customHeight="1">
      <x:c r="A7" s="13" t="str">
        <x:v>CHC-origine-de-shepard</x:v>
      </x:c>
      <x:c r="B7" s="14" t="str">
        <x:v>Origine de Shepard</x:v>
      </x:c>
      <x:c r="C7" s="10" t="str">
        <x:v>Défini</x:v>
      </x:c>
      <x:c r="D7" s="11" t="str">
        <x:v>À produire</x:v>
      </x:c>
      <x:c r="E7" s="15" t="str">
        <x:v>P1</x:v>
      </x:c>
      <x:c r="F7" s="15" t="str">
        <x:v>ME1</x:v>
      </x:c>
      <x:c r="G7" s="15" t="str">
        <x:v>Référence à vérifier</x:v>
      </x:c>
      <x:c r="H7" s="14" t="str">
        <x:v>Terrien, colon ou spatial ; dialogues et mission propre.</x:v>
      </x:c>
      <x:c r="I7" s="14" t="str">
        <x:v>Origine stable dans toute sauvegarde.</x:v>
      </x:c>
      <x:c r="J7" s="14" t="str"/>
      <x:c r="K7" s="14" t="str">
        <x:v>content/choices/CHC-origine-de-shepard.json</x:v>
      </x:c>
      <x:c r="L7" s="14" t="str"/>
      <x:c r="M7" s="14" t="str"/>
      <x:c r="N7" s="14" t="str">
        <x:v>Drapeaux de narration à relever ; adaptation du stockage, sans nouvelles issues imposées.</x:v>
      </x:c>
      <x:c r="O7" s="14" t="str">
        <x:v>https://primagames.com/eguides/mass-effect-pc-eguide/walkthrough/spectra-assignments-virmire-and-citadel-lockdown/virmire-assignments</x:v>
      </x:c>
      <x:c r="P7" s="14" t="str">
        <x:v>Production ME1</x:v>
      </x:c>
      <x:c r="Q7" s="14" t="str"/>
    </x:row>
    <x:row r="8" ht="49" customHeight="1">
      <x:c r="A8" s="12" t="str">
        <x:v>CHC-profil-psychologique</x:v>
      </x:c>
      <x:c r="B8" s="7" t="str">
        <x:v>Profil psychologique</x:v>
      </x:c>
      <x:c r="C8" s="10" t="str">
        <x:v>Défini</x:v>
      </x:c>
      <x:c r="D8" s="11" t="str">
        <x:v>À produire</x:v>
      </x:c>
      <x:c r="E8" s="9" t="str">
        <x:v>P1</x:v>
      </x:c>
      <x:c r="F8" s="9" t="str">
        <x:v>ME1</x:v>
      </x:c>
      <x:c r="G8" s="9" t="str">
        <x:v>Référence à vérifier</x:v>
      </x:c>
      <x:c r="H8" s="7" t="str">
        <x:v>Héros de guerre, survivant ou impitoyable ; libellés français à confirmer.</x:v>
      </x:c>
      <x:c r="I8" s="7" t="str">
        <x:v>Libellés exacts et réactions contrôlés.</x:v>
      </x:c>
      <x:c r="J8" s="7" t="str"/>
      <x:c r="K8" s="7" t="str">
        <x:v>content/choices/CHC-profil-psychologique.json</x:v>
      </x:c>
      <x:c r="L8" s="7" t="str"/>
      <x:c r="M8" s="7" t="str"/>
      <x:c r="N8" s="7" t="str">
        <x:v>Drapeaux de narration à relever ; adaptation du stockage, sans nouvelles issues imposées.</x:v>
      </x:c>
      <x:c r="O8" s="7" t="str">
        <x:v>https://primagames.com/eguides/mass-effect-pc-eguide/walkthrough/spectra-assignments-virmire-and-citadel-lockdown/virmire-assignments</x:v>
      </x:c>
      <x:c r="P8" s="7" t="str">
        <x:v>Production ME1</x:v>
      </x:c>
      <x:c r="Q8" s="7" t="str"/>
    </x:row>
    <x:row r="9" ht="49" customHeight="1">
      <x:c r="A9" s="13" t="str">
        <x:v>CHC-classe-de-shepard</x:v>
      </x:c>
      <x:c r="B9" s="14" t="str">
        <x:v>Classe de Shepard</x:v>
      </x:c>
      <x:c r="C9" s="10" t="str">
        <x:v>Défini</x:v>
      </x:c>
      <x:c r="D9" s="11" t="str">
        <x:v>À produire</x:v>
      </x:c>
      <x:c r="E9" s="15" t="str">
        <x:v>P1</x:v>
      </x:c>
      <x:c r="F9" s="15" t="str">
        <x:v>ME1</x:v>
      </x:c>
      <x:c r="G9" s="15" t="str">
        <x:v>Référence à vérifier</x:v>
      </x:c>
      <x:c r="H9" s="14" t="str">
        <x:v>Choix initial parmi les six classes.</x:v>
      </x:c>
      <x:c r="I9" s="14" t="str">
        <x:v>Pas de biotique acquise par un simple module de soldat.</x:v>
      </x:c>
      <x:c r="J9" s="14" t="str"/>
      <x:c r="K9" s="14" t="str">
        <x:v>content/choices/CHC-classe-de-shepard.json</x:v>
      </x:c>
      <x:c r="L9" s="14" t="str"/>
      <x:c r="M9" s="14" t="str"/>
      <x:c r="N9" s="14" t="str">
        <x:v>Drapeaux de narration à relever ; adaptation du stockage, sans nouvelles issues imposées.</x:v>
      </x:c>
      <x:c r="O9" s="14" t="str">
        <x:v>https://primagames.com/eguides/mass-effect-pc-eguide/walkthrough/spectra-assignments-virmire-and-citadel-lockdown/virmire-assignments</x:v>
      </x:c>
      <x:c r="P9" s="14" t="str">
        <x:v>Production ME1</x:v>
      </x:c>
      <x:c r="Q9" s="14" t="str"/>
    </x:row>
    <x:row r="10" ht="49" customHeight="1">
      <x:c r="A10" s="12" t="str">
        <x:v>CHC-apparence-de-shepard</x:v>
      </x:c>
      <x:c r="B10" s="7" t="str">
        <x:v>Apparence de Shepard</x:v>
      </x:c>
      <x:c r="C10" s="10" t="str">
        <x:v>Défini</x:v>
      </x:c>
      <x:c r="D10" s="11" t="str">
        <x:v>À produire</x:v>
      </x:c>
      <x:c r="E10" s="9" t="str">
        <x:v>P1</x:v>
      </x:c>
      <x:c r="F10" s="9" t="str">
        <x:v>ME1</x:v>
      </x:c>
      <x:c r="G10" s="9" t="str">
        <x:v>Référence à vérifier</x:v>
      </x:c>
      <x:c r="H10" s="7" t="str">
        <x:v>Visage, peau, cheveux et présentation.</x:v>
      </x:c>
      <x:c r="I10" s="7" t="str">
        <x:v>Portrait et sprites montrent la même personne.</x:v>
      </x:c>
      <x:c r="J10" s="7" t="str"/>
      <x:c r="K10" s="7" t="str">
        <x:v>content/choices/CHC-apparence-de-shepard.json</x:v>
      </x:c>
      <x:c r="L10" s="7" t="str"/>
      <x:c r="M10" s="7" t="str"/>
      <x:c r="N10" s="7" t="str">
        <x:v>Drapeaux de narration à relever ; adaptation du stockage, sans nouvelles issues imposées.</x:v>
      </x:c>
      <x:c r="O10" s="7" t="str">
        <x:v>https://primagames.com/eguides/mass-effect-pc-eguide/walkthrough/spectra-assignments-virmire-and-citadel-lockdown/virmire-assignments</x:v>
      </x:c>
      <x:c r="P10" s="7" t="str">
        <x:v>Production ME1</x:v>
      </x:c>
      <x:c r="Q10" s="7" t="str"/>
    </x:row>
    <x:row r="11" ht="49" customHeight="1">
      <x:c r="A11" s="13" t="str">
        <x:v>CHC-reponse-aux-survivants-eden-prime</x:v>
      </x:c>
      <x:c r="B11" s="14" t="str">
        <x:v>Réponse aux survivants Eden Prime</x:v>
      </x:c>
      <x:c r="C11" s="10" t="str">
        <x:v>Défini</x:v>
      </x:c>
      <x:c r="D11" s="11" t="str">
        <x:v>À produire</x:v>
      </x:c>
      <x:c r="E11" s="15" t="str">
        <x:v>P1</x:v>
      </x:c>
      <x:c r="F11" s="15" t="str">
        <x:v>ME1</x:v>
      </x:c>
      <x:c r="G11" s="15" t="str">
        <x:v>Référence à vérifier</x:v>
      </x:c>
      <x:c r="H11" s="14" t="str">
        <x:v>Ton de Shepard durant le sauvetage.</x:v>
      </x:c>
      <x:c r="I11" s="14" t="str">
        <x:v>Aucune branche supprimant une révélation nécessaire.</x:v>
      </x:c>
      <x:c r="J11" s="14" t="str"/>
      <x:c r="K11" s="14" t="str">
        <x:v>content/choices/CHC-reponse-aux-survivants-eden-prime.json</x:v>
      </x:c>
      <x:c r="L11" s="14" t="str"/>
      <x:c r="M11" s="14" t="str"/>
      <x:c r="N11" s="14" t="str">
        <x:v>Drapeaux de narration à relever ; adaptation du stockage, sans nouvelles issues imposées.</x:v>
      </x:c>
      <x:c r="O11" s="14" t="str">
        <x:v>https://primagames.com/eguides/mass-effect-pc-eguide/walkthrough/spectra-assignments-virmire-and-citadel-lockdown/virmire-assignments</x:v>
      </x:c>
      <x:c r="P11" s="14" t="str">
        <x:v>Production ME1</x:v>
      </x:c>
      <x:c r="Q11" s="14" t="str"/>
    </x:row>
    <x:row r="12" ht="49" customHeight="1">
      <x:c r="A12" s="12" t="str">
        <x:v>CHC-sort-de-fist</x:v>
      </x:c>
      <x:c r="B12" s="7" t="str">
        <x:v>Sort de Fist</x:v>
      </x:c>
      <x:c r="C12" s="10" t="str">
        <x:v>Défini</x:v>
      </x:c>
      <x:c r="D12" s="11" t="str">
        <x:v>À produire</x:v>
      </x:c>
      <x:c r="E12" s="9" t="str">
        <x:v>P1</x:v>
      </x:c>
      <x:c r="F12" s="9" t="str">
        <x:v>ME1</x:v>
      </x:c>
      <x:c r="G12" s="9" t="str">
        <x:v>Référence à vérifier</x:v>
      </x:c>
      <x:c r="H12" s="7" t="str">
        <x:v>Issue de la confrontation à Chora’s Den.</x:v>
      </x:c>
      <x:c r="I12" s="7" t="str">
        <x:v>Influence de la présence de Wrex respectée.</x:v>
      </x:c>
      <x:c r="J12" s="7" t="str"/>
      <x:c r="K12" s="7" t="str">
        <x:v>content/choices/CHC-sort-de-fist.json</x:v>
      </x:c>
      <x:c r="L12" s="7" t="str"/>
      <x:c r="M12" s="7" t="str"/>
      <x:c r="N12" s="7" t="str">
        <x:v>Drapeaux de narration à relever ; adaptation du stockage, sans nouvelles issues imposées.</x:v>
      </x:c>
      <x:c r="O12" s="7" t="str">
        <x:v>https://primagames.com/eguides/mass-effect-pc-eguide/walkthrough/spectra-assignments-virmire-and-citadel-lockdown/virmire-assignments</x:v>
      </x:c>
      <x:c r="P12" s="7" t="str">
        <x:v>Production ME1</x:v>
      </x:c>
      <x:c r="Q12" s="7" t="str"/>
    </x:row>
    <x:row r="13" ht="100" customHeight="1">
      <x:c r="A13" s="13" t="str">
        <x:v>CHC-recrutement-de-garrus</x:v>
      </x:c>
      <x:c r="B13" s="14" t="str">
        <x:v>Recrutement de Garrus</x:v>
      </x:c>
      <x:c r="C13" s="10" t="str">
        <x:v>Intégré</x:v>
      </x:c>
      <x:c r="D13" s="11" t="str">
        <x:v>Disponible</x:v>
      </x:c>
      <x:c r="E13" s="15" t="str">
        <x:v>P1</x:v>
      </x:c>
      <x:c r="F13" s="15" t="str">
        <x:v>ME1</x:v>
      </x:c>
      <x:c r="G13" s="15" t="str">
        <x:v>Référence à vérifier</x:v>
      </x:c>
      <x:c r="H13" s="14" t="str">
        <x:v>Acceptation et moment de recrutement.</x:v>
      </x:c>
      <x:c r="I13" s="14" t="str">
        <x:v>PNJ et équipier ne coexistent pas en double.</x:v>
      </x:c>
      <x:c r="J13" s="14" t="str"/>
      <x:c r="K13" s="14" t="str">
        <x:v>content/choices/CHC-recrutement-de-garrus.json</x:v>
      </x:c>
      <x:c r="L13" s="14" t="str">
        <x:v>src/state.js</x:v>
      </x:c>
      <x:c r="M13" s="14" t="str">
        <x:v>recruit:garrus</x:v>
      </x:c>
      <x:c r="N13" s="14" t="str">
        <x:v>Drapeaux de narration à relever ; adaptation du stockage, sans nouvelles issues imposées.</x:v>
      </x:c>
      <x:c r="O13" s="14" t="str">
        <x:v>https://primagames.com/eguides/mass-effect-pc-eguide/walkthrough/spectra-assignments-virmire-and-citadel-lockdown/virmire-assignments</x:v>
      </x:c>
      <x:c r="P13" s="14" t="str">
        <x:v>Production ME1</x:v>
      </x:c>
      <x:c r="Q13" s="14" t="str">
        <x:v>Acceptation et report fonctionnels avant/après l’audience. Le PNJ et son marqueur disparaissent dès le recrutement ; un seul acteur quand Garrus est sélectionné. Aucun changement automatique de l’équipe active. Vérification canonique complète encore à mener. Contrôles : tests/story.test.js, tests/recruitment.test.js, tests/story-world.test.js et scripts/story-browser.mjs ; preuve conservée dans docs/qa/story-and-recruitment-report.json.</x:v>
      </x:c>
    </x:row>
    <x:row r="14" ht="100" customHeight="1">
      <x:c r="A14" s="12" t="str">
        <x:v>CHC-recrutement-de-wrex</x:v>
      </x:c>
      <x:c r="B14" s="7" t="str">
        <x:v>Recrutement de Wrex</x:v>
      </x:c>
      <x:c r="C14" s="10" t="str">
        <x:v>Intégré</x:v>
      </x:c>
      <x:c r="D14" s="11" t="str">
        <x:v>Disponible</x:v>
      </x:c>
      <x:c r="E14" s="9" t="str">
        <x:v>P1</x:v>
      </x:c>
      <x:c r="F14" s="9" t="str">
        <x:v>ME1</x:v>
      </x:c>
      <x:c r="G14" s="9" t="str">
        <x:v>Référence à vérifier</x:v>
      </x:c>
      <x:c r="H14" s="7" t="str">
        <x:v>Acceptation de son aide.</x:v>
      </x:c>
      <x:c r="I14" s="7" t="str">
        <x:v>Conversations et présence en soute adaptées.</x:v>
      </x:c>
      <x:c r="J14" s="7" t="str"/>
      <x:c r="K14" s="7" t="str">
        <x:v>content/choices/CHC-recrutement-de-wrex.json</x:v>
      </x:c>
      <x:c r="L14" s="7" t="str">
        <x:v>src/state.js</x:v>
      </x:c>
      <x:c r="M14" s="7" t="str">
        <x:v>recruit:wrex</x:v>
      </x:c>
      <x:c r="N14" s="7" t="str">
        <x:v>Drapeaux de narration à relever ; adaptation du stockage, sans nouvelles issues imposées.</x:v>
      </x:c>
      <x:c r="O14" s="7" t="str">
        <x:v>https://primagames.com/eguides/mass-effect-pc-eguide/walkthrough/spectra-assignments-virmire-and-citadel-lockdown/virmire-assignments</x:v>
      </x:c>
      <x:c r="P14" s="7" t="str">
        <x:v>Production ME1</x:v>
      </x:c>
      <x:c r="Q14" s="7" t="str">
        <x:v>Acceptation et report fonctionnels avant/après l’audience. Présence et conversation à bord selon le recrutement ; absence du PNJ de recrutement à la Citadelle. Position à bord dans le décor condensé, sans reconstitution exacte des ponts. Vérification canonique complète encore à mener. Contrôles : tests/story.test.js, tests/recruitment.test.js, tests/story-world.test.js et scripts/story-browser.mjs ; preuve conservée dans docs/qa/story-and-recruitment-report.json.</x:v>
      </x:c>
    </x:row>
    <x:row r="15" ht="49" customHeight="1">
      <x:c r="A15" s="13" t="str">
        <x:v>CHC-ordre-des-destinations</x:v>
      </x:c>
      <x:c r="B15" s="14" t="str">
        <x:v>Ordre des destinations</x:v>
      </x:c>
      <x:c r="C15" s="10" t="str">
        <x:v>Défini</x:v>
      </x:c>
      <x:c r="D15" s="11" t="str">
        <x:v>À produire</x:v>
      </x:c>
      <x:c r="E15" s="15" t="str">
        <x:v>P1</x:v>
      </x:c>
      <x:c r="F15" s="15" t="str">
        <x:v>ME1</x:v>
      </x:c>
      <x:c r="G15" s="15" t="str">
        <x:v>Référence à vérifier</x:v>
      </x:c>
      <x:c r="H15" s="14" t="str">
        <x:v>Therum, Feros, Noveria selon progression.</x:v>
      </x:c>
      <x:c r="I15" s="14" t="str">
        <x:v>Dialogues de Liara réactifs à un recrutement tardif.</x:v>
      </x:c>
      <x:c r="J15" s="14" t="str"/>
      <x:c r="K15" s="14" t="str">
        <x:v>content/choices/CHC-ordre-des-destinations.json</x:v>
      </x:c>
      <x:c r="L15" s="14" t="str"/>
      <x:c r="M15" s="14" t="str"/>
      <x:c r="N15" s="14" t="str">
        <x:v>Drapeaux de narration à relever ; adaptation du stockage, sans nouvelles issues imposées.</x:v>
      </x:c>
      <x:c r="O15" s="14" t="str">
        <x:v>https://primagames.com/eguides/mass-effect-pc-eguide/walkthrough/spectra-assignments-virmire-and-citadel-lockdown/virmire-assignments</x:v>
      </x:c>
      <x:c r="P15" s="14" t="str">
        <x:v>Production ME1</x:v>
      </x:c>
      <x:c r="Q15" s="14" t="str"/>
    </x:row>
    <x:row r="16" ht="49" customHeight="1">
      <x:c r="A16" s="12" t="str">
        <x:v>CHC-donnees-de-tali</x:v>
      </x:c>
      <x:c r="B16" s="7" t="str">
        <x:v>Données de Tali</x:v>
      </x:c>
      <x:c r="C16" s="10" t="str">
        <x:v>Défini</x:v>
      </x:c>
      <x:c r="D16" s="11" t="str">
        <x:v>À produire</x:v>
      </x:c>
      <x:c r="E16" s="9" t="str">
        <x:v>P1</x:v>
      </x:c>
      <x:c r="F16" s="9" t="str">
        <x:v>ME1</x:v>
      </x:c>
      <x:c r="G16" s="9" t="str">
        <x:v>Référence à vérifier</x:v>
      </x:c>
      <x:c r="H16" s="7" t="str">
        <x:v>Partage des données geth.</x:v>
      </x:c>
      <x:c r="I16" s="7" t="str">
        <x:v>Relation et export futur mis à jour.</x:v>
      </x:c>
      <x:c r="J16" s="7" t="str"/>
      <x:c r="K16" s="7" t="str">
        <x:v>content/choices/CHC-donnees-de-tali.json</x:v>
      </x:c>
      <x:c r="L16" s="7" t="str"/>
      <x:c r="M16" s="7" t="str"/>
      <x:c r="N16" s="7" t="str">
        <x:v>Drapeaux de narration à relever ; adaptation du stockage, sans nouvelles issues imposées.</x:v>
      </x:c>
      <x:c r="O16" s="7" t="str">
        <x:v>https://primagames.com/eguides/mass-effect-pc-eguide/walkthrough/spectra-assignments-virmire-and-citadel-lockdown/virmire-assignments</x:v>
      </x:c>
      <x:c r="P16" s="7" t="str">
        <x:v>Production ME1</x:v>
      </x:c>
      <x:c r="Q16" s="7" t="str"/>
    </x:row>
    <x:row r="17" ht="100" customHeight="1">
      <x:c r="A17" s="13" t="str">
        <x:v>CHC-attitude-de-garrus</x:v>
      </x:c>
      <x:c r="B17" s="14" t="str">
        <x:v>Attitude de Garrus</x:v>
      </x:c>
      <x:c r="C17" s="10" t="str">
        <x:v>Intégré</x:v>
      </x:c>
      <x:c r="D17" s="11" t="str">
        <x:v>Disponible</x:v>
      </x:c>
      <x:c r="E17" s="15" t="str">
        <x:v>P1</x:v>
      </x:c>
      <x:c r="F17" s="15" t="str">
        <x:v>ME1</x:v>
      </x:c>
      <x:c r="G17" s="15" t="str">
        <x:v>Référence à vérifier</x:v>
      </x:c>
      <x:c r="H17" s="14" t="str">
        <x:v>Encouragement de la procédure ou de la force.</x:v>
      </x:c>
      <x:c r="I17" s="14" t="str">
        <x:v>Conversation suivante se réfère au bon choix.</x:v>
      </x:c>
      <x:c r="J17" s="14" t="str"/>
      <x:c r="K17" s="14" t="str">
        <x:v>content/choices/CHC-attitude-de-garrus.json</x:v>
      </x:c>
      <x:c r="L17" s="14" t="str">
        <x:v>src/story.js</x:v>
      </x:c>
      <x:c r="M17" s="14" t="str">
        <x:v>story.choices[garrus:procedure]</x:v>
      </x:c>
      <x:c r="N17" s="14" t="str">
        <x:v>Drapeaux de narration à relever ; adaptation du stockage, sans nouvelles issues imposées.</x:v>
      </x:c>
      <x:c r="O17" s="14" t="str">
        <x:v>https://primagames.com/eguides/mass-effect-pc-eguide/walkthrough/spectra-assignments-virmire-and-citadel-lockdown/virmire-assignments</x:v>
      </x:c>
      <x:c r="P17" s="14" t="str">
        <x:v>Production ME1</x:v>
      </x:c>
      <x:c r="Q17" s="14" t="str">
        <x:v>Conseil procédure/résultats mémorisé, suivi adapté, persistance après autosauvegarde et reprise. Ne couvre pas toutes les conséquences ou missions personnelles du jeu original. Vérification canonique complète encore à mener. Contrôles : tests/story.test.js, tests/recruitment.test.js, tests/story-world.test.js et scripts/story-browser.mjs ; preuve conservée dans docs/qa/story-and-recruitment-report.json.</x:v>
      </x:c>
    </x:row>
    <x:row r="18" ht="49" customHeight="1">
      <x:c r="A18" s="12" t="str">
        <x:v>CHC-armure-de-wrex</x:v>
      </x:c>
      <x:c r="B18" s="7" t="str">
        <x:v>Armure de Wrex</x:v>
      </x:c>
      <x:c r="C18" s="10" t="str">
        <x:v>Défini</x:v>
      </x:c>
      <x:c r="D18" s="11" t="str">
        <x:v>À produire</x:v>
      </x:c>
      <x:c r="E18" s="9" t="str">
        <x:v>P1</x:v>
      </x:c>
      <x:c r="F18" s="9" t="str">
        <x:v>ME1</x:v>
      </x:c>
      <x:c r="G18" s="9" t="str">
        <x:v>Référence à vérifier</x:v>
      </x:c>
      <x:c r="H18" s="7" t="str">
        <x:v>Remise de l’objet familial.</x:v>
      </x:c>
      <x:c r="I18" s="7" t="str">
        <x:v>Drapeau exploitable dans le dialogue de Virmire.</x:v>
      </x:c>
      <x:c r="J18" s="7" t="str"/>
      <x:c r="K18" s="7" t="str">
        <x:v>content/choices/CHC-armure-de-wrex.json</x:v>
      </x:c>
      <x:c r="L18" s="7" t="str"/>
      <x:c r="M18" s="7" t="str"/>
      <x:c r="N18" s="7" t="str">
        <x:v>Drapeaux de narration à relever ; adaptation du stockage, sans nouvelles issues imposées.</x:v>
      </x:c>
      <x:c r="O18" s="7" t="str">
        <x:v>https://primagames.com/eguides/mass-effect-pc-eguide/walkthrough/spectra-assignments-virmire-and-citadel-lockdown/virmire-assignments</x:v>
      </x:c>
      <x:c r="P18" s="7" t="str">
        <x:v>Production ME1</x:v>
      </x:c>
      <x:c r="Q18" s="7" t="str"/>
    </x:row>
    <x:row r="19" ht="49" customHeight="1">
      <x:c r="A19" s="13" t="str">
        <x:v>CHC-colons-de-feros</x:v>
      </x:c>
      <x:c r="B19" s="14" t="str">
        <x:v>Colons de Feros</x:v>
      </x:c>
      <x:c r="C19" s="10" t="str">
        <x:v>Défini</x:v>
      </x:c>
      <x:c r="D19" s="11" t="str">
        <x:v>À produire</x:v>
      </x:c>
      <x:c r="E19" s="15" t="str">
        <x:v>P1</x:v>
      </x:c>
      <x:c r="F19" s="15" t="str">
        <x:v>ME1</x:v>
      </x:c>
      <x:c r="G19" s="15" t="str">
        <x:v>Référence à vérifier</x:v>
      </x:c>
      <x:c r="H19" s="14" t="str">
        <x:v>Nombre de survivants et méthodes employées.</x:v>
      </x:c>
      <x:c r="I19" s="14" t="str">
        <x:v>Bilan lié aux cibles réellement épargnées.</x:v>
      </x:c>
      <x:c r="J19" s="14" t="str"/>
      <x:c r="K19" s="14" t="str">
        <x:v>content/choices/CHC-colons-de-feros.json</x:v>
      </x:c>
      <x:c r="L19" s="14" t="str"/>
      <x:c r="M19" s="14" t="str"/>
      <x:c r="N19" s="14" t="str">
        <x:v>Drapeaux de narration à relever ; adaptation du stockage, sans nouvelles issues imposées.</x:v>
      </x:c>
      <x:c r="O19" s="14" t="str">
        <x:v>https://primagames.com/eguides/mass-effect-pc-eguide/walkthrough/spectra-assignments-virmire-and-citadel-lockdown/virmire-assignments</x:v>
      </x:c>
      <x:c r="P19" s="14" t="str">
        <x:v>Production ME1</x:v>
      </x:c>
      <x:c r="Q19" s="14" t="str"/>
    </x:row>
    <x:row r="20" ht="49" customHeight="1">
      <x:c r="A20" s="12" t="str">
        <x:v>CHC-sort-de-shiala</x:v>
      </x:c>
      <x:c r="B20" s="7" t="str">
        <x:v>Sort de Shiala</x:v>
      </x:c>
      <x:c r="C20" s="10" t="str">
        <x:v>Défini</x:v>
      </x:c>
      <x:c r="D20" s="11" t="str">
        <x:v>À produire</x:v>
      </x:c>
      <x:c r="E20" s="9" t="str">
        <x:v>P1</x:v>
      </x:c>
      <x:c r="F20" s="9" t="str">
        <x:v>ME1</x:v>
      </x:c>
      <x:c r="G20" s="9" t="str">
        <x:v>Référence à vérifier</x:v>
      </x:c>
      <x:c r="H20" s="7" t="str">
        <x:v>Décision après le Thorian.</x:v>
      </x:c>
      <x:c r="I20" s="7" t="str">
        <x:v>PNJ et export narratif concordants.</x:v>
      </x:c>
      <x:c r="J20" s="7" t="str"/>
      <x:c r="K20" s="7" t="str">
        <x:v>content/choices/CHC-sort-de-shiala.json</x:v>
      </x:c>
      <x:c r="L20" s="7" t="str"/>
      <x:c r="M20" s="7" t="str"/>
      <x:c r="N20" s="7" t="str">
        <x:v>Drapeaux de narration à relever ; adaptation du stockage, sans nouvelles issues imposées.</x:v>
      </x:c>
      <x:c r="O20" s="7" t="str">
        <x:v>https://primagames.com/eguides/mass-effect-pc-eguide/walkthrough/spectra-assignments-virmire-and-citadel-lockdown/virmire-assignments</x:v>
      </x:c>
      <x:c r="P20" s="7" t="str">
        <x:v>Production ME1</x:v>
      </x:c>
      <x:c r="Q20" s="7" t="str"/>
    </x:row>
    <x:row r="21" ht="49" customHeight="1">
      <x:c r="A21" s="13" t="str">
        <x:v>CHC-affaire-jeong</x:v>
      </x:c>
      <x:c r="B21" s="14" t="str">
        <x:v>Affaire Jeong</x:v>
      </x:c>
      <x:c r="C21" s="10" t="str">
        <x:v>Défini</x:v>
      </x:c>
      <x:c r="D21" s="11" t="str">
        <x:v>À produire</x:v>
      </x:c>
      <x:c r="E21" s="15" t="str">
        <x:v>P1</x:v>
      </x:c>
      <x:c r="F21" s="15" t="str">
        <x:v>ME1</x:v>
      </x:c>
      <x:c r="G21" s="15" t="str">
        <x:v>Référence à vérifier</x:v>
      </x:c>
      <x:c r="H21" s="14" t="str">
        <x:v>Persuasion ou confrontation.</x:v>
      </x:c>
      <x:c r="I21" s="14" t="str">
        <x:v>État de la colonie et issue de dialogue enregistrés.</x:v>
      </x:c>
      <x:c r="J21" s="14" t="str"/>
      <x:c r="K21" s="14" t="str">
        <x:v>content/choices/CHC-affaire-jeong.json</x:v>
      </x:c>
      <x:c r="L21" s="14" t="str"/>
      <x:c r="M21" s="14" t="str"/>
      <x:c r="N21" s="14" t="str">
        <x:v>Drapeaux de narration à relever ; adaptation du stockage, sans nouvelles issues imposées.</x:v>
      </x:c>
      <x:c r="O21" s="14" t="str">
        <x:v>https://primagames.com/eguides/mass-effect-pc-eguide/walkthrough/spectra-assignments-virmire-and-citadel-lockdown/virmire-assignments</x:v>
      </x:c>
      <x:c r="P21" s="14" t="str">
        <x:v>Production ME1</x:v>
      </x:c>
      <x:c r="Q21" s="14" t="str"/>
    </x:row>
    <x:row r="22" ht="49" customHeight="1">
      <x:c r="A22" s="12" t="str">
        <x:v>CHC-corruption-noveria</x:v>
      </x:c>
      <x:c r="B22" s="7" t="str">
        <x:v>Corruption Noveria</x:v>
      </x:c>
      <x:c r="C22" s="10" t="str">
        <x:v>Défini</x:v>
      </x:c>
      <x:c r="D22" s="11" t="str">
        <x:v>À produire</x:v>
      </x:c>
      <x:c r="E22" s="9" t="str">
        <x:v>P1</x:v>
      </x:c>
      <x:c r="F22" s="9" t="str">
        <x:v>ME1</x:v>
      </x:c>
      <x:c r="G22" s="9" t="str">
        <x:v>Référence à vérifier</x:v>
      </x:c>
      <x:c r="H22" s="7" t="str">
        <x:v>Voie de résolution pour obtenir l’accès.</x:v>
      </x:c>
      <x:c r="I22" s="7" t="str">
        <x:v>Une voie ne bloque pas involontairement les autres.</x:v>
      </x:c>
      <x:c r="J22" s="7" t="str"/>
      <x:c r="K22" s="7" t="str">
        <x:v>content/choices/CHC-corruption-noveria.json</x:v>
      </x:c>
      <x:c r="L22" s="7" t="str"/>
      <x:c r="M22" s="7" t="str"/>
      <x:c r="N22" s="7" t="str">
        <x:v>Drapeaux de narration à relever ; adaptation du stockage, sans nouvelles issues imposées.</x:v>
      </x:c>
      <x:c r="O22" s="7" t="str">
        <x:v>https://primagames.com/eguides/mass-effect-pc-eguide/walkthrough/spectra-assignments-virmire-and-citadel-lockdown/virmire-assignments</x:v>
      </x:c>
      <x:c r="P22" s="7" t="str">
        <x:v>Production ME1</x:v>
      </x:c>
      <x:c r="Q22" s="7" t="str"/>
    </x:row>
    <x:row r="23" ht="49" customHeight="1">
      <x:c r="A23" s="13" t="str">
        <x:v>CHC-temoignage-de-lorik</x:v>
      </x:c>
      <x:c r="B23" s="14" t="str">
        <x:v>Témoignage de Lorik</x:v>
      </x:c>
      <x:c r="C23" s="10" t="str">
        <x:v>Défini</x:v>
      </x:c>
      <x:c r="D23" s="11" t="str">
        <x:v>À produire</x:v>
      </x:c>
      <x:c r="E23" s="15" t="str">
        <x:v>P1</x:v>
      </x:c>
      <x:c r="F23" s="15" t="str">
        <x:v>ME1</x:v>
      </x:c>
      <x:c r="G23" s="15" t="str">
        <x:v>Référence à vérifier</x:v>
      </x:c>
      <x:c r="H23" s="14" t="str">
        <x:v>Convaincre ou éviter de l’impliquer.</x:v>
      </x:c>
      <x:c r="I23" s="14" t="str">
        <x:v>Issue Gianna et Anoleis cohérente.</x:v>
      </x:c>
      <x:c r="J23" s="14" t="str"/>
      <x:c r="K23" s="14" t="str">
        <x:v>content/choices/CHC-temoignage-de-lorik.json</x:v>
      </x:c>
      <x:c r="L23" s="14" t="str"/>
      <x:c r="M23" s="14" t="str"/>
      <x:c r="N23" s="14" t="str">
        <x:v>Drapeaux de narration à relever ; adaptation du stockage, sans nouvelles issues imposées.</x:v>
      </x:c>
      <x:c r="O23" s="14" t="str">
        <x:v>https://primagames.com/eguides/mass-effect-pc-eguide/walkthrough/spectra-assignments-virmire-and-citadel-lockdown/virmire-assignments</x:v>
      </x:c>
      <x:c r="P23" s="14" t="str">
        <x:v>Production ME1</x:v>
      </x:c>
      <x:c r="Q23" s="14" t="str"/>
    </x:row>
    <x:row r="24" ht="49" customHeight="1">
      <x:c r="A24" s="12" t="str">
        <x:v>CHC-sort-de-la-reine-rachni</x:v>
      </x:c>
      <x:c r="B24" s="7" t="str">
        <x:v>Sort de la reine rachni</x:v>
      </x:c>
      <x:c r="C24" s="10" t="str">
        <x:v>Défini</x:v>
      </x:c>
      <x:c r="D24" s="11" t="str">
        <x:v>À produire</x:v>
      </x:c>
      <x:c r="E24" s="9" t="str">
        <x:v>P1</x:v>
      </x:c>
      <x:c r="F24" s="9" t="str">
        <x:v>ME1</x:v>
      </x:c>
      <x:c r="G24" s="9" t="str">
        <x:v>Référence à vérifier</x:v>
      </x:c>
      <x:c r="H24" s="7" t="str">
        <x:v>Libérer ou tuer la reine.</x:v>
      </x:c>
      <x:c r="I24" s="7" t="str">
        <x:v>Conséquence persistante et exportable.</x:v>
      </x:c>
      <x:c r="J24" s="7" t="str"/>
      <x:c r="K24" s="7" t="str">
        <x:v>content/choices/CHC-sort-de-la-reine-rachni.json</x:v>
      </x:c>
      <x:c r="L24" s="7" t="str"/>
      <x:c r="M24" s="7" t="str"/>
      <x:c r="N24" s="7" t="str">
        <x:v>Drapeaux de narration à relever ; adaptation du stockage, sans nouvelles issues imposées.</x:v>
      </x:c>
      <x:c r="O24" s="7" t="str">
        <x:v>https://primagames.com/eguides/mass-effect-pc-eguide/walkthrough/spectra-assignments-virmire-and-citadel-lockdown/virmire-assignments</x:v>
      </x:c>
      <x:c r="P24" s="7" t="str">
        <x:v>Production ME1</x:v>
      </x:c>
      <x:c r="Q24" s="7" t="str"/>
    </x:row>
    <x:row r="25" ht="49" customHeight="1">
      <x:c r="A25" s="13" t="str">
        <x:v>CHC-conflit-de-wrex</x:v>
      </x:c>
      <x:c r="B25" s="14" t="str">
        <x:v>Conflit de Wrex</x:v>
      </x:c>
      <x:c r="C25" s="10" t="str">
        <x:v>Défini</x:v>
      </x:c>
      <x:c r="D25" s="11" t="str">
        <x:v>À produire</x:v>
      </x:c>
      <x:c r="E25" s="15" t="str">
        <x:v>P1</x:v>
      </x:c>
      <x:c r="F25" s="15" t="str">
        <x:v>ME1</x:v>
      </x:c>
      <x:c r="G25" s="15" t="str">
        <x:v>Référence à vérifier</x:v>
      </x:c>
      <x:c r="H25" s="14" t="str">
        <x:v>Persuasion, preuve d’amitié ou mort.</x:v>
      </x:c>
      <x:c r="I25" s="14" t="str">
        <x:v>Options conditionnées par talents et mission d’armure.</x:v>
      </x:c>
      <x:c r="J25" s="14" t="str"/>
      <x:c r="K25" s="14" t="str">
        <x:v>content/choices/CHC-conflit-de-wrex.json</x:v>
      </x:c>
      <x:c r="L25" s="14" t="str"/>
      <x:c r="M25" s="14" t="str"/>
      <x:c r="N25" s="14" t="str">
        <x:v>Drapeaux de narration à relever ; adaptation du stockage, sans nouvelles issues imposées.</x:v>
      </x:c>
      <x:c r="O25" s="14" t="str">
        <x:v>https://primagames.com/eguides/mass-effect-pc-eguide/walkthrough/spectra-assignments-virmire-and-citadel-lockdown/virmire-assignments</x:v>
      </x:c>
      <x:c r="P25" s="14" t="str">
        <x:v>Production ME1</x:v>
      </x:c>
      <x:c r="Q25" s="14" t="str"/>
    </x:row>
    <x:row r="26" ht="49" customHeight="1">
      <x:c r="A26" s="12" t="str">
        <x:v>CHC-affectation-virmire</x:v>
      </x:c>
      <x:c r="B26" s="7" t="str">
        <x:v>Affectation Virmire</x:v>
      </x:c>
      <x:c r="C26" s="10" t="str">
        <x:v>Défini</x:v>
      </x:c>
      <x:c r="D26" s="11" t="str">
        <x:v>À produire</x:v>
      </x:c>
      <x:c r="E26" s="9" t="str">
        <x:v>P1</x:v>
      </x:c>
      <x:c r="F26" s="9" t="str">
        <x:v>ME1</x:v>
      </x:c>
      <x:c r="G26" s="9" t="str">
        <x:v>Référence à vérifier</x:v>
      </x:c>
      <x:c r="H26" s="7" t="str">
        <x:v>Choisir le rôle d’Ashley et de Kaidan.</x:v>
      </x:c>
      <x:c r="I26" s="7" t="str">
        <x:v>Positions de sauvetage reflètent l’affectation.</x:v>
      </x:c>
      <x:c r="J26" s="7" t="str"/>
      <x:c r="K26" s="7" t="str">
        <x:v>content/choices/CHC-affectation-virmire.json</x:v>
      </x:c>
      <x:c r="L26" s="7" t="str"/>
      <x:c r="M26" s="7" t="str"/>
      <x:c r="N26" s="7" t="str">
        <x:v>Drapeaux de narration à relever ; adaptation du stockage, sans nouvelles issues imposées.</x:v>
      </x:c>
      <x:c r="O26" s="7" t="str">
        <x:v>https://primagames.com/eguides/mass-effect-pc-eguide/walkthrough/spectra-assignments-virmire-and-citadel-lockdown/virmire-assignments</x:v>
      </x:c>
      <x:c r="P26" s="7" t="str">
        <x:v>Production ME1</x:v>
      </x:c>
      <x:c r="Q26" s="7" t="str"/>
    </x:row>
    <x:row r="27" ht="49" customHeight="1">
      <x:c r="A27" s="13" t="str">
        <x:v>CHC-soutien-a-kirrahe</x:v>
      </x:c>
      <x:c r="B27" s="14" t="str">
        <x:v>Soutien à Kirrahe</x:v>
      </x:c>
      <x:c r="C27" s="10" t="str">
        <x:v>Défini</x:v>
      </x:c>
      <x:c r="D27" s="11" t="str">
        <x:v>À produire</x:v>
      </x:c>
      <x:c r="E27" s="15" t="str">
        <x:v>P1</x:v>
      </x:c>
      <x:c r="F27" s="15" t="str">
        <x:v>ME1</x:v>
      </x:c>
      <x:c r="G27" s="15" t="str">
        <x:v>Référence à vérifier</x:v>
      </x:c>
      <x:c r="H27" s="14" t="str">
        <x:v>Sabotages utiles à l’équipe galarienne.</x:v>
      </x:c>
      <x:c r="I27" s="14" t="str">
        <x:v>Chaque objectif est enregistré séparément.</x:v>
      </x:c>
      <x:c r="J27" s="14" t="str"/>
      <x:c r="K27" s="14" t="str">
        <x:v>content/choices/CHC-soutien-a-kirrahe.json</x:v>
      </x:c>
      <x:c r="L27" s="14" t="str"/>
      <x:c r="M27" s="14" t="str"/>
      <x:c r="N27" s="14" t="str">
        <x:v>Drapeaux de narration à relever ; adaptation du stockage, sans nouvelles issues imposées.</x:v>
      </x:c>
      <x:c r="O27" s="14" t="str">
        <x:v>https://primagames.com/eguides/mass-effect-pc-eguide/walkthrough/spectra-assignments-virmire-and-citadel-lockdown/virmire-assignments</x:v>
      </x:c>
      <x:c r="P27" s="14" t="str">
        <x:v>Production ME1</x:v>
      </x:c>
      <x:c r="Q27" s="14" t="str"/>
    </x:row>
    <x:row r="28" ht="49" customHeight="1">
      <x:c r="A28" s="12" t="str">
        <x:v>CHC-sort-de-rana</x:v>
      </x:c>
      <x:c r="B28" s="7" t="str">
        <x:v>Sort de Rana</x:v>
      </x:c>
      <x:c r="C28" s="10" t="str">
        <x:v>Défini</x:v>
      </x:c>
      <x:c r="D28" s="11" t="str">
        <x:v>À produire</x:v>
      </x:c>
      <x:c r="E28" s="9" t="str">
        <x:v>P1</x:v>
      </x:c>
      <x:c r="F28" s="9" t="str">
        <x:v>ME1</x:v>
      </x:c>
      <x:c r="G28" s="9" t="str">
        <x:v>Référence à vérifier</x:v>
      </x:c>
      <x:c r="H28" s="7" t="str">
        <x:v>La laisser partir ou la tuer.</x:v>
      </x:c>
      <x:c r="I28" s="7" t="str">
        <x:v>État exportable sans conséquence inventée dans ME1.</x:v>
      </x:c>
      <x:c r="J28" s="7" t="str"/>
      <x:c r="K28" s="7" t="str">
        <x:v>content/choices/CHC-sort-de-rana.json</x:v>
      </x:c>
      <x:c r="L28" s="7" t="str"/>
      <x:c r="M28" s="7" t="str"/>
      <x:c r="N28" s="7" t="str">
        <x:v>Drapeaux de narration à relever ; adaptation du stockage, sans nouvelles issues imposées.</x:v>
      </x:c>
      <x:c r="O28" s="7" t="str">
        <x:v>https://primagames.com/eguides/mass-effect-pc-eguide/walkthrough/spectra-assignments-virmire-and-citadel-lockdown/virmire-assignments</x:v>
      </x:c>
      <x:c r="P28" s="7" t="str">
        <x:v>Production ME1</x:v>
      </x:c>
      <x:c r="Q28" s="7" t="str"/>
    </x:row>
    <x:row r="29" ht="49" customHeight="1">
      <x:c r="A29" s="13" t="str">
        <x:v>CHC-survivant-de-virmire</x:v>
      </x:c>
      <x:c r="B29" s="14" t="str">
        <x:v>Survivant de Virmire</x:v>
      </x:c>
      <x:c r="C29" s="10" t="str">
        <x:v>Défini</x:v>
      </x:c>
      <x:c r="D29" s="11" t="str">
        <x:v>À produire</x:v>
      </x:c>
      <x:c r="E29" s="15" t="str">
        <x:v>P1</x:v>
      </x:c>
      <x:c r="F29" s="15" t="str">
        <x:v>ME1</x:v>
      </x:c>
      <x:c r="G29" s="15" t="str">
        <x:v>Référence à vérifier</x:v>
      </x:c>
      <x:c r="H29" s="14" t="str">
        <x:v>Ashley ou Kaidan.</x:v>
      </x:c>
      <x:c r="I29" s="14" t="str">
        <x:v>Équipe, dialogues, romance et épilogue mis à jour.</x:v>
      </x:c>
      <x:c r="J29" s="14" t="str"/>
      <x:c r="K29" s="14" t="str">
        <x:v>content/choices/CHC-survivant-de-virmire.json</x:v>
      </x:c>
      <x:c r="L29" s="14" t="str"/>
      <x:c r="M29" s="14" t="str"/>
      <x:c r="N29" s="14" t="str">
        <x:v>Drapeaux de narration à relever ; adaptation du stockage, sans nouvelles issues imposées.</x:v>
      </x:c>
      <x:c r="O29" s="14" t="str">
        <x:v>https://primagames.com/eguides/mass-effect-pc-eguide/walkthrough/spectra-assignments-virmire-and-citadel-lockdown/virmire-assignments</x:v>
      </x:c>
      <x:c r="P29" s="14" t="str">
        <x:v>Production ME1</x:v>
      </x:c>
      <x:c r="Q29" s="14" t="str"/>
    </x:row>
    <x:row r="30" ht="49" customHeight="1">
      <x:c r="A30" s="12" t="str">
        <x:v>CHC-romance-ashley</x:v>
      </x:c>
      <x:c r="B30" s="7" t="str">
        <x:v>Romance Ashley</x:v>
      </x:c>
      <x:c r="C30" s="10" t="str">
        <x:v>Défini</x:v>
      </x:c>
      <x:c r="D30" s="11" t="str">
        <x:v>À produire</x:v>
      </x:c>
      <x:c r="E30" s="9" t="str">
        <x:v>P1</x:v>
      </x:c>
      <x:c r="F30" s="9" t="str">
        <x:v>ME1</x:v>
      </x:c>
      <x:c r="G30" s="9" t="str">
        <x:v>Référence à vérifier</x:v>
      </x:c>
      <x:c r="H30" s="7" t="str">
        <x:v>Relation possible selon le Shepard de ME1.</x:v>
      </x:c>
      <x:c r="I30" s="7" t="str">
        <x:v>Éligibilité, étapes et interruption documentées.</x:v>
      </x:c>
      <x:c r="J30" s="7" t="str"/>
      <x:c r="K30" s="7" t="str">
        <x:v>content/choices/CHC-romance-ashley.json</x:v>
      </x:c>
      <x:c r="L30" s="7" t="str"/>
      <x:c r="M30" s="7" t="str"/>
      <x:c r="N30" s="7" t="str">
        <x:v>Drapeaux de narration à relever ; adaptation du stockage, sans nouvelles issues imposées.</x:v>
      </x:c>
      <x:c r="O30" s="7" t="str">
        <x:v>https://primagames.com/eguides/mass-effect-pc-eguide/walkthrough/spectra-assignments-virmire-and-citadel-lockdown/virmire-assignments</x:v>
      </x:c>
      <x:c r="P30" s="7" t="str">
        <x:v>Production ME1</x:v>
      </x:c>
      <x:c r="Q30" s="7" t="str"/>
    </x:row>
    <x:row r="31" ht="49" customHeight="1">
      <x:c r="A31" s="13" t="str">
        <x:v>CHC-romance-kaidan</x:v>
      </x:c>
      <x:c r="B31" s="14" t="str">
        <x:v>Romance Kaidan</x:v>
      </x:c>
      <x:c r="C31" s="10" t="str">
        <x:v>Défini</x:v>
      </x:c>
      <x:c r="D31" s="11" t="str">
        <x:v>À produire</x:v>
      </x:c>
      <x:c r="E31" s="15" t="str">
        <x:v>P1</x:v>
      </x:c>
      <x:c r="F31" s="15" t="str">
        <x:v>ME1</x:v>
      </x:c>
      <x:c r="G31" s="15" t="str">
        <x:v>Référence à vérifier</x:v>
      </x:c>
      <x:c r="H31" s="14" t="str">
        <x:v>Relation possible selon le Shepard de ME1.</x:v>
      </x:c>
      <x:c r="I31" s="14" t="str">
        <x:v>Éligibilité conforme à l’épisode retenu.</x:v>
      </x:c>
      <x:c r="J31" s="14" t="str"/>
      <x:c r="K31" s="14" t="str">
        <x:v>content/choices/CHC-romance-kaidan.json</x:v>
      </x:c>
      <x:c r="L31" s="14" t="str"/>
      <x:c r="M31" s="14" t="str"/>
      <x:c r="N31" s="14" t="str">
        <x:v>Drapeaux de narration à relever ; adaptation du stockage, sans nouvelles issues imposées.</x:v>
      </x:c>
      <x:c r="O31" s="14" t="str">
        <x:v>https://primagames.com/eguides/mass-effect-pc-eguide/walkthrough/spectra-assignments-virmire-and-citadel-lockdown/virmire-assignments</x:v>
      </x:c>
      <x:c r="P31" s="14" t="str">
        <x:v>Production ME1</x:v>
      </x:c>
      <x:c r="Q31" s="14" t="str"/>
    </x:row>
    <x:row r="32" ht="49" customHeight="1">
      <x:c r="A32" s="12" t="str">
        <x:v>CHC-romance-liara</x:v>
      </x:c>
      <x:c r="B32" s="7" t="str">
        <x:v>Romance Liara</x:v>
      </x:c>
      <x:c r="C32" s="10" t="str">
        <x:v>Défini</x:v>
      </x:c>
      <x:c r="D32" s="11" t="str">
        <x:v>À produire</x:v>
      </x:c>
      <x:c r="E32" s="9" t="str">
        <x:v>P1</x:v>
      </x:c>
      <x:c r="F32" s="9" t="str">
        <x:v>ME1</x:v>
      </x:c>
      <x:c r="G32" s="9" t="str">
        <x:v>Référence à vérifier</x:v>
      </x:c>
      <x:c r="H32" s="7" t="str">
        <x:v>Relation évoluant après recrutement.</x:v>
      </x:c>
      <x:c r="I32" s="7" t="str">
        <x:v>Conflits relationnels et choix explicites respectés.</x:v>
      </x:c>
      <x:c r="J32" s="7" t="str"/>
      <x:c r="K32" s="7" t="str">
        <x:v>content/choices/CHC-romance-liara.json</x:v>
      </x:c>
      <x:c r="L32" s="7" t="str"/>
      <x:c r="M32" s="7" t="str"/>
      <x:c r="N32" s="7" t="str">
        <x:v>Drapeaux de narration à relever ; adaptation du stockage, sans nouvelles issues imposées.</x:v>
      </x:c>
      <x:c r="O32" s="7" t="str">
        <x:v>https://primagames.com/eguides/mass-effect-pc-eguide/walkthrough/spectra-assignments-virmire-and-citadel-lockdown/virmire-assignments</x:v>
      </x:c>
      <x:c r="P32" s="7" t="str">
        <x:v>Production ME1</x:v>
      </x:c>
      <x:c r="Q32" s="7" t="str"/>
    </x:row>
    <x:row r="33" ht="49" customHeight="1">
      <x:c r="A33" s="13" t="str">
        <x:v>CHC-conflit-amoureux</x:v>
      </x:c>
      <x:c r="B33" s="14" t="str">
        <x:v>Conflit amoureux</x:v>
      </x:c>
      <x:c r="C33" s="10" t="str">
        <x:v>Défini</x:v>
      </x:c>
      <x:c r="D33" s="11" t="str">
        <x:v>À produire</x:v>
      </x:c>
      <x:c r="E33" s="15" t="str">
        <x:v>P1</x:v>
      </x:c>
      <x:c r="F33" s="15" t="str">
        <x:v>ME1</x:v>
      </x:c>
      <x:c r="G33" s="15" t="str">
        <x:v>Référence à vérifier</x:v>
      </x:c>
      <x:c r="H33" s="14" t="str">
        <x:v>Résoudre plusieurs intentions relationnelles.</x:v>
      </x:c>
      <x:c r="I33" s="14" t="str">
        <x:v>Aucune scène déclenchée avec un personnage indisponible.</x:v>
      </x:c>
      <x:c r="J33" s="14" t="str"/>
      <x:c r="K33" s="14" t="str">
        <x:v>content/choices/CHC-conflit-amoureux.json</x:v>
      </x:c>
      <x:c r="L33" s="14" t="str"/>
      <x:c r="M33" s="14" t="str"/>
      <x:c r="N33" s="14" t="str">
        <x:v>Drapeaux de narration à relever ; adaptation du stockage, sans nouvelles issues imposées.</x:v>
      </x:c>
      <x:c r="O33" s="14" t="str">
        <x:v>https://primagames.com/eguides/mass-effect-pc-eguide/walkthrough/spectra-assignments-virmire-and-citadel-lockdown/virmire-assignments</x:v>
      </x:c>
      <x:c r="P33" s="14" t="str">
        <x:v>Production ME1</x:v>
      </x:c>
      <x:c r="Q33" s="14" t="str"/>
    </x:row>
    <x:row r="34" ht="49" customHeight="1">
      <x:c r="A34" s="12" t="str">
        <x:v>CHC-anderson-et-le-depart</x:v>
      </x:c>
      <x:c r="B34" s="7" t="str">
        <x:v>Anderson et le départ</x:v>
      </x:c>
      <x:c r="C34" s="10" t="str">
        <x:v>Défini</x:v>
      </x:c>
      <x:c r="D34" s="11" t="str">
        <x:v>À produire</x:v>
      </x:c>
      <x:c r="E34" s="9" t="str">
        <x:v>P1</x:v>
      </x:c>
      <x:c r="F34" s="9" t="str">
        <x:v>ME1</x:v>
      </x:c>
      <x:c r="G34" s="9" t="str">
        <x:v>Référence à vérifier</x:v>
      </x:c>
      <x:c r="H34" s="7" t="str">
        <x:v>Méthode permettant de quitter la Citadelle.</x:v>
      </x:c>
      <x:c r="I34" s="7" t="str">
        <x:v>Scène et dialogue reflètent la méthode choisie.</x:v>
      </x:c>
      <x:c r="J34" s="7" t="str"/>
      <x:c r="K34" s="7" t="str">
        <x:v>content/choices/CHC-anderson-et-le-depart.json</x:v>
      </x:c>
      <x:c r="L34" s="7" t="str"/>
      <x:c r="M34" s="7" t="str"/>
      <x:c r="N34" s="7" t="str">
        <x:v>Drapeaux de narration à relever ; adaptation du stockage, sans nouvelles issues imposées.</x:v>
      </x:c>
      <x:c r="O34" s="7" t="str">
        <x:v>https://primagames.com/eguides/mass-effect-pc-eguide/walkthrough/spectra-assignments-virmire-and-citadel-lockdown/virmire-assignments</x:v>
      </x:c>
      <x:c r="P34" s="7" t="str">
        <x:v>Production ME1</x:v>
      </x:c>
      <x:c r="Q34" s="7" t="str"/>
    </x:row>
    <x:row r="35" ht="49" customHeight="1">
      <x:c r="A35" s="13" t="str">
        <x:v>CHC-persuasion-de-saren</x:v>
      </x:c>
      <x:c r="B35" s="14" t="str">
        <x:v>Persuasion de Saren</x:v>
      </x:c>
      <x:c r="C35" s="10" t="str">
        <x:v>Défini</x:v>
      </x:c>
      <x:c r="D35" s="11" t="str">
        <x:v>À produire</x:v>
      </x:c>
      <x:c r="E35" s="15" t="str">
        <x:v>P1</x:v>
      </x:c>
      <x:c r="F35" s="15" t="str">
        <x:v>ME1</x:v>
      </x:c>
      <x:c r="G35" s="15" t="str">
        <x:v>Référence à vérifier</x:v>
      </x:c>
      <x:c r="H35" s="14" t="str">
        <x:v>Utiliser les options débloquées lors de la confrontation.</x:v>
      </x:c>
      <x:c r="I35" s="14" t="str">
        <x:v>Conditions exactes relevées, sans raccourci arbitraire.</x:v>
      </x:c>
      <x:c r="J35" s="14" t="str"/>
      <x:c r="K35" s="14" t="str">
        <x:v>content/choices/CHC-persuasion-de-saren.json</x:v>
      </x:c>
      <x:c r="L35" s="14" t="str"/>
      <x:c r="M35" s="14" t="str"/>
      <x:c r="N35" s="14" t="str">
        <x:v>Drapeaux de narration à relever ; adaptation du stockage, sans nouvelles issues imposées.</x:v>
      </x:c>
      <x:c r="O35" s="14" t="str">
        <x:v>https://primagames.com/eguides/mass-effect-pc-eguide/walkthrough/spectra-assignments-virmire-and-citadel-lockdown/virmire-assignments</x:v>
      </x:c>
      <x:c r="P35" s="14" t="str">
        <x:v>Production ME1</x:v>
      </x:c>
      <x:c r="Q35" s="14" t="str"/>
    </x:row>
    <x:row r="36" ht="49" customHeight="1">
      <x:c r="A36" s="12" t="str">
        <x:v>CHC-sort-du-conseil</x:v>
      </x:c>
      <x:c r="B36" s="7" t="str">
        <x:v>Sort du Conseil</x:v>
      </x:c>
      <x:c r="C36" s="10" t="str">
        <x:v>Défini</x:v>
      </x:c>
      <x:c r="D36" s="11" t="str">
        <x:v>À produire</x:v>
      </x:c>
      <x:c r="E36" s="9" t="str">
        <x:v>P1</x:v>
      </x:c>
      <x:c r="F36" s="9" t="str">
        <x:v>ME1</x:v>
      </x:c>
      <x:c r="G36" s="9" t="str">
        <x:v>Référence à vérifier</x:v>
      </x:c>
      <x:c r="H36" s="7" t="str">
        <x:v>Décision militaire au final.</x:v>
      </x:c>
      <x:c r="I36" s="7" t="str">
        <x:v>Épilogue et composition politique dépendants.</x:v>
      </x:c>
      <x:c r="J36" s="7" t="str"/>
      <x:c r="K36" s="7" t="str">
        <x:v>content/choices/CHC-sort-du-conseil.json</x:v>
      </x:c>
      <x:c r="L36" s="7" t="str"/>
      <x:c r="M36" s="7" t="str"/>
      <x:c r="N36" s="7" t="str">
        <x:v>Drapeaux de narration à relever ; adaptation du stockage, sans nouvelles issues imposées.</x:v>
      </x:c>
      <x:c r="O36" s="7" t="str">
        <x:v>https://primagames.com/eguides/mass-effect-pc-eguide/walkthrough/spectra-assignments-virmire-and-citadel-lockdown/virmire-assignments</x:v>
      </x:c>
      <x:c r="P36" s="7" t="str">
        <x:v>Production ME1</x:v>
      </x:c>
      <x:c r="Q36" s="7" t="str"/>
    </x:row>
    <x:row r="37" ht="49" customHeight="1">
      <x:c r="A37" s="13" t="str">
        <x:v>CHC-representation-humaine</x:v>
      </x:c>
      <x:c r="B37" s="14" t="str">
        <x:v>Représentation humaine</x:v>
      </x:c>
      <x:c r="C37" s="10" t="str">
        <x:v>Défini</x:v>
      </x:c>
      <x:c r="D37" s="11" t="str">
        <x:v>À produire</x:v>
      </x:c>
      <x:c r="E37" s="15" t="str">
        <x:v>P1</x:v>
      </x:c>
      <x:c r="F37" s="15" t="str">
        <x:v>ME1</x:v>
      </x:c>
      <x:c r="G37" s="15" t="str">
        <x:v>Référence à vérifier</x:v>
      </x:c>
      <x:c r="H37" s="14" t="str">
        <x:v>Choix final de représentant.</x:v>
      </x:c>
      <x:c r="I37" s="14" t="str">
        <x:v>Drapeau d’export conservé séparément du Conseil.</x:v>
      </x:c>
      <x:c r="J37" s="14" t="str"/>
      <x:c r="K37" s="14" t="str">
        <x:v>content/choices/CHC-representation-humaine.json</x:v>
      </x:c>
      <x:c r="L37" s="14" t="str"/>
      <x:c r="M37" s="14" t="str"/>
      <x:c r="N37" s="14" t="str">
        <x:v>Drapeaux de narration à relever ; adaptation du stockage, sans nouvelles issues imposées.</x:v>
      </x:c>
      <x:c r="O37" s="14" t="str">
        <x:v>https://primagames.com/eguides/mass-effect-pc-eguide/walkthrough/spectra-assignments-virmire-and-citadel-lockdown/virmire-assignments</x:v>
      </x:c>
      <x:c r="P37" s="14" t="str">
        <x:v>Production ME1</x:v>
      </x:c>
      <x:c r="Q37" s="14" t="str"/>
    </x:row>
    <x:row r="38" ht="49" customHeight="1">
      <x:c r="A38" s="12" t="str">
        <x:v>CHC-otages-x57</x:v>
      </x:c>
      <x:c r="B38" s="7" t="str">
        <x:v>Otages X57</x:v>
      </x:c>
      <x:c r="C38" s="10" t="str">
        <x:v>Défini</x:v>
      </x:c>
      <x:c r="D38" s="11" t="str">
        <x:v>À produire</x:v>
      </x:c>
      <x:c r="E38" s="9" t="str">
        <x:v>P1</x:v>
      </x:c>
      <x:c r="F38" s="9" t="str">
        <x:v>ME1</x:v>
      </x:c>
      <x:c r="G38" s="9" t="str">
        <x:v>Référence à vérifier</x:v>
      </x:c>
      <x:c r="H38" s="7" t="str">
        <x:v>Priorité aux otages ou poursuite de Balak.</x:v>
      </x:c>
      <x:c r="I38" s="7" t="str">
        <x:v>Résultat et victimes explicités.</x:v>
      </x:c>
      <x:c r="J38" s="7" t="str"/>
      <x:c r="K38" s="7" t="str">
        <x:v>content/choices/CHC-otages-x57.json</x:v>
      </x:c>
      <x:c r="L38" s="7" t="str"/>
      <x:c r="M38" s="7" t="str"/>
      <x:c r="N38" s="7" t="str">
        <x:v>Drapeaux de narration à relever ; adaptation du stockage, sans nouvelles issues imposées.</x:v>
      </x:c>
      <x:c r="O38" s="7" t="str">
        <x:v>https://primagames.com/eguides/mass-effect-pc-eguide/walkthrough/spectra-assignments-virmire-and-citadel-lockdown/virmire-assignments</x:v>
      </x:c>
      <x:c r="P38" s="7" t="str">
        <x:v>Production ME1</x:v>
      </x:c>
      <x:c r="Q38" s="7" t="str"/>
    </x:row>
    <x:row r="39" ht="49" customHeight="1">
      <x:c r="A39" s="13" t="str">
        <x:v>CHC-traitement-de-balak</x:v>
      </x:c>
      <x:c r="B39" s="14" t="str">
        <x:v>Traitement de Balak</x:v>
      </x:c>
      <x:c r="C39" s="10" t="str">
        <x:v>Défini</x:v>
      </x:c>
      <x:c r="D39" s="11" t="str">
        <x:v>À produire</x:v>
      </x:c>
      <x:c r="E39" s="15" t="str">
        <x:v>P1</x:v>
      </x:c>
      <x:c r="F39" s="15" t="str">
        <x:v>ME1</x:v>
      </x:c>
      <x:c r="G39" s="15" t="str">
        <x:v>Référence à vérifier</x:v>
      </x:c>
      <x:c r="H39" s="14" t="str">
        <x:v>Issue du DLC selon les branches.</x:v>
      </x:c>
      <x:c r="I39" s="14" t="str">
        <x:v>Retour futur conditionnel et séparé du jeu de base.</x:v>
      </x:c>
      <x:c r="J39" s="14" t="str"/>
      <x:c r="K39" s="14" t="str">
        <x:v>content/choices/CHC-traitement-de-balak.json</x:v>
      </x:c>
      <x:c r="L39" s="14" t="str"/>
      <x:c r="M39" s="14" t="str"/>
      <x:c r="N39" s="14" t="str">
        <x:v>Drapeaux de narration à relever ; adaptation du stockage, sans nouvelles issues imposées.</x:v>
      </x:c>
      <x:c r="O39" s="14" t="str">
        <x:v>https://primagames.com/eguides/mass-effect-pc-eguide/walkthrough/spectra-assignments-virmire-and-citadel-lockdown/virmire-assignments</x:v>
      </x:c>
      <x:c r="P39" s="14" t="str">
        <x:v>Production ME1</x:v>
      </x:c>
      <x:c r="Q39" s="14" t="str"/>
    </x:row>
    <x:row r="40" ht="49" customHeight="1">
      <x:c r="A40" s="12" t="str">
        <x:v>CHC-mort-narrative</x:v>
      </x:c>
      <x:c r="B40" s="7" t="str">
        <x:v>Mort narrative</x:v>
      </x:c>
      <x:c r="C40" s="10" t="str">
        <x:v>Défini</x:v>
      </x:c>
      <x:c r="D40" s="11" t="str">
        <x:v>À produire</x:v>
      </x:c>
      <x:c r="E40" s="9" t="str">
        <x:v>P1</x:v>
      </x:c>
      <x:c r="F40" s="9" t="str">
        <x:v>ME1</x:v>
      </x:c>
      <x:c r="G40" s="9" t="str">
        <x:v>Référence à vérifier</x:v>
      </x:c>
      <x:c r="H40" s="7" t="str">
        <x:v>Événement permanent du récit.</x:v>
      </x:c>
      <x:c r="I40" s="7" t="str">
        <x:v>Médi-gel et Unité ne restaurent pas une perte narrative.</x:v>
      </x:c>
      <x:c r="J40" s="7" t="str"/>
      <x:c r="K40" s="7" t="str">
        <x:v>content/choices/CHC-mort-narrative.json</x:v>
      </x:c>
      <x:c r="L40" s="7" t="str"/>
      <x:c r="M40" s="7" t="str"/>
      <x:c r="N40" s="7" t="str">
        <x:v>Drapeaux de narration à relever ; adaptation du stockage, sans nouvelles issues imposées.</x:v>
      </x:c>
      <x:c r="O40" s="7" t="str">
        <x:v>https://primagames.com/eguides/mass-effect-pc-eguide/walkthrough/spectra-assignments-virmire-and-citadel-lockdown/virmire-assignments</x:v>
      </x:c>
      <x:c r="P40" s="7" t="str">
        <x:v>Production ME1</x:v>
      </x:c>
      <x:c r="Q40" s="7" t="str"/>
    </x:row>
  </x:sheetData>
  <x:conditionalFormatting sqref="C7:C40">
    <x:cfRule type="cellIs" dxfId="315" priority="1" operator="equal">
      <x:formula>"Prototype"</x:formula>
    </x:cfRule>
    <x:cfRule type="cellIs" dxfId="316" priority="2" operator="equal">
      <x:formula>"Intégré"</x:formula>
    </x:cfRule>
    <x:cfRule type="cellIs" dxfId="317" priority="3" operator="equal">
      <x:formula>"Validé"</x:formula>
    </x:cfRule>
  </x:conditionalFormatting>
  <x:conditionalFormatting sqref="G7:G40">
    <x:cfRule type="cellIs" dxfId="318" priority="4" operator="equal">
      <x:formula>"Référence à vérifier"</x:formula>
    </x:cfRule>
  </x:conditionalFormatting>
  <x:conditionalFormatting sqref="E7:E40">
    <x:cfRule type="cellIs" dxfId="319" priority="5" operator="equal">
      <x:formula>"P0"</x:formula>
    </x:cfRule>
  </x:conditionalFormatting>
  <x:dataValidations count="5">
    <x:dataValidation type="list" sqref="C7:C40">
      <x:formula1>"Défini,Prototype,Intégré,Validé"</x:formula1>
    </x:dataValidation>
    <x:dataValidation type="list" sqref="D7:D40">
      <x:formula1>"À produire,Prototype,Disponible,Validé,Sans objet,Non planifié"</x:formula1>
    </x:dataValidation>
    <x:dataValidation type="list" sqref="E7:E40">
      <x:formula1>"P0,P1,P2"</x:formula1>
    </x:dataValidation>
    <x:dataValidation type="list" sqref="F7:F40">
      <x:formula1>"ME1,ME2,ME3,TRANSVERSE"</x:formula1>
    </x:dataValidation>
    <x:dataValidation type="list" sqref="G7:G40">
      <x:formula1>"Confirmé,Référence à vérifier,Adaptation"</x:formula1>
    </x:dataValidation>
  </x:dataValidations>
  <x:pageMargins left="0.7" right="0.7" top="0.75" bottom="0.75" header="0.3" footer="0.3"/>
  <x:tableParts count="1">
    <x:tablePart xmlns:r="http://schemas.openxmlformats.org/officeDocument/2006/relationships" r:id="R2cbcb94f46664a5e"/>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Dialogues</x:v>
      </x:c>
      <x:c r="B2" s="2"/>
      <x:c r="C2" s="2"/>
      <x:c r="D2" s="2"/>
      <x:c r="E2" s="2"/>
      <x:c r="F2" s="2"/>
      <x:c r="G2" s="2"/>
      <x:c r="H2" s="2"/>
      <x:c r="I2" s="2"/>
      <x:c r="J2" s="2"/>
      <x:c r="K2" s="2"/>
      <x:c r="L2" s="2"/>
      <x:c r="M2" s="2"/>
      <x:c r="N2" s="2"/>
      <x:c r="O2" s="2"/>
      <x:c r="P2" s="2"/>
      <x:c r="Q2" s="2"/>
    </x:row>
    <x:row r="3" ht="22" customHeight="1">
      <x:c r="A3" s="4" t="str">
        <x:v>Situations de dialogue et conditions</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DIA-anderson-avant-eden-prime</x:v>
      </x:c>
      <x:c r="B7" s="14" t="str">
        <x:v>Anderson avant Eden Prime</x:v>
      </x:c>
      <x:c r="C7" s="10" t="str">
        <x:v>Défini</x:v>
      </x:c>
      <x:c r="D7" s="11" t="str">
        <x:v>À produire</x:v>
      </x:c>
      <x:c r="E7" s="15" t="str">
        <x:v>P1</x:v>
      </x:c>
      <x:c r="F7" s="15" t="str">
        <x:v>ME1</x:v>
      </x:c>
      <x:c r="G7" s="15" t="str">
        <x:v>Adaptation</x:v>
      </x:c>
      <x:c r="H7" s="14" t="str">
        <x:v>Présenter le test du Normandy et la mission.</x:v>
      </x:c>
      <x:c r="I7" s="14" t="str">
        <x:v>Choix de ton, questions et sortie de dialogue fonctionnent.</x:v>
      </x:c>
      <x:c r="J7" s="14" t="str"/>
      <x:c r="K7" s="14" t="str">
        <x:v>content/dialogues/DIA-anderson-avant-eden-prime.json</x:v>
      </x:c>
      <x:c r="L7" s="14" t="str"/>
      <x:c r="M7" s="14" t="str"/>
      <x:c r="N7" s="14" t="str">
        <x:v>Réécriture de production à valider contre la scène ME1 ; pas de transcription intégrale fournie.</x:v>
      </x:c>
      <x:c r="O7" s="14" t="str"/>
      <x:c r="P7" s="14" t="str">
        <x:v>Production ME1</x:v>
      </x:c>
      <x:c r="Q7" s="14" t="str"/>
    </x:row>
    <x:row r="8" ht="100" customHeight="1">
      <x:c r="A8" s="12" t="str">
        <x:v>DIA-nihlus-observation</x:v>
      </x:c>
      <x:c r="B8" s="7" t="str">
        <x:v>Nihlus observation</x:v>
      </x:c>
      <x:c r="C8" s="10" t="str">
        <x:v>Prototype</x:v>
      </x:c>
      <x:c r="D8" s="11" t="str">
        <x:v>Prototype</x:v>
      </x:c>
      <x:c r="E8" s="9" t="str">
        <x:v>P1</x:v>
      </x:c>
      <x:c r="F8" s="9" t="str">
        <x:v>ME1</x:v>
      </x:c>
      <x:c r="G8" s="9" t="str">
        <x:v>Adaptation</x:v>
      </x:c>
      <x:c r="H8" s="7" t="str">
        <x:v>Expliquer sa présence auprès de Shepard.</x:v>
      </x:c>
      <x:c r="I8" s="7" t="str">
        <x:v>Informations de Spectre révélées dans l’ordre prévu.</x:v>
      </x:c>
      <x:c r="J8" s="7" t="str"/>
      <x:c r="K8" s="7" t="str">
        <x:v>content/dialogues/DIA-nihlus-observation.json</x:v>
      </x:c>
      <x:c r="L8" s="7" t="str">
        <x:v>src/story-data.js</x:v>
      </x:c>
      <x:c r="M8" s="7" t="str">
        <x:v>STORY_CONVERSATIONS.nihlus</x:v>
      </x:c>
      <x:c r="N8" s="7" t="str">
        <x:v>Réécriture de production à valider contre la scène ME1 ; pas de transcription intégrale fournie.</x:v>
      </x:c>
      <x:c r="O8" s="7" t="str"/>
      <x:c r="P8" s="7" t="str">
        <x:v>Production ME1</x:v>
      </x:c>
      <x:c r="Q8" s="7" t="str">
        <x:v>Deux sujets avant le premier débarquement sur Eden Prime ; Nihlus disparaît ensuite. Scènes du prologue, animations et texte intégral restent à produire ou à vérifier. Texte français réécrit, sans certification mot à mot. Contrôles : tests/story.test.js, tests/recruitment.test.js, tests/story-world.test.js et scripts/story-browser.mjs ; preuve conservée dans docs/qa/story-and-recruitment-report.json.</x:v>
      </x:c>
    </x:row>
    <x:row r="9" ht="100" customHeight="1">
      <x:c r="A9" s="13" t="str">
        <x:v>DIA-joker-retour-du-prologue</x:v>
      </x:c>
      <x:c r="B9" s="14" t="str">
        <x:v>Joker retour du prologue</x:v>
      </x:c>
      <x:c r="C9" s="10" t="str">
        <x:v>Prototype</x:v>
      </x:c>
      <x:c r="D9" s="11" t="str">
        <x:v>Prototype</x:v>
      </x:c>
      <x:c r="E9" s="15" t="str">
        <x:v>P1</x:v>
      </x:c>
      <x:c r="F9" s="15" t="str">
        <x:v>ME1</x:v>
      </x:c>
      <x:c r="G9" s="15" t="str">
        <x:v>Adaptation</x:v>
      </x:c>
      <x:c r="H9" s="14" t="str">
        <x:v>Conversation au cockpit après la balise.</x:v>
      </x:c>
      <x:c r="I9" s="14" t="str">
        <x:v>Condition de chapitre avant les dialogues ordinaires.</x:v>
      </x:c>
      <x:c r="J9" s="14" t="str"/>
      <x:c r="K9" s="14" t="str">
        <x:v>content/dialogues/DIA-joker-retour-du-prologue.json</x:v>
      </x:c>
      <x:c r="L9" s="14" t="str">
        <x:v>src/story-data.js</x:v>
      </x:c>
      <x:c r="M9" s="14" t="str">
        <x:v>STORY_CONVERSATIONS.joker</x:v>
      </x:c>
      <x:c r="N9" s="14" t="str">
        <x:v>Réécriture de production à valider contre la scène ME1 ; pas de transcription intégrale fournie.</x:v>
      </x:c>
      <x:c r="O9" s="14" t="str"/>
      <x:c r="P9" s="14" t="str">
        <x:v>Production ME1</x:v>
      </x:c>
      <x:c r="Q9" s="14" t="str">
        <x:v>Rapport après Eden Prime proposé avant le sujet ordinaire de pilotage et marqué comme lu. Pose assise et version intégrale restent à produire. Texte français réécrit, sans certification mot à mot. Contrôles : tests/story.test.js, tests/recruitment.test.js, tests/story-world.test.js et scripts/story-browser.mjs ; preuve conservée dans docs/qa/story-and-recruitment-report.json.</x:v>
      </x:c>
    </x:row>
    <x:row r="10" ht="100" customHeight="1">
      <x:c r="A10" s="12" t="str">
        <x:v>DIA-chakwas-etat-de-shepard</x:v>
      </x:c>
      <x:c r="B10" s="7" t="str">
        <x:v>Chakwas état de Shepard</x:v>
      </x:c>
      <x:c r="C10" s="10" t="str">
        <x:v>Prototype</x:v>
      </x:c>
      <x:c r="D10" s="11" t="str">
        <x:v>Prototype</x:v>
      </x:c>
      <x:c r="E10" s="9" t="str">
        <x:v>P1</x:v>
      </x:c>
      <x:c r="F10" s="9" t="str">
        <x:v>ME1</x:v>
      </x:c>
      <x:c r="G10" s="9" t="str">
        <x:v>Adaptation</x:v>
      </x:c>
      <x:c r="H10" s="7" t="str">
        <x:v>Échange médical après la vision.</x:v>
      </x:c>
      <x:c r="I10" s="7" t="str">
        <x:v>Portrait et animation cohérents avec le lieu.</x:v>
      </x:c>
      <x:c r="J10" s="7" t="str"/>
      <x:c r="K10" s="7" t="str">
        <x:v>content/dialogues/DIA-chakwas-etat-de-shepard.json</x:v>
      </x:c>
      <x:c r="L10" s="7" t="str">
        <x:v>src/story-data.js</x:v>
      </x:c>
      <x:c r="M10" s="7" t="str">
        <x:v>STORY_CONVERSATIONS.chakwas</x:v>
      </x:c>
      <x:c r="N10" s="7" t="str">
        <x:v>Réécriture de production à valider contre la scène ME1 ; pas de transcription intégrale fournie.</x:v>
      </x:c>
      <x:c r="O10" s="7" t="str"/>
      <x:c r="P10" s="7" t="str">
        <x:v>Production ME1</x:v>
      </x:c>
      <x:c r="Q10" s="7" t="str">
        <x:v>Sujet sur la vision disponible après Eden Prime et conservé dans l’historique. Portrait statique ; animation, scène médicale et texte intégral restent à produire. Texte français réécrit, sans certification mot à mot. Contrôles : tests/story.test.js, tests/recruitment.test.js, tests/story-world.test.js et scripts/story-browser.mjs ; preuve conservée dans docs/qa/story-and-recruitment-report.json.</x:v>
      </x:c>
    </x:row>
    <x:row r="11" ht="100" customHeight="1">
      <x:c r="A11" s="13" t="str">
        <x:v>DIA-ashley-apres-recrutement</x:v>
      </x:c>
      <x:c r="B11" s="14" t="str">
        <x:v>Ashley après recrutement</x:v>
      </x:c>
      <x:c r="C11" s="10" t="str">
        <x:v>Prototype</x:v>
      </x:c>
      <x:c r="D11" s="11" t="str">
        <x:v>Prototype</x:v>
      </x:c>
      <x:c r="E11" s="15" t="str">
        <x:v>P1</x:v>
      </x:c>
      <x:c r="F11" s="15" t="str">
        <x:v>ME1</x:v>
      </x:c>
      <x:c r="G11" s="15" t="str">
        <x:v>Adaptation</x:v>
      </x:c>
      <x:c r="H11" s="14" t="str">
        <x:v>Réactions à la perte de son unité.</x:v>
      </x:c>
      <x:c r="I11" s="14" t="str">
        <x:v>Variantes selon le ton adopté sur Eden Prime.</x:v>
      </x:c>
      <x:c r="J11" s="14" t="str"/>
      <x:c r="K11" s="14" t="str">
        <x:v>content/dialogues/DIA-ashley-apres-recrutement.json</x:v>
      </x:c>
      <x:c r="L11" s="14" t="str">
        <x:v>src/story-data.js</x:v>
      </x:c>
      <x:c r="M11" s="14" t="str">
        <x:v>STORY_CONVERSATIONS.ashley</x:v>
      </x:c>
      <x:c r="N11" s="14" t="str">
        <x:v>Réécriture de production à valider contre la scène ME1 ; pas de transcription intégrale fournie.</x:v>
      </x:c>
      <x:c r="O11" s="14" t="str"/>
      <x:c r="P11" s="14" t="str">
        <x:v>Production ME1</x:v>
      </x:c>
      <x:c r="Q11" s="14" t="str">
        <x:v>Sujet sur la perte de son unité après recrutement, absent si elle est perdue. Les variantes selon le ton adopté sur Eden Prime ne sont pas encore implémentées. Texte français réécrit, sans certification mot à mot. Contrôles : tests/story.test.js, tests/recruitment.test.js, tests/story-world.test.js et scripts/story-browser.mjs ; preuve conservée dans docs/qa/story-and-recruitment-report.json.</x:v>
      </x:c>
    </x:row>
    <x:row r="12" ht="36" customHeight="1">
      <x:c r="A12" s="12" t="str">
        <x:v>DIA-premiere-audience</x:v>
      </x:c>
      <x:c r="B12" s="7" t="str">
        <x:v>Première audience</x:v>
      </x:c>
      <x:c r="C12" s="10" t="str">
        <x:v>Défini</x:v>
      </x:c>
      <x:c r="D12" s="11" t="str">
        <x:v>À produire</x:v>
      </x:c>
      <x:c r="E12" s="9" t="str">
        <x:v>P1</x:v>
      </x:c>
      <x:c r="F12" s="9" t="str">
        <x:v>ME1</x:v>
      </x:c>
      <x:c r="G12" s="9" t="str">
        <x:v>Adaptation</x:v>
      </x:c>
      <x:c r="H12" s="7" t="str">
        <x:v>Débat avec le Conseil et Udina.</x:v>
      </x:c>
      <x:c r="I12" s="7" t="str">
        <x:v>Interlocuteur actif toujours identifié.</x:v>
      </x:c>
      <x:c r="J12" s="7" t="str"/>
      <x:c r="K12" s="7" t="str">
        <x:v>content/dialogues/DIA-premiere-audience.json</x:v>
      </x:c>
      <x:c r="L12" s="7" t="str"/>
      <x:c r="M12" s="7" t="str"/>
      <x:c r="N12" s="7" t="str">
        <x:v>Réécriture de production à valider contre la scène ME1 ; pas de transcription intégrale fournie.</x:v>
      </x:c>
      <x:c r="O12" s="7" t="str"/>
      <x:c r="P12" s="7" t="str">
        <x:v>Production ME1</x:v>
      </x:c>
      <x:c r="Q12" s="7" t="str"/>
    </x:row>
    <x:row r="13" ht="100" customHeight="1">
      <x:c r="A13" s="13" t="str">
        <x:v>DIA-garrus-clinique</x:v>
      </x:c>
      <x:c r="B13" s="14" t="str">
        <x:v>Garrus clinique</x:v>
      </x:c>
      <x:c r="C13" s="10" t="str">
        <x:v>Prototype</x:v>
      </x:c>
      <x:c r="D13" s="11" t="str">
        <x:v>Prototype</x:v>
      </x:c>
      <x:c r="E13" s="15" t="str">
        <x:v>P1</x:v>
      </x:c>
      <x:c r="F13" s="15" t="str">
        <x:v>ME1</x:v>
      </x:c>
      <x:c r="G13" s="15" t="str">
        <x:v>Adaptation</x:v>
      </x:c>
      <x:c r="H13" s="14" t="str">
        <x:v>Présentation de l’enquête et possibilité de recrutement.</x:v>
      </x:c>
      <x:c r="I13" s="14" t="str">
        <x:v>Les embranchements gardent une issue valide.</x:v>
      </x:c>
      <x:c r="J13" s="14" t="str"/>
      <x:c r="K13" s="14" t="str">
        <x:v>content/dialogues/DIA-garrus-clinique.json</x:v>
      </x:c>
      <x:c r="L13" s="14" t="str">
        <x:v>src/main.js</x:v>
      </x:c>
      <x:c r="M13" s="14" t="str">
        <x:v>recruit:garrus</x:v>
      </x:c>
      <x:c r="N13" s="14" t="str">
        <x:v>Réécriture de production à valider contre la scène ME1 ; pas de transcription intégrale fournie.</x:v>
      </x:c>
      <x:c r="O13" s="14" t="str"/>
      <x:c r="P13" s="14" t="str">
        <x:v>Production ME1</x:v>
      </x:c>
      <x:c r="Q13" s="14" t="str">
        <x:v>Acceptation ou report, puis recrutement encore possible après l’audience du Conseil. La rencontre utilise la carte condensée ; la clinique et l’enquête complète ne sont pas reconstituées. Dialogue français concis réécrit. Contrôles : tests/story.test.js, tests/recruitment.test.js, tests/story-world.test.js et scripts/story-browser.mjs ; preuve conservée dans docs/qa/story-and-recruitment-report.json.</x:v>
      </x:c>
    </x:row>
    <x:row r="14" ht="100" customHeight="1">
      <x:c r="A14" s="12" t="str">
        <x:v>DIA-wrex-contrat</x:v>
      </x:c>
      <x:c r="B14" s="7" t="str">
        <x:v>Wrex contrat</x:v>
      </x:c>
      <x:c r="C14" s="10" t="str">
        <x:v>Prototype</x:v>
      </x:c>
      <x:c r="D14" s="11" t="str">
        <x:v>Prototype</x:v>
      </x:c>
      <x:c r="E14" s="9" t="str">
        <x:v>P1</x:v>
      </x:c>
      <x:c r="F14" s="9" t="str">
        <x:v>ME1</x:v>
      </x:c>
      <x:c r="G14" s="9" t="str">
        <x:v>Adaptation</x:v>
      </x:c>
      <x:c r="H14" s="7" t="str">
        <x:v>Présentation du mercenaire et de son intérêt.</x:v>
      </x:c>
      <x:c r="I14" s="7" t="str">
        <x:v>Respecter les options de refus ou report.</x:v>
      </x:c>
      <x:c r="J14" s="7" t="str"/>
      <x:c r="K14" s="7" t="str">
        <x:v>content/dialogues/DIA-wrex-contrat.json</x:v>
      </x:c>
      <x:c r="L14" s="7" t="str">
        <x:v>src/main.js</x:v>
      </x:c>
      <x:c r="M14" s="7" t="str">
        <x:v>recruit:wrex</x:v>
      </x:c>
      <x:c r="N14" s="7" t="str">
        <x:v>Réécriture de production à valider contre la scène ME1 ; pas de transcription intégrale fournie.</x:v>
      </x:c>
      <x:c r="O14" s="7" t="str"/>
      <x:c r="P14" s="7" t="str">
        <x:v>Production ME1</x:v>
      </x:c>
      <x:c r="Q14" s="7" t="str">
        <x:v>Acceptation ou report, puis recrutement encore possible après l’audience du Conseil. Les scènes du contrat et les lieux exacts ne sont pas reconstitués. Dialogue français concis réécrit. Contrôles : tests/story.test.js, tests/recruitment.test.js, tests/story-world.test.js et scripts/story-browser.mjs ; preuve conservée dans docs/qa/story-and-recruitment-report.json.</x:v>
      </x:c>
    </x:row>
    <x:row r="15" ht="36" customHeight="1">
      <x:c r="A15" s="13" t="str">
        <x:v>DIA-tali-preuve</x:v>
      </x:c>
      <x:c r="B15" s="14" t="str">
        <x:v>Tali preuve</x:v>
      </x:c>
      <x:c r="C15" s="10" t="str">
        <x:v>Défini</x:v>
      </x:c>
      <x:c r="D15" s="11" t="str">
        <x:v>À produire</x:v>
      </x:c>
      <x:c r="E15" s="15" t="str">
        <x:v>P1</x:v>
      </x:c>
      <x:c r="F15" s="15" t="str">
        <x:v>ME1</x:v>
      </x:c>
      <x:c r="G15" s="15" t="str">
        <x:v>Adaptation</x:v>
      </x:c>
      <x:c r="H15" s="14" t="str">
        <x:v>Expliquer les données récupérées.</x:v>
      </x:c>
      <x:c r="I15" s="14" t="str">
        <x:v>La preuve n’est pas disponible avant l’événement.</x:v>
      </x:c>
      <x:c r="J15" s="14" t="str"/>
      <x:c r="K15" s="14" t="str">
        <x:v>content/dialogues/DIA-tali-preuve.json</x:v>
      </x:c>
      <x:c r="L15" s="14" t="str"/>
      <x:c r="M15" s="14" t="str"/>
      <x:c r="N15" s="14" t="str">
        <x:v>Réécriture de production à valider contre la scène ME1 ; pas de transcription intégrale fournie.</x:v>
      </x:c>
      <x:c r="O15" s="14" t="str"/>
      <x:c r="P15" s="14" t="str">
        <x:v>Production ME1</x:v>
      </x:c>
      <x:c r="Q15" s="14" t="str"/>
    </x:row>
    <x:row r="16" ht="36" customHeight="1">
      <x:c r="A16" s="12" t="str">
        <x:v>DIA-intronisation</x:v>
      </x:c>
      <x:c r="B16" s="7" t="str">
        <x:v>Intronisation</x:v>
      </x:c>
      <x:c r="C16" s="10" t="str">
        <x:v>Défini</x:v>
      </x:c>
      <x:c r="D16" s="11" t="str">
        <x:v>À produire</x:v>
      </x:c>
      <x:c r="E16" s="9" t="str">
        <x:v>P1</x:v>
      </x:c>
      <x:c r="F16" s="9" t="str">
        <x:v>ME1</x:v>
      </x:c>
      <x:c r="G16" s="9" t="str">
        <x:v>Adaptation</x:v>
      </x:c>
      <x:c r="H16" s="7" t="str">
        <x:v>Reconnaissance de Shepard comme Spectre.</x:v>
      </x:c>
      <x:c r="I16" s="7" t="str">
        <x:v>Choix de réponse sans modification inventée du verdict.</x:v>
      </x:c>
      <x:c r="J16" s="7" t="str"/>
      <x:c r="K16" s="7" t="str">
        <x:v>content/dialogues/DIA-intronisation.json</x:v>
      </x:c>
      <x:c r="L16" s="7" t="str"/>
      <x:c r="M16" s="7" t="str"/>
      <x:c r="N16" s="7" t="str">
        <x:v>Réécriture de production à valider contre la scène ME1 ; pas de transcription intégrale fournie.</x:v>
      </x:c>
      <x:c r="O16" s="7" t="str"/>
      <x:c r="P16" s="7" t="str">
        <x:v>Production ME1</x:v>
      </x:c>
      <x:c r="Q16" s="7" t="str"/>
    </x:row>
    <x:row r="17" ht="36" customHeight="1">
      <x:c r="A17" s="13" t="str">
        <x:v>DIA-anderson-transmission</x:v>
      </x:c>
      <x:c r="B17" s="14" t="str">
        <x:v>Anderson transmission</x:v>
      </x:c>
      <x:c r="C17" s="10" t="str">
        <x:v>Défini</x:v>
      </x:c>
      <x:c r="D17" s="11" t="str">
        <x:v>À produire</x:v>
      </x:c>
      <x:c r="E17" s="15" t="str">
        <x:v>P1</x:v>
      </x:c>
      <x:c r="F17" s="15" t="str">
        <x:v>ME1</x:v>
      </x:c>
      <x:c r="G17" s="15" t="str">
        <x:v>Adaptation</x:v>
      </x:c>
      <x:c r="H17" s="14" t="str">
        <x:v>Passation du commandement.</x:v>
      </x:c>
      <x:c r="I17" s="14" t="str">
        <x:v>Débloquer le Normandy au terme de la scène.</x:v>
      </x:c>
      <x:c r="J17" s="14" t="str"/>
      <x:c r="K17" s="14" t="str">
        <x:v>content/dialogues/DIA-anderson-transmission.json</x:v>
      </x:c>
      <x:c r="L17" s="14" t="str"/>
      <x:c r="M17" s="14" t="str"/>
      <x:c r="N17" s="14" t="str">
        <x:v>Réécriture de production à valider contre la scène ME1 ; pas de transcription intégrale fournie.</x:v>
      </x:c>
      <x:c r="O17" s="14" t="str"/>
      <x:c r="P17" s="14" t="str">
        <x:v>Production ME1</x:v>
      </x:c>
      <x:c r="Q17" s="14" t="str"/>
    </x:row>
    <x:row r="18" ht="100" customHeight="1">
      <x:c r="A18" s="12" t="str">
        <x:v>DIA-tali-vie-de-la-flotte</x:v>
      </x:c>
      <x:c r="B18" s="7" t="str">
        <x:v>Tali vie de la flotte</x:v>
      </x:c>
      <x:c r="C18" s="10" t="str">
        <x:v>Prototype</x:v>
      </x:c>
      <x:c r="D18" s="11" t="str">
        <x:v>Prototype</x:v>
      </x:c>
      <x:c r="E18" s="9" t="str">
        <x:v>P1</x:v>
      </x:c>
      <x:c r="F18" s="9" t="str">
        <x:v>ME1</x:v>
      </x:c>
      <x:c r="G18" s="9" t="str">
        <x:v>Adaptation</x:v>
      </x:c>
      <x:c r="H18" s="7" t="str">
        <x:v>Conversation sur les Quariens et les geth.</x:v>
      </x:c>
      <x:c r="I18" s="7" t="str">
        <x:v>Codex débloqué après le sujet abordé.</x:v>
      </x:c>
      <x:c r="J18" s="7" t="str"/>
      <x:c r="K18" s="7" t="str">
        <x:v>content/dialogues/DIA-tali-vie-de-la-flotte.json</x:v>
      </x:c>
      <x:c r="L18" s="7" t="str">
        <x:v>src/story-data.js</x:v>
      </x:c>
      <x:c r="M18" s="7" t="str">
        <x:v>STORY_CONVERSATIONS.tali</x:v>
      </x:c>
      <x:c r="N18" s="7" t="str">
        <x:v>Réécriture de production à valider contre la scène ME1 ; pas de transcription intégrale fournie.</x:v>
      </x:c>
      <x:c r="O18" s="7" t="str"/>
      <x:c r="P18" s="7" t="str">
        <x:v>Production ME1</x:v>
      </x:c>
      <x:c r="Q18" s="7" t="str">
        <x:v>Trois sujets sur le pèlerinage, la Flotte et les geth. Lecture conservée dans l’historique et la trace de codex ; la première découverte du dossier quarien intervient déjà au recrutement. Le critère d’un premier déblocage par ce dialogue seul reste incomplet. Texte complet et toutes les nuances restent à recouper. Texte français réécrit, sans certification mot à mot. Contrôles : tests/story.test.js, tests/recruitment.test.js, tests/story-world.test.js et scripts/story-browser.mjs ; preuve conservée dans docs/qa/story-and-recruitment-report.json.</x:v>
      </x:c>
    </x:row>
    <x:row r="19" ht="100" customHeight="1">
      <x:c r="A19" s="13" t="str">
        <x:v>DIA-wrex-genophage</x:v>
      </x:c>
      <x:c r="B19" s="14" t="str">
        <x:v>Wrex génophage</x:v>
      </x:c>
      <x:c r="C19" s="10" t="str">
        <x:v>Prototype</x:v>
      </x:c>
      <x:c r="D19" s="11" t="str">
        <x:v>Prototype</x:v>
      </x:c>
      <x:c r="E19" s="15" t="str">
        <x:v>P1</x:v>
      </x:c>
      <x:c r="F19" s="15" t="str">
        <x:v>ME1</x:v>
      </x:c>
      <x:c r="G19" s="15" t="str">
        <x:v>Adaptation</x:v>
      </x:c>
      <x:c r="H19" s="14" t="str">
        <x:v>Échange sur les Krogans.</x:v>
      </x:c>
      <x:c r="I19" s="14" t="str">
        <x:v>Nuances et positions conservées dans la réécriture concise.</x:v>
      </x:c>
      <x:c r="J19" s="14" t="str"/>
      <x:c r="K19" s="14" t="str">
        <x:v>content/dialogues/DIA-wrex-genophage.json</x:v>
      </x:c>
      <x:c r="L19" s="14" t="str">
        <x:v>src/story-data.js</x:v>
      </x:c>
      <x:c r="M19" s="14" t="str">
        <x:v>STORY_CONVERSATIONS.wrex</x:v>
      </x:c>
      <x:c r="N19" s="14" t="str">
        <x:v>Réécriture de production à valider contre la scène ME1 ; pas de transcription intégrale fournie.</x:v>
      </x:c>
      <x:c r="O19" s="14" t="str"/>
      <x:c r="P19" s="14" t="str">
        <x:v>Production ME1</x:v>
      </x:c>
      <x:c r="Q19" s="14" t="str">
        <x:v>Sujet sur le génophage après recrutement. Présence et conversation conditionnées au compagnon. Réécriture courte à comparer avec l’original. Texte français réécrit, sans certification mot à mot. Contrôles : tests/story.test.js, tests/recruitment.test.js, tests/story-world.test.js et scripts/story-browser.mjs ; preuve conservée dans docs/qa/story-and-recruitment-report.json.</x:v>
      </x:c>
    </x:row>
    <x:row r="20" ht="100" customHeight="1">
      <x:c r="A20" s="12" t="str">
        <x:v>DIA-garrus-procedures</x:v>
      </x:c>
      <x:c r="B20" s="7" t="str">
        <x:v>Garrus procédures</x:v>
      </x:c>
      <x:c r="C20" s="10" t="str">
        <x:v>Prototype</x:v>
      </x:c>
      <x:c r="D20" s="11" t="str">
        <x:v>Prototype</x:v>
      </x:c>
      <x:c r="E20" s="9" t="str">
        <x:v>P1</x:v>
      </x:c>
      <x:c r="F20" s="9" t="str">
        <x:v>ME1</x:v>
      </x:c>
      <x:c r="G20" s="9" t="str">
        <x:v>Adaptation</x:v>
      </x:c>
      <x:c r="H20" s="7" t="str">
        <x:v>Discussion sur les limites du SSC.</x:v>
      </x:c>
      <x:c r="I20" s="7" t="str">
        <x:v>Mémoriser le conseil donné par Shepard.</x:v>
      </x:c>
      <x:c r="J20" s="7" t="str"/>
      <x:c r="K20" s="7" t="str">
        <x:v>content/dialogues/DIA-garrus-procedures.json</x:v>
      </x:c>
      <x:c r="L20" s="7" t="str">
        <x:v>src/story-data.js</x:v>
      </x:c>
      <x:c r="M20" s="7" t="str">
        <x:v>STORY_CONVERSATIONS.garrus</x:v>
      </x:c>
      <x:c r="N20" s="7" t="str">
        <x:v>Réécriture de production à valider contre la scène ME1 ; pas de transcription intégrale fournie.</x:v>
      </x:c>
      <x:c r="O20" s="7" t="str"/>
      <x:c r="P20" s="7" t="str">
        <x:v>Production ME1</x:v>
      </x:c>
      <x:c r="Q20" s="7" t="str">
        <x:v>Deux conseils possibles, réponse persistante et sujet de suivi adapté. Ce conseil ne remplace pas les dialogues complets ni les conséquences des missions personnelles. Texte français réécrit, sans certification mot à mot. Contrôles : tests/story.test.js, tests/recruitment.test.js, tests/story-world.test.js et scripts/story-browser.mjs ; preuve conservée dans docs/qa/story-and-recruitment-report.json.</x:v>
      </x:c>
    </x:row>
    <x:row r="21" ht="100" customHeight="1">
      <x:c r="A21" s="13" t="str">
        <x:v>DIA-liara-archeologie</x:v>
      </x:c>
      <x:c r="B21" s="14" t="str">
        <x:v>Liara archéologie</x:v>
      </x:c>
      <x:c r="C21" s="10" t="str">
        <x:v>Prototype</x:v>
      </x:c>
      <x:c r="D21" s="11" t="str">
        <x:v>Prototype</x:v>
      </x:c>
      <x:c r="E21" s="15" t="str">
        <x:v>P1</x:v>
      </x:c>
      <x:c r="F21" s="15" t="str">
        <x:v>ME1</x:v>
      </x:c>
      <x:c r="G21" s="15" t="str">
        <x:v>Adaptation</x:v>
      </x:c>
      <x:c r="H21" s="14" t="str">
        <x:v>Échange sur ses recherches prothéennes.</x:v>
      </x:c>
      <x:c r="I21" s="14" t="str">
        <x:v>Savoir limité au stade du récit.</x:v>
      </x:c>
      <x:c r="J21" s="14" t="str"/>
      <x:c r="K21" s="14" t="str">
        <x:v>content/dialogues/DIA-liara-archeologie.json</x:v>
      </x:c>
      <x:c r="L21" s="14" t="str">
        <x:v>src/story-data.js</x:v>
      </x:c>
      <x:c r="M21" s="14" t="str">
        <x:v>STORY_CONVERSATIONS.liara</x:v>
      </x:c>
      <x:c r="N21" s="14" t="str">
        <x:v>Réécriture de production à valider contre la scène ME1 ; pas de transcription intégrale fournie.</x:v>
      </x:c>
      <x:c r="O21" s="14" t="str"/>
      <x:c r="P21" s="14" t="str">
        <x:v>Production ME1</x:v>
      </x:c>
      <x:c r="Q21" s="14" t="str">
        <x:v>Archéologie après Thérum, Cipher après Féros et rappel de Vigil après Ilos. Les étapes ne sont pas divulguées avant les événements. Scènes complètes à produire. Texte français réécrit, sans certification mot à mot. Contrôles : tests/story.test.js, tests/recruitment.test.js, tests/story-world.test.js et scripts/story-browser.mjs ; preuve conservée dans docs/qa/story-and-recruitment-report.json.</x:v>
      </x:c>
    </x:row>
    <x:row r="22" ht="100" customHeight="1">
      <x:c r="A22" s="12" t="str">
        <x:v>DIA-kaidan-implants</x:v>
      </x:c>
      <x:c r="B22" s="7" t="str">
        <x:v>Kaidan implants</x:v>
      </x:c>
      <x:c r="C22" s="10" t="str">
        <x:v>Prototype</x:v>
      </x:c>
      <x:c r="D22" s="11" t="str">
        <x:v>Prototype</x:v>
      </x:c>
      <x:c r="E22" s="9" t="str">
        <x:v>P1</x:v>
      </x:c>
      <x:c r="F22" s="9" t="str">
        <x:v>ME1</x:v>
      </x:c>
      <x:c r="G22" s="9" t="str">
        <x:v>Adaptation</x:v>
      </x:c>
      <x:c r="H22" s="7" t="str">
        <x:v>Dialogue autour de son passé biotique.</x:v>
      </x:c>
      <x:c r="I22" s="7" t="str">
        <x:v>Pas de mélange avec les implants de ME2.</x:v>
      </x:c>
      <x:c r="J22" s="7" t="str"/>
      <x:c r="K22" s="7" t="str">
        <x:v>content/dialogues/DIA-kaidan-implants.json</x:v>
      </x:c>
      <x:c r="L22" s="7" t="str">
        <x:v>src/story-data.js</x:v>
      </x:c>
      <x:c r="M22" s="7" t="str">
        <x:v>STORY_CONVERSATIONS.kaidan</x:v>
      </x:c>
      <x:c r="N22" s="7" t="str">
        <x:v>Réécriture de production à valider contre la scène ME1 ; pas de transcription intégrale fournie.</x:v>
      </x:c>
      <x:c r="O22" s="7" t="str"/>
      <x:c r="P22" s="7" t="str">
        <x:v>Production ME1</x:v>
      </x:c>
      <x:c r="Q22" s="7" t="str">
        <x:v>Sujet sur les implants L2 et les migraines, disponible tant que Kaidan est recruté et vivant. Réécriture courte sans doublage ni animation. Texte français réécrit, sans certification mot à mot. Contrôles : tests/story.test.js, tests/recruitment.test.js, tests/story-world.test.js et scripts/story-browser.mjs ; preuve conservée dans docs/qa/story-and-recruitment-report.json.</x:v>
      </x:c>
    </x:row>
    <x:row r="23" ht="100" customHeight="1">
      <x:c r="A23" s="13" t="str">
        <x:v>DIA-ashley-famille</x:v>
      </x:c>
      <x:c r="B23" s="14" t="str">
        <x:v>Ashley famille</x:v>
      </x:c>
      <x:c r="C23" s="10" t="str">
        <x:v>Prototype</x:v>
      </x:c>
      <x:c r="D23" s="11" t="str">
        <x:v>Prototype</x:v>
      </x:c>
      <x:c r="E23" s="15" t="str">
        <x:v>P1</x:v>
      </x:c>
      <x:c r="F23" s="15" t="str">
        <x:v>ME1</x:v>
      </x:c>
      <x:c r="G23" s="15" t="str">
        <x:v>Adaptation</x:v>
      </x:c>
      <x:c r="H23" s="14" t="str">
        <x:v>Dialogue sur sa famille et son service.</x:v>
      </x:c>
      <x:c r="I23" s="14" t="str">
        <x:v>Ton personnel distinct du briefing militaire.</x:v>
      </x:c>
      <x:c r="J23" s="14" t="str"/>
      <x:c r="K23" s="14" t="str">
        <x:v>content/dialogues/DIA-ashley-famille.json</x:v>
      </x:c>
      <x:c r="L23" s="14" t="str">
        <x:v>src/story-data.js</x:v>
      </x:c>
      <x:c r="M23" s="14" t="str">
        <x:v>STORY_CONVERSATIONS.ashley</x:v>
      </x:c>
      <x:c r="N23" s="14" t="str">
        <x:v>Réécriture de production à valider contre la scène ME1 ; pas de transcription intégrale fournie.</x:v>
      </x:c>
      <x:c r="O23" s="14" t="str"/>
      <x:c r="P23" s="14" t="str">
        <x:v>Production ME1</x:v>
      </x:c>
      <x:c r="Q23" s="14" t="str">
        <x:v>Sujet personnel sur ses sœurs et le service de l’Alliance après recrutement. Réécriture courte ; détails et variantes complets restent à produire. Texte français réécrit, sans certification mot à mot. Contrôles : tests/story.test.js, tests/recruitment.test.js, tests/story-world.test.js et scripts/story-browser.mjs ; preuve conservée dans docs/qa/story-and-recruitment-report.json.</x:v>
      </x:c>
    </x:row>
    <x:row r="24" ht="36" customHeight="1">
      <x:c r="A24" s="12" t="str">
        <x:v>DIA-colons-de-zhu-s-hope</x:v>
      </x:c>
      <x:c r="B24" s="7" t="str">
        <x:v>Colons de Zhu’s Hope</x:v>
      </x:c>
      <x:c r="C24" s="10" t="str">
        <x:v>Défini</x:v>
      </x:c>
      <x:c r="D24" s="11" t="str">
        <x:v>À produire</x:v>
      </x:c>
      <x:c r="E24" s="9" t="str">
        <x:v>P1</x:v>
      </x:c>
      <x:c r="F24" s="9" t="str">
        <x:v>ME1</x:v>
      </x:c>
      <x:c r="G24" s="9" t="str">
        <x:v>Adaptation</x:v>
      </x:c>
      <x:c r="H24" s="7" t="str">
        <x:v>Demandes et inquiétudes locales.</x:v>
      </x:c>
      <x:c r="I24" s="7" t="str">
        <x:v>Disponibilité liée à la survie des interlocuteurs.</x:v>
      </x:c>
      <x:c r="J24" s="7" t="str"/>
      <x:c r="K24" s="7" t="str">
        <x:v>content/dialogues/DIA-colons-de-zhu-s-hope.json</x:v>
      </x:c>
      <x:c r="L24" s="7" t="str"/>
      <x:c r="M24" s="7" t="str"/>
      <x:c r="N24" s="7" t="str">
        <x:v>Réécriture de production à valider contre la scène ME1 ; pas de transcription intégrale fournie.</x:v>
      </x:c>
      <x:c r="O24" s="7" t="str"/>
      <x:c r="P24" s="7" t="str">
        <x:v>Production ME1</x:v>
      </x:c>
      <x:c r="Q24" s="7" t="str"/>
    </x:row>
    <x:row r="25" ht="36" customHeight="1">
      <x:c r="A25" s="13" t="str">
        <x:v>DIA-exogeni-temoignage</x:v>
      </x:c>
      <x:c r="B25" s="14" t="str">
        <x:v>ExoGeni témoignage</x:v>
      </x:c>
      <x:c r="C25" s="10" t="str">
        <x:v>Défini</x:v>
      </x:c>
      <x:c r="D25" s="11" t="str">
        <x:v>À produire</x:v>
      </x:c>
      <x:c r="E25" s="15" t="str">
        <x:v>P1</x:v>
      </x:c>
      <x:c r="F25" s="15" t="str">
        <x:v>ME1</x:v>
      </x:c>
      <x:c r="G25" s="15" t="str">
        <x:v>Adaptation</x:v>
      </x:c>
      <x:c r="H25" s="14" t="str">
        <x:v>Informations données par Lizbeth.</x:v>
      </x:c>
      <x:c r="I25" s="14" t="str">
        <x:v>Ne pas répéter un dialogue complet après résolution.</x:v>
      </x:c>
      <x:c r="J25" s="14" t="str"/>
      <x:c r="K25" s="14" t="str">
        <x:v>content/dialogues/DIA-exogeni-temoignage.json</x:v>
      </x:c>
      <x:c r="L25" s="14" t="str"/>
      <x:c r="M25" s="14" t="str"/>
      <x:c r="N25" s="14" t="str">
        <x:v>Réécriture de production à valider contre la scène ME1 ; pas de transcription intégrale fournie.</x:v>
      </x:c>
      <x:c r="O25" s="14" t="str"/>
      <x:c r="P25" s="14" t="str">
        <x:v>Production ME1</x:v>
      </x:c>
      <x:c r="Q25" s="14" t="str"/>
    </x:row>
    <x:row r="26" ht="36" customHeight="1">
      <x:c r="A26" s="12" t="str">
        <x:v>DIA-shiala-et-le-cypher</x:v>
      </x:c>
      <x:c r="B26" s="7" t="str">
        <x:v>Shiala et le Cypher</x:v>
      </x:c>
      <x:c r="C26" s="10" t="str">
        <x:v>Défini</x:v>
      </x:c>
      <x:c r="D26" s="11" t="str">
        <x:v>À produire</x:v>
      </x:c>
      <x:c r="E26" s="9" t="str">
        <x:v>P1</x:v>
      </x:c>
      <x:c r="F26" s="9" t="str">
        <x:v>ME1</x:v>
      </x:c>
      <x:c r="G26" s="9" t="str">
        <x:v>Adaptation</x:v>
      </x:c>
      <x:c r="H26" s="7" t="str">
        <x:v>Révélation après le Thorian.</x:v>
      </x:c>
      <x:c r="I26" s="7" t="str">
        <x:v>Drapeaux de connaissance mis à jour.</x:v>
      </x:c>
      <x:c r="J26" s="7" t="str"/>
      <x:c r="K26" s="7" t="str">
        <x:v>content/dialogues/DIA-shiala-et-le-cypher.json</x:v>
      </x:c>
      <x:c r="L26" s="7" t="str"/>
      <x:c r="M26" s="7" t="str"/>
      <x:c r="N26" s="7" t="str">
        <x:v>Réécriture de production à valider contre la scène ME1 ; pas de transcription intégrale fournie.</x:v>
      </x:c>
      <x:c r="O26" s="7" t="str"/>
      <x:c r="P26" s="7" t="str">
        <x:v>Production ME1</x:v>
      </x:c>
      <x:c r="Q26" s="7" t="str"/>
    </x:row>
    <x:row r="27" ht="36" customHeight="1">
      <x:c r="A27" s="13" t="str">
        <x:v>DIA-anoleis-laissez-passer</x:v>
      </x:c>
      <x:c r="B27" s="14" t="str">
        <x:v>Anoleis laissez-passer</x:v>
      </x:c>
      <x:c r="C27" s="10" t="str">
        <x:v>Défini</x:v>
      </x:c>
      <x:c r="D27" s="11" t="str">
        <x:v>À produire</x:v>
      </x:c>
      <x:c r="E27" s="15" t="str">
        <x:v>P1</x:v>
      </x:c>
      <x:c r="F27" s="15" t="str">
        <x:v>ME1</x:v>
      </x:c>
      <x:c r="G27" s="15" t="str">
        <x:v>Adaptation</x:v>
      </x:c>
      <x:c r="H27" s="14" t="str">
        <x:v>Négociation de l’accès aux montagnes.</x:v>
      </x:c>
      <x:c r="I27" s="14" t="str">
        <x:v>Conditions alternatives lisibles.</x:v>
      </x:c>
      <x:c r="J27" s="14" t="str"/>
      <x:c r="K27" s="14" t="str">
        <x:v>content/dialogues/DIA-anoleis-laissez-passer.json</x:v>
      </x:c>
      <x:c r="L27" s="14" t="str"/>
      <x:c r="M27" s="14" t="str"/>
      <x:c r="N27" s="14" t="str">
        <x:v>Réécriture de production à valider contre la scène ME1 ; pas de transcription intégrale fournie.</x:v>
      </x:c>
      <x:c r="O27" s="14" t="str"/>
      <x:c r="P27" s="14" t="str">
        <x:v>Production ME1</x:v>
      </x:c>
      <x:c r="Q27" s="14" t="str"/>
    </x:row>
    <x:row r="28" ht="36" customHeight="1">
      <x:c r="A28" s="12" t="str">
        <x:v>DIA-gianna-enquete</x:v>
      </x:c>
      <x:c r="B28" s="7" t="str">
        <x:v>Gianna enquête</x:v>
      </x:c>
      <x:c r="C28" s="10" t="str">
        <x:v>Défini</x:v>
      </x:c>
      <x:c r="D28" s="11" t="str">
        <x:v>À produire</x:v>
      </x:c>
      <x:c r="E28" s="9" t="str">
        <x:v>P1</x:v>
      </x:c>
      <x:c r="F28" s="9" t="str">
        <x:v>ME1</x:v>
      </x:c>
      <x:c r="G28" s="9" t="str">
        <x:v>Adaptation</x:v>
      </x:c>
      <x:c r="H28" s="7" t="str">
        <x:v>Révélation de sa mission.</x:v>
      </x:c>
      <x:c r="I28" s="7" t="str">
        <x:v>Conditions de Lorik et des preuves synchronisées.</x:v>
      </x:c>
      <x:c r="J28" s="7" t="str"/>
      <x:c r="K28" s="7" t="str">
        <x:v>content/dialogues/DIA-gianna-enquete.json</x:v>
      </x:c>
      <x:c r="L28" s="7" t="str"/>
      <x:c r="M28" s="7" t="str"/>
      <x:c r="N28" s="7" t="str">
        <x:v>Réécriture de production à valider contre la scène ME1 ; pas de transcription intégrale fournie.</x:v>
      </x:c>
      <x:c r="O28" s="7" t="str"/>
      <x:c r="P28" s="7" t="str">
        <x:v>Production ME1</x:v>
      </x:c>
      <x:c r="Q28" s="7" t="str"/>
    </x:row>
    <x:row r="29" ht="36" customHeight="1">
      <x:c r="A29" s="13" t="str">
        <x:v>DIA-mira-assistance</x:v>
      </x:c>
      <x:c r="B29" s="14" t="str">
        <x:v>Mira assistance</x:v>
      </x:c>
      <x:c r="C29" s="10" t="str">
        <x:v>Défini</x:v>
      </x:c>
      <x:c r="D29" s="11" t="str">
        <x:v>À produire</x:v>
      </x:c>
      <x:c r="E29" s="15" t="str">
        <x:v>P1</x:v>
      </x:c>
      <x:c r="F29" s="15" t="str">
        <x:v>ME1</x:v>
      </x:c>
      <x:c r="G29" s="15" t="str">
        <x:v>Adaptation</x:v>
      </x:c>
      <x:c r="H29" s="14" t="str">
        <x:v>IV de la station de recherche.</x:v>
      </x:c>
      <x:c r="I29" s="14" t="str">
        <x:v>Options disponibles selon les réparations.</x:v>
      </x:c>
      <x:c r="J29" s="14" t="str"/>
      <x:c r="K29" s="14" t="str">
        <x:v>content/dialogues/DIA-mira-assistance.json</x:v>
      </x:c>
      <x:c r="L29" s="14" t="str"/>
      <x:c r="M29" s="14" t="str"/>
      <x:c r="N29" s="14" t="str">
        <x:v>Réécriture de production à valider contre la scène ME1 ; pas de transcription intégrale fournie.</x:v>
      </x:c>
      <x:c r="O29" s="14" t="str"/>
      <x:c r="P29" s="14" t="str">
        <x:v>Production ME1</x:v>
      </x:c>
      <x:c r="Q29" s="14" t="str"/>
    </x:row>
    <x:row r="30" ht="36" customHeight="1">
      <x:c r="A30" s="12" t="str">
        <x:v>DIA-benezia-revelations</x:v>
      </x:c>
      <x:c r="B30" s="7" t="str">
        <x:v>Benezia révélations</x:v>
      </x:c>
      <x:c r="C30" s="10" t="str">
        <x:v>Défini</x:v>
      </x:c>
      <x:c r="D30" s="11" t="str">
        <x:v>À produire</x:v>
      </x:c>
      <x:c r="E30" s="9" t="str">
        <x:v>P1</x:v>
      </x:c>
      <x:c r="F30" s="9" t="str">
        <x:v>ME1</x:v>
      </x:c>
      <x:c r="G30" s="9" t="str">
        <x:v>Adaptation</x:v>
      </x:c>
      <x:c r="H30" s="7" t="str">
        <x:v>Moments de lucidité pendant la confrontation.</x:v>
      </x:c>
      <x:c r="I30" s="7" t="str">
        <x:v>Combats et dialogues ne se déclenchent pas ensemble.</x:v>
      </x:c>
      <x:c r="J30" s="7" t="str"/>
      <x:c r="K30" s="7" t="str">
        <x:v>content/dialogues/DIA-benezia-revelations.json</x:v>
      </x:c>
      <x:c r="L30" s="7" t="str"/>
      <x:c r="M30" s="7" t="str"/>
      <x:c r="N30" s="7" t="str">
        <x:v>Réécriture de production à valider contre la scène ME1 ; pas de transcription intégrale fournie.</x:v>
      </x:c>
      <x:c r="O30" s="7" t="str"/>
      <x:c r="P30" s="7" t="str">
        <x:v>Production ME1</x:v>
      </x:c>
      <x:c r="Q30" s="7" t="str"/>
    </x:row>
    <x:row r="31" ht="36" customHeight="1">
      <x:c r="A31" s="13" t="str">
        <x:v>DIA-reine-rachni</x:v>
      </x:c>
      <x:c r="B31" s="14" t="str">
        <x:v>Reine rachni</x:v>
      </x:c>
      <x:c r="C31" s="10" t="str">
        <x:v>Défini</x:v>
      </x:c>
      <x:c r="D31" s="11" t="str">
        <x:v>À produire</x:v>
      </x:c>
      <x:c r="E31" s="15" t="str">
        <x:v>P1</x:v>
      </x:c>
      <x:c r="F31" s="15" t="str">
        <x:v>ME1</x:v>
      </x:c>
      <x:c r="G31" s="15" t="str">
        <x:v>Adaptation</x:v>
      </x:c>
      <x:c r="H31" s="14" t="str">
        <x:v>Communication et décision.</x:v>
      </x:c>
      <x:c r="I31" s="14" t="str">
        <x:v>Choix présenté avec son enjeu sans résultat caché arbitraire.</x:v>
      </x:c>
      <x:c r="J31" s="14" t="str"/>
      <x:c r="K31" s="14" t="str">
        <x:v>content/dialogues/DIA-reine-rachni.json</x:v>
      </x:c>
      <x:c r="L31" s="14" t="str"/>
      <x:c r="M31" s="14" t="str"/>
      <x:c r="N31" s="14" t="str">
        <x:v>Réécriture de production à valider contre la scène ME1 ; pas de transcription intégrale fournie.</x:v>
      </x:c>
      <x:c r="O31" s="14" t="str"/>
      <x:c r="P31" s="14" t="str">
        <x:v>Production ME1</x:v>
      </x:c>
      <x:c r="Q31" s="14" t="str"/>
    </x:row>
    <x:row r="32" ht="36" customHeight="1">
      <x:c r="A32" s="12" t="str">
        <x:v>DIA-wrex-virmire</x:v>
      </x:c>
      <x:c r="B32" s="7" t="str">
        <x:v>Wrex Virmire</x:v>
      </x:c>
      <x:c r="C32" s="10" t="str">
        <x:v>Défini</x:v>
      </x:c>
      <x:c r="D32" s="11" t="str">
        <x:v>À produire</x:v>
      </x:c>
      <x:c r="E32" s="9" t="str">
        <x:v>P1</x:v>
      </x:c>
      <x:c r="F32" s="9" t="str">
        <x:v>ME1</x:v>
      </x:c>
      <x:c r="G32" s="9" t="str">
        <x:v>Adaptation</x:v>
      </x:c>
      <x:c r="H32" s="7" t="str">
        <x:v>Conflit sur les expériences de Saren.</x:v>
      </x:c>
      <x:c r="I32" s="7" t="str">
        <x:v>Persuasion conditionnelle vérifiée.</x:v>
      </x:c>
      <x:c r="J32" s="7" t="str"/>
      <x:c r="K32" s="7" t="str">
        <x:v>content/dialogues/DIA-wrex-virmire.json</x:v>
      </x:c>
      <x:c r="L32" s="7" t="str"/>
      <x:c r="M32" s="7" t="str"/>
      <x:c r="N32" s="7" t="str">
        <x:v>Réécriture de production à valider contre la scène ME1 ; pas de transcription intégrale fournie.</x:v>
      </x:c>
      <x:c r="O32" s="7" t="str"/>
      <x:c r="P32" s="7" t="str">
        <x:v>Production ME1</x:v>
      </x:c>
      <x:c r="Q32" s="7" t="str"/>
    </x:row>
    <x:row r="33" ht="36" customHeight="1">
      <x:c r="A33" s="13" t="str">
        <x:v>DIA-kirrahe-briefing</x:v>
      </x:c>
      <x:c r="B33" s="14" t="str">
        <x:v>Kirrahe briefing</x:v>
      </x:c>
      <x:c r="C33" s="10" t="str">
        <x:v>Défini</x:v>
      </x:c>
      <x:c r="D33" s="11" t="str">
        <x:v>À produire</x:v>
      </x:c>
      <x:c r="E33" s="15" t="str">
        <x:v>P1</x:v>
      </x:c>
      <x:c r="F33" s="15" t="str">
        <x:v>ME1</x:v>
      </x:c>
      <x:c r="G33" s="15" t="str">
        <x:v>Adaptation</x:v>
      </x:c>
      <x:c r="H33" s="14" t="str">
        <x:v>Préparation de l’opération.</x:v>
      </x:c>
      <x:c r="I33" s="14" t="str">
        <x:v>Rôles attribués et objectifs optionnels enregistrés.</x:v>
      </x:c>
      <x:c r="J33" s="14" t="str"/>
      <x:c r="K33" s="14" t="str">
        <x:v>content/dialogues/DIA-kirrahe-briefing.json</x:v>
      </x:c>
      <x:c r="L33" s="14" t="str"/>
      <x:c r="M33" s="14" t="str"/>
      <x:c r="N33" s="14" t="str">
        <x:v>Réécriture de production à valider contre la scène ME1 ; pas de transcription intégrale fournie.</x:v>
      </x:c>
      <x:c r="O33" s="14" t="str"/>
      <x:c r="P33" s="14" t="str">
        <x:v>Production ME1</x:v>
      </x:c>
      <x:c r="Q33" s="14" t="str"/>
    </x:row>
    <x:row r="34" ht="36" customHeight="1">
      <x:c r="A34" s="12" t="str">
        <x:v>DIA-sovereign-transmission</x:v>
      </x:c>
      <x:c r="B34" s="7" t="str">
        <x:v>Sovereign transmission</x:v>
      </x:c>
      <x:c r="C34" s="10" t="str">
        <x:v>Défini</x:v>
      </x:c>
      <x:c r="D34" s="11" t="str">
        <x:v>À produire</x:v>
      </x:c>
      <x:c r="E34" s="9" t="str">
        <x:v>P1</x:v>
      </x:c>
      <x:c r="F34" s="9" t="str">
        <x:v>ME1</x:v>
      </x:c>
      <x:c r="G34" s="9" t="str">
        <x:v>Adaptation</x:v>
      </x:c>
      <x:c r="H34" s="7" t="str">
        <x:v>Révélation de la nature de l’ennemi.</x:v>
      </x:c>
      <x:c r="I34" s="7" t="str">
        <x:v>Cadre et progression de l’information respectés.</x:v>
      </x:c>
      <x:c r="J34" s="7" t="str"/>
      <x:c r="K34" s="7" t="str">
        <x:v>content/dialogues/DIA-sovereign-transmission.json</x:v>
      </x:c>
      <x:c r="L34" s="7" t="str"/>
      <x:c r="M34" s="7" t="str"/>
      <x:c r="N34" s="7" t="str">
        <x:v>Réécriture de production à valider contre la scène ME1 ; pas de transcription intégrale fournie.</x:v>
      </x:c>
      <x:c r="O34" s="7" t="str"/>
      <x:c r="P34" s="7" t="str">
        <x:v>Production ME1</x:v>
      </x:c>
      <x:c r="Q34" s="7" t="str"/>
    </x:row>
    <x:row r="35" ht="36" customHeight="1">
      <x:c r="A35" s="13" t="str">
        <x:v>DIA-apres-virmire</x:v>
      </x:c>
      <x:c r="B35" s="14" t="str">
        <x:v>Après Virmire</x:v>
      </x:c>
      <x:c r="C35" s="10" t="str">
        <x:v>Défini</x:v>
      </x:c>
      <x:c r="D35" s="11" t="str">
        <x:v>À produire</x:v>
      </x:c>
      <x:c r="E35" s="15" t="str">
        <x:v>P1</x:v>
      </x:c>
      <x:c r="F35" s="15" t="str">
        <x:v>ME1</x:v>
      </x:c>
      <x:c r="G35" s="15" t="str">
        <x:v>Adaptation</x:v>
      </x:c>
      <x:c r="H35" s="14" t="str">
        <x:v>Deuil et réactions des survivants.</x:v>
      </x:c>
      <x:c r="I35" s="14" t="str">
        <x:v>Personnage perdu absent de chaque variante.</x:v>
      </x:c>
      <x:c r="J35" s="14" t="str"/>
      <x:c r="K35" s="14" t="str">
        <x:v>content/dialogues/DIA-apres-virmire.json</x:v>
      </x:c>
      <x:c r="L35" s="14" t="str"/>
      <x:c r="M35" s="14" t="str"/>
      <x:c r="N35" s="14" t="str">
        <x:v>Réécriture de production à valider contre la scène ME1 ; pas de transcription intégrale fournie.</x:v>
      </x:c>
      <x:c r="O35" s="14" t="str"/>
      <x:c r="P35" s="14" t="str">
        <x:v>Production ME1</x:v>
      </x:c>
      <x:c r="Q35" s="14" t="str"/>
    </x:row>
    <x:row r="36" ht="36" customHeight="1">
      <x:c r="A36" s="12" t="str">
        <x:v>DIA-conseil-apres-virmire</x:v>
      </x:c>
      <x:c r="B36" s="7" t="str">
        <x:v>Conseil après Virmire</x:v>
      </x:c>
      <x:c r="C36" s="10" t="str">
        <x:v>Défini</x:v>
      </x:c>
      <x:c r="D36" s="11" t="str">
        <x:v>À produire</x:v>
      </x:c>
      <x:c r="E36" s="9" t="str">
        <x:v>P1</x:v>
      </x:c>
      <x:c r="F36" s="9" t="str">
        <x:v>ME1</x:v>
      </x:c>
      <x:c r="G36" s="9" t="str">
        <x:v>Adaptation</x:v>
      </x:c>
      <x:c r="H36" s="7" t="str">
        <x:v>Rapport politique et frustration.</x:v>
      </x:c>
      <x:c r="I36" s="7" t="str">
        <x:v>Réponse selon les événements accomplis.</x:v>
      </x:c>
      <x:c r="J36" s="7" t="str"/>
      <x:c r="K36" s="7" t="str">
        <x:v>content/dialogues/DIA-conseil-apres-virmire.json</x:v>
      </x:c>
      <x:c r="L36" s="7" t="str"/>
      <x:c r="M36" s="7" t="str"/>
      <x:c r="N36" s="7" t="str">
        <x:v>Réécriture de production à valider contre la scène ME1 ; pas de transcription intégrale fournie.</x:v>
      </x:c>
      <x:c r="O36" s="7" t="str"/>
      <x:c r="P36" s="7" t="str">
        <x:v>Production ME1</x:v>
      </x:c>
      <x:c r="Q36" s="7" t="str"/>
    </x:row>
    <x:row r="37" ht="62" customHeight="1">
      <x:c r="A37" s="13" t="str">
        <x:v>DIA-vigil-histoire</x:v>
      </x:c>
      <x:c r="B37" s="14" t="str">
        <x:v>Vigil histoire</x:v>
      </x:c>
      <x:c r="C37" s="10" t="str">
        <x:v>Défini</x:v>
      </x:c>
      <x:c r="D37" s="11" t="str">
        <x:v>À produire</x:v>
      </x:c>
      <x:c r="E37" s="15" t="str">
        <x:v>P1</x:v>
      </x:c>
      <x:c r="F37" s="15" t="str">
        <x:v>ME1</x:v>
      </x:c>
      <x:c r="G37" s="15" t="str">
        <x:v>Adaptation</x:v>
      </x:c>
      <x:c r="H37" s="14" t="str">
        <x:v>Explication de la fin des Prothéens.</x:v>
      </x:c>
      <x:c r="I37" s="14" t="str">
        <x:v>Entrées de codex visibles seulement ensuite.</x:v>
      </x:c>
      <x:c r="J37" s="14" t="str"/>
      <x:c r="K37" s="14" t="str">
        <x:v>content/dialogues/DIA-vigil-histoire.json</x:v>
      </x:c>
      <x:c r="L37" s="14" t="str"/>
      <x:c r="M37" s="14" t="str"/>
      <x:c r="N37" s="14" t="str">
        <x:v>Réécriture de production à valider contre la scène ME1 ; pas de transcription intégrale fournie.</x:v>
      </x:c>
      <x:c r="O37" s="14" t="str"/>
      <x:c r="P37" s="14" t="str">
        <x:v>Production ME1</x:v>
      </x:c>
      <x:c r="Q37" s="14" t="str">
        <x:v>Preuve partielle : src/story-data.js contient uniquement un compte rendu de Liara après Ilos (liara:vigil). L’entretien original avec Vigil et ses embranchements restent à produire ; la fiche demeure Défini.</x:v>
      </x:c>
    </x:row>
    <x:row r="38" ht="36" customHeight="1">
      <x:c r="A38" s="12" t="str">
        <x:v>DIA-saren-final</x:v>
      </x:c>
      <x:c r="B38" s="7" t="str">
        <x:v>Saren final</x:v>
      </x:c>
      <x:c r="C38" s="10" t="str">
        <x:v>Défini</x:v>
      </x:c>
      <x:c r="D38" s="11" t="str">
        <x:v>À produire</x:v>
      </x:c>
      <x:c r="E38" s="9" t="str">
        <x:v>P1</x:v>
      </x:c>
      <x:c r="F38" s="9" t="str">
        <x:v>ME1</x:v>
      </x:c>
      <x:c r="G38" s="9" t="str">
        <x:v>Adaptation</x:v>
      </x:c>
      <x:c r="H38" s="7" t="str">
        <x:v>Confrontation verbale avant l’issue.</x:v>
      </x:c>
      <x:c r="I38" s="7" t="str">
        <x:v>Persuasion et échec mènent à un état jouable.</x:v>
      </x:c>
      <x:c r="J38" s="7" t="str"/>
      <x:c r="K38" s="7" t="str">
        <x:v>content/dialogues/DIA-saren-final.json</x:v>
      </x:c>
      <x:c r="L38" s="7" t="str"/>
      <x:c r="M38" s="7" t="str"/>
      <x:c r="N38" s="7" t="str">
        <x:v>Réécriture de production à valider contre la scène ME1 ; pas de transcription intégrale fournie.</x:v>
      </x:c>
      <x:c r="O38" s="7" t="str"/>
      <x:c r="P38" s="7" t="str">
        <x:v>Production ME1</x:v>
      </x:c>
      <x:c r="Q38" s="7" t="str"/>
    </x:row>
    <x:row r="39" ht="36" customHeight="1">
      <x:c r="A39" s="13" t="str">
        <x:v>DIA-epilogue-politique</x:v>
      </x:c>
      <x:c r="B39" s="14" t="str">
        <x:v>Épilogue politique</x:v>
      </x:c>
      <x:c r="C39" s="10" t="str">
        <x:v>Défini</x:v>
      </x:c>
      <x:c r="D39" s="11" t="str">
        <x:v>À produire</x:v>
      </x:c>
      <x:c r="E39" s="15" t="str">
        <x:v>P1</x:v>
      </x:c>
      <x:c r="F39" s="15" t="str">
        <x:v>ME1</x:v>
      </x:c>
      <x:c r="G39" s="15" t="str">
        <x:v>Adaptation</x:v>
      </x:c>
      <x:c r="H39" s="14" t="str">
        <x:v>Réactions au sort du Conseil.</x:v>
      </x:c>
      <x:c r="I39" s="14" t="str">
        <x:v>Choix final et sauvegarde concordants.</x:v>
      </x:c>
      <x:c r="J39" s="14" t="str"/>
      <x:c r="K39" s="14" t="str">
        <x:v>content/dialogues/DIA-epilogue-politique.json</x:v>
      </x:c>
      <x:c r="L39" s="14" t="str"/>
      <x:c r="M39" s="14" t="str"/>
      <x:c r="N39" s="14" t="str">
        <x:v>Réécriture de production à valider contre la scène ME1 ; pas de transcription intégrale fournie.</x:v>
      </x:c>
      <x:c r="O39" s="14" t="str"/>
      <x:c r="P39" s="14" t="str">
        <x:v>Production ME1</x:v>
      </x:c>
      <x:c r="Q39" s="14" t="str"/>
    </x:row>
    <x:row r="40" ht="36" customHeight="1">
      <x:c r="A40" s="12" t="str">
        <x:v>DIA-banter-en-exploration</x:v>
      </x:c>
      <x:c r="B40" s="7" t="str">
        <x:v>Banter en exploration</x:v>
      </x:c>
      <x:c r="C40" s="10" t="str">
        <x:v>Défini</x:v>
      </x:c>
      <x:c r="D40" s="11" t="str">
        <x:v>À produire</x:v>
      </x:c>
      <x:c r="E40" s="9" t="str">
        <x:v>P1</x:v>
      </x:c>
      <x:c r="F40" s="9" t="str">
        <x:v>ME1</x:v>
      </x:c>
      <x:c r="G40" s="9" t="str">
        <x:v>Adaptation</x:v>
      </x:c>
      <x:c r="H40" s="7" t="str">
        <x:v>Courts échanges entre les deux équipiers actifs.</x:v>
      </x:c>
      <x:c r="I40" s="7" t="str">
        <x:v>Pas de phrase d’un équipier absent.</x:v>
      </x:c>
      <x:c r="J40" s="7" t="str"/>
      <x:c r="K40" s="7" t="str">
        <x:v>content/dialogues/DIA-banter-en-exploration.json</x:v>
      </x:c>
      <x:c r="L40" s="7" t="str"/>
      <x:c r="M40" s="7" t="str"/>
      <x:c r="N40" s="7" t="str">
        <x:v>Réécriture de production à valider contre la scène ME1 ; pas de transcription intégrale fournie.</x:v>
      </x:c>
      <x:c r="O40" s="7" t="str"/>
      <x:c r="P40" s="7" t="str">
        <x:v>Production ME1</x:v>
      </x:c>
      <x:c r="Q40" s="7" t="str"/>
    </x:row>
    <x:row r="41" ht="36" customHeight="1">
      <x:c r="A41" s="13" t="str">
        <x:v>DIA-annonce-d-ascenseur</x:v>
      </x:c>
      <x:c r="B41" s="14" t="str">
        <x:v>Annonce d’ascenseur</x:v>
      </x:c>
      <x:c r="C41" s="10" t="str">
        <x:v>Défini</x:v>
      </x:c>
      <x:c r="D41" s="11" t="str">
        <x:v>À produire</x:v>
      </x:c>
      <x:c r="E41" s="15" t="str">
        <x:v>P1</x:v>
      </x:c>
      <x:c r="F41" s="15" t="str">
        <x:v>ME1</x:v>
      </x:c>
      <x:c r="G41" s="15" t="str">
        <x:v>Adaptation</x:v>
      </x:c>
      <x:c r="H41" s="14" t="str">
        <x:v>Actualités et conversations dans les transitions.</x:v>
      </x:c>
      <x:c r="I41" s="14" t="str">
        <x:v>Éviter répétition et audio superposé.</x:v>
      </x:c>
      <x:c r="J41" s="14" t="str"/>
      <x:c r="K41" s="14" t="str">
        <x:v>content/dialogues/DIA-annonce-d-ascenseur.json</x:v>
      </x:c>
      <x:c r="L41" s="14" t="str"/>
      <x:c r="M41" s="14" t="str"/>
      <x:c r="N41" s="14" t="str">
        <x:v>Réécriture de production à valider contre la scène ME1 ; pas de transcription intégrale fournie.</x:v>
      </x:c>
      <x:c r="O41" s="14" t="str"/>
      <x:c r="P41" s="14" t="str">
        <x:v>Production ME1</x:v>
      </x:c>
      <x:c r="Q41" s="14" t="str"/>
    </x:row>
    <x:row r="42" ht="36" customHeight="1">
      <x:c r="A42" s="12" t="str">
        <x:v>DIA-reponse-au-joueur-inactif</x:v>
      </x:c>
      <x:c r="B42" s="7" t="str">
        <x:v>Réponse au joueur inactif</x:v>
      </x:c>
      <x:c r="C42" s="10" t="str">
        <x:v>Défini</x:v>
      </x:c>
      <x:c r="D42" s="11" t="str">
        <x:v>À produire</x:v>
      </x:c>
      <x:c r="E42" s="9" t="str">
        <x:v>P1</x:v>
      </x:c>
      <x:c r="F42" s="9" t="str">
        <x:v>ME1</x:v>
      </x:c>
      <x:c r="G42" s="9" t="str">
        <x:v>Adaptation</x:v>
      </x:c>
      <x:c r="H42" s="7" t="str">
        <x:v>Dialogue interrompu puis repris proprement.</x:v>
      </x:c>
      <x:c r="I42" s="7" t="str">
        <x:v>Sauvegarde et reprise à un nœud valide.</x:v>
      </x:c>
      <x:c r="J42" s="7" t="str"/>
      <x:c r="K42" s="7" t="str">
        <x:v>content/dialogues/DIA-reponse-au-joueur-inactif.json</x:v>
      </x:c>
      <x:c r="L42" s="7" t="str"/>
      <x:c r="M42" s="7" t="str"/>
      <x:c r="N42" s="7" t="str">
        <x:v>Réécriture de production à valider contre la scène ME1 ; pas de transcription intégrale fournie.</x:v>
      </x:c>
      <x:c r="O42" s="7" t="str"/>
      <x:c r="P42" s="7" t="str">
        <x:v>Production ME1</x:v>
      </x:c>
      <x:c r="Q42" s="7" t="str"/>
    </x:row>
  </x:sheetData>
  <x:conditionalFormatting sqref="C7:C42">
    <x:cfRule type="cellIs" dxfId="320" priority="1" operator="equal">
      <x:formula>"Prototype"</x:formula>
    </x:cfRule>
    <x:cfRule type="cellIs" dxfId="321" priority="2" operator="equal">
      <x:formula>"Intégré"</x:formula>
    </x:cfRule>
    <x:cfRule type="cellIs" dxfId="322" priority="3" operator="equal">
      <x:formula>"Validé"</x:formula>
    </x:cfRule>
  </x:conditionalFormatting>
  <x:conditionalFormatting sqref="G7:G42">
    <x:cfRule type="cellIs" dxfId="323" priority="4" operator="equal">
      <x:formula>"Référence à vérifier"</x:formula>
    </x:cfRule>
  </x:conditionalFormatting>
  <x:conditionalFormatting sqref="E7:E42">
    <x:cfRule type="cellIs" dxfId="324" priority="5" operator="equal">
      <x:formula>"P0"</x:formula>
    </x:cfRule>
  </x:conditionalFormatting>
  <x:dataValidations count="5">
    <x:dataValidation type="list" sqref="C7:C42">
      <x:formula1>"Défini,Prototype,Intégré,Validé"</x:formula1>
    </x:dataValidation>
    <x:dataValidation type="list" sqref="D7:D42">
      <x:formula1>"À produire,Prototype,Disponible,Validé,Sans objet,Non planifié"</x:formula1>
    </x:dataValidation>
    <x:dataValidation type="list" sqref="E7:E42">
      <x:formula1>"P0,P1,P2"</x:formula1>
    </x:dataValidation>
    <x:dataValidation type="list" sqref="F7:F42">
      <x:formula1>"ME1,ME2,ME3,TRANSVERSE"</x:formula1>
    </x:dataValidation>
    <x:dataValidation type="list" sqref="G7:G42">
      <x:formula1>"Confirmé,Référence à vérifier,Adaptation"</x:formula1>
    </x:dataValidation>
  </x:dataValidations>
  <x:pageMargins left="0.7" right="0.7" top="0.75" bottom="0.75" header="0.3" footer="0.3"/>
  <x:tableParts count="1">
    <x:tablePart xmlns:r="http://schemas.openxmlformats.org/officeDocument/2006/relationships" r:id="R76dd7a46d1b94967"/>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Cinématiques</x:v>
      </x:c>
      <x:c r="B2" s="2"/>
      <x:c r="C2" s="2"/>
      <x:c r="D2" s="2"/>
      <x:c r="E2" s="2"/>
      <x:c r="F2" s="2"/>
      <x:c r="G2" s="2"/>
      <x:c r="H2" s="2"/>
      <x:c r="I2" s="2"/>
      <x:c r="J2" s="2"/>
      <x:c r="K2" s="2"/>
      <x:c r="L2" s="2"/>
      <x:c r="M2" s="2"/>
      <x:c r="N2" s="2"/>
      <x:c r="O2" s="2"/>
      <x:c r="P2" s="2"/>
      <x:c r="Q2" s="2"/>
    </x:row>
    <x:row r="3" ht="22" customHeight="1">
      <x:c r="A3" s="4" t="str">
        <x:v>Séquences et mise en scène</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CIN-ouverture-au-normandy</x:v>
      </x:c>
      <x:c r="B7" s="14" t="str">
        <x:v>Ouverture au Normandy</x:v>
      </x:c>
      <x:c r="C7" s="10" t="str">
        <x:v>Défini</x:v>
      </x:c>
      <x:c r="D7" s="11" t="str">
        <x:v>À produire</x:v>
      </x:c>
      <x:c r="E7" s="15" t="str">
        <x:v>P1</x:v>
      </x:c>
      <x:c r="F7" s="15" t="str">
        <x:v>ME1</x:v>
      </x:c>
      <x:c r="G7" s="15" t="str">
        <x:v>Adaptation</x:v>
      </x:c>
      <x:c r="H7" s="14" t="str">
        <x:v>Plans rapprochés sur commandement et départ.</x:v>
      </x:c>
      <x:c r="I7" s="14" t="str">
        <x:v>Sprites gardent leurs proportions malgré le recadrage.</x:v>
      </x:c>
      <x:c r="J7" s="14" t="str"/>
      <x:c r="K7" s="14" t="str">
        <x:v>content/cinematics/CIN-ouverture-au-normandy.json</x:v>
      </x:c>
      <x:c r="L7" s="14" t="str"/>
      <x:c r="M7" s="14" t="str"/>
      <x:c r="N7" s="14" t="str">
        <x:v>Découpage cinématique proposé ; fidélité plan par plan à vérifier.</x:v>
      </x:c>
      <x:c r="O7" s="14" t="str"/>
      <x:c r="P7" s="14" t="str">
        <x:v>Production ME1</x:v>
      </x:c>
      <x:c r="Q7" s="14" t="str"/>
    </x:row>
    <x:row r="8" ht="36" customHeight="1">
      <x:c r="A8" s="12" t="str">
        <x:v>CIN-approche-d-eden-prime</x:v>
      </x:c>
      <x:c r="B8" s="7" t="str">
        <x:v>Approche d’Eden Prime</x:v>
      </x:c>
      <x:c r="C8" s="10" t="str">
        <x:v>Défini</x:v>
      </x:c>
      <x:c r="D8" s="11" t="str">
        <x:v>À produire</x:v>
      </x:c>
      <x:c r="E8" s="9" t="str">
        <x:v>P1</x:v>
      </x:c>
      <x:c r="F8" s="9" t="str">
        <x:v>ME1</x:v>
      </x:c>
      <x:c r="G8" s="9" t="str">
        <x:v>Adaptation</x:v>
      </x:c>
      <x:c r="H8" s="7" t="str">
        <x:v>Vue spatiale puis descente vers la colonie.</x:v>
      </x:c>
      <x:c r="I8" s="7" t="str">
        <x:v>Transition 3D vers équipe 2D sans changement d’apparence.</x:v>
      </x:c>
      <x:c r="J8" s="7" t="str"/>
      <x:c r="K8" s="7" t="str">
        <x:v>content/cinematics/CIN-approche-d-eden-prime.json</x:v>
      </x:c>
      <x:c r="L8" s="7" t="str"/>
      <x:c r="M8" s="7" t="str"/>
      <x:c r="N8" s="7" t="str">
        <x:v>Découpage cinématique proposé ; fidélité plan par plan à vérifier.</x:v>
      </x:c>
      <x:c r="O8" s="7" t="str"/>
      <x:c r="P8" s="7" t="str">
        <x:v>Production ME1</x:v>
      </x:c>
      <x:c r="Q8" s="7" t="str"/>
    </x:row>
    <x:row r="9" ht="36" customHeight="1">
      <x:c r="A9" s="13" t="str">
        <x:v>CIN-premier-feu-geth</x:v>
      </x:c>
      <x:c r="B9" s="14" t="str">
        <x:v>Premier feu geth</x:v>
      </x:c>
      <x:c r="C9" s="10" t="str">
        <x:v>Défini</x:v>
      </x:c>
      <x:c r="D9" s="11" t="str">
        <x:v>À produire</x:v>
      </x:c>
      <x:c r="E9" s="15" t="str">
        <x:v>P1</x:v>
      </x:c>
      <x:c r="F9" s="15" t="str">
        <x:v>ME1</x:v>
      </x:c>
      <x:c r="G9" s="15" t="str">
        <x:v>Adaptation</x:v>
      </x:c>
      <x:c r="H9" s="14" t="str">
        <x:v>Mise en scène de la perte de Jenkins.</x:v>
      </x:c>
      <x:c r="I9" s="14" t="str">
        <x:v>Déclenchement unique et verrouillage des commandes temporaire.</x:v>
      </x:c>
      <x:c r="J9" s="14" t="str"/>
      <x:c r="K9" s="14" t="str">
        <x:v>content/cinematics/CIN-premier-feu-geth.json</x:v>
      </x:c>
      <x:c r="L9" s="14" t="str"/>
      <x:c r="M9" s="14" t="str"/>
      <x:c r="N9" s="14" t="str">
        <x:v>Découpage cinématique proposé ; fidélité plan par plan à vérifier.</x:v>
      </x:c>
      <x:c r="O9" s="14" t="str"/>
      <x:c r="P9" s="14" t="str">
        <x:v>Production ME1</x:v>
      </x:c>
      <x:c r="Q9" s="14" t="str"/>
    </x:row>
    <x:row r="10" ht="49" customHeight="1">
      <x:c r="A10" s="12" t="str">
        <x:v>CIN-silhouette-de-sovereign</x:v>
      </x:c>
      <x:c r="B10" s="7" t="str">
        <x:v>Silhouette de Sovereign</x:v>
      </x:c>
      <x:c r="C10" s="10" t="str">
        <x:v>Défini</x:v>
      </x:c>
      <x:c r="D10" s="11" t="str">
        <x:v>Prototype</x:v>
      </x:c>
      <x:c r="E10" s="9" t="str">
        <x:v>P1</x:v>
      </x:c>
      <x:c r="F10" s="9" t="str">
        <x:v>ME1</x:v>
      </x:c>
      <x:c r="G10" s="9" t="str">
        <x:v>Adaptation</x:v>
      </x:c>
      <x:c r="H10" s="7" t="str">
        <x:v>Apparition lointaine menaçante.</x:v>
      </x:c>
      <x:c r="I10" s="7" t="str">
        <x:v>Échelle monumentale, aucun combat individuel contre le vaisseau.</x:v>
      </x:c>
      <x:c r="J10" s="7" t="str"/>
      <x:c r="K10" s="7" t="str">
        <x:v>content/cinematics/CIN-silhouette-de-sovereign.json</x:v>
      </x:c>
      <x:c r="L10" s="7" t="str">
        <x:v>public/assets/vehicle-atlas.png</x:v>
      </x:c>
      <x:c r="M10" s="7" t="str">
        <x:v>vehicles:sovereign</x:v>
      </x:c>
      <x:c r="N10" s="7" t="str">
        <x:v>Découpage cinématique proposé ; fidélité plan par plan à vérifier.</x:v>
      </x:c>
      <x:c r="O10" s="7" t="str"/>
      <x:c r="P10" s="7" t="str">
        <x:v>Production ME1</x:v>
      </x:c>
      <x:c r="Q10" s="7" t="str">
        <x:v>Illustration statique employée comme fond monumental dans src/world.js. Ce placement décoratif ne produit pas la séquence cinématique complète.</x:v>
      </x:c>
    </x:row>
    <x:row r="11" ht="36" customHeight="1">
      <x:c r="A11" s="13" t="str">
        <x:v>CIN-mort-de-nihlus</x:v>
      </x:c>
      <x:c r="B11" s="14" t="str">
        <x:v>Mort de Nihlus</x:v>
      </x:c>
      <x:c r="C11" s="10" t="str">
        <x:v>Défini</x:v>
      </x:c>
      <x:c r="D11" s="11" t="str">
        <x:v>À produire</x:v>
      </x:c>
      <x:c r="E11" s="15" t="str">
        <x:v>P1</x:v>
      </x:c>
      <x:c r="F11" s="15" t="str">
        <x:v>ME1</x:v>
      </x:c>
      <x:c r="G11" s="15" t="str">
        <x:v>Adaptation</x:v>
      </x:c>
      <x:c r="H11" s="14" t="str">
        <x:v>Scène narrative sur les quais.</x:v>
      </x:c>
      <x:c r="I11" s="14" t="str">
        <x:v>Ordre de découverte et point de vue vérifiés.</x:v>
      </x:c>
      <x:c r="J11" s="14" t="str"/>
      <x:c r="K11" s="14" t="str">
        <x:v>content/cinematics/CIN-mort-de-nihlus.json</x:v>
      </x:c>
      <x:c r="L11" s="14" t="str"/>
      <x:c r="M11" s="14" t="str"/>
      <x:c r="N11" s="14" t="str">
        <x:v>Découpage cinématique proposé ; fidélité plan par plan à vérifier.</x:v>
      </x:c>
      <x:c r="O11" s="14" t="str"/>
      <x:c r="P11" s="14" t="str">
        <x:v>Production ME1</x:v>
      </x:c>
      <x:c r="Q11" s="14" t="str"/>
    </x:row>
    <x:row r="12" ht="36" customHeight="1">
      <x:c r="A12" s="12" t="str">
        <x:v>CIN-vision-de-la-balise</x:v>
      </x:c>
      <x:c r="B12" s="7" t="str">
        <x:v>Vision de la balise</x:v>
      </x:c>
      <x:c r="C12" s="10" t="str">
        <x:v>Défini</x:v>
      </x:c>
      <x:c r="D12" s="11" t="str">
        <x:v>À produire</x:v>
      </x:c>
      <x:c r="E12" s="9" t="str">
        <x:v>P1</x:v>
      </x:c>
      <x:c r="F12" s="9" t="str">
        <x:v>ME1</x:v>
      </x:c>
      <x:c r="G12" s="9" t="str">
        <x:v>Adaptation</x:v>
      </x:c>
      <x:c r="H12" s="7" t="str">
        <x:v>Montage abstrait et réaction de Shepard.</x:v>
      </x:c>
      <x:c r="I12" s="7" t="str">
        <x:v>Lisibilité sans flashs imposés, option d’intensité.</x:v>
      </x:c>
      <x:c r="J12" s="7" t="str"/>
      <x:c r="K12" s="7" t="str">
        <x:v>content/cinematics/CIN-vision-de-la-balise.json</x:v>
      </x:c>
      <x:c r="L12" s="7" t="str"/>
      <x:c r="M12" s="7" t="str"/>
      <x:c r="N12" s="7" t="str">
        <x:v>Découpage cinématique proposé ; fidélité plan par plan à vérifier.</x:v>
      </x:c>
      <x:c r="O12" s="7" t="str"/>
      <x:c r="P12" s="7" t="str">
        <x:v>Production ME1</x:v>
      </x:c>
      <x:c r="Q12" s="7" t="str"/>
    </x:row>
    <x:row r="13" ht="36" customHeight="1">
      <x:c r="A13" s="13" t="str">
        <x:v>CIN-arrivee-citadelle</x:v>
      </x:c>
      <x:c r="B13" s="14" t="str">
        <x:v>Arrivée Citadelle</x:v>
      </x:c>
      <x:c r="C13" s="10" t="str">
        <x:v>Défini</x:v>
      </x:c>
      <x:c r="D13" s="11" t="str">
        <x:v>À produire</x:v>
      </x:c>
      <x:c r="E13" s="15" t="str">
        <x:v>P1</x:v>
      </x:c>
      <x:c r="F13" s="15" t="str">
        <x:v>ME1</x:v>
      </x:c>
      <x:c r="G13" s="15" t="str">
        <x:v>Adaptation</x:v>
      </x:c>
      <x:c r="H13" s="14" t="str">
        <x:v>Révélation panoramique de la station.</x:v>
      </x:c>
      <x:c r="I13" s="14" t="str">
        <x:v>Géométrie et axes iconiques comparés aux références.</x:v>
      </x:c>
      <x:c r="J13" s="14" t="str"/>
      <x:c r="K13" s="14" t="str">
        <x:v>content/cinematics/CIN-arrivee-citadelle.json</x:v>
      </x:c>
      <x:c r="L13" s="14" t="str"/>
      <x:c r="M13" s="14" t="str"/>
      <x:c r="N13" s="14" t="str">
        <x:v>Découpage cinématique proposé ; fidélité plan par plan à vérifier.</x:v>
      </x:c>
      <x:c r="O13" s="14" t="str"/>
      <x:c r="P13" s="14" t="str">
        <x:v>Production ME1</x:v>
      </x:c>
      <x:c r="Q13" s="14" t="str"/>
    </x:row>
    <x:row r="14" ht="36" customHeight="1">
      <x:c r="A14" s="12" t="str">
        <x:v>CIN-audience-du-conseil</x:v>
      </x:c>
      <x:c r="B14" s="7" t="str">
        <x:v>Audience du Conseil</x:v>
      </x:c>
      <x:c r="C14" s="10" t="str">
        <x:v>Défini</x:v>
      </x:c>
      <x:c r="D14" s="11" t="str">
        <x:v>À produire</x:v>
      </x:c>
      <x:c r="E14" s="9" t="str">
        <x:v>P1</x:v>
      </x:c>
      <x:c r="F14" s="9" t="str">
        <x:v>ME1</x:v>
      </x:c>
      <x:c r="G14" s="9" t="str">
        <x:v>Adaptation</x:v>
      </x:c>
      <x:c r="H14" s="7" t="str">
        <x:v>Cadrage frontal et contrechamps.</x:v>
      </x:c>
      <x:c r="I14" s="7" t="str">
        <x:v>Portraits et personnages présents correctement raccordés.</x:v>
      </x:c>
      <x:c r="J14" s="7" t="str"/>
      <x:c r="K14" s="7" t="str">
        <x:v>content/cinematics/CIN-audience-du-conseil.json</x:v>
      </x:c>
      <x:c r="L14" s="7" t="str"/>
      <x:c r="M14" s="7" t="str"/>
      <x:c r="N14" s="7" t="str">
        <x:v>Découpage cinématique proposé ; fidélité plan par plan à vérifier.</x:v>
      </x:c>
      <x:c r="O14" s="7" t="str"/>
      <x:c r="P14" s="7" t="str">
        <x:v>Production ME1</x:v>
      </x:c>
      <x:c r="Q14" s="7" t="str"/>
    </x:row>
    <x:row r="15" ht="36" customHeight="1">
      <x:c r="A15" s="13" t="str">
        <x:v>CIN-intronisation-spectre</x:v>
      </x:c>
      <x:c r="B15" s="14" t="str">
        <x:v>Intronisation Spectre</x:v>
      </x:c>
      <x:c r="C15" s="10" t="str">
        <x:v>Défini</x:v>
      </x:c>
      <x:c r="D15" s="11" t="str">
        <x:v>À produire</x:v>
      </x:c>
      <x:c r="E15" s="15" t="str">
        <x:v>P1</x:v>
      </x:c>
      <x:c r="F15" s="15" t="str">
        <x:v>ME1</x:v>
      </x:c>
      <x:c r="G15" s="15" t="str">
        <x:v>Adaptation</x:v>
      </x:c>
      <x:c r="H15" s="14" t="str">
        <x:v>Moment de reconnaissance officielle.</x:v>
      </x:c>
      <x:c r="I15" s="14" t="str">
        <x:v>Mise en scène sobre et statut de jeu synchronisé.</x:v>
      </x:c>
      <x:c r="J15" s="14" t="str"/>
      <x:c r="K15" s="14" t="str">
        <x:v>content/cinematics/CIN-intronisation-spectre.json</x:v>
      </x:c>
      <x:c r="L15" s="14" t="str"/>
      <x:c r="M15" s="14" t="str"/>
      <x:c r="N15" s="14" t="str">
        <x:v>Découpage cinématique proposé ; fidélité plan par plan à vérifier.</x:v>
      </x:c>
      <x:c r="O15" s="14" t="str"/>
      <x:c r="P15" s="14" t="str">
        <x:v>Production ME1</x:v>
      </x:c>
      <x:c r="Q15" s="14" t="str"/>
    </x:row>
    <x:row r="16" ht="36" customHeight="1">
      <x:c r="A16" s="12" t="str">
        <x:v>CIN-prise-de-commandement</x:v>
      </x:c>
      <x:c r="B16" s="7" t="str">
        <x:v>Prise de commandement</x:v>
      </x:c>
      <x:c r="C16" s="10" t="str">
        <x:v>Défini</x:v>
      </x:c>
      <x:c r="D16" s="11" t="str">
        <x:v>À produire</x:v>
      </x:c>
      <x:c r="E16" s="9" t="str">
        <x:v>P1</x:v>
      </x:c>
      <x:c r="F16" s="9" t="str">
        <x:v>ME1</x:v>
      </x:c>
      <x:c r="G16" s="9" t="str">
        <x:v>Adaptation</x:v>
      </x:c>
      <x:c r="H16" s="7" t="str">
        <x:v>Retour au SR-1 et message à l’équipage.</x:v>
      </x:c>
      <x:c r="I16" s="7" t="str">
        <x:v>Tenues, ponts et interlocuteurs du bon épisode.</x:v>
      </x:c>
      <x:c r="J16" s="7" t="str"/>
      <x:c r="K16" s="7" t="str">
        <x:v>content/cinematics/CIN-prise-de-commandement.json</x:v>
      </x:c>
      <x:c r="L16" s="7" t="str"/>
      <x:c r="M16" s="7" t="str"/>
      <x:c r="N16" s="7" t="str">
        <x:v>Découpage cinématique proposé ; fidélité plan par plan à vérifier.</x:v>
      </x:c>
      <x:c r="O16" s="7" t="str"/>
      <x:c r="P16" s="7" t="str">
        <x:v>Production ME1</x:v>
      </x:c>
      <x:c r="Q16" s="7" t="str"/>
    </x:row>
    <x:row r="17" ht="36" customHeight="1">
      <x:c r="A17" s="13" t="str">
        <x:v>CIN-sauvetage-de-liara</x:v>
      </x:c>
      <x:c r="B17" s="14" t="str">
        <x:v>Sauvetage de Liara</x:v>
      </x:c>
      <x:c r="C17" s="10" t="str">
        <x:v>Défini</x:v>
      </x:c>
      <x:c r="D17" s="11" t="str">
        <x:v>À produire</x:v>
      </x:c>
      <x:c r="E17" s="15" t="str">
        <x:v>P1</x:v>
      </x:c>
      <x:c r="F17" s="15" t="str">
        <x:v>ME1</x:v>
      </x:c>
      <x:c r="G17" s="15" t="str">
        <x:v>Adaptation</x:v>
      </x:c>
      <x:c r="H17" s="14" t="str">
        <x:v>Libération et sortie du site minier.</x:v>
      </x:c>
      <x:c r="I17" s="14" t="str">
        <x:v>Personnage initialement captif puis mobile.</x:v>
      </x:c>
      <x:c r="J17" s="14" t="str"/>
      <x:c r="K17" s="14" t="str">
        <x:v>content/cinematics/CIN-sauvetage-de-liara.json</x:v>
      </x:c>
      <x:c r="L17" s="14" t="str"/>
      <x:c r="M17" s="14" t="str"/>
      <x:c r="N17" s="14" t="str">
        <x:v>Découpage cinématique proposé ; fidélité plan par plan à vérifier.</x:v>
      </x:c>
      <x:c r="O17" s="14" t="str"/>
      <x:c r="P17" s="14" t="str">
        <x:v>Production ME1</x:v>
      </x:c>
      <x:c r="Q17" s="14" t="str"/>
    </x:row>
    <x:row r="18" ht="36" customHeight="1">
      <x:c r="A18" s="12" t="str">
        <x:v>CIN-decouverte-du-thorian</x:v>
      </x:c>
      <x:c r="B18" s="7" t="str">
        <x:v>Découverte du Thorian</x:v>
      </x:c>
      <x:c r="C18" s="10" t="str">
        <x:v>Défini</x:v>
      </x:c>
      <x:c r="D18" s="11" t="str">
        <x:v>À produire</x:v>
      </x:c>
      <x:c r="E18" s="9" t="str">
        <x:v>P1</x:v>
      </x:c>
      <x:c r="F18" s="9" t="str">
        <x:v>ME1</x:v>
      </x:c>
      <x:c r="G18" s="9" t="str">
        <x:v>Adaptation</x:v>
      </x:c>
      <x:c r="H18" s="7" t="str">
        <x:v>Révélation du volume organique.</x:v>
      </x:c>
      <x:c r="I18" s="7" t="str">
        <x:v>Échelle et profondeur compatibles avec le combat.</x:v>
      </x:c>
      <x:c r="J18" s="7" t="str"/>
      <x:c r="K18" s="7" t="str">
        <x:v>content/cinematics/CIN-decouverte-du-thorian.json</x:v>
      </x:c>
      <x:c r="L18" s="7" t="str"/>
      <x:c r="M18" s="7" t="str"/>
      <x:c r="N18" s="7" t="str">
        <x:v>Découpage cinématique proposé ; fidélité plan par plan à vérifier.</x:v>
      </x:c>
      <x:c r="O18" s="7" t="str"/>
      <x:c r="P18" s="7" t="str">
        <x:v>Production ME1</x:v>
      </x:c>
      <x:c r="Q18" s="7" t="str"/>
    </x:row>
    <x:row r="19" ht="36" customHeight="1">
      <x:c r="A19" s="13" t="str">
        <x:v>CIN-extraction-du-cypher</x:v>
      </x:c>
      <x:c r="B19" s="14" t="str">
        <x:v>Extraction du Cypher</x:v>
      </x:c>
      <x:c r="C19" s="10" t="str">
        <x:v>Défini</x:v>
      </x:c>
      <x:c r="D19" s="11" t="str">
        <x:v>À produire</x:v>
      </x:c>
      <x:c r="E19" s="15" t="str">
        <x:v>P1</x:v>
      </x:c>
      <x:c r="F19" s="15" t="str">
        <x:v>ME1</x:v>
      </x:c>
      <x:c r="G19" s="15" t="str">
        <x:v>Adaptation</x:v>
      </x:c>
      <x:c r="H19" s="14" t="str">
        <x:v>Scène après Feros.</x:v>
      </x:c>
      <x:c r="I19" s="14" t="str">
        <x:v>Révélation liée à la décision du joueur.</x:v>
      </x:c>
      <x:c r="J19" s="14" t="str"/>
      <x:c r="K19" s="14" t="str">
        <x:v>content/cinematics/CIN-extraction-du-cypher.json</x:v>
      </x:c>
      <x:c r="L19" s="14" t="str"/>
      <x:c r="M19" s="14" t="str"/>
      <x:c r="N19" s="14" t="str">
        <x:v>Découpage cinématique proposé ; fidélité plan par plan à vérifier.</x:v>
      </x:c>
      <x:c r="O19" s="14" t="str"/>
      <x:c r="P19" s="14" t="str">
        <x:v>Production ME1</x:v>
      </x:c>
      <x:c r="Q19" s="14" t="str"/>
    </x:row>
    <x:row r="20" ht="36" customHeight="1">
      <x:c r="A20" s="12" t="str">
        <x:v>CIN-affrontement-benezia</x:v>
      </x:c>
      <x:c r="B20" s="7" t="str">
        <x:v>Affrontement Benezia</x:v>
      </x:c>
      <x:c r="C20" s="10" t="str">
        <x:v>Défini</x:v>
      </x:c>
      <x:c r="D20" s="11" t="str">
        <x:v>À produire</x:v>
      </x:c>
      <x:c r="E20" s="9" t="str">
        <x:v>P1</x:v>
      </x:c>
      <x:c r="F20" s="9" t="str">
        <x:v>ME1</x:v>
      </x:c>
      <x:c r="G20" s="9" t="str">
        <x:v>Adaptation</x:v>
      </x:c>
      <x:c r="H20" s="7" t="str">
        <x:v>Introduction, vagues et rupture de contrôle.</x:v>
      </x:c>
      <x:c r="I20" s="7" t="str">
        <x:v>Éviter caméra libre montrant le profil plat des sprites.</x:v>
      </x:c>
      <x:c r="J20" s="7" t="str"/>
      <x:c r="K20" s="7" t="str">
        <x:v>content/cinematics/CIN-affrontement-benezia.json</x:v>
      </x:c>
      <x:c r="L20" s="7" t="str"/>
      <x:c r="M20" s="7" t="str"/>
      <x:c r="N20" s="7" t="str">
        <x:v>Découpage cinématique proposé ; fidélité plan par plan à vérifier.</x:v>
      </x:c>
      <x:c r="O20" s="7" t="str"/>
      <x:c r="P20" s="7" t="str">
        <x:v>Production ME1</x:v>
      </x:c>
      <x:c r="Q20" s="7" t="str"/>
    </x:row>
    <x:row r="21" ht="36" customHeight="1">
      <x:c r="A21" s="13" t="str">
        <x:v>CIN-choix-de-la-reine</x:v>
      </x:c>
      <x:c r="B21" s="14" t="str">
        <x:v>Choix de la reine</x:v>
      </x:c>
      <x:c r="C21" s="10" t="str">
        <x:v>Défini</x:v>
      </x:c>
      <x:c r="D21" s="11" t="str">
        <x:v>À produire</x:v>
      </x:c>
      <x:c r="E21" s="15" t="str">
        <x:v>P1</x:v>
      </x:c>
      <x:c r="F21" s="15" t="str">
        <x:v>ME1</x:v>
      </x:c>
      <x:c r="G21" s="15" t="str">
        <x:v>Adaptation</x:v>
      </x:c>
      <x:c r="H21" s="14" t="str">
        <x:v>Mise en scène calme de la décision.</x:v>
      </x:c>
      <x:c r="I21" s="14" t="str">
        <x:v>Animation de l’issue correspond au choix.</x:v>
      </x:c>
      <x:c r="J21" s="14" t="str"/>
      <x:c r="K21" s="14" t="str">
        <x:v>content/cinematics/CIN-choix-de-la-reine.json</x:v>
      </x:c>
      <x:c r="L21" s="14" t="str"/>
      <x:c r="M21" s="14" t="str"/>
      <x:c r="N21" s="14" t="str">
        <x:v>Découpage cinématique proposé ; fidélité plan par plan à vérifier.</x:v>
      </x:c>
      <x:c r="O21" s="14" t="str"/>
      <x:c r="P21" s="14" t="str">
        <x:v>Production ME1</x:v>
      </x:c>
      <x:c r="Q21" s="14" t="str"/>
    </x:row>
    <x:row r="22" ht="36" customHeight="1">
      <x:c r="A22" s="12" t="str">
        <x:v>CIN-discours-de-kirrahe</x:v>
      </x:c>
      <x:c r="B22" s="7" t="str">
        <x:v>Discours de Kirrahe</x:v>
      </x:c>
      <x:c r="C22" s="10" t="str">
        <x:v>Défini</x:v>
      </x:c>
      <x:c r="D22" s="11" t="str">
        <x:v>À produire</x:v>
      </x:c>
      <x:c r="E22" s="9" t="str">
        <x:v>P1</x:v>
      </x:c>
      <x:c r="F22" s="9" t="str">
        <x:v>ME1</x:v>
      </x:c>
      <x:c r="G22" s="9" t="str">
        <x:v>Adaptation</x:v>
      </x:c>
      <x:c r="H22" s="7" t="str">
        <x:v>Préparation de l’équipe galarienne.</x:v>
      </x:c>
      <x:c r="I22" s="7" t="str">
        <x:v>Présence et distribution des rôles stables.</x:v>
      </x:c>
      <x:c r="J22" s="7" t="str"/>
      <x:c r="K22" s="7" t="str">
        <x:v>content/cinematics/CIN-discours-de-kirrahe.json</x:v>
      </x:c>
      <x:c r="L22" s="7" t="str"/>
      <x:c r="M22" s="7" t="str"/>
      <x:c r="N22" s="7" t="str">
        <x:v>Découpage cinématique proposé ; fidélité plan par plan à vérifier.</x:v>
      </x:c>
      <x:c r="O22" s="7" t="str"/>
      <x:c r="P22" s="7" t="str">
        <x:v>Production ME1</x:v>
      </x:c>
      <x:c r="Q22" s="7" t="str"/>
    </x:row>
    <x:row r="23" ht="36" customHeight="1">
      <x:c r="A23" s="13" t="str">
        <x:v>CIN-confrontation-wrex</x:v>
      </x:c>
      <x:c r="B23" s="14" t="str">
        <x:v>Confrontation Wrex</x:v>
      </x:c>
      <x:c r="C23" s="10" t="str">
        <x:v>Défini</x:v>
      </x:c>
      <x:c r="D23" s="11" t="str">
        <x:v>À produire</x:v>
      </x:c>
      <x:c r="E23" s="15" t="str">
        <x:v>P1</x:v>
      </x:c>
      <x:c r="F23" s="15" t="str">
        <x:v>ME1</x:v>
      </x:c>
      <x:c r="G23" s="15" t="str">
        <x:v>Adaptation</x:v>
      </x:c>
      <x:c r="H23" s="14" t="str">
        <x:v>Moment de tension dans le camp.</x:v>
      </x:c>
      <x:c r="I23" s="14" t="str">
        <x:v>Toutes les issues et présences contrôlées.</x:v>
      </x:c>
      <x:c r="J23" s="14" t="str"/>
      <x:c r="K23" s="14" t="str">
        <x:v>content/cinematics/CIN-confrontation-wrex.json</x:v>
      </x:c>
      <x:c r="L23" s="14" t="str"/>
      <x:c r="M23" s="14" t="str"/>
      <x:c r="N23" s="14" t="str">
        <x:v>Découpage cinématique proposé ; fidélité plan par plan à vérifier.</x:v>
      </x:c>
      <x:c r="O23" s="14" t="str"/>
      <x:c r="P23" s="14" t="str">
        <x:v>Production ME1</x:v>
      </x:c>
      <x:c r="Q23" s="14" t="str"/>
    </x:row>
    <x:row r="24" ht="36" customHeight="1">
      <x:c r="A24" s="12" t="str">
        <x:v>CIN-dialogue-de-sovereign</x:v>
      </x:c>
      <x:c r="B24" s="7" t="str">
        <x:v>Dialogue de Sovereign</x:v>
      </x:c>
      <x:c r="C24" s="10" t="str">
        <x:v>Défini</x:v>
      </x:c>
      <x:c r="D24" s="11" t="str">
        <x:v>À produire</x:v>
      </x:c>
      <x:c r="E24" s="9" t="str">
        <x:v>P1</x:v>
      </x:c>
      <x:c r="F24" s="9" t="str">
        <x:v>ME1</x:v>
      </x:c>
      <x:c r="G24" s="9" t="str">
        <x:v>Adaptation</x:v>
      </x:c>
      <x:c r="H24" s="7" t="str">
        <x:v>Grand cadrage du dispositif de communication.</x:v>
      </x:c>
      <x:c r="I24" s="7" t="str">
        <x:v>Effets graphiques ne cachent pas les sous-titres.</x:v>
      </x:c>
      <x:c r="J24" s="7" t="str"/>
      <x:c r="K24" s="7" t="str">
        <x:v>content/cinematics/CIN-dialogue-de-sovereign.json</x:v>
      </x:c>
      <x:c r="L24" s="7" t="str"/>
      <x:c r="M24" s="7" t="str"/>
      <x:c r="N24" s="7" t="str">
        <x:v>Découpage cinématique proposé ; fidélité plan par plan à vérifier.</x:v>
      </x:c>
      <x:c r="O24" s="7" t="str"/>
      <x:c r="P24" s="7" t="str">
        <x:v>Production ME1</x:v>
      </x:c>
      <x:c r="Q24" s="7" t="str"/>
    </x:row>
    <x:row r="25" ht="36" customHeight="1">
      <x:c r="A25" s="13" t="str">
        <x:v>CIN-sacrifice-de-virmire</x:v>
      </x:c>
      <x:c r="B25" s="14" t="str">
        <x:v>Sacrifice de Virmire</x:v>
      </x:c>
      <x:c r="C25" s="10" t="str">
        <x:v>Défini</x:v>
      </x:c>
      <x:c r="D25" s="11" t="str">
        <x:v>À produire</x:v>
      </x:c>
      <x:c r="E25" s="15" t="str">
        <x:v>P1</x:v>
      </x:c>
      <x:c r="F25" s="15" t="str">
        <x:v>ME1</x:v>
      </x:c>
      <x:c r="G25" s="15" t="str">
        <x:v>Adaptation</x:v>
      </x:c>
      <x:c r="H25" s="14" t="str">
        <x:v>Départ et conséquence du choix.</x:v>
      </x:c>
      <x:c r="I25" s="14" t="str">
        <x:v>Aucun personnage perdu visible dans la soute suivante.</x:v>
      </x:c>
      <x:c r="J25" s="14" t="str"/>
      <x:c r="K25" s="14" t="str">
        <x:v>content/cinematics/CIN-sacrifice-de-virmire.json</x:v>
      </x:c>
      <x:c r="L25" s="14" t="str"/>
      <x:c r="M25" s="14" t="str"/>
      <x:c r="N25" s="14" t="str">
        <x:v>Découpage cinématique proposé ; fidélité plan par plan à vérifier.</x:v>
      </x:c>
      <x:c r="O25" s="14" t="str"/>
      <x:c r="P25" s="14" t="str">
        <x:v>Production ME1</x:v>
      </x:c>
      <x:c r="Q25" s="14" t="str"/>
    </x:row>
    <x:row r="26" ht="36" customHeight="1">
      <x:c r="A26" s="12" t="str">
        <x:v>CIN-evasion-citadelle</x:v>
      </x:c>
      <x:c r="B26" s="7" t="str">
        <x:v>Évasion Citadelle</x:v>
      </x:c>
      <x:c r="C26" s="10" t="str">
        <x:v>Défini</x:v>
      </x:c>
      <x:c r="D26" s="11" t="str">
        <x:v>À produire</x:v>
      </x:c>
      <x:c r="E26" s="9" t="str">
        <x:v>P1</x:v>
      </x:c>
      <x:c r="F26" s="9" t="str">
        <x:v>ME1</x:v>
      </x:c>
      <x:c r="G26" s="9" t="str">
        <x:v>Adaptation</x:v>
      </x:c>
      <x:c r="H26" s="7" t="str">
        <x:v>Action d’Anderson et départ du Normandy.</x:v>
      </x:c>
      <x:c r="I26" s="7" t="str">
        <x:v>Méthode choisie reflétée dans la scène.</x:v>
      </x:c>
      <x:c r="J26" s="7" t="str"/>
      <x:c r="K26" s="7" t="str">
        <x:v>content/cinematics/CIN-evasion-citadelle.json</x:v>
      </x:c>
      <x:c r="L26" s="7" t="str"/>
      <x:c r="M26" s="7" t="str"/>
      <x:c r="N26" s="7" t="str">
        <x:v>Découpage cinématique proposé ; fidélité plan par plan à vérifier.</x:v>
      </x:c>
      <x:c r="O26" s="7" t="str"/>
      <x:c r="P26" s="7" t="str">
        <x:v>Production ME1</x:v>
      </x:c>
      <x:c r="Q26" s="7" t="str"/>
    </x:row>
    <x:row r="27" ht="36" customHeight="1">
      <x:c r="A27" s="13" t="str">
        <x:v>CIN-arrivee-sur-ilos</x:v>
      </x:c>
      <x:c r="B27" s="14" t="str">
        <x:v>Arrivée sur Ilos</x:v>
      </x:c>
      <x:c r="C27" s="10" t="str">
        <x:v>Défini</x:v>
      </x:c>
      <x:c r="D27" s="11" t="str">
        <x:v>À produire</x:v>
      </x:c>
      <x:c r="E27" s="15" t="str">
        <x:v>P1</x:v>
      </x:c>
      <x:c r="F27" s="15" t="str">
        <x:v>ME1</x:v>
      </x:c>
      <x:c r="G27" s="15" t="str">
        <x:v>Adaptation</x:v>
      </x:c>
      <x:c r="H27" s="14" t="str">
        <x:v>Poursuite immédiate dans les ruines.</x:v>
      </x:c>
      <x:c r="I27" s="14" t="str">
        <x:v>Orientation de départ cohérente avec la carte.</x:v>
      </x:c>
      <x:c r="J27" s="14" t="str"/>
      <x:c r="K27" s="14" t="str">
        <x:v>content/cinematics/CIN-arrivee-sur-ilos.json</x:v>
      </x:c>
      <x:c r="L27" s="14" t="str"/>
      <x:c r="M27" s="14" t="str"/>
      <x:c r="N27" s="14" t="str">
        <x:v>Découpage cinématique proposé ; fidélité plan par plan à vérifier.</x:v>
      </x:c>
      <x:c r="O27" s="14" t="str"/>
      <x:c r="P27" s="14" t="str">
        <x:v>Production ME1</x:v>
      </x:c>
      <x:c r="Q27" s="14" t="str"/>
    </x:row>
    <x:row r="28" ht="36" customHeight="1">
      <x:c r="A28" s="12" t="str">
        <x:v>CIN-vigil</x:v>
      </x:c>
      <x:c r="B28" s="7" t="str">
        <x:v>Vigil</x:v>
      </x:c>
      <x:c r="C28" s="10" t="str">
        <x:v>Défini</x:v>
      </x:c>
      <x:c r="D28" s="11" t="str">
        <x:v>À produire</x:v>
      </x:c>
      <x:c r="E28" s="9" t="str">
        <x:v>P1</x:v>
      </x:c>
      <x:c r="F28" s="9" t="str">
        <x:v>ME1</x:v>
      </x:c>
      <x:c r="G28" s="9" t="str">
        <x:v>Adaptation</x:v>
      </x:c>
      <x:c r="H28" s="7" t="str">
        <x:v>Rencontre au cœur des archives.</x:v>
      </x:c>
      <x:c r="I28" s="7" t="str">
        <x:v>Hologramme et réactions des équipiers.</x:v>
      </x:c>
      <x:c r="J28" s="7" t="str"/>
      <x:c r="K28" s="7" t="str">
        <x:v>content/cinematics/CIN-vigil.json</x:v>
      </x:c>
      <x:c r="L28" s="7" t="str"/>
      <x:c r="M28" s="7" t="str"/>
      <x:c r="N28" s="7" t="str">
        <x:v>Découpage cinématique proposé ; fidélité plan par plan à vérifier.</x:v>
      </x:c>
      <x:c r="O28" s="7" t="str"/>
      <x:c r="P28" s="7" t="str">
        <x:v>Production ME1</x:v>
      </x:c>
      <x:c r="Q28" s="7" t="str"/>
    </x:row>
    <x:row r="29" ht="36" customHeight="1">
      <x:c r="A29" s="13" t="str">
        <x:v>CIN-passage-du-conduit</x:v>
      </x:c>
      <x:c r="B29" s="14" t="str">
        <x:v>Passage du Conduit</x:v>
      </x:c>
      <x:c r="C29" s="10" t="str">
        <x:v>Défini</x:v>
      </x:c>
      <x:c r="D29" s="11" t="str">
        <x:v>À produire</x:v>
      </x:c>
      <x:c r="E29" s="15" t="str">
        <x:v>P1</x:v>
      </x:c>
      <x:c r="F29" s="15" t="str">
        <x:v>ME1</x:v>
      </x:c>
      <x:c r="G29" s="15" t="str">
        <x:v>Adaptation</x:v>
      </x:c>
      <x:c r="H29" s="14" t="str">
        <x:v>Course et transition vers la Citadelle.</x:v>
      </x:c>
      <x:c r="I29" s="14" t="str">
        <x:v>Vitesse et caméra ne traversent pas les sprites.</x:v>
      </x:c>
      <x:c r="J29" s="14" t="str"/>
      <x:c r="K29" s="14" t="str">
        <x:v>content/cinematics/CIN-passage-du-conduit.json</x:v>
      </x:c>
      <x:c r="L29" s="14" t="str"/>
      <x:c r="M29" s="14" t="str"/>
      <x:c r="N29" s="14" t="str">
        <x:v>Découpage cinématique proposé ; fidélité plan par plan à vérifier.</x:v>
      </x:c>
      <x:c r="O29" s="14" t="str"/>
      <x:c r="P29" s="14" t="str">
        <x:v>Production ME1</x:v>
      </x:c>
      <x:c r="Q29" s="14" t="str"/>
    </x:row>
    <x:row r="30" ht="36" customHeight="1">
      <x:c r="A30" s="12" t="str">
        <x:v>CIN-bataille-de-la-citadelle</x:v>
      </x:c>
      <x:c r="B30" s="7" t="str">
        <x:v>Bataille de la Citadelle</x:v>
      </x:c>
      <x:c r="C30" s="10" t="str">
        <x:v>Défini</x:v>
      </x:c>
      <x:c r="D30" s="11" t="str">
        <x:v>À produire</x:v>
      </x:c>
      <x:c r="E30" s="9" t="str">
        <x:v>P1</x:v>
      </x:c>
      <x:c r="F30" s="9" t="str">
        <x:v>ME1</x:v>
      </x:c>
      <x:c r="G30" s="9" t="str">
        <x:v>Adaptation</x:v>
      </x:c>
      <x:c r="H30" s="7" t="str">
        <x:v>Conflit spatial parallèle à l’assaut au sol.</x:v>
      </x:c>
      <x:c r="I30" s="7" t="str">
        <x:v>Séparer clairement les échelles d’action.</x:v>
      </x:c>
      <x:c r="J30" s="7" t="str"/>
      <x:c r="K30" s="7" t="str">
        <x:v>content/cinematics/CIN-bataille-de-la-citadelle.json</x:v>
      </x:c>
      <x:c r="L30" s="7" t="str"/>
      <x:c r="M30" s="7" t="str"/>
      <x:c r="N30" s="7" t="str">
        <x:v>Découpage cinématique proposé ; fidélité plan par plan à vérifier.</x:v>
      </x:c>
      <x:c r="O30" s="7" t="str"/>
      <x:c r="P30" s="7" t="str">
        <x:v>Production ME1</x:v>
      </x:c>
      <x:c r="Q30" s="7" t="str"/>
    </x:row>
    <x:row r="31" ht="36" customHeight="1">
      <x:c r="A31" s="13" t="str">
        <x:v>CIN-conclusion-de-saren</x:v>
      </x:c>
      <x:c r="B31" s="14" t="str">
        <x:v>Conclusion de Saren</x:v>
      </x:c>
      <x:c r="C31" s="10" t="str">
        <x:v>Défini</x:v>
      </x:c>
      <x:c r="D31" s="11" t="str">
        <x:v>À produire</x:v>
      </x:c>
      <x:c r="E31" s="15" t="str">
        <x:v>P1</x:v>
      </x:c>
      <x:c r="F31" s="15" t="str">
        <x:v>ME1</x:v>
      </x:c>
      <x:c r="G31" s="15" t="str">
        <x:v>Adaptation</x:v>
      </x:c>
      <x:c r="H31" s="14" t="str">
        <x:v>Issue du dialogue et combat terminal.</x:v>
      </x:c>
      <x:c r="I31" s="14" t="str">
        <x:v>Transitions compatibles avec toutes les branches.</x:v>
      </x:c>
      <x:c r="J31" s="14" t="str"/>
      <x:c r="K31" s="14" t="str">
        <x:v>content/cinematics/CIN-conclusion-de-saren.json</x:v>
      </x:c>
      <x:c r="L31" s="14" t="str"/>
      <x:c r="M31" s="14" t="str"/>
      <x:c r="N31" s="14" t="str">
        <x:v>Découpage cinématique proposé ; fidélité plan par plan à vérifier.</x:v>
      </x:c>
      <x:c r="O31" s="14" t="str"/>
      <x:c r="P31" s="14" t="str">
        <x:v>Production ME1</x:v>
      </x:c>
      <x:c r="Q31" s="14" t="str"/>
    </x:row>
    <x:row r="32" ht="36" customHeight="1">
      <x:c r="A32" s="12" t="str">
        <x:v>CIN-epilogue</x:v>
      </x:c>
      <x:c r="B32" s="7" t="str">
        <x:v>Épilogue</x:v>
      </x:c>
      <x:c r="C32" s="10" t="str">
        <x:v>Défini</x:v>
      </x:c>
      <x:c r="D32" s="11" t="str">
        <x:v>À produire</x:v>
      </x:c>
      <x:c r="E32" s="9" t="str">
        <x:v>P1</x:v>
      </x:c>
      <x:c r="F32" s="9" t="str">
        <x:v>ME1</x:v>
      </x:c>
      <x:c r="G32" s="9" t="str">
        <x:v>Adaptation</x:v>
      </x:c>
      <x:c r="H32" s="7" t="str">
        <x:v>Clôture politique et départ vers la suite.</x:v>
      </x:c>
      <x:c r="I32" s="7" t="str">
        <x:v>Résumé de choix sans déclarer de contenu ME2 jouable.</x:v>
      </x:c>
      <x:c r="J32" s="7" t="str"/>
      <x:c r="K32" s="7" t="str">
        <x:v>content/cinematics/CIN-epilogue.json</x:v>
      </x:c>
      <x:c r="L32" s="7" t="str"/>
      <x:c r="M32" s="7" t="str"/>
      <x:c r="N32" s="7" t="str">
        <x:v>Découpage cinématique proposé ; fidélité plan par plan à vérifier.</x:v>
      </x:c>
      <x:c r="O32" s="7" t="str"/>
      <x:c r="P32" s="7" t="str">
        <x:v>Production ME1</x:v>
      </x:c>
      <x:c r="Q32" s="7" t="str"/>
    </x:row>
  </x:sheetData>
  <x:conditionalFormatting sqref="C7:C32">
    <x:cfRule type="cellIs" dxfId="325" priority="1" operator="equal">
      <x:formula>"Prototype"</x:formula>
    </x:cfRule>
    <x:cfRule type="cellIs" dxfId="326" priority="2" operator="equal">
      <x:formula>"Intégré"</x:formula>
    </x:cfRule>
    <x:cfRule type="cellIs" dxfId="327" priority="3" operator="equal">
      <x:formula>"Validé"</x:formula>
    </x:cfRule>
  </x:conditionalFormatting>
  <x:conditionalFormatting sqref="G7:G32">
    <x:cfRule type="cellIs" dxfId="328" priority="4" operator="equal">
      <x:formula>"Référence à vérifier"</x:formula>
    </x:cfRule>
  </x:conditionalFormatting>
  <x:conditionalFormatting sqref="E7:E32">
    <x:cfRule type="cellIs" dxfId="329" priority="5" operator="equal">
      <x:formula>"P0"</x:formula>
    </x:cfRule>
  </x:conditionalFormatting>
  <x:dataValidations count="5">
    <x:dataValidation type="list" sqref="C7:C32">
      <x:formula1>"Défini,Prototype,Intégré,Validé"</x:formula1>
    </x:dataValidation>
    <x:dataValidation type="list" sqref="D7:D32">
      <x:formula1>"À produire,Prototype,Disponible,Validé,Sans objet,Non planifié"</x:formula1>
    </x:dataValidation>
    <x:dataValidation type="list" sqref="E7:E32">
      <x:formula1>"P0,P1,P2"</x:formula1>
    </x:dataValidation>
    <x:dataValidation type="list" sqref="F7:F32">
      <x:formula1>"ME1,ME2,ME3,TRANSVERSE"</x:formula1>
    </x:dataValidation>
    <x:dataValidation type="list" sqref="G7:G32">
      <x:formula1>"Confirmé,Référence à vérifier,Adaptation"</x:formula1>
    </x:dataValidation>
  </x:dataValidations>
  <x:pageMargins left="0.7" right="0.7" top="0.75" bottom="0.75" header="0.3" footer="0.3"/>
  <x:tableParts count="1">
    <x:tablePart xmlns:r="http://schemas.openxmlformats.org/officeDocument/2006/relationships" r:id="R641e4a1ed80f4ce9"/>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Armes</x:v>
      </x:c>
      <x:c r="B2" s="2"/>
      <x:c r="C2" s="2"/>
      <x:c r="D2" s="2"/>
      <x:c r="E2" s="2"/>
      <x:c r="F2" s="2"/>
      <x:c r="G2" s="2"/>
      <x:c r="H2" s="2"/>
      <x:c r="I2" s="2"/>
      <x:c r="J2" s="2"/>
      <x:c r="K2" s="2"/>
      <x:c r="L2" s="2"/>
      <x:c r="M2" s="2"/>
      <x:c r="N2" s="2"/>
      <x:c r="O2" s="2"/>
      <x:c r="P2" s="2"/>
      <x:c r="Q2" s="2"/>
    </x:row>
    <x:row r="3" ht="22" customHeight="1">
      <x:c r="A3" s="4" t="str">
        <x:v>Familles, modèles et comportements</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WPN-pistolet-standard</x:v>
      </x:c>
      <x:c r="B7" s="14" t="str">
        <x:v>Pistolet standard</x:v>
      </x:c>
      <x:c r="C7" s="10" t="str">
        <x:v>Défini</x:v>
      </x:c>
      <x:c r="D7" s="11" t="str">
        <x:v>À produire</x:v>
      </x:c>
      <x:c r="E7" s="15" t="str">
        <x:v>P1</x:v>
      </x:c>
      <x:c r="F7" s="15" t="str">
        <x:v>ME1</x:v>
      </x:c>
      <x:c r="G7" s="15" t="str">
        <x:v>Référence à vérifier</x:v>
      </x:c>
      <x:c r="H7" s="14" t="str">
        <x:v>Arme de précision polyvalente à chaleur.</x:v>
      </x:c>
      <x:c r="I7" s="14" t="str">
        <x:v>Action ATB courte, chauffe modérée, modèle de ME1.</x:v>
      </x:c>
      <x:c r="J7" s="14" t="str"/>
      <x:c r="K7" s="14" t="str">
        <x:v>content/weapons/WPN-pistolet-standard.json</x:v>
      </x:c>
      <x:c r="L7" s="14" t="str"/>
      <x:c r="M7" s="14" t="str"/>
      <x:c r="N7" s="14" t="str">
        <x:v>Famille canonique ou modèle candidat ; fabricant, rang et statistiques à vérifier.</x:v>
      </x:c>
      <x:c r="O7" s="14" t="str">
        <x:v>https://eaassets-a.akamaihd.net/eahelp/manuals/mass-effect-manuals_PC_fr.pdf</x:v>
      </x:c>
      <x:c r="P7" s="14" t="str">
        <x:v>Production ME1</x:v>
      </x:c>
      <x:c r="Q7" s="14" t="str"/>
    </x:row>
    <x:row r="8" ht="36" customHeight="1">
      <x:c r="A8" s="12" t="str">
        <x:v>WPN-fusil-d-assaut-standard</x:v>
      </x:c>
      <x:c r="B8" s="7" t="str">
        <x:v>Fusil d’assaut standard</x:v>
      </x:c>
      <x:c r="C8" s="10" t="str">
        <x:v>Défini</x:v>
      </x:c>
      <x:c r="D8" s="11" t="str">
        <x:v>À produire</x:v>
      </x:c>
      <x:c r="E8" s="9" t="str">
        <x:v>P1</x:v>
      </x:c>
      <x:c r="F8" s="9" t="str">
        <x:v>ME1</x:v>
      </x:c>
      <x:c r="G8" s="9" t="str">
        <x:v>Référence à vérifier</x:v>
      </x:c>
      <x:c r="H8" s="7" t="str">
        <x:v>Tir soutenu pour plusieurs rôles militaires.</x:v>
      </x:c>
      <x:c r="I8" s="7" t="str">
        <x:v>Rafales visibles et surchauffe progressive.</x:v>
      </x:c>
      <x:c r="J8" s="7" t="str"/>
      <x:c r="K8" s="7" t="str">
        <x:v>content/weapons/WPN-fusil-d-assaut-standard.json</x:v>
      </x:c>
      <x:c r="L8" s="7" t="str"/>
      <x:c r="M8" s="7" t="str"/>
      <x:c r="N8" s="7" t="str">
        <x:v>Famille canonique ou modèle candidat ; fabricant, rang et statistiques à vérifier.</x:v>
      </x:c>
      <x:c r="O8" s="7" t="str">
        <x:v>https://eaassets-a.akamaihd.net/eahelp/manuals/mass-effect-manuals_PC_fr.pdf</x:v>
      </x:c>
      <x:c r="P8" s="7" t="str">
        <x:v>Production ME1</x:v>
      </x:c>
      <x:c r="Q8" s="7" t="str"/>
    </x:row>
    <x:row r="9" ht="36" customHeight="1">
      <x:c r="A9" s="13" t="str">
        <x:v>WPN-fusil-a-pompe-standard</x:v>
      </x:c>
      <x:c r="B9" s="14" t="str">
        <x:v>Fusil à pompe standard</x:v>
      </x:c>
      <x:c r="C9" s="10" t="str">
        <x:v>Défini</x:v>
      </x:c>
      <x:c r="D9" s="11" t="str">
        <x:v>À produire</x:v>
      </x:c>
      <x:c r="E9" s="15" t="str">
        <x:v>P1</x:v>
      </x:c>
      <x:c r="F9" s="15" t="str">
        <x:v>ME1</x:v>
      </x:c>
      <x:c r="G9" s="15" t="str">
        <x:v>Référence à vérifier</x:v>
      </x:c>
      <x:c r="H9" s="14" t="str">
        <x:v>Impact élevé à courte distance.</x:v>
      </x:c>
      <x:c r="I9" s="14" t="str">
        <x:v>Dégâts diminuent avec la distance d’action retenue.</x:v>
      </x:c>
      <x:c r="J9" s="14" t="str"/>
      <x:c r="K9" s="14" t="str">
        <x:v>content/weapons/WPN-fusil-a-pompe-standard.json</x:v>
      </x:c>
      <x:c r="L9" s="14" t="str"/>
      <x:c r="M9" s="14" t="str"/>
      <x:c r="N9" s="14" t="str">
        <x:v>Famille canonique ou modèle candidat ; fabricant, rang et statistiques à vérifier.</x:v>
      </x:c>
      <x:c r="O9" s="14" t="str">
        <x:v>https://eaassets-a.akamaihd.net/eahelp/manuals/mass-effect-manuals_PC_fr.pdf</x:v>
      </x:c>
      <x:c r="P9" s="14" t="str">
        <x:v>Production ME1</x:v>
      </x:c>
      <x:c r="Q9" s="14" t="str"/>
    </x:row>
    <x:row r="10" ht="36" customHeight="1">
      <x:c r="A10" s="12" t="str">
        <x:v>WPN-fusil-de-precision-standard</x:v>
      </x:c>
      <x:c r="B10" s="7" t="str">
        <x:v>Fusil de précision standard</x:v>
      </x:c>
      <x:c r="C10" s="10" t="str">
        <x:v>Défini</x:v>
      </x:c>
      <x:c r="D10" s="11" t="str">
        <x:v>À produire</x:v>
      </x:c>
      <x:c r="E10" s="9" t="str">
        <x:v>P1</x:v>
      </x:c>
      <x:c r="F10" s="9" t="str">
        <x:v>ME1</x:v>
      </x:c>
      <x:c r="G10" s="9" t="str">
        <x:v>Référence à vérifier</x:v>
      </x:c>
      <x:c r="H10" s="7" t="str">
        <x:v>Tir lent et précis.</x:v>
      </x:c>
      <x:c r="I10" s="7" t="str">
        <x:v>Télégraphe de visée et ligne de tir cohérente.</x:v>
      </x:c>
      <x:c r="J10" s="7" t="str"/>
      <x:c r="K10" s="7" t="str">
        <x:v>content/weapons/WPN-fusil-de-precision-standard.json</x:v>
      </x:c>
      <x:c r="L10" s="7" t="str"/>
      <x:c r="M10" s="7" t="str"/>
      <x:c r="N10" s="7" t="str">
        <x:v>Famille canonique ou modèle candidat ; fabricant, rang et statistiques à vérifier.</x:v>
      </x:c>
      <x:c r="O10" s="7" t="str">
        <x:v>https://eaassets-a.akamaihd.net/eahelp/manuals/mass-effect-manuals_PC_fr.pdf</x:v>
      </x:c>
      <x:c r="P10" s="7" t="str">
        <x:v>Production ME1</x:v>
      </x:c>
      <x:c r="Q10" s="7" t="str"/>
    </x:row>
    <x:row r="11" ht="36" customHeight="1">
      <x:c r="A11" s="13" t="str">
        <x:v>WPN-grenade-de-shepard</x:v>
      </x:c>
      <x:c r="B11" s="14" t="str">
        <x:v>Grenade de Shepard</x:v>
      </x:c>
      <x:c r="C11" s="10" t="str">
        <x:v>Défini</x:v>
      </x:c>
      <x:c r="D11" s="11" t="str">
        <x:v>À produire</x:v>
      </x:c>
      <x:c r="E11" s="15" t="str">
        <x:v>P1</x:v>
      </x:c>
      <x:c r="F11" s="15" t="str">
        <x:v>ME1</x:v>
      </x:c>
      <x:c r="G11" s="15" t="str">
        <x:v>Référence à vérifier</x:v>
      </x:c>
      <x:c r="H11" s="14" t="str">
        <x:v>Projectile disque déclenchable.</x:v>
      </x:c>
      <x:c r="I11" s="14" t="str">
        <x:v>Réserve limitée et usage réservé selon règle de ME1.</x:v>
      </x:c>
      <x:c r="J11" s="14" t="str"/>
      <x:c r="K11" s="14" t="str">
        <x:v>content/weapons/WPN-grenade-de-shepard.json</x:v>
      </x:c>
      <x:c r="L11" s="14" t="str"/>
      <x:c r="M11" s="14" t="str"/>
      <x:c r="N11" s="14" t="str">
        <x:v>Famille canonique ou modèle candidat ; fabricant, rang et statistiques à vérifier.</x:v>
      </x:c>
      <x:c r="O11" s="14" t="str">
        <x:v>https://eaassets-a.akamaihd.net/eahelp/manuals/mass-effect-manuals_PC_fr.pdf</x:v>
      </x:c>
      <x:c r="P11" s="14" t="str">
        <x:v>Production ME1</x:v>
      </x:c>
      <x:c r="Q11" s="14" t="str"/>
    </x:row>
    <x:row r="12" ht="62" customHeight="1">
      <x:c r="A12" s="12" t="str">
        <x:v>WPN-avenger</x:v>
      </x:c>
      <x:c r="B12" s="7" t="str">
        <x:v>Avenger</x:v>
      </x:c>
      <x:c r="C12" s="10" t="str">
        <x:v>Défini</x:v>
      </x:c>
      <x:c r="D12" s="11" t="str">
        <x:v>À produire</x:v>
      </x:c>
      <x:c r="E12" s="9" t="str">
        <x:v>P1</x:v>
      </x:c>
      <x:c r="F12" s="9" t="str">
        <x:v>ME1</x:v>
      </x:c>
      <x:c r="G12" s="9" t="str">
        <x:v>Référence à vérifier</x:v>
      </x:c>
      <x:c r="H12" s="7" t="str">
        <x:v>Famille de fusils d’assaut à documenter.</x:v>
      </x:c>
      <x:c r="I12" s="7" t="str">
        <x:v>Appellation, fabricant et modèle ME1 vérifiés avant asset final.</x:v>
      </x:c>
      <x:c r="J12" s="7" t="str"/>
      <x:c r="K12" s="7" t="str">
        <x:v>content/weapons/WPN-avenger.json</x:v>
      </x:c>
      <x:c r="L12" s="7" t="str"/>
      <x:c r="M12" s="7" t="str"/>
      <x:c r="N12" s="7" t="str">
        <x:v>Famille canonique ou modèle candidat ; fabricant, rang et statistiques à vérifier.</x:v>
      </x:c>
      <x:c r="O12" s="7" t="str">
        <x:v>https://eaassets-a.akamaihd.net/eahelp/manuals/mass-effect-manuals_PC_fr.pdf</x:v>
      </x:c>
      <x:c r="P12" s="7" t="str">
        <x:v>Production ME1</x:v>
      </x:c>
      <x:c r="Q12" s="7" t="str">
        <x:v>Objectif de famille conservé. Références jouables documentées séparément : GEAR-avenger-i. Les modèles, rangs complets, silhouettes et statistiques canoniques restent à produire ou vérifier.</x:v>
      </x:c>
    </x:row>
    <x:row r="13" ht="62" customHeight="1">
      <x:c r="A13" s="13" t="str">
        <x:v>WPN-lancer</x:v>
      </x:c>
      <x:c r="B13" s="14" t="str">
        <x:v>Lancer</x:v>
      </x:c>
      <x:c r="C13" s="10" t="str">
        <x:v>Défini</x:v>
      </x:c>
      <x:c r="D13" s="11" t="str">
        <x:v>À produire</x:v>
      </x:c>
      <x:c r="E13" s="15" t="str">
        <x:v>P1</x:v>
      </x:c>
      <x:c r="F13" s="15" t="str">
        <x:v>ME1</x:v>
      </x:c>
      <x:c r="G13" s="15" t="str">
        <x:v>Référence à vérifier</x:v>
      </x:c>
      <x:c r="H13" s="14" t="str">
        <x:v>Famille militaire de fusils d’assaut.</x:v>
      </x:c>
      <x:c r="I13" s="14" t="str">
        <x:v>Silhouette et comportement relevés dans ME1.</x:v>
      </x:c>
      <x:c r="J13" s="14" t="str"/>
      <x:c r="K13" s="14" t="str">
        <x:v>content/weapons/WPN-lancer.json</x:v>
      </x:c>
      <x:c r="L13" s="14" t="str"/>
      <x:c r="M13" s="14" t="str"/>
      <x:c r="N13" s="14" t="str">
        <x:v>Famille canonique ou modèle candidat ; fabricant, rang et statistiques à vérifier.</x:v>
      </x:c>
      <x:c r="O13" s="14" t="str">
        <x:v>https://eaassets-a.akamaihd.net/eahelp/manuals/mass-effect-manuals_PC_fr.pdf</x:v>
      </x:c>
      <x:c r="P13" s="14" t="str">
        <x:v>Production ME1</x:v>
      </x:c>
      <x:c r="Q13" s="14" t="str">
        <x:v>Objectif de famille conservé. Références jouables documentées séparément : GEAR-lancer-i. Les modèles, rangs complets, silhouettes et statistiques canoniques restent à produire ou vérifier.</x:v>
      </x:c>
    </x:row>
    <x:row r="14" ht="62" customHeight="1">
      <x:c r="A14" s="12" t="str">
        <x:v>WPN-hmwa</x:v>
      </x:c>
      <x:c r="B14" s="7" t="str">
        <x:v>HMWA</x:v>
      </x:c>
      <x:c r="C14" s="10" t="str">
        <x:v>Défini</x:v>
      </x:c>
      <x:c r="D14" s="11" t="str">
        <x:v>À produire</x:v>
      </x:c>
      <x:c r="E14" s="9" t="str">
        <x:v>P1</x:v>
      </x:c>
      <x:c r="F14" s="9" t="str">
        <x:v>ME1</x:v>
      </x:c>
      <x:c r="G14" s="9" t="str">
        <x:v>Référence à vérifier</x:v>
      </x:c>
      <x:c r="H14" s="7" t="str">
        <x:v>Fusil d’assaut Spectre.</x:v>
      </x:c>
      <x:c r="I14" s="7" t="str">
        <x:v>Accès lié aux conditions d’achat et niveau retenus.</x:v>
      </x:c>
      <x:c r="J14" s="7" t="str"/>
      <x:c r="K14" s="7" t="str">
        <x:v>content/weapons/WPN-hmwa.json</x:v>
      </x:c>
      <x:c r="L14" s="7" t="str"/>
      <x:c r="M14" s="7" t="str"/>
      <x:c r="N14" s="7" t="str">
        <x:v>Famille canonique ou modèle candidat ; fabricant, rang et statistiques à vérifier.</x:v>
      </x:c>
      <x:c r="O14" s="7" t="str">
        <x:v>https://eaassets-a.akamaihd.net/eahelp/manuals/mass-effect-manuals_PC_fr.pdf</x:v>
      </x:c>
      <x:c r="P14" s="7" t="str">
        <x:v>Production ME1</x:v>
      </x:c>
      <x:c r="Q14" s="7" t="str">
        <x:v>Objectif de famille conservé. Références jouables documentées séparément : GEAR-hmwa-vii. Les modèles, rangs complets, silhouettes et statistiques canoniques restent à produire ou vérifier.</x:v>
      </x:c>
    </x:row>
    <x:row r="15" ht="62" customHeight="1">
      <x:c r="A15" s="13" t="str">
        <x:v>WPN-kessler</x:v>
      </x:c>
      <x:c r="B15" s="14" t="str">
        <x:v>Kessler</x:v>
      </x:c>
      <x:c r="C15" s="10" t="str">
        <x:v>Défini</x:v>
      </x:c>
      <x:c r="D15" s="11" t="str">
        <x:v>À produire</x:v>
      </x:c>
      <x:c r="E15" s="15" t="str">
        <x:v>P1</x:v>
      </x:c>
      <x:c r="F15" s="15" t="str">
        <x:v>ME1</x:v>
      </x:c>
      <x:c r="G15" s="15" t="str">
        <x:v>Référence à vérifier</x:v>
      </x:c>
      <x:c r="H15" s="14" t="str">
        <x:v>Famille de pistolets.</x:v>
      </x:c>
      <x:c r="I15" s="14" t="str">
        <x:v>Référence de silhouette et fabricant à relever.</x:v>
      </x:c>
      <x:c r="J15" s="14" t="str"/>
      <x:c r="K15" s="14" t="str">
        <x:v>content/weapons/WPN-kessler.json</x:v>
      </x:c>
      <x:c r="L15" s="14" t="str"/>
      <x:c r="M15" s="14" t="str"/>
      <x:c r="N15" s="14" t="str">
        <x:v>Famille canonique ou modèle candidat ; fabricant, rang et statistiques à vérifier.</x:v>
      </x:c>
      <x:c r="O15" s="14" t="str">
        <x:v>https://eaassets-a.akamaihd.net/eahelp/manuals/mass-effect-manuals_PC_fr.pdf</x:v>
      </x:c>
      <x:c r="P15" s="14" t="str">
        <x:v>Production ME1</x:v>
      </x:c>
      <x:c r="Q15" s="14" t="str">
        <x:v>Objectif de famille conservé. Références jouables documentées séparément : GEAR-kessler-i. Les modèles, rangs complets, silhouettes et statistiques canoniques restent à produire ou vérifier.</x:v>
      </x:c>
    </x:row>
    <x:row r="16" ht="36" customHeight="1">
      <x:c r="A16" s="12" t="str">
        <x:v>WPN-stinger</x:v>
      </x:c>
      <x:c r="B16" s="7" t="str">
        <x:v>Stinger</x:v>
      </x:c>
      <x:c r="C16" s="10" t="str">
        <x:v>Défini</x:v>
      </x:c>
      <x:c r="D16" s="11" t="str">
        <x:v>À produire</x:v>
      </x:c>
      <x:c r="E16" s="9" t="str">
        <x:v>P1</x:v>
      </x:c>
      <x:c r="F16" s="9" t="str">
        <x:v>ME1</x:v>
      </x:c>
      <x:c r="G16" s="9" t="str">
        <x:v>Référence à vérifier</x:v>
      </x:c>
      <x:c r="H16" s="7" t="str">
        <x:v>Famille de pistolets.</x:v>
      </x:c>
      <x:c r="I16" s="7" t="str">
        <x:v>Variation utile de caractéristiques sans nouveau pouvoir.</x:v>
      </x:c>
      <x:c r="J16" s="7" t="str"/>
      <x:c r="K16" s="7" t="str">
        <x:v>content/weapons/WPN-stinger.json</x:v>
      </x:c>
      <x:c r="L16" s="7" t="str"/>
      <x:c r="M16" s="7" t="str"/>
      <x:c r="N16" s="7" t="str">
        <x:v>Famille canonique ou modèle candidat ; fabricant, rang et statistiques à vérifier.</x:v>
      </x:c>
      <x:c r="O16" s="7" t="str">
        <x:v>https://eaassets-a.akamaihd.net/eahelp/manuals/mass-effect-manuals_PC_fr.pdf</x:v>
      </x:c>
      <x:c r="P16" s="7" t="str">
        <x:v>Production ME1</x:v>
      </x:c>
      <x:c r="Q16" s="7" t="str"/>
    </x:row>
    <x:row r="17" ht="62" customHeight="1">
      <x:c r="A17" s="13" t="str">
        <x:v>WPN-hmwp</x:v>
      </x:c>
      <x:c r="B17" s="14" t="str">
        <x:v>HMWP</x:v>
      </x:c>
      <x:c r="C17" s="10" t="str">
        <x:v>Défini</x:v>
      </x:c>
      <x:c r="D17" s="11" t="str">
        <x:v>À produire</x:v>
      </x:c>
      <x:c r="E17" s="15" t="str">
        <x:v>P1</x:v>
      </x:c>
      <x:c r="F17" s="15" t="str">
        <x:v>ME1</x:v>
      </x:c>
      <x:c r="G17" s="15" t="str">
        <x:v>Référence à vérifier</x:v>
      </x:c>
      <x:c r="H17" s="14" t="str">
        <x:v>Pistolet Spectre.</x:v>
      </x:c>
      <x:c r="I17" s="14" t="str">
        <x:v>Acquisition et prix contrôlés.</x:v>
      </x:c>
      <x:c r="J17" s="14" t="str"/>
      <x:c r="K17" s="14" t="str">
        <x:v>content/weapons/WPN-hmwp.json</x:v>
      </x:c>
      <x:c r="L17" s="14" t="str"/>
      <x:c r="M17" s="14" t="str"/>
      <x:c r="N17" s="14" t="str">
        <x:v>Famille canonique ou modèle candidat ; fabricant, rang et statistiques à vérifier.</x:v>
      </x:c>
      <x:c r="O17" s="14" t="str">
        <x:v>https://eaassets-a.akamaihd.net/eahelp/manuals/mass-effect-manuals_PC_fr.pdf</x:v>
      </x:c>
      <x:c r="P17" s="14" t="str">
        <x:v>Production ME1</x:v>
      </x:c>
      <x:c r="Q17" s="14" t="str">
        <x:v>Objectif de famille conservé. Références jouables documentées séparément : GEAR-hmwp-vii. Les modèles, rangs complets, silhouettes et statistiques canoniques restent à produire ou vérifier.</x:v>
      </x:c>
    </x:row>
    <x:row r="18" ht="36" customHeight="1">
      <x:c r="A18" s="12" t="str">
        <x:v>WPN-scimitar</x:v>
      </x:c>
      <x:c r="B18" s="7" t="str">
        <x:v>Scimitar</x:v>
      </x:c>
      <x:c r="C18" s="10" t="str">
        <x:v>Défini</x:v>
      </x:c>
      <x:c r="D18" s="11" t="str">
        <x:v>À produire</x:v>
      </x:c>
      <x:c r="E18" s="9" t="str">
        <x:v>P1</x:v>
      </x:c>
      <x:c r="F18" s="9" t="str">
        <x:v>ME1</x:v>
      </x:c>
      <x:c r="G18" s="9" t="str">
        <x:v>Référence à vérifier</x:v>
      </x:c>
      <x:c r="H18" s="7" t="str">
        <x:v>Famille de fusils à pompe.</x:v>
      </x:c>
      <x:c r="I18" s="7" t="str">
        <x:v>Pompe, recul et volume cohérents.</x:v>
      </x:c>
      <x:c r="J18" s="7" t="str"/>
      <x:c r="K18" s="7" t="str">
        <x:v>content/weapons/WPN-scimitar.json</x:v>
      </x:c>
      <x:c r="L18" s="7" t="str"/>
      <x:c r="M18" s="7" t="str"/>
      <x:c r="N18" s="7" t="str">
        <x:v>Famille canonique ou modèle candidat ; fabricant, rang et statistiques à vérifier.</x:v>
      </x:c>
      <x:c r="O18" s="7" t="str">
        <x:v>https://eaassets-a.akamaihd.net/eahelp/manuals/mass-effect-manuals_PC_fr.pdf</x:v>
      </x:c>
      <x:c r="P18" s="7" t="str">
        <x:v>Production ME1</x:v>
      </x:c>
      <x:c r="Q18" s="7" t="str"/>
    </x:row>
    <x:row r="19" ht="62" customHeight="1">
      <x:c r="A19" s="13" t="str">
        <x:v>WPN-katana</x:v>
      </x:c>
      <x:c r="B19" s="14" t="str">
        <x:v>Katana</x:v>
      </x:c>
      <x:c r="C19" s="10" t="str">
        <x:v>Défini</x:v>
      </x:c>
      <x:c r="D19" s="11" t="str">
        <x:v>À produire</x:v>
      </x:c>
      <x:c r="E19" s="15" t="str">
        <x:v>P1</x:v>
      </x:c>
      <x:c r="F19" s="15" t="str">
        <x:v>ME1</x:v>
      </x:c>
      <x:c r="G19" s="15" t="str">
        <x:v>Référence à vérifier</x:v>
      </x:c>
      <x:c r="H19" s="14" t="str">
        <x:v>Famille de fusils à pompe.</x:v>
      </x:c>
      <x:c r="I19" s="14" t="str">
        <x:v>Référence propre à ME1 à confirmer.</x:v>
      </x:c>
      <x:c r="J19" s="14" t="str"/>
      <x:c r="K19" s="14" t="str">
        <x:v>content/weapons/WPN-katana.json</x:v>
      </x:c>
      <x:c r="L19" s="14" t="str"/>
      <x:c r="M19" s="14" t="str"/>
      <x:c r="N19" s="14" t="str">
        <x:v>Famille canonique ou modèle candidat ; fabricant, rang et statistiques à vérifier.</x:v>
      </x:c>
      <x:c r="O19" s="14" t="str">
        <x:v>https://eaassets-a.akamaihd.net/eahelp/manuals/mass-effect-manuals_PC_fr.pdf</x:v>
      </x:c>
      <x:c r="P19" s="14" t="str">
        <x:v>Production ME1</x:v>
      </x:c>
      <x:c r="Q19" s="14" t="str">
        <x:v>Objectif de famille conservé. Références jouables documentées séparément : GEAR-katana-v. Les modèles, rangs complets, silhouettes et statistiques canoniques restent à produire ou vérifier.</x:v>
      </x:c>
    </x:row>
    <x:row r="20" ht="62" customHeight="1">
      <x:c r="A20" s="12" t="str">
        <x:v>WPN-hmwsg</x:v>
      </x:c>
      <x:c r="B20" s="7" t="str">
        <x:v>HMWSG</x:v>
      </x:c>
      <x:c r="C20" s="10" t="str">
        <x:v>Défini</x:v>
      </x:c>
      <x:c r="D20" s="11" t="str">
        <x:v>À produire</x:v>
      </x:c>
      <x:c r="E20" s="9" t="str">
        <x:v>P1</x:v>
      </x:c>
      <x:c r="F20" s="9" t="str">
        <x:v>ME1</x:v>
      </x:c>
      <x:c r="G20" s="9" t="str">
        <x:v>Référence à vérifier</x:v>
      </x:c>
      <x:c r="H20" s="7" t="str">
        <x:v>Fusil à pompe Spectre.</x:v>
      </x:c>
      <x:c r="I20" s="7" t="str">
        <x:v>Identification du modèle et progression.</x:v>
      </x:c>
      <x:c r="J20" s="7" t="str"/>
      <x:c r="K20" s="7" t="str">
        <x:v>content/weapons/WPN-hmwsg.json</x:v>
      </x:c>
      <x:c r="L20" s="7" t="str"/>
      <x:c r="M20" s="7" t="str"/>
      <x:c r="N20" s="7" t="str">
        <x:v>Famille canonique ou modèle candidat ; fabricant, rang et statistiques à vérifier.</x:v>
      </x:c>
      <x:c r="O20" s="7" t="str">
        <x:v>https://eaassets-a.akamaihd.net/eahelp/manuals/mass-effect-manuals_PC_fr.pdf</x:v>
      </x:c>
      <x:c r="P20" s="7" t="str">
        <x:v>Production ME1</x:v>
      </x:c>
      <x:c r="Q20" s="7" t="str">
        <x:v>Objectif de famille conservé. Références jouables documentées séparément : GEAR-hmwsg-vii. Les modèles, rangs complets, silhouettes et statistiques canoniques restent à produire ou vérifier.</x:v>
      </x:c>
    </x:row>
    <x:row r="21" ht="62" customHeight="1">
      <x:c r="A21" s="13" t="str">
        <x:v>WPN-hammer</x:v>
      </x:c>
      <x:c r="B21" s="14" t="str">
        <x:v>Hammer</x:v>
      </x:c>
      <x:c r="C21" s="10" t="str">
        <x:v>Défini</x:v>
      </x:c>
      <x:c r="D21" s="11" t="str">
        <x:v>À produire</x:v>
      </x:c>
      <x:c r="E21" s="15" t="str">
        <x:v>P1</x:v>
      </x:c>
      <x:c r="F21" s="15" t="str">
        <x:v>ME1</x:v>
      </x:c>
      <x:c r="G21" s="15" t="str">
        <x:v>Référence à vérifier</x:v>
      </x:c>
      <x:c r="H21" s="14" t="str">
        <x:v>Famille de fusils de précision.</x:v>
      </x:c>
      <x:c r="I21" s="14" t="str">
        <x:v>Modèle, cadence et thermique à documenter.</x:v>
      </x:c>
      <x:c r="J21" s="14" t="str"/>
      <x:c r="K21" s="14" t="str">
        <x:v>content/weapons/WPN-hammer.json</x:v>
      </x:c>
      <x:c r="L21" s="14" t="str"/>
      <x:c r="M21" s="14" t="str"/>
      <x:c r="N21" s="14" t="str">
        <x:v>Famille canonique ou modèle candidat ; fabricant, rang et statistiques à vérifier.</x:v>
      </x:c>
      <x:c r="O21" s="14" t="str">
        <x:v>https://eaassets-a.akamaihd.net/eahelp/manuals/mass-effect-manuals_PC_fr.pdf</x:v>
      </x:c>
      <x:c r="P21" s="14" t="str">
        <x:v>Production ME1</x:v>
      </x:c>
      <x:c r="Q21" s="14" t="str">
        <x:v>Objectif de famille conservé. Références jouables documentées séparément : GEAR-hammer-iii. Les modèles, rangs complets, silhouettes et statistiques canoniques restent à produire ou vérifier.</x:v>
      </x:c>
    </x:row>
    <x:row r="22" ht="36" customHeight="1">
      <x:c r="A22" s="12" t="str">
        <x:v>WPN-reaper-fusil</x:v>
      </x:c>
      <x:c r="B22" s="7" t="str">
        <x:v>Reaper fusil</x:v>
      </x:c>
      <x:c r="C22" s="10" t="str">
        <x:v>Défini</x:v>
      </x:c>
      <x:c r="D22" s="11" t="str">
        <x:v>À produire</x:v>
      </x:c>
      <x:c r="E22" s="9" t="str">
        <x:v>P1</x:v>
      </x:c>
      <x:c r="F22" s="9" t="str">
        <x:v>ME1</x:v>
      </x:c>
      <x:c r="G22" s="9" t="str">
        <x:v>Référence à vérifier</x:v>
      </x:c>
      <x:c r="H22" s="7" t="str">
        <x:v>Famille d’arme portant ce nom, distincte de la faction.</x:v>
      </x:c>
      <x:c r="I22" s="7" t="str">
        <x:v>Traduction et existence dans la version retenue vérifiées.</x:v>
      </x:c>
      <x:c r="J22" s="7" t="str"/>
      <x:c r="K22" s="7" t="str">
        <x:v>content/weapons/WPN-reaper-fusil.json</x:v>
      </x:c>
      <x:c r="L22" s="7" t="str"/>
      <x:c r="M22" s="7" t="str"/>
      <x:c r="N22" s="7" t="str">
        <x:v>Famille canonique ou modèle candidat ; fabricant, rang et statistiques à vérifier.</x:v>
      </x:c>
      <x:c r="O22" s="7" t="str">
        <x:v>https://eaassets-a.akamaihd.net/eahelp/manuals/mass-effect-manuals_PC_fr.pdf</x:v>
      </x:c>
      <x:c r="P22" s="7" t="str">
        <x:v>Production ME1</x:v>
      </x:c>
      <x:c r="Q22" s="7" t="str"/>
    </x:row>
    <x:row r="23" ht="62" customHeight="1">
      <x:c r="A23" s="13" t="str">
        <x:v>WPN-hmwsr</x:v>
      </x:c>
      <x:c r="B23" s="14" t="str">
        <x:v>HMWSR</x:v>
      </x:c>
      <x:c r="C23" s="10" t="str">
        <x:v>Défini</x:v>
      </x:c>
      <x:c r="D23" s="11" t="str">
        <x:v>À produire</x:v>
      </x:c>
      <x:c r="E23" s="15" t="str">
        <x:v>P1</x:v>
      </x:c>
      <x:c r="F23" s="15" t="str">
        <x:v>ME1</x:v>
      </x:c>
      <x:c r="G23" s="15" t="str">
        <x:v>Référence à vérifier</x:v>
      </x:c>
      <x:c r="H23" s="14" t="str">
        <x:v>Fusil de précision Spectre.</x:v>
      </x:c>
      <x:c r="I23" s="14" t="str">
        <x:v>Cadence élevée ou bonus seulement si confirmés.</x:v>
      </x:c>
      <x:c r="J23" s="14" t="str"/>
      <x:c r="K23" s="14" t="str">
        <x:v>content/weapons/WPN-hmwsr.json</x:v>
      </x:c>
      <x:c r="L23" s="14" t="str"/>
      <x:c r="M23" s="14" t="str"/>
      <x:c r="N23" s="14" t="str">
        <x:v>Famille canonique ou modèle candidat ; fabricant, rang et statistiques à vérifier.</x:v>
      </x:c>
      <x:c r="O23" s="14" t="str">
        <x:v>https://eaassets-a.akamaihd.net/eahelp/manuals/mass-effect-manuals_PC_fr.pdf</x:v>
      </x:c>
      <x:c r="P23" s="14" t="str">
        <x:v>Production ME1</x:v>
      </x:c>
      <x:c r="Q23" s="14" t="str">
        <x:v>Objectif de famille conservé. Références jouables documentées séparément : GEAR-hmwsr-vii. Les modèles, rangs complets, silhouettes et statistiques canoniques restent à produire ou vérifier.</x:v>
      </x:c>
    </x:row>
    <x:row r="24" ht="36" customHeight="1">
      <x:c r="A24" s="12" t="str">
        <x:v>WPN-arme-geth-legere</x:v>
      </x:c>
      <x:c r="B24" s="7" t="str">
        <x:v>Arme geth légère</x:v>
      </x:c>
      <x:c r="C24" s="10" t="str">
        <x:v>Défini</x:v>
      </x:c>
      <x:c r="D24" s="11" t="str">
        <x:v>À produire</x:v>
      </x:c>
      <x:c r="E24" s="9" t="str">
        <x:v>P1</x:v>
      </x:c>
      <x:c r="F24" s="9" t="str">
        <x:v>ME1</x:v>
      </x:c>
      <x:c r="G24" s="9" t="str">
        <x:v>Référence à vérifier</x:v>
      </x:c>
      <x:c r="H24" s="7" t="str">
        <x:v>Arme portée par l’infanterie synthétique.</x:v>
      </x:c>
      <x:c r="I24" s="7" t="str">
        <x:v>Modèle et effets cohérents avec les rencontres.</x:v>
      </x:c>
      <x:c r="J24" s="7" t="str"/>
      <x:c r="K24" s="7" t="str">
        <x:v>content/weapons/WPN-arme-geth-legere.json</x:v>
      </x:c>
      <x:c r="L24" s="7" t="str"/>
      <x:c r="M24" s="7" t="str"/>
      <x:c r="N24" s="7" t="str">
        <x:v>Famille canonique ou modèle candidat ; fabricant, rang et statistiques à vérifier.</x:v>
      </x:c>
      <x:c r="O24" s="7" t="str">
        <x:v>https://eaassets-a.akamaihd.net/eahelp/manuals/mass-effect-manuals_PC_fr.pdf</x:v>
      </x:c>
      <x:c r="P24" s="7" t="str">
        <x:v>Production ME1</x:v>
      </x:c>
      <x:c r="Q24" s="7" t="str"/>
    </x:row>
    <x:row r="25" ht="36" customHeight="1">
      <x:c r="A25" s="13" t="str">
        <x:v>WPN-lance-roquettes-ennemi</x:v>
      </x:c>
      <x:c r="B25" s="14" t="str">
        <x:v>Lance-roquettes ennemi</x:v>
      </x:c>
      <x:c r="C25" s="10" t="str">
        <x:v>Défini</x:v>
      </x:c>
      <x:c r="D25" s="11" t="str">
        <x:v>À produire</x:v>
      </x:c>
      <x:c r="E25" s="15" t="str">
        <x:v>P1</x:v>
      </x:c>
      <x:c r="F25" s="15" t="str">
        <x:v>ME1</x:v>
      </x:c>
      <x:c r="G25" s="15" t="str">
        <x:v>Référence à vérifier</x:v>
      </x:c>
      <x:c r="H25" s="14" t="str">
        <x:v>Arme à projectile explosif des geth.</x:v>
      </x:c>
      <x:c r="I25" s="14" t="str">
        <x:v>Vitesse, arc et télégraphe documentés.</x:v>
      </x:c>
      <x:c r="J25" s="14" t="str"/>
      <x:c r="K25" s="14" t="str">
        <x:v>content/weapons/WPN-lance-roquettes-ennemi.json</x:v>
      </x:c>
      <x:c r="L25" s="14" t="str"/>
      <x:c r="M25" s="14" t="str"/>
      <x:c r="N25" s="14" t="str">
        <x:v>Famille canonique ou modèle candidat ; fabricant, rang et statistiques à vérifier.</x:v>
      </x:c>
      <x:c r="O25" s="14" t="str">
        <x:v>https://eaassets-a.akamaihd.net/eahelp/manuals/mass-effect-manuals_PC_fr.pdf</x:v>
      </x:c>
      <x:c r="P25" s="14" t="str">
        <x:v>Production ME1</x:v>
      </x:c>
      <x:c r="Q25" s="14" t="str"/>
    </x:row>
    <x:row r="26" ht="36" customHeight="1">
      <x:c r="A26" s="12" t="str">
        <x:v>WPN-canon-du-mako</x:v>
      </x:c>
      <x:c r="B26" s="7" t="str">
        <x:v>Canon du Mako</x:v>
      </x:c>
      <x:c r="C26" s="10" t="str">
        <x:v>Défini</x:v>
      </x:c>
      <x:c r="D26" s="11" t="str">
        <x:v>À produire</x:v>
      </x:c>
      <x:c r="E26" s="9" t="str">
        <x:v>P1</x:v>
      </x:c>
      <x:c r="F26" s="9" t="str">
        <x:v>ME1</x:v>
      </x:c>
      <x:c r="G26" s="9" t="str">
        <x:v>Référence à vérifier</x:v>
      </x:c>
      <x:c r="H26" s="7" t="str">
        <x:v>Armement lourd du véhicule.</x:v>
      </x:c>
      <x:c r="I26" s="7" t="str">
        <x:v>Cycle de tir et recul distincts de la mitrailleuse.</x:v>
      </x:c>
      <x:c r="J26" s="7" t="str"/>
      <x:c r="K26" s="7" t="str">
        <x:v>content/weapons/WPN-canon-du-mako.json</x:v>
      </x:c>
      <x:c r="L26" s="7" t="str"/>
      <x:c r="M26" s="7" t="str"/>
      <x:c r="N26" s="7" t="str">
        <x:v>Famille canonique ou modèle candidat ; fabricant, rang et statistiques à vérifier.</x:v>
      </x:c>
      <x:c r="O26" s="7" t="str">
        <x:v>https://eaassets-a.akamaihd.net/eahelp/manuals/mass-effect-manuals_PC_fr.pdf</x:v>
      </x:c>
      <x:c r="P26" s="7" t="str">
        <x:v>Production ME1</x:v>
      </x:c>
      <x:c r="Q26" s="7" t="str"/>
    </x:row>
    <x:row r="27" ht="36" customHeight="1">
      <x:c r="A27" s="13" t="str">
        <x:v>WPN-mitrailleuse-du-mako</x:v>
      </x:c>
      <x:c r="B27" s="14" t="str">
        <x:v>Mitrailleuse du Mako</x:v>
      </x:c>
      <x:c r="C27" s="10" t="str">
        <x:v>Défini</x:v>
      </x:c>
      <x:c r="D27" s="11" t="str">
        <x:v>À produire</x:v>
      </x:c>
      <x:c r="E27" s="15" t="str">
        <x:v>P1</x:v>
      </x:c>
      <x:c r="F27" s="15" t="str">
        <x:v>ME1</x:v>
      </x:c>
      <x:c r="G27" s="15" t="str">
        <x:v>Référence à vérifier</x:v>
      </x:c>
      <x:c r="H27" s="14" t="str">
        <x:v>Feu rapide contre menaces légères.</x:v>
      </x:c>
      <x:c r="I27" s="14" t="str">
        <x:v>Chauffe, dispersion et portée du prototype explicités.</x:v>
      </x:c>
      <x:c r="J27" s="14" t="str"/>
      <x:c r="K27" s="14" t="str">
        <x:v>content/weapons/WPN-mitrailleuse-du-mako.json</x:v>
      </x:c>
      <x:c r="L27" s="14" t="str"/>
      <x:c r="M27" s="14" t="str"/>
      <x:c r="N27" s="14" t="str">
        <x:v>Famille canonique ou modèle candidat ; fabricant, rang et statistiques à vérifier.</x:v>
      </x:c>
      <x:c r="O27" s="14" t="str">
        <x:v>https://eaassets-a.akamaihd.net/eahelp/manuals/mass-effect-manuals_PC_fr.pdf</x:v>
      </x:c>
      <x:c r="P27" s="14" t="str">
        <x:v>Production ME1</x:v>
      </x:c>
      <x:c r="Q27" s="14" t="str"/>
    </x:row>
    <x:row r="28" ht="36" customHeight="1">
      <x:c r="A28" s="12" t="str">
        <x:v>WPN-arme-de-tourelle</x:v>
      </x:c>
      <x:c r="B28" s="7" t="str">
        <x:v>Arme de tourelle</x:v>
      </x:c>
      <x:c r="C28" s="10" t="str">
        <x:v>Défini</x:v>
      </x:c>
      <x:c r="D28" s="11" t="str">
        <x:v>À produire</x:v>
      </x:c>
      <x:c r="E28" s="9" t="str">
        <x:v>P1</x:v>
      </x:c>
      <x:c r="F28" s="9" t="str">
        <x:v>ME1</x:v>
      </x:c>
      <x:c r="G28" s="9" t="str">
        <x:v>Référence à vérifier</x:v>
      </x:c>
      <x:c r="H28" s="7" t="str">
        <x:v>Défense fixe ou montée.</x:v>
      </x:c>
      <x:c r="I28" s="7" t="str">
        <x:v>Arc de tir limité par la monture.</x:v>
      </x:c>
      <x:c r="J28" s="7" t="str"/>
      <x:c r="K28" s="7" t="str">
        <x:v>content/weapons/WPN-arme-de-tourelle.json</x:v>
      </x:c>
      <x:c r="L28" s="7" t="str"/>
      <x:c r="M28" s="7" t="str"/>
      <x:c r="N28" s="7" t="str">
        <x:v>Famille canonique ou modèle candidat ; fabricant, rang et statistiques à vérifier.</x:v>
      </x:c>
      <x:c r="O28" s="7" t="str">
        <x:v>https://eaassets-a.akamaihd.net/eahelp/manuals/mass-effect-manuals_PC_fr.pdf</x:v>
      </x:c>
      <x:c r="P28" s="7" t="str">
        <x:v>Production ME1</x:v>
      </x:c>
      <x:c r="Q28" s="7" t="str"/>
    </x:row>
    <x:row r="29" ht="36" customHeight="1">
      <x:c r="A29" s="13" t="str">
        <x:v>WPN-ameliorations-d-arme</x:v>
      </x:c>
      <x:c r="B29" s="14" t="str">
        <x:v>Améliorations d’arme</x:v>
      </x:c>
      <x:c r="C29" s="10" t="str">
        <x:v>Défini</x:v>
      </x:c>
      <x:c r="D29" s="11" t="str">
        <x:v>À produire</x:v>
      </x:c>
      <x:c r="E29" s="15" t="str">
        <x:v>P1</x:v>
      </x:c>
      <x:c r="F29" s="15" t="str">
        <x:v>ME1</x:v>
      </x:c>
      <x:c r="G29" s="15" t="str">
        <x:v>Référence à vérifier</x:v>
      </x:c>
      <x:c r="H29" s="14" t="str">
        <x:v>Modules de dégâts, précision et dissipation.</x:v>
      </x:c>
      <x:c r="I29" s="14" t="str">
        <x:v>Compatibilité et compromis affichés.</x:v>
      </x:c>
      <x:c r="J29" s="14" t="str"/>
      <x:c r="K29" s="14" t="str">
        <x:v>content/weapons/WPN-ameliorations-d-arme.json</x:v>
      </x:c>
      <x:c r="L29" s="14" t="str"/>
      <x:c r="M29" s="14" t="str"/>
      <x:c r="N29" s="14" t="str">
        <x:v>Famille canonique ou modèle candidat ; fabricant, rang et statistiques à vérifier.</x:v>
      </x:c>
      <x:c r="O29" s="14" t="str">
        <x:v>https://eaassets-a.akamaihd.net/eahelp/manuals/mass-effect-manuals_PC_fr.pdf</x:v>
      </x:c>
      <x:c r="P29" s="14" t="str">
        <x:v>Production ME1</x:v>
      </x:c>
      <x:c r="Q29" s="14" t="str"/>
    </x:row>
    <x:row r="30" ht="36" customHeight="1">
      <x:c r="A30" s="12" t="str">
        <x:v>WPN-ameliorations-de-munitions</x:v>
      </x:c>
      <x:c r="B30" s="7" t="str">
        <x:v>Améliorations de munitions</x:v>
      </x:c>
      <x:c r="C30" s="10" t="str">
        <x:v>Défini</x:v>
      </x:c>
      <x:c r="D30" s="11" t="str">
        <x:v>À produire</x:v>
      </x:c>
      <x:c r="E30" s="9" t="str">
        <x:v>P1</x:v>
      </x:c>
      <x:c r="F30" s="9" t="str">
        <x:v>ME1</x:v>
      </x:c>
      <x:c r="G30" s="9" t="str">
        <x:v>Référence à vérifier</x:v>
      </x:c>
      <x:c r="H30" s="7" t="str">
        <x:v>Effets contre synthétiques, organiques ou autres.</x:v>
      </x:c>
      <x:c r="I30" s="7" t="str">
        <x:v>Équipement persistant, sans cartouches thermiques dans ME1.</x:v>
      </x:c>
      <x:c r="J30" s="7" t="str"/>
      <x:c r="K30" s="7" t="str">
        <x:v>content/weapons/WPN-ameliorations-de-munitions.json</x:v>
      </x:c>
      <x:c r="L30" s="7" t="str"/>
      <x:c r="M30" s="7" t="str"/>
      <x:c r="N30" s="7" t="str">
        <x:v>Famille canonique ou modèle candidat ; fabricant, rang et statistiques à vérifier.</x:v>
      </x:c>
      <x:c r="O30" s="7" t="str">
        <x:v>https://eaassets-a.akamaihd.net/eahelp/manuals/mass-effect-manuals_PC_fr.pdf</x:v>
      </x:c>
      <x:c r="P30" s="7" t="str">
        <x:v>Production ME1</x:v>
      </x:c>
      <x:c r="Q30" s="7" t="str"/>
    </x:row>
    <x:row r="31" ht="75" customHeight="1">
      <x:c r="A31" s="13" t="str">
        <x:v>GEAR-kessler-i</x:v>
      </x:c>
      <x:c r="B31" s="14" t="str">
        <x:v>Kessler I</x:v>
      </x:c>
      <x:c r="C31" s="10" t="str">
        <x:v>Prototype</x:v>
      </x:c>
      <x:c r="D31" s="11" t="str">
        <x:v>À produire</x:v>
      </x:c>
      <x:c r="E31" s="15" t="str">
        <x:v>P1</x:v>
      </x:c>
      <x:c r="F31" s="15" t="str">
        <x:v>ME1</x:v>
      </x:c>
      <x:c r="G31" s="15" t="str">
        <x:v>Adaptation</x:v>
      </x:c>
      <x:c r="H31" s="14" t="str">
        <x:v>Arme, Pistolet. Hahne-Kedar. Niveau 1. Achat 70 crédits, vente 28, stock initial 3. Effets ATB : puissance=0, multiplicateur de chaleur=1.</x:v>
      </x:c>
      <x:c r="I31" s="14" t="str">
        <x:v>Achat, vente et attribution atomiques à l’emplacement Arme. Vérifier niveau, stock, possession. Appliquer une fois les bonus affichés, préserver après sauvegarde et restituer au retrait. Puissance de l’arme réduite de moitié sans entraînement.</x:v>
      </x:c>
      <x:c r="J31" s="14" t="str">
        <x:v>SYS-inventaire, SYS-commerce</x:v>
      </x:c>
      <x:c r="K31" s="14" t="str">
        <x:v>src/loadout.js</x:v>
      </x:c>
      <x:c r="L31" s="14" t="str">
        <x:v>src/loadout.js</x:v>
      </x:c>
      <x:c r="M31" s="14" t="str">
        <x:v>ITEMS.kessler-i</x:v>
      </x:c>
      <x:c r="N31" s="14" t="str">
        <x:v>Objectifs et noms ME1 référencés ; chiffres, découpage et interface propres à cette adaptation ATB.</x:v>
      </x:c>
      <x:c r="O31" s="14" t="str">
        <x:v>https://masseffect.fandom.com/wiki/Pistols</x:v>
      </x:c>
      <x:c r="P31" s="14" t="str">
        <x:v>Production ME1</x:v>
      </x:c>
      <x:c r="Q31" s="14" t="str">
        <x:v>Dotation de départ : aucune modification des statistiques de base. Nom et famille référencés ; chiffres adaptés au système ATB. Aucun sprite ou modèle distinct pour cette référence.</x:v>
      </x:c>
    </x:row>
    <x:row r="32" ht="75" customHeight="1">
      <x:c r="A32" s="12" t="str">
        <x:v>GEAR-lancer-i</x:v>
      </x:c>
      <x:c r="B32" s="7" t="str">
        <x:v>Lancer I</x:v>
      </x:c>
      <x:c r="C32" s="10" t="str">
        <x:v>Prototype</x:v>
      </x:c>
      <x:c r="D32" s="11" t="str">
        <x:v>À produire</x:v>
      </x:c>
      <x:c r="E32" s="9" t="str">
        <x:v>P1</x:v>
      </x:c>
      <x:c r="F32" s="9" t="str">
        <x:v>ME1</x:v>
      </x:c>
      <x:c r="G32" s="9" t="str">
        <x:v>Adaptation</x:v>
      </x:c>
      <x:c r="H32" s="7" t="str">
        <x:v>Arme, Fusil d’assaut. Hahne-Kedar. Niveau 1. Achat 85 crédits, vente 34, stock initial 3. Effets ATB : puissance=0, multiplicateur de chaleur=1.</x:v>
      </x:c>
      <x:c r="I32" s="7" t="str">
        <x:v>Achat, vente et attribution atomiques à l’emplacement Arme. Vérifier niveau, stock, possession. Appliquer une fois les bonus affichés, préserver après sauvegarde et restituer au retrait. Puissance de l’arme réduite de moitié sans entraînement.</x:v>
      </x:c>
      <x:c r="J32" s="7" t="str">
        <x:v>SYS-inventaire, SYS-commerce</x:v>
      </x:c>
      <x:c r="K32" s="7" t="str">
        <x:v>src/loadout.js</x:v>
      </x:c>
      <x:c r="L32" s="7" t="str">
        <x:v>src/loadout.js</x:v>
      </x:c>
      <x:c r="M32" s="7" t="str">
        <x:v>ITEMS.lancer-i</x:v>
      </x:c>
      <x:c r="N32" s="7" t="str">
        <x:v>Objectifs et noms ME1 référencés ; chiffres, découpage et interface propres à cette adaptation ATB.</x:v>
      </x:c>
      <x:c r="O32" s="7" t="str">
        <x:v>https://masseffect.fandom.com/wiki/Assault_Rifles</x:v>
      </x:c>
      <x:c r="P32" s="7" t="str">
        <x:v>Production ME1</x:v>
      </x:c>
      <x:c r="Q32" s="7" t="str">
        <x:v>Dotation de départ : aucune modification des statistiques de base. Nom et famille référencés ; chiffres adaptés au système ATB. Aucun sprite ou modèle distinct pour cette référence.</x:v>
      </x:c>
    </x:row>
    <x:row r="33" ht="75" customHeight="1">
      <x:c r="A33" s="13" t="str">
        <x:v>GEAR-storm-i</x:v>
      </x:c>
      <x:c r="B33" s="14" t="str">
        <x:v>Storm I</x:v>
      </x:c>
      <x:c r="C33" s="10" t="str">
        <x:v>Prototype</x:v>
      </x:c>
      <x:c r="D33" s="11" t="str">
        <x:v>À produire</x:v>
      </x:c>
      <x:c r="E33" s="15" t="str">
        <x:v>P1</x:v>
      </x:c>
      <x:c r="F33" s="15" t="str">
        <x:v>ME1</x:v>
      </x:c>
      <x:c r="G33" s="15" t="str">
        <x:v>Adaptation</x:v>
      </x:c>
      <x:c r="H33" s="14" t="str">
        <x:v>Arme, Fusil à pompe. Hahne-Kedar. Niveau 1. Achat 100 crédits, vente 40, stock initial 3. Effets ATB : puissance=0, multiplicateur de chaleur=1.</x:v>
      </x:c>
      <x:c r="I33" s="14" t="str">
        <x:v>Achat, vente et attribution atomiques à l’emplacement Arme. Vérifier niveau, stock, possession. Appliquer une fois les bonus affichés, préserver après sauvegarde et restituer au retrait. Puissance de l’arme réduite de moitié sans entraînement.</x:v>
      </x:c>
      <x:c r="J33" s="14" t="str">
        <x:v>SYS-inventaire, SYS-commerce</x:v>
      </x:c>
      <x:c r="K33" s="14" t="str">
        <x:v>src/loadout.js</x:v>
      </x:c>
      <x:c r="L33" s="14" t="str">
        <x:v>src/loadout.js</x:v>
      </x:c>
      <x:c r="M33" s="14" t="str">
        <x:v>ITEMS.storm-i</x:v>
      </x:c>
      <x:c r="N33" s="14" t="str">
        <x:v>Objectifs et noms ME1 référencés ; chiffres, découpage et interface propres à cette adaptation ATB.</x:v>
      </x:c>
      <x:c r="O33" s="14" t="str">
        <x:v>https://masseffect.fandom.com/wiki/Shotguns</x:v>
      </x:c>
      <x:c r="P33" s="14" t="str">
        <x:v>Production ME1</x:v>
      </x:c>
      <x:c r="Q33" s="14" t="str">
        <x:v>Dotation de départ : aucune modification des statistiques de base. Nom et famille référencés ; chiffres adaptés au système ATB. Aucun sprite ou modèle distinct pour cette référence.</x:v>
      </x:c>
    </x:row>
    <x:row r="34" ht="75" customHeight="1">
      <x:c r="A34" s="12" t="str">
        <x:v>GEAR-avenger-i</x:v>
      </x:c>
      <x:c r="B34" s="7" t="str">
        <x:v>Avenger I</x:v>
      </x:c>
      <x:c r="C34" s="10" t="str">
        <x:v>Prototype</x:v>
      </x:c>
      <x:c r="D34" s="11" t="str">
        <x:v>À produire</x:v>
      </x:c>
      <x:c r="E34" s="9" t="str">
        <x:v>P1</x:v>
      </x:c>
      <x:c r="F34" s="9" t="str">
        <x:v>ME1</x:v>
      </x:c>
      <x:c r="G34" s="9" t="str">
        <x:v>Adaptation</x:v>
      </x:c>
      <x:c r="H34" s="7" t="str">
        <x:v>Arme, Fusil de précision. Hahne-Kedar. Niveau 1. Achat 115 crédits, vente 46, stock initial 3. Effets ATB : puissance=0, multiplicateur de chaleur=1.</x:v>
      </x:c>
      <x:c r="I34" s="7" t="str">
        <x:v>Achat, vente et attribution atomiques à l’emplacement Arme. Vérifier niveau, stock, possession. Appliquer une fois les bonus affichés, préserver après sauvegarde et restituer au retrait. Puissance de l’arme réduite de moitié sans entraînement.</x:v>
      </x:c>
      <x:c r="J34" s="7" t="str">
        <x:v>SYS-inventaire, SYS-commerce</x:v>
      </x:c>
      <x:c r="K34" s="7" t="str">
        <x:v>src/loadout.js</x:v>
      </x:c>
      <x:c r="L34" s="7" t="str">
        <x:v>src/loadout.js</x:v>
      </x:c>
      <x:c r="M34" s="7" t="str">
        <x:v>ITEMS.avenger-i</x:v>
      </x:c>
      <x:c r="N34" s="7" t="str">
        <x:v>Objectifs et noms ME1 référencés ; chiffres, découpage et interface propres à cette adaptation ATB.</x:v>
      </x:c>
      <x:c r="O34" s="7" t="str">
        <x:v>https://masseffect.fandom.com/wiki/Sniper_Rifles</x:v>
      </x:c>
      <x:c r="P34" s="7" t="str">
        <x:v>Production ME1</x:v>
      </x:c>
      <x:c r="Q34" s="7" t="str">
        <x:v>Dotation de départ : aucune modification des statistiques de base. Nom et famille référencés ; chiffres adaptés au système ATB. Aucun sprite ou modèle distinct pour cette référence.</x:v>
      </x:c>
    </x:row>
    <x:row r="35" ht="75" customHeight="1">
      <x:c r="A35" s="13" t="str">
        <x:v>GEAR-striker-iii</x:v>
      </x:c>
      <x:c r="B35" s="14" t="str">
        <x:v>Striker III</x:v>
      </x:c>
      <x:c r="C35" s="10" t="str">
        <x:v>Prototype</x:v>
      </x:c>
      <x:c r="D35" s="11" t="str">
        <x:v>À produire</x:v>
      </x:c>
      <x:c r="E35" s="15" t="str">
        <x:v>P1</x:v>
      </x:c>
      <x:c r="F35" s="15" t="str">
        <x:v>ME1</x:v>
      </x:c>
      <x:c r="G35" s="15" t="str">
        <x:v>Adaptation</x:v>
      </x:c>
      <x:c r="H35" s="14" t="str">
        <x:v>Arme, Pistolet. Elanus Risk Control Services. Niveau 2. Achat 190 crédits, vente 76, stock initial 3. Effets ATB : puissance=3, multiplicateur de chaleur=0.88.</x:v>
      </x:c>
      <x:c r="I35" s="14" t="str">
        <x:v>Achat, vente et attribution atomiques à l’emplacement Arme. Vérifier niveau, stock, possession. Appliquer une fois les bonus affichés, préserver après sauvegarde et restituer au retrait. Puissance de l’arme réduite de moitié sans entraînement.</x:v>
      </x:c>
      <x:c r="J35" s="14" t="str">
        <x:v>SYS-inventaire, SYS-commerce</x:v>
      </x:c>
      <x:c r="K35" s="14" t="str">
        <x:v>src/loadout.js</x:v>
      </x:c>
      <x:c r="L35" s="14" t="str">
        <x:v>src/loadout.js</x:v>
      </x:c>
      <x:c r="M35" s="14" t="str">
        <x:v>ITEMS.striker-iii</x:v>
      </x:c>
      <x:c r="N35" s="14" t="str">
        <x:v>Objectifs et noms ME1 référencés ; chiffres, découpage et interface propres à cette adaptation ATB.</x:v>
      </x:c>
      <x:c r="O35" s="14" t="str">
        <x:v>https://masseffect.fandom.com/wiki/Pistols</x:v>
      </x:c>
      <x:c r="P35" s="14" t="str">
        <x:v>Production ME1</x:v>
      </x:c>
      <x:c r="Q35" s="14" t="str">
        <x:v>Pistolet : équilibre entre puissance et chaleur. Le bonus de puissance est réduit sans entraînement. Nom et famille référencés ; chiffres adaptés au système ATB. Aucun sprite ou modèle distinct pour cette référence.</x:v>
      </x:c>
    </x:row>
    <x:row r="36" ht="75" customHeight="1">
      <x:c r="A36" s="12" t="str">
        <x:v>GEAR-banshee-iii</x:v>
      </x:c>
      <x:c r="B36" s="7" t="str">
        <x:v>Banshee III</x:v>
      </x:c>
      <x:c r="C36" s="10" t="str">
        <x:v>Prototype</x:v>
      </x:c>
      <x:c r="D36" s="11" t="str">
        <x:v>À produire</x:v>
      </x:c>
      <x:c r="E36" s="9" t="str">
        <x:v>P1</x:v>
      </x:c>
      <x:c r="F36" s="9" t="str">
        <x:v>ME1</x:v>
      </x:c>
      <x:c r="G36" s="9" t="str">
        <x:v>Adaptation</x:v>
      </x:c>
      <x:c r="H36" s="7" t="str">
        <x:v>Arme, Fusil d’assaut. Elanus Risk Control Services. Niveau 2. Achat 205 crédits, vente 82, stock initial 3. Effets ATB : puissance=4, multiplicateur de chaleur=1.</x:v>
      </x:c>
      <x:c r="I36" s="7" t="str">
        <x:v>Achat, vente et attribution atomiques à l’emplacement Arme. Vérifier niveau, stock, possession. Appliquer une fois les bonus affichés, préserver après sauvegarde et restituer au retrait. Puissance de l’arme réduite de moitié sans entraînement.</x:v>
      </x:c>
      <x:c r="J36" s="7" t="str">
        <x:v>SYS-inventaire, SYS-commerce</x:v>
      </x:c>
      <x:c r="K36" s="7" t="str">
        <x:v>src/loadout.js</x:v>
      </x:c>
      <x:c r="L36" s="7" t="str">
        <x:v>src/loadout.js</x:v>
      </x:c>
      <x:c r="M36" s="7" t="str">
        <x:v>ITEMS.banshee-iii</x:v>
      </x:c>
      <x:c r="N36" s="7" t="str">
        <x:v>Objectifs et noms ME1 référencés ; chiffres, découpage et interface propres à cette adaptation ATB.</x:v>
      </x:c>
      <x:c r="O36" s="7" t="str">
        <x:v>https://masseffect.fandom.com/wiki/Assault_Rifles</x:v>
      </x:c>
      <x:c r="P36" s="7" t="str">
        <x:v>Production ME1</x:v>
      </x:c>
      <x:c r="Q36" s="7" t="str">
        <x:v>Fusil d’assaut : équilibre entre puissance et chaleur. Le bonus de puissance est réduit sans entraînement. Nom et famille référencés ; chiffres adaptés au système ATB. Aucun sprite ou modèle distinct pour cette référence.</x:v>
      </x:c>
    </x:row>
    <x:row r="37" ht="75" customHeight="1">
      <x:c r="A37" s="13" t="str">
        <x:v>GEAR-hurricane-iii</x:v>
      </x:c>
      <x:c r="B37" s="14" t="str">
        <x:v>Hurricane III</x:v>
      </x:c>
      <x:c r="C37" s="10" t="str">
        <x:v>Prototype</x:v>
      </x:c>
      <x:c r="D37" s="11" t="str">
        <x:v>À produire</x:v>
      </x:c>
      <x:c r="E37" s="15" t="str">
        <x:v>P1</x:v>
      </x:c>
      <x:c r="F37" s="15" t="str">
        <x:v>ME1</x:v>
      </x:c>
      <x:c r="G37" s="15" t="str">
        <x:v>Adaptation</x:v>
      </x:c>
      <x:c r="H37" s="14" t="str">
        <x:v>Arme, Fusil à pompe. Elanus Risk Control Services. Niveau 2. Achat 220 crédits, vente 88, stock initial 3. Effets ATB : puissance=5, multiplicateur de chaleur=1.12.</x:v>
      </x:c>
      <x:c r="I37" s="14" t="str">
        <x:v>Achat, vente et attribution atomiques à l’emplacement Arme. Vérifier niveau, stock, possession. Appliquer une fois les bonus affichés, préserver après sauvegarde et restituer au retrait. Puissance de l’arme réduite de moitié sans entraînement.</x:v>
      </x:c>
      <x:c r="J37" s="14" t="str">
        <x:v>SYS-inventaire, SYS-commerce</x:v>
      </x:c>
      <x:c r="K37" s="14" t="str">
        <x:v>src/loadout.js</x:v>
      </x:c>
      <x:c r="L37" s="14" t="str">
        <x:v>src/loadout.js</x:v>
      </x:c>
      <x:c r="M37" s="14" t="str">
        <x:v>ITEMS.hurricane-iii</x:v>
      </x:c>
      <x:c r="N37" s="14" t="str">
        <x:v>Objectifs et noms ME1 référencés ; chiffres, découpage et interface propres à cette adaptation ATB.</x:v>
      </x:c>
      <x:c r="O37" s="14" t="str">
        <x:v>https://masseffect.fandom.com/wiki/Shotguns</x:v>
      </x:c>
      <x:c r="P37" s="14" t="str">
        <x:v>Production ME1</x:v>
      </x:c>
      <x:c r="Q37" s="14" t="str">
        <x:v>Fusil à pompe : équilibre entre puissance et chaleur. Le bonus de puissance est réduit sans entraînement. Nom et famille référencés ; chiffres adaptés au système ATB. Aucun sprite ou modèle distinct pour cette référence.</x:v>
      </x:c>
    </x:row>
    <x:row r="38" ht="75" customHeight="1">
      <x:c r="A38" s="12" t="str">
        <x:v>GEAR-hammer-iii</x:v>
      </x:c>
      <x:c r="B38" s="7" t="str">
        <x:v>Hammer III</x:v>
      </x:c>
      <x:c r="C38" s="10" t="str">
        <x:v>Prototype</x:v>
      </x:c>
      <x:c r="D38" s="11" t="str">
        <x:v>À produire</x:v>
      </x:c>
      <x:c r="E38" s="9" t="str">
        <x:v>P1</x:v>
      </x:c>
      <x:c r="F38" s="9" t="str">
        <x:v>ME1</x:v>
      </x:c>
      <x:c r="G38" s="9" t="str">
        <x:v>Adaptation</x:v>
      </x:c>
      <x:c r="H38" s="7" t="str">
        <x:v>Arme, Fusil de précision. Elanus Risk Control Services. Niveau 2. Achat 235 crédits, vente 94, stock initial 3. Effets ATB : puissance=6, multiplicateur de chaleur=1.2.</x:v>
      </x:c>
      <x:c r="I38" s="7" t="str">
        <x:v>Achat, vente et attribution atomiques à l’emplacement Arme. Vérifier niveau, stock, possession. Appliquer une fois les bonus affichés, préserver après sauvegarde et restituer au retrait. Puissance de l’arme réduite de moitié sans entraînement.</x:v>
      </x:c>
      <x:c r="J38" s="7" t="str">
        <x:v>SYS-inventaire, SYS-commerce</x:v>
      </x:c>
      <x:c r="K38" s="7" t="str">
        <x:v>src/loadout.js</x:v>
      </x:c>
      <x:c r="L38" s="7" t="str">
        <x:v>src/loadout.js</x:v>
      </x:c>
      <x:c r="M38" s="7" t="str">
        <x:v>ITEMS.hammer-iii</x:v>
      </x:c>
      <x:c r="N38" s="7" t="str">
        <x:v>Objectifs et noms ME1 référencés ; chiffres, découpage et interface propres à cette adaptation ATB.</x:v>
      </x:c>
      <x:c r="O38" s="7" t="str">
        <x:v>https://masseffect.fandom.com/wiki/Sniper_Rifles</x:v>
      </x:c>
      <x:c r="P38" s="7" t="str">
        <x:v>Production ME1</x:v>
      </x:c>
      <x:c r="Q38" s="7" t="str">
        <x:v>Fusil de précision : équilibre entre puissance et chaleur. Le bonus de puissance est réduit sans entraînement. Nom et famille référencés ; chiffres adaptés au système ATB. Aucun sprite ou modèle distinct pour cette référence.</x:v>
      </x:c>
    </x:row>
    <x:row r="39" ht="75" customHeight="1">
      <x:c r="A39" s="13" t="str">
        <x:v>GEAR-raikou-v</x:v>
      </x:c>
      <x:c r="B39" s="14" t="str">
        <x:v>Raikou V</x:v>
      </x:c>
      <x:c r="C39" s="10" t="str">
        <x:v>Prototype</x:v>
      </x:c>
      <x:c r="D39" s="11" t="str">
        <x:v>À produire</x:v>
      </x:c>
      <x:c r="E39" s="15" t="str">
        <x:v>P1</x:v>
      </x:c>
      <x:c r="F39" s="15" t="str">
        <x:v>ME1</x:v>
      </x:c>
      <x:c r="G39" s="15" t="str">
        <x:v>Adaptation</x:v>
      </x:c>
      <x:c r="H39" s="14" t="str">
        <x:v>Arme, Pistolet. Ariake Technologies. Niveau 4. Achat 350 crédits, vente 140, stock initial 3. Effets ATB : puissance=6, multiplicateur de chaleur=0.88.</x:v>
      </x:c>
      <x:c r="I39" s="14" t="str">
        <x:v>Achat, vente et attribution atomiques à l’emplacement Arme. Vérifier niveau, stock, possession. Appliquer une fois les bonus affichés, préserver après sauvegarde et restituer au retrait. Puissance de l’arme réduite de moitié sans entraînement.</x:v>
      </x:c>
      <x:c r="J39" s="14" t="str">
        <x:v>SYS-inventaire, SYS-commerce</x:v>
      </x:c>
      <x:c r="K39" s="14" t="str">
        <x:v>src/loadout.js</x:v>
      </x:c>
      <x:c r="L39" s="14" t="str">
        <x:v>src/loadout.js</x:v>
      </x:c>
      <x:c r="M39" s="14" t="str">
        <x:v>ITEMS.raikou-v</x:v>
      </x:c>
      <x:c r="N39" s="14" t="str">
        <x:v>Objectifs et noms ME1 référencés ; chiffres, découpage et interface propres à cette adaptation ATB.</x:v>
      </x:c>
      <x:c r="O39" s="14" t="str">
        <x:v>https://masseffect.fandom.com/wiki/Pistols</x:v>
      </x:c>
      <x:c r="P39" s="14" t="str">
        <x:v>Production ME1</x:v>
      </x:c>
      <x:c r="Q39" s="14" t="str">
        <x:v>Pistolet : équilibre entre puissance et chaleur. Le bonus de puissance est réduit sans entraînement. Nom et famille référencés ; chiffres adaptés au système ATB. Aucun sprite ou modèle distinct pour cette référence.</x:v>
      </x:c>
    </x:row>
    <x:row r="40" ht="75" customHeight="1">
      <x:c r="A40" s="12" t="str">
        <x:v>GEAR-tsunami-v</x:v>
      </x:c>
      <x:c r="B40" s="7" t="str">
        <x:v>Tsunami V</x:v>
      </x:c>
      <x:c r="C40" s="10" t="str">
        <x:v>Prototype</x:v>
      </x:c>
      <x:c r="D40" s="11" t="str">
        <x:v>À produire</x:v>
      </x:c>
      <x:c r="E40" s="9" t="str">
        <x:v>P1</x:v>
      </x:c>
      <x:c r="F40" s="9" t="str">
        <x:v>ME1</x:v>
      </x:c>
      <x:c r="G40" s="9" t="str">
        <x:v>Adaptation</x:v>
      </x:c>
      <x:c r="H40" s="7" t="str">
        <x:v>Arme, Fusil d’assaut. Ariake Technologies. Niveau 4. Achat 365 crédits, vente 146, stock initial 3. Effets ATB : puissance=7, multiplicateur de chaleur=1.</x:v>
      </x:c>
      <x:c r="I40" s="7" t="str">
        <x:v>Achat, vente et attribution atomiques à l’emplacement Arme. Vérifier niveau, stock, possession. Appliquer une fois les bonus affichés, préserver après sauvegarde et restituer au retrait. Puissance de l’arme réduite de moitié sans entraînement.</x:v>
      </x:c>
      <x:c r="J40" s="7" t="str">
        <x:v>SYS-inventaire, SYS-commerce</x:v>
      </x:c>
      <x:c r="K40" s="7" t="str">
        <x:v>src/loadout.js</x:v>
      </x:c>
      <x:c r="L40" s="7" t="str">
        <x:v>src/loadout.js</x:v>
      </x:c>
      <x:c r="M40" s="7" t="str">
        <x:v>ITEMS.tsunami-v</x:v>
      </x:c>
      <x:c r="N40" s="7" t="str">
        <x:v>Objectifs et noms ME1 référencés ; chiffres, découpage et interface propres à cette adaptation ATB.</x:v>
      </x:c>
      <x:c r="O40" s="7" t="str">
        <x:v>https://masseffect.fandom.com/wiki/Assault_Rifles</x:v>
      </x:c>
      <x:c r="P40" s="7" t="str">
        <x:v>Production ME1</x:v>
      </x:c>
      <x:c r="Q40" s="7" t="str">
        <x:v>Fusil d’assaut : équilibre entre puissance et chaleur. Le bonus de puissance est réduit sans entraînement. Nom et famille référencés ; chiffres adaptés au système ATB. Aucun sprite ou modèle distinct pour cette référence.</x:v>
      </x:c>
    </x:row>
    <x:row r="41" ht="75" customHeight="1">
      <x:c r="A41" s="13" t="str">
        <x:v>GEAR-katana-v</x:v>
      </x:c>
      <x:c r="B41" s="14" t="str">
        <x:v>Katana V</x:v>
      </x:c>
      <x:c r="C41" s="10" t="str">
        <x:v>Prototype</x:v>
      </x:c>
      <x:c r="D41" s="11" t="str">
        <x:v>À produire</x:v>
      </x:c>
      <x:c r="E41" s="15" t="str">
        <x:v>P1</x:v>
      </x:c>
      <x:c r="F41" s="15" t="str">
        <x:v>ME1</x:v>
      </x:c>
      <x:c r="G41" s="15" t="str">
        <x:v>Adaptation</x:v>
      </x:c>
      <x:c r="H41" s="14" t="str">
        <x:v>Arme, Fusil à pompe. Ariake Technologies. Niveau 4. Achat 380 crédits, vente 152, stock initial 3. Effets ATB : puissance=8, multiplicateur de chaleur=1.12.</x:v>
      </x:c>
      <x:c r="I41" s="14" t="str">
        <x:v>Achat, vente et attribution atomiques à l’emplacement Arme. Vérifier niveau, stock, possession. Appliquer une fois les bonus affichés, préserver après sauvegarde et restituer au retrait. Puissance de l’arme réduite de moitié sans entraînement.</x:v>
      </x:c>
      <x:c r="J41" s="14" t="str">
        <x:v>SYS-inventaire, SYS-commerce</x:v>
      </x:c>
      <x:c r="K41" s="14" t="str">
        <x:v>src/loadout.js</x:v>
      </x:c>
      <x:c r="L41" s="14" t="str">
        <x:v>src/loadout.js</x:v>
      </x:c>
      <x:c r="M41" s="14" t="str">
        <x:v>ITEMS.katana-v</x:v>
      </x:c>
      <x:c r="N41" s="14" t="str">
        <x:v>Objectifs et noms ME1 référencés ; chiffres, découpage et interface propres à cette adaptation ATB.</x:v>
      </x:c>
      <x:c r="O41" s="14" t="str">
        <x:v>https://masseffect.fandom.com/wiki/Shotguns</x:v>
      </x:c>
      <x:c r="P41" s="14" t="str">
        <x:v>Production ME1</x:v>
      </x:c>
      <x:c r="Q41" s="14" t="str">
        <x:v>Fusil à pompe : équilibre entre puissance et chaleur. Le bonus de puissance est réduit sans entraînement. Nom et famille référencés ; chiffres adaptés au système ATB. Aucun sprite ou modèle distinct pour cette référence.</x:v>
      </x:c>
    </x:row>
    <x:row r="42" ht="75" customHeight="1">
      <x:c r="A42" s="12" t="str">
        <x:v>GEAR-naginata-v</x:v>
      </x:c>
      <x:c r="B42" s="7" t="str">
        <x:v>Naginata V</x:v>
      </x:c>
      <x:c r="C42" s="10" t="str">
        <x:v>Prototype</x:v>
      </x:c>
      <x:c r="D42" s="11" t="str">
        <x:v>À produire</x:v>
      </x:c>
      <x:c r="E42" s="9" t="str">
        <x:v>P1</x:v>
      </x:c>
      <x:c r="F42" s="9" t="str">
        <x:v>ME1</x:v>
      </x:c>
      <x:c r="G42" s="9" t="str">
        <x:v>Adaptation</x:v>
      </x:c>
      <x:c r="H42" s="7" t="str">
        <x:v>Arme, Fusil de précision. Ariake Technologies. Niveau 4. Achat 395 crédits, vente 158, stock initial 3. Effets ATB : puissance=9, multiplicateur de chaleur=1.2.</x:v>
      </x:c>
      <x:c r="I42" s="7" t="str">
        <x:v>Achat, vente et attribution atomiques à l’emplacement Arme. Vérifier niveau, stock, possession. Appliquer une fois les bonus affichés, préserver après sauvegarde et restituer au retrait. Puissance de l’arme réduite de moitié sans entraînement.</x:v>
      </x:c>
      <x:c r="J42" s="7" t="str">
        <x:v>SYS-inventaire, SYS-commerce</x:v>
      </x:c>
      <x:c r="K42" s="7" t="str">
        <x:v>src/loadout.js</x:v>
      </x:c>
      <x:c r="L42" s="7" t="str">
        <x:v>src/loadout.js</x:v>
      </x:c>
      <x:c r="M42" s="7" t="str">
        <x:v>ITEMS.naginata-v</x:v>
      </x:c>
      <x:c r="N42" s="7" t="str">
        <x:v>Objectifs et noms ME1 référencés ; chiffres, découpage et interface propres à cette adaptation ATB.</x:v>
      </x:c>
      <x:c r="O42" s="7" t="str">
        <x:v>https://masseffect.fandom.com/wiki/Sniper_Rifles</x:v>
      </x:c>
      <x:c r="P42" s="7" t="str">
        <x:v>Production ME1</x:v>
      </x:c>
      <x:c r="Q42" s="7" t="str">
        <x:v>Fusil de précision : équilibre entre puissance et chaleur. Le bonus de puissance est réduit sans entraînement. Nom et famille référencés ; chiffres adaptés au système ATB. Aucun sprite ou modèle distinct pour cette référence.</x:v>
      </x:c>
    </x:row>
    <x:row r="43" ht="75" customHeight="1">
      <x:c r="A43" s="13" t="str">
        <x:v>GEAR-brawler-vii</x:v>
      </x:c>
      <x:c r="B43" s="14" t="str">
        <x:v>Brawler VII</x:v>
      </x:c>
      <x:c r="C43" s="10" t="str">
        <x:v>Prototype</x:v>
      </x:c>
      <x:c r="D43" s="11" t="str">
        <x:v>À produire</x:v>
      </x:c>
      <x:c r="E43" s="15" t="str">
        <x:v>P1</x:v>
      </x:c>
      <x:c r="F43" s="15" t="str">
        <x:v>ME1</x:v>
      </x:c>
      <x:c r="G43" s="15" t="str">
        <x:v>Adaptation</x:v>
      </x:c>
      <x:c r="H43" s="14" t="str">
        <x:v>Arme, Pistolet. Armax Arsenal. Niveau 6. Achat 560 crédits, vente 224, stock initial 3. Effets ATB : puissance=9, multiplicateur de chaleur=0.88.</x:v>
      </x:c>
      <x:c r="I43" s="14" t="str">
        <x:v>Achat, vente et attribution atomiques à l’emplacement Arme. Vérifier niveau, stock, possession. Appliquer une fois les bonus affichés, préserver après sauvegarde et restituer au retrait. Puissance de l’arme réduite de moitié sans entraînement.</x:v>
      </x:c>
      <x:c r="J43" s="14" t="str">
        <x:v>SYS-inventaire, SYS-commerce</x:v>
      </x:c>
      <x:c r="K43" s="14" t="str">
        <x:v>src/loadout.js</x:v>
      </x:c>
      <x:c r="L43" s="14" t="str">
        <x:v>src/loadout.js</x:v>
      </x:c>
      <x:c r="M43" s="14" t="str">
        <x:v>ITEMS.brawler-vii</x:v>
      </x:c>
      <x:c r="N43" s="14" t="str">
        <x:v>Objectifs et noms ME1 référencés ; chiffres, découpage et interface propres à cette adaptation ATB.</x:v>
      </x:c>
      <x:c r="O43" s="14" t="str">
        <x:v>https://masseffect.fandom.com/wiki/Pistols</x:v>
      </x:c>
      <x:c r="P43" s="14" t="str">
        <x:v>Production ME1</x:v>
      </x:c>
      <x:c r="Q43" s="14" t="str">
        <x:v>Pistolet : équilibre entre puissance et chaleur. Le bonus de puissance est réduit sans entraînement. Nom et famille référencés ; chiffres adaptés au système ATB. Aucun sprite ou modèle distinct pour cette référence.</x:v>
      </x:c>
    </x:row>
    <x:row r="44" ht="75" customHeight="1">
      <x:c r="A44" s="12" t="str">
        <x:v>GEAR-crossfire-vii</x:v>
      </x:c>
      <x:c r="B44" s="7" t="str">
        <x:v>Crossfire VII</x:v>
      </x:c>
      <x:c r="C44" s="10" t="str">
        <x:v>Prototype</x:v>
      </x:c>
      <x:c r="D44" s="11" t="str">
        <x:v>À produire</x:v>
      </x:c>
      <x:c r="E44" s="9" t="str">
        <x:v>P1</x:v>
      </x:c>
      <x:c r="F44" s="9" t="str">
        <x:v>ME1</x:v>
      </x:c>
      <x:c r="G44" s="9" t="str">
        <x:v>Adaptation</x:v>
      </x:c>
      <x:c r="H44" s="7" t="str">
        <x:v>Arme, Fusil d’assaut. Armax Arsenal. Niveau 6. Achat 575 crédits, vente 230, stock initial 3. Effets ATB : puissance=10, multiplicateur de chaleur=1.</x:v>
      </x:c>
      <x:c r="I44" s="7" t="str">
        <x:v>Achat, vente et attribution atomiques à l’emplacement Arme. Vérifier niveau, stock, possession. Appliquer une fois les bonus affichés, préserver après sauvegarde et restituer au retrait. Puissance de l’arme réduite de moitié sans entraînement.</x:v>
      </x:c>
      <x:c r="J44" s="7" t="str">
        <x:v>SYS-inventaire, SYS-commerce</x:v>
      </x:c>
      <x:c r="K44" s="7" t="str">
        <x:v>src/loadout.js</x:v>
      </x:c>
      <x:c r="L44" s="7" t="str">
        <x:v>src/loadout.js</x:v>
      </x:c>
      <x:c r="M44" s="7" t="str">
        <x:v>ITEMS.crossfire-vii</x:v>
      </x:c>
      <x:c r="N44" s="7" t="str">
        <x:v>Objectifs et noms ME1 référencés ; chiffres, découpage et interface propres à cette adaptation ATB.</x:v>
      </x:c>
      <x:c r="O44" s="7" t="str">
        <x:v>https://masseffect.fandom.com/wiki/Assault_Rifles</x:v>
      </x:c>
      <x:c r="P44" s="7" t="str">
        <x:v>Production ME1</x:v>
      </x:c>
      <x:c r="Q44" s="7" t="str">
        <x:v>Fusil d’assaut : équilibre entre puissance et chaleur. Le bonus de puissance est réduit sans entraînement. Nom et famille référencés ; chiffres adaptés au système ATB. Aucun sprite ou modèle distinct pour cette référence.</x:v>
      </x:c>
    </x:row>
    <x:row r="45" ht="75" customHeight="1">
      <x:c r="A45" s="13" t="str">
        <x:v>GEAR-avalanche-vii</x:v>
      </x:c>
      <x:c r="B45" s="14" t="str">
        <x:v>Avalanche VII</x:v>
      </x:c>
      <x:c r="C45" s="10" t="str">
        <x:v>Prototype</x:v>
      </x:c>
      <x:c r="D45" s="11" t="str">
        <x:v>À produire</x:v>
      </x:c>
      <x:c r="E45" s="15" t="str">
        <x:v>P1</x:v>
      </x:c>
      <x:c r="F45" s="15" t="str">
        <x:v>ME1</x:v>
      </x:c>
      <x:c r="G45" s="15" t="str">
        <x:v>Adaptation</x:v>
      </x:c>
      <x:c r="H45" s="14" t="str">
        <x:v>Arme, Fusil à pompe. Armax Arsenal. Niveau 6. Achat 590 crédits, vente 236, stock initial 3. Effets ATB : puissance=11, multiplicateur de chaleur=1.12.</x:v>
      </x:c>
      <x:c r="I45" s="14" t="str">
        <x:v>Achat, vente et attribution atomiques à l’emplacement Arme. Vérifier niveau, stock, possession. Appliquer une fois les bonus affichés, préserver après sauvegarde et restituer au retrait. Puissance de l’arme réduite de moitié sans entraînement.</x:v>
      </x:c>
      <x:c r="J45" s="14" t="str">
        <x:v>SYS-inventaire, SYS-commerce</x:v>
      </x:c>
      <x:c r="K45" s="14" t="str">
        <x:v>src/loadout.js</x:v>
      </x:c>
      <x:c r="L45" s="14" t="str">
        <x:v>src/loadout.js</x:v>
      </x:c>
      <x:c r="M45" s="14" t="str">
        <x:v>ITEMS.avalanche-vii</x:v>
      </x:c>
      <x:c r="N45" s="14" t="str">
        <x:v>Objectifs et noms ME1 référencés ; chiffres, découpage et interface propres à cette adaptation ATB.</x:v>
      </x:c>
      <x:c r="O45" s="14" t="str">
        <x:v>https://masseffect.fandom.com/wiki/Shotguns</x:v>
      </x:c>
      <x:c r="P45" s="14" t="str">
        <x:v>Production ME1</x:v>
      </x:c>
      <x:c r="Q45" s="14" t="str">
        <x:v>Fusil à pompe : équilibre entre puissance et chaleur. Le bonus de puissance est réduit sans entraînement. Nom et famille référencés ; chiffres adaptés au système ATB. Aucun sprite ou modèle distinct pour cette référence.</x:v>
      </x:c>
    </x:row>
    <x:row r="46" ht="75" customHeight="1">
      <x:c r="A46" s="12" t="str">
        <x:v>GEAR-punisher-vii</x:v>
      </x:c>
      <x:c r="B46" s="7" t="str">
        <x:v>Punisher VII</x:v>
      </x:c>
      <x:c r="C46" s="10" t="str">
        <x:v>Prototype</x:v>
      </x:c>
      <x:c r="D46" s="11" t="str">
        <x:v>À produire</x:v>
      </x:c>
      <x:c r="E46" s="9" t="str">
        <x:v>P1</x:v>
      </x:c>
      <x:c r="F46" s="9" t="str">
        <x:v>ME1</x:v>
      </x:c>
      <x:c r="G46" s="9" t="str">
        <x:v>Adaptation</x:v>
      </x:c>
      <x:c r="H46" s="7" t="str">
        <x:v>Arme, Fusil de précision. Armax Arsenal. Niveau 6. Achat 605 crédits, vente 242, stock initial 3. Effets ATB : puissance=12, multiplicateur de chaleur=1.2.</x:v>
      </x:c>
      <x:c r="I46" s="7" t="str">
        <x:v>Achat, vente et attribution atomiques à l’emplacement Arme. Vérifier niveau, stock, possession. Appliquer une fois les bonus affichés, préserver après sauvegarde et restituer au retrait. Puissance de l’arme réduite de moitié sans entraînement.</x:v>
      </x:c>
      <x:c r="J46" s="7" t="str">
        <x:v>SYS-inventaire, SYS-commerce</x:v>
      </x:c>
      <x:c r="K46" s="7" t="str">
        <x:v>src/loadout.js</x:v>
      </x:c>
      <x:c r="L46" s="7" t="str">
        <x:v>src/loadout.js</x:v>
      </x:c>
      <x:c r="M46" s="7" t="str">
        <x:v>ITEMS.punisher-vii</x:v>
      </x:c>
      <x:c r="N46" s="7" t="str">
        <x:v>Objectifs et noms ME1 référencés ; chiffres, découpage et interface propres à cette adaptation ATB.</x:v>
      </x:c>
      <x:c r="O46" s="7" t="str">
        <x:v>https://masseffect.fandom.com/wiki/Sniper_Rifles</x:v>
      </x:c>
      <x:c r="P46" s="7" t="str">
        <x:v>Production ME1</x:v>
      </x:c>
      <x:c r="Q46" s="7" t="str">
        <x:v>Fusil de précision : équilibre entre puissance et chaleur. Le bonus de puissance est réduit sans entraînement. Nom et famille référencés ; chiffres adaptés au système ATB. Aucun sprite ou modèle distinct pour cette référence.</x:v>
      </x:c>
    </x:row>
    <x:row r="47" ht="75" customHeight="1">
      <x:c r="A47" s="13" t="str">
        <x:v>GEAR-hmwp-vii</x:v>
      </x:c>
      <x:c r="B47" s="14" t="str">
        <x:v>HMWP VII</x:v>
      </x:c>
      <x:c r="C47" s="10" t="str">
        <x:v>Prototype</x:v>
      </x:c>
      <x:c r="D47" s="11" t="str">
        <x:v>À produire</x:v>
      </x:c>
      <x:c r="E47" s="15" t="str">
        <x:v>P1</x:v>
      </x:c>
      <x:c r="F47" s="15" t="str">
        <x:v>ME1</x:v>
      </x:c>
      <x:c r="G47" s="15" t="str">
        <x:v>Adaptation</x:v>
      </x:c>
      <x:c r="H47" s="14" t="str">
        <x:v>Arme, Pistolet. Spectre — Master Gear. Niveau 7 et accréditation Spectre. Achat 780 crédits, vente 312, stock initial 3. Effets ATB : puissance=12, multiplicateur de chaleur=0.88.</x:v>
      </x:c>
      <x:c r="I47" s="14" t="str">
        <x:v>Achat, vente et attribution atomiques à l’emplacement Arme. Vérifier niveau, stock, possession. Appliquer une fois les bonus affichés, préserver après sauvegarde et restituer au retrait. Puissance de l’arme réduite de moitié sans entraînement.</x:v>
      </x:c>
      <x:c r="J47" s="14" t="str">
        <x:v>SYS-inventaire, SYS-commerce</x:v>
      </x:c>
      <x:c r="K47" s="14" t="str">
        <x:v>src/loadout.js</x:v>
      </x:c>
      <x:c r="L47" s="14" t="str">
        <x:v>src/loadout.js</x:v>
      </x:c>
      <x:c r="M47" s="14" t="str">
        <x:v>ITEMS.hmwp-vii</x:v>
      </x:c>
      <x:c r="N47" s="14" t="str">
        <x:v>Objectifs et noms ME1 référencés ; chiffres, découpage et interface propres à cette adaptation ATB.</x:v>
      </x:c>
      <x:c r="O47" s="14" t="str">
        <x:v>https://masseffect.fandom.com/wiki/Pistols</x:v>
      </x:c>
      <x:c r="P47" s="14" t="str">
        <x:v>Production ME1</x:v>
      </x:c>
      <x:c r="Q47" s="14" t="str">
        <x:v>Pistolet : équilibre entre puissance et chaleur. Le bonus de puissance est réduit sans entraînement. Nom et famille référencés ; chiffres adaptés au système ATB. Aucun sprite ou modèle distinct pour cette référence.</x:v>
      </x:c>
    </x:row>
    <x:row r="48" ht="75" customHeight="1">
      <x:c r="A48" s="12" t="str">
        <x:v>GEAR-hmwa-vii</x:v>
      </x:c>
      <x:c r="B48" s="7" t="str">
        <x:v>HMWA VII</x:v>
      </x:c>
      <x:c r="C48" s="10" t="str">
        <x:v>Prototype</x:v>
      </x:c>
      <x:c r="D48" s="11" t="str">
        <x:v>À produire</x:v>
      </x:c>
      <x:c r="E48" s="9" t="str">
        <x:v>P1</x:v>
      </x:c>
      <x:c r="F48" s="9" t="str">
        <x:v>ME1</x:v>
      </x:c>
      <x:c r="G48" s="9" t="str">
        <x:v>Adaptation</x:v>
      </x:c>
      <x:c r="H48" s="7" t="str">
        <x:v>Arme, Fusil d’assaut. Spectre — Master Gear. Niveau 7 et accréditation Spectre. Achat 795 crédits, vente 318, stock initial 3. Effets ATB : puissance=13, multiplicateur de chaleur=1.</x:v>
      </x:c>
      <x:c r="I48" s="7" t="str">
        <x:v>Achat, vente et attribution atomiques à l’emplacement Arme. Vérifier niveau, stock, possession. Appliquer une fois les bonus affichés, préserver après sauvegarde et restituer au retrait. Puissance de l’arme réduite de moitié sans entraînement.</x:v>
      </x:c>
      <x:c r="J48" s="7" t="str">
        <x:v>SYS-inventaire, SYS-commerce</x:v>
      </x:c>
      <x:c r="K48" s="7" t="str">
        <x:v>src/loadout.js</x:v>
      </x:c>
      <x:c r="L48" s="7" t="str">
        <x:v>src/loadout.js</x:v>
      </x:c>
      <x:c r="M48" s="7" t="str">
        <x:v>ITEMS.hmwa-vii</x:v>
      </x:c>
      <x:c r="N48" s="7" t="str">
        <x:v>Objectifs et noms ME1 référencés ; chiffres, découpage et interface propres à cette adaptation ATB.</x:v>
      </x:c>
      <x:c r="O48" s="7" t="str">
        <x:v>https://masseffect.fandom.com/wiki/Assault_Rifles</x:v>
      </x:c>
      <x:c r="P48" s="7" t="str">
        <x:v>Production ME1</x:v>
      </x:c>
      <x:c r="Q48" s="7" t="str">
        <x:v>Fusil d’assaut : équilibre entre puissance et chaleur. Le bonus de puissance est réduit sans entraînement. Nom et famille référencés ; chiffres adaptés au système ATB. Aucun sprite ou modèle distinct pour cette référence.</x:v>
      </x:c>
    </x:row>
    <x:row r="49" ht="75" customHeight="1">
      <x:c r="A49" s="13" t="str">
        <x:v>GEAR-hmwsg-vii</x:v>
      </x:c>
      <x:c r="B49" s="14" t="str">
        <x:v>HMWSG VII</x:v>
      </x:c>
      <x:c r="C49" s="10" t="str">
        <x:v>Prototype</x:v>
      </x:c>
      <x:c r="D49" s="11" t="str">
        <x:v>À produire</x:v>
      </x:c>
      <x:c r="E49" s="15" t="str">
        <x:v>P1</x:v>
      </x:c>
      <x:c r="F49" s="15" t="str">
        <x:v>ME1</x:v>
      </x:c>
      <x:c r="G49" s="15" t="str">
        <x:v>Adaptation</x:v>
      </x:c>
      <x:c r="H49" s="14" t="str">
        <x:v>Arme, Fusil à pompe. Spectre — Master Gear. Niveau 7 et accréditation Spectre. Achat 810 crédits, vente 324, stock initial 3. Effets ATB : puissance=14, multiplicateur de chaleur=1.12.</x:v>
      </x:c>
      <x:c r="I49" s="14" t="str">
        <x:v>Achat, vente et attribution atomiques à l’emplacement Arme. Vérifier niveau, stock, possession. Appliquer une fois les bonus affichés, préserver après sauvegarde et restituer au retrait. Puissance de l’arme réduite de moitié sans entraînement.</x:v>
      </x:c>
      <x:c r="J49" s="14" t="str">
        <x:v>SYS-inventaire, SYS-commerce</x:v>
      </x:c>
      <x:c r="K49" s="14" t="str">
        <x:v>src/loadout.js</x:v>
      </x:c>
      <x:c r="L49" s="14" t="str">
        <x:v>src/loadout.js</x:v>
      </x:c>
      <x:c r="M49" s="14" t="str">
        <x:v>ITEMS.hmwsg-vii</x:v>
      </x:c>
      <x:c r="N49" s="14" t="str">
        <x:v>Objectifs et noms ME1 référencés ; chiffres, découpage et interface propres à cette adaptation ATB.</x:v>
      </x:c>
      <x:c r="O49" s="14" t="str">
        <x:v>https://masseffect.fandom.com/wiki/Shotguns</x:v>
      </x:c>
      <x:c r="P49" s="14" t="str">
        <x:v>Production ME1</x:v>
      </x:c>
      <x:c r="Q49" s="14" t="str">
        <x:v>Fusil à pompe : équilibre entre puissance et chaleur. Le bonus de puissance est réduit sans entraînement. Nom et famille référencés ; chiffres adaptés au système ATB. Aucun sprite ou modèle distinct pour cette référence.</x:v>
      </x:c>
    </x:row>
    <x:row r="50" ht="75" customHeight="1">
      <x:c r="A50" s="12" t="str">
        <x:v>GEAR-hmwsr-vii</x:v>
      </x:c>
      <x:c r="B50" s="7" t="str">
        <x:v>HMWSR VII</x:v>
      </x:c>
      <x:c r="C50" s="10" t="str">
        <x:v>Prototype</x:v>
      </x:c>
      <x:c r="D50" s="11" t="str">
        <x:v>À produire</x:v>
      </x:c>
      <x:c r="E50" s="9" t="str">
        <x:v>P1</x:v>
      </x:c>
      <x:c r="F50" s="9" t="str">
        <x:v>ME1</x:v>
      </x:c>
      <x:c r="G50" s="9" t="str">
        <x:v>Adaptation</x:v>
      </x:c>
      <x:c r="H50" s="7" t="str">
        <x:v>Arme, Fusil de précision. Spectre — Master Gear. Niveau 7 et accréditation Spectre. Achat 825 crédits, vente 330, stock initial 3. Effets ATB : puissance=15, multiplicateur de chaleur=1.2.</x:v>
      </x:c>
      <x:c r="I50" s="7" t="str">
        <x:v>Achat, vente et attribution atomiques à l’emplacement Arme. Vérifier niveau, stock, possession. Appliquer une fois les bonus affichés, préserver après sauvegarde et restituer au retrait. Puissance de l’arme réduite de moitié sans entraînement.</x:v>
      </x:c>
      <x:c r="J50" s="7" t="str">
        <x:v>SYS-inventaire, SYS-commerce</x:v>
      </x:c>
      <x:c r="K50" s="7" t="str">
        <x:v>src/loadout.js</x:v>
      </x:c>
      <x:c r="L50" s="7" t="str">
        <x:v>src/loadout.js</x:v>
      </x:c>
      <x:c r="M50" s="7" t="str">
        <x:v>ITEMS.hmwsr-vii</x:v>
      </x:c>
      <x:c r="N50" s="7" t="str">
        <x:v>Objectifs et noms ME1 référencés ; chiffres, découpage et interface propres à cette adaptation ATB.</x:v>
      </x:c>
      <x:c r="O50" s="7" t="str">
        <x:v>https://masseffect.fandom.com/wiki/Sniper_Rifles</x:v>
      </x:c>
      <x:c r="P50" s="7" t="str">
        <x:v>Production ME1</x:v>
      </x:c>
      <x:c r="Q50" s="7" t="str">
        <x:v>Fusil de précision : équilibre entre puissance et chaleur. Le bonus de puissance est réduit sans entraînement. Nom et famille référencés ; chiffres adaptés au système ATB. Aucun sprite ou modèle distinct pour cette référence.</x:v>
      </x:c>
    </x:row>
    <x:row r="51" ht="49" customHeight="1">
      <x:c r="A51" s="13" t="str">
        <x:v>CUST-WEAPON-owned</x:v>
      </x:c>
      <x:c r="B51" s="14" t="str">
        <x:v>Arme équipée et armes disponibles</x:v>
      </x:c>
      <x:c r="C51" s="10" t="str">
        <x:v>Prototype</x:v>
      </x:c>
      <x:c r="D51" s="11" t="str">
        <x:v>Prototype</x:v>
      </x:c>
      <x:c r="E51" s="15" t="str">
        <x:v>P0</x:v>
      </x:c>
      <x:c r="F51" s="15" t="str">
        <x:v>ME1</x:v>
      </x:c>
      <x:c r="G51" s="15" t="str">
        <x:v>Adaptation</x:v>
      </x:c>
      <x:c r="H51" s="14" t="str">
        <x:v>Sélection d’un modèle d’arme possédé, avec sa famille et ses limites d’entraînement dans l’adaptation.</x:v>
      </x:c>
      <x:c r="I51" s="14" t="str">
        <x:v>Choisir parmi les armes disponibles sans en créer ni en acheter implicitement. Le modèle équipé reste affiché.</x:v>
      </x:c>
      <x:c r="J51" s="14" t="str">
        <x:v>CUST-UI-weapons</x:v>
      </x:c>
      <x:c r="K51" s="14" t="str">
        <x:v>src/customization-ui.js</x:v>
      </x:c>
      <x:c r="L51" s="14" t="str">
        <x:v>src/customization-ui.js</x:v>
      </x:c>
      <x:c r="M51" s="14" t="str">
        <x:v>customization:WEAPON-owned</x:v>
      </x:c>
      <x:c r="N51" s="14" t="str">
        <x:v>Atelier de Relay Chronicles. Interface et réglages propres au fan game ; contrôle de fidélité distinct.</x:v>
      </x:c>
      <x:c r="O51" s="14" t="str">
        <x:v>https://eaassets-a.akamaihd.net/eahelp/manuals/mass-effect-manuals_Microsoft%20XBOX360_en_US.pdf</x:v>
      </x:c>
      <x:c r="P51" s="14" t="str">
        <x:v>Production ME1</x:v>
      </x:c>
      <x:c r="Q51" s="14" t="str">
        <x:v>Implémentation de prototype. Les valeurs de combat restent celles de l’adaptation ATB.</x:v>
      </x:c>
    </x:row>
    <x:row r="52" ht="49" customHeight="1">
      <x:c r="A52" s="12" t="str">
        <x:v>CUST-WEAPON-upgrade</x:v>
      </x:c>
      <x:c r="B52" s="7" t="str">
        <x:v>Module d’arme séparé des munitions</x:v>
      </x:c>
      <x:c r="C52" s="10" t="str">
        <x:v>Prototype</x:v>
      </x:c>
      <x:c r="D52" s="11" t="str">
        <x:v>Prototype</x:v>
      </x:c>
      <x:c r="E52" s="9" t="str">
        <x:v>P0</x:v>
      </x:c>
      <x:c r="F52" s="9" t="str">
        <x:v>ME1</x:v>
      </x:c>
      <x:c r="G52" s="9" t="str">
        <x:v>Adaptation</x:v>
      </x:c>
      <x:c r="H52" s="7" t="str">
        <x:v>L’emplacement de module d’arme utilise le catalogue de modules existant et ses effets sur la puissance ou la chaleur.</x:v>
      </x:c>
      <x:c r="I52" s="7" t="str">
        <x:v>Un module d’armure ou de munitions ne peut pas entrer dans ce champ. La comparaison reflète l’effet du module.</x:v>
      </x:c>
      <x:c r="J52" s="7" t="str">
        <x:v>CUST-UI-weapons</x:v>
      </x:c>
      <x:c r="K52" s="7" t="str">
        <x:v>src/customization-ui.js</x:v>
      </x:c>
      <x:c r="L52" s="7" t="str">
        <x:v>src/customization-ui.js</x:v>
      </x:c>
      <x:c r="M52" s="7" t="str">
        <x:v>customization:WEAPON-upgrade</x:v>
      </x:c>
      <x:c r="N52" s="7" t="str">
        <x:v>Atelier de Relay Chronicles. Interface et réglages propres au fan game ; contrôle de fidélité distinct.</x:v>
      </x:c>
      <x:c r="O52" s="7" t="str">
        <x:v>https://eaassets-a.akamaihd.net/eahelp/manuals/mass-effect-manuals_Microsoft%20XBOX360_en_US.pdf</x:v>
      </x:c>
      <x:c r="P52" s="7" t="str">
        <x:v>Production ME1</x:v>
      </x:c>
      <x:c r="Q52" s="7" t="str">
        <x:v>Implémentation de prototype. Les valeurs de combat restent celles de l’adaptation ATB.</x:v>
      </x:c>
    </x:row>
    <x:row r="53" ht="36" customHeight="1">
      <x:c r="A53" s="13" t="str">
        <x:v>CUST-WEAPON-ammo</x:v>
      </x:c>
      <x:c r="B53" s="14" t="str">
        <x:v>Munitions spéciales dans le brouillon</x:v>
      </x:c>
      <x:c r="C53" s="10" t="str">
        <x:v>Prototype</x:v>
      </x:c>
      <x:c r="D53" s="11" t="str">
        <x:v>Prototype</x:v>
      </x:c>
      <x:c r="E53" s="15" t="str">
        <x:v>P0</x:v>
      </x:c>
      <x:c r="F53" s="15" t="str">
        <x:v>ME1</x:v>
      </x:c>
      <x:c r="G53" s="15" t="str">
        <x:v>Adaptation</x:v>
      </x:c>
      <x:c r="H53" s="14" t="str">
        <x:v>L’amélioration de munitions est sélectionnée indépendamment du module d’arme.</x:v>
      </x:c>
      <x:c r="I53" s="14" t="str">
        <x:v>Équiper puis retirer des munitions spéciales ne remplace pas le module d’arme et conserve la quantité possédée.</x:v>
      </x:c>
      <x:c r="J53" s="14" t="str">
        <x:v>CUST-UI-weapons</x:v>
      </x:c>
      <x:c r="K53" s="14" t="str">
        <x:v>src/customization-ui.js</x:v>
      </x:c>
      <x:c r="L53" s="14" t="str">
        <x:v>src/customization-ui.js</x:v>
      </x:c>
      <x:c r="M53" s="14" t="str">
        <x:v>customization:WEAPON-ammo</x:v>
      </x:c>
      <x:c r="N53" s="14" t="str">
        <x:v>Atelier de Relay Chronicles. Interface et réglages propres au fan game ; contrôle de fidélité distinct.</x:v>
      </x:c>
      <x:c r="O53" s="14" t="str">
        <x:v>https://eaassets-a.akamaihd.net/eahelp/manuals/mass-effect-manuals_Microsoft%20XBOX360_en_US.pdf</x:v>
      </x:c>
      <x:c r="P53" s="14" t="str">
        <x:v>Production ME1</x:v>
      </x:c>
      <x:c r="Q53" s="14" t="str">
        <x:v>Implémentation de prototype. Les valeurs de combat restent celles de l’adaptation ATB.</x:v>
      </x:c>
    </x:row>
    <x:row r="54" ht="49" customHeight="1">
      <x:c r="A54" s="12" t="str">
        <x:v>CUST-WEAPON-effects</x:v>
      </x:c>
      <x:c r="B54" s="7" t="str">
        <x:v>Effets réels de la nouvelle dotation</x:v>
      </x:c>
      <x:c r="C54" s="10" t="str">
        <x:v>Prototype</x:v>
      </x:c>
      <x:c r="D54" s="11" t="str">
        <x:v>Prototype</x:v>
      </x:c>
      <x:c r="E54" s="9" t="str">
        <x:v>P0</x:v>
      </x:c>
      <x:c r="F54" s="9" t="str">
        <x:v>ME1</x:v>
      </x:c>
      <x:c r="G54" s="9" t="str">
        <x:v>Adaptation</x:v>
      </x:c>
      <x:c r="H54" s="7" t="str">
        <x:v>Après application, l’équipement de l’atelier alimente le calcul d’acteur et les règles de combat déjà présentes.</x:v>
      </x:c>
      <x:c r="I54" s="7" t="str">
        <x:v>Vérifier puissance, chaleur, refroidissement, dégâts spécialisés et résistance avec les mêmes calculs que l’écran Équipement.</x:v>
      </x:c>
      <x:c r="J54" s="7" t="str">
        <x:v>CUST-UI-comparison, CUST-SYS-atomic</x:v>
      </x:c>
      <x:c r="K54" s="7" t="str">
        <x:v>src/customization.js</x:v>
      </x:c>
      <x:c r="L54" s="7" t="str">
        <x:v>src/customization.js</x:v>
      </x:c>
      <x:c r="M54" s="7" t="str">
        <x:v>customization:WEAPON-effects</x:v>
      </x:c>
      <x:c r="N54" s="7" t="str">
        <x:v>Atelier de Relay Chronicles. Interface et réglages propres au fan game ; contrôle de fidélité distinct.</x:v>
      </x:c>
      <x:c r="O54" s="7" t="str"/>
      <x:c r="P54" s="7" t="str">
        <x:v>Production ME1</x:v>
      </x:c>
      <x:c r="Q54" s="7" t="str">
        <x:v>Implémentation de prototype. Les valeurs de combat restent celles de l’adaptation ATB.</x:v>
      </x:c>
    </x:row>
  </x:sheetData>
  <x:conditionalFormatting sqref="C7:C54">
    <x:cfRule type="cellIs" dxfId="330" priority="1" operator="equal">
      <x:formula>"Prototype"</x:formula>
    </x:cfRule>
    <x:cfRule type="cellIs" dxfId="331" priority="2" operator="equal">
      <x:formula>"Intégré"</x:formula>
    </x:cfRule>
    <x:cfRule type="cellIs" dxfId="332" priority="3" operator="equal">
      <x:formula>"Validé"</x:formula>
    </x:cfRule>
  </x:conditionalFormatting>
  <x:conditionalFormatting sqref="G7:G54">
    <x:cfRule type="cellIs" dxfId="333" priority="4" operator="equal">
      <x:formula>"Référence à vérifier"</x:formula>
    </x:cfRule>
  </x:conditionalFormatting>
  <x:conditionalFormatting sqref="E7:E54">
    <x:cfRule type="cellIs" dxfId="334" priority="5" operator="equal">
      <x:formula>"P0"</x:formula>
    </x:cfRule>
  </x:conditionalFormatting>
  <x:dataValidations count="5">
    <x:dataValidation type="list" sqref="C7:C54">
      <x:formula1>"Défini,Prototype,Intégré,Validé"</x:formula1>
    </x:dataValidation>
    <x:dataValidation type="list" sqref="D7:D54">
      <x:formula1>"À produire,Prototype,Disponible,Validé,Sans objet,Non planifié"</x:formula1>
    </x:dataValidation>
    <x:dataValidation type="list" sqref="E7:E54">
      <x:formula1>"P0,P1,P2"</x:formula1>
    </x:dataValidation>
    <x:dataValidation type="list" sqref="F7:F54">
      <x:formula1>"ME1,ME2,ME3,TRANSVERSE"</x:formula1>
    </x:dataValidation>
    <x:dataValidation type="list" sqref="G7:G54">
      <x:formula1>"Confirmé,Référence à vérifier,Adaptation"</x:formula1>
    </x:dataValidation>
  </x:dataValidations>
  <x:pageMargins left="0.7" right="0.7" top="0.75" bottom="0.75" header="0.3" footer="0.3"/>
  <x:tableParts count="1">
    <x:tablePart xmlns:r="http://schemas.openxmlformats.org/officeDocument/2006/relationships" r:id="R29592b0832994588"/>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Armures et équipement</x:v>
      </x:c>
      <x:c r="B2" s="2"/>
      <x:c r="C2" s="2"/>
      <x:c r="D2" s="2"/>
      <x:c r="E2" s="2"/>
      <x:c r="F2" s="2"/>
      <x:c r="G2" s="2"/>
      <x:c r="H2" s="2"/>
      <x:c r="I2" s="2"/>
      <x:c r="J2" s="2"/>
      <x:c r="K2" s="2"/>
      <x:c r="L2" s="2"/>
      <x:c r="M2" s="2"/>
      <x:c r="N2" s="2"/>
      <x:c r="O2" s="2"/>
      <x:c r="P2" s="2"/>
      <x:c r="Q2" s="2"/>
    </x:row>
    <x:row r="3" ht="22" customHeight="1">
      <x:c r="A3" s="4" t="str">
        <x:v>Protections, modules et consommables</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EQP-armure-legere-humaine</x:v>
      </x:c>
      <x:c r="B7" s="14" t="str">
        <x:v>Armure légère humaine</x:v>
      </x:c>
      <x:c r="C7" s="10" t="str">
        <x:v>Défini</x:v>
      </x:c>
      <x:c r="D7" s="11" t="str">
        <x:v>À produire</x:v>
      </x:c>
      <x:c r="E7" s="15" t="str">
        <x:v>P1</x:v>
      </x:c>
      <x:c r="F7" s="15" t="str">
        <x:v>ME1</x:v>
      </x:c>
      <x:c r="G7" s="15" t="str">
        <x:v>Référence à vérifier</x:v>
      </x:c>
      <x:c r="H7" s="14" t="str">
        <x:v>Protection de base compatible avec les classes concernées.</x:v>
      </x:c>
      <x:c r="I7" s="14" t="str">
        <x:v>Version masculine et féminine cohérente avec même gamme.</x:v>
      </x:c>
      <x:c r="J7" s="14" t="str"/>
      <x:c r="K7" s="14" t="str">
        <x:v>content/equipment/EQP-armure-legere-humaine.json</x:v>
      </x:c>
      <x:c r="L7" s="14" t="str"/>
      <x:c r="M7" s="14" t="str"/>
      <x:c r="N7" s="14" t="str">
        <x:v>Catalogue d’équipement à relever dans ME1 ; valeurs non inventées.</x:v>
      </x:c>
      <x:c r="O7" s="14" t="str">
        <x:v>https://eaassets-a.akamaihd.net/eahelp/manuals/mass-effect-manuals_PC_fr.pdf</x:v>
      </x:c>
      <x:c r="P7" s="14" t="str">
        <x:v>Production ME1</x:v>
      </x:c>
      <x:c r="Q7" s="14" t="str"/>
    </x:row>
    <x:row r="8" ht="36" customHeight="1">
      <x:c r="A8" s="12" t="str">
        <x:v>EQP-armure-intermediaire-humaine</x:v>
      </x:c>
      <x:c r="B8" s="7" t="str">
        <x:v>Armure intermédiaire humaine</x:v>
      </x:c>
      <x:c r="C8" s="10" t="str">
        <x:v>Défini</x:v>
      </x:c>
      <x:c r="D8" s="11" t="str">
        <x:v>À produire</x:v>
      </x:c>
      <x:c r="E8" s="9" t="str">
        <x:v>P1</x:v>
      </x:c>
      <x:c r="F8" s="9" t="str">
        <x:v>ME1</x:v>
      </x:c>
      <x:c r="G8" s="9" t="str">
        <x:v>Référence à vérifier</x:v>
      </x:c>
      <x:c r="H8" s="7" t="str">
        <x:v>Protection liée aux talents autorisés.</x:v>
      </x:c>
      <x:c r="I8" s="7" t="str">
        <x:v>Restrictions de classe et progression vérifiées.</x:v>
      </x:c>
      <x:c r="J8" s="7" t="str"/>
      <x:c r="K8" s="7" t="str">
        <x:v>content/equipment/EQP-armure-intermediaire-humaine.json</x:v>
      </x:c>
      <x:c r="L8" s="7" t="str"/>
      <x:c r="M8" s="7" t="str"/>
      <x:c r="N8" s="7" t="str">
        <x:v>Catalogue d’équipement à relever dans ME1 ; valeurs non inventées.</x:v>
      </x:c>
      <x:c r="O8" s="7" t="str">
        <x:v>https://eaassets-a.akamaihd.net/eahelp/manuals/mass-effect-manuals_PC_fr.pdf</x:v>
      </x:c>
      <x:c r="P8" s="7" t="str">
        <x:v>Production ME1</x:v>
      </x:c>
      <x:c r="Q8" s="7" t="str"/>
    </x:row>
    <x:row r="9" ht="36" customHeight="1">
      <x:c r="A9" s="13" t="str">
        <x:v>EQP-armure-lourde-humaine</x:v>
      </x:c>
      <x:c r="B9" s="14" t="str">
        <x:v>Armure lourde humaine</x:v>
      </x:c>
      <x:c r="C9" s="10" t="str">
        <x:v>Défini</x:v>
      </x:c>
      <x:c r="D9" s="11" t="str">
        <x:v>À produire</x:v>
      </x:c>
      <x:c r="E9" s="15" t="str">
        <x:v>P1</x:v>
      </x:c>
      <x:c r="F9" s="15" t="str">
        <x:v>ME1</x:v>
      </x:c>
      <x:c r="G9" s="15" t="str">
        <x:v>Référence à vérifier</x:v>
      </x:c>
      <x:c r="H9" s="14" t="str">
        <x:v>Protection militaire spécialisée.</x:v>
      </x:c>
      <x:c r="I9" s="14" t="str">
        <x:v>Déblocage requis avant équipement.</x:v>
      </x:c>
      <x:c r="J9" s="14" t="str"/>
      <x:c r="K9" s="14" t="str">
        <x:v>content/equipment/EQP-armure-lourde-humaine.json</x:v>
      </x:c>
      <x:c r="L9" s="14" t="str"/>
      <x:c r="M9" s="14" t="str"/>
      <x:c r="N9" s="14" t="str">
        <x:v>Catalogue d’équipement à relever dans ME1 ; valeurs non inventées.</x:v>
      </x:c>
      <x:c r="O9" s="14" t="str">
        <x:v>https://eaassets-a.akamaihd.net/eahelp/manuals/mass-effect-manuals_PC_fr.pdf</x:v>
      </x:c>
      <x:c r="P9" s="14" t="str">
        <x:v>Production ME1</x:v>
      </x:c>
      <x:c r="Q9" s="14" t="str"/>
    </x:row>
    <x:row r="10" ht="36" customHeight="1">
      <x:c r="A10" s="12" t="str">
        <x:v>EQP-armure-turienne</x:v>
      </x:c>
      <x:c r="B10" s="7" t="str">
        <x:v>Armure turienne</x:v>
      </x:c>
      <x:c r="C10" s="10" t="str">
        <x:v>Défini</x:v>
      </x:c>
      <x:c r="D10" s="11" t="str">
        <x:v>À produire</x:v>
      </x:c>
      <x:c r="E10" s="9" t="str">
        <x:v>P1</x:v>
      </x:c>
      <x:c r="F10" s="9" t="str">
        <x:v>ME1</x:v>
      </x:c>
      <x:c r="G10" s="9" t="str">
        <x:v>Référence à vérifier</x:v>
      </x:c>
      <x:c r="H10" s="7" t="str">
        <x:v>Modèle adapté à l’anatomie turienne.</x:v>
      </x:c>
      <x:c r="I10" s="7" t="str">
        <x:v>Aucun torse humain redimensionné approximativement.</x:v>
      </x:c>
      <x:c r="J10" s="7" t="str"/>
      <x:c r="K10" s="7" t="str">
        <x:v>content/equipment/EQP-armure-turienne.json</x:v>
      </x:c>
      <x:c r="L10" s="7" t="str"/>
      <x:c r="M10" s="7" t="str"/>
      <x:c r="N10" s="7" t="str">
        <x:v>Catalogue d’équipement à relever dans ME1 ; valeurs non inventées.</x:v>
      </x:c>
      <x:c r="O10" s="7" t="str">
        <x:v>https://eaassets-a.akamaihd.net/eahelp/manuals/mass-effect-manuals_PC_fr.pdf</x:v>
      </x:c>
      <x:c r="P10" s="7" t="str">
        <x:v>Production ME1</x:v>
      </x:c>
      <x:c r="Q10" s="7" t="str"/>
    </x:row>
    <x:row r="11" ht="36" customHeight="1">
      <x:c r="A11" s="13" t="str">
        <x:v>EQP-armure-krogan</x:v>
      </x:c>
      <x:c r="B11" s="14" t="str">
        <x:v>Armure krogan</x:v>
      </x:c>
      <x:c r="C11" s="10" t="str">
        <x:v>Défini</x:v>
      </x:c>
      <x:c r="D11" s="11" t="str">
        <x:v>À produire</x:v>
      </x:c>
      <x:c r="E11" s="15" t="str">
        <x:v>P1</x:v>
      </x:c>
      <x:c r="F11" s="15" t="str">
        <x:v>ME1</x:v>
      </x:c>
      <x:c r="G11" s="15" t="str">
        <x:v>Référence à vérifier</x:v>
      </x:c>
      <x:c r="H11" s="14" t="str">
        <x:v>Protection de grands volumes et bosse dorsale.</x:v>
      </x:c>
      <x:c r="I11" s="14" t="str">
        <x:v>Détails visibles depuis les huit directions retenues.</x:v>
      </x:c>
      <x:c r="J11" s="14" t="str"/>
      <x:c r="K11" s="14" t="str">
        <x:v>content/equipment/EQP-armure-krogan.json</x:v>
      </x:c>
      <x:c r="L11" s="14" t="str"/>
      <x:c r="M11" s="14" t="str"/>
      <x:c r="N11" s="14" t="str">
        <x:v>Catalogue d’équipement à relever dans ME1 ; valeurs non inventées.</x:v>
      </x:c>
      <x:c r="O11" s="14" t="str">
        <x:v>https://eaassets-a.akamaihd.net/eahelp/manuals/mass-effect-manuals_PC_fr.pdf</x:v>
      </x:c>
      <x:c r="P11" s="14" t="str">
        <x:v>Production ME1</x:v>
      </x:c>
      <x:c r="Q11" s="14" t="str"/>
    </x:row>
    <x:row r="12" ht="36" customHeight="1">
      <x:c r="A12" s="12" t="str">
        <x:v>EQP-combinaison-quarienne</x:v>
      </x:c>
      <x:c r="B12" s="7" t="str">
        <x:v>Combinaison quarienne</x:v>
      </x:c>
      <x:c r="C12" s="10" t="str">
        <x:v>Défini</x:v>
      </x:c>
      <x:c r="D12" s="11" t="str">
        <x:v>À produire</x:v>
      </x:c>
      <x:c r="E12" s="9" t="str">
        <x:v>P1</x:v>
      </x:c>
      <x:c r="F12" s="9" t="str">
        <x:v>ME1</x:v>
      </x:c>
      <x:c r="G12" s="9" t="str">
        <x:v>Référence à vérifier</x:v>
      </x:c>
      <x:c r="H12" s="7" t="str">
        <x:v>Protection environnementale intégrale.</x:v>
      </x:c>
      <x:c r="I12" s="7" t="str">
        <x:v>Visière, tuyaux et motifs cohérents entre portraits et sprites.</x:v>
      </x:c>
      <x:c r="J12" s="7" t="str"/>
      <x:c r="K12" s="7" t="str">
        <x:v>content/equipment/EQP-combinaison-quarienne.json</x:v>
      </x:c>
      <x:c r="L12" s="7" t="str"/>
      <x:c r="M12" s="7" t="str"/>
      <x:c r="N12" s="7" t="str">
        <x:v>Catalogue d’équipement à relever dans ME1 ; valeurs non inventées.</x:v>
      </x:c>
      <x:c r="O12" s="7" t="str">
        <x:v>https://eaassets-a.akamaihd.net/eahelp/manuals/mass-effect-manuals_PC_fr.pdf</x:v>
      </x:c>
      <x:c r="P12" s="7" t="str">
        <x:v>Production ME1</x:v>
      </x:c>
      <x:c r="Q12" s="7" t="str"/>
    </x:row>
    <x:row r="13" ht="75" customHeight="1">
      <x:c r="A13" s="13" t="str">
        <x:v>EQP-armure-onyx</x:v>
      </x:c>
      <x:c r="B13" s="14" t="str">
        <x:v>Armure Onyx</x:v>
      </x:c>
      <x:c r="C13" s="10" t="str">
        <x:v>Défini</x:v>
      </x:c>
      <x:c r="D13" s="11" t="str">
        <x:v>À produire</x:v>
      </x:c>
      <x:c r="E13" s="15" t="str">
        <x:v>P1</x:v>
      </x:c>
      <x:c r="F13" s="15" t="str">
        <x:v>ME1</x:v>
      </x:c>
      <x:c r="G13" s="15" t="str">
        <x:v>Référence à vérifier</x:v>
      </x:c>
      <x:c r="H13" s="14" t="str">
        <x:v>Gamme de référence militaire.</x:v>
      </x:c>
      <x:c r="I13" s="14" t="str">
        <x:v>Motifs et insignes par personnage vérifiés.</x:v>
      </x:c>
      <x:c r="J13" s="14" t="str"/>
      <x:c r="K13" s="14" t="str">
        <x:v>content/equipment/EQP-armure-onyx.json</x:v>
      </x:c>
      <x:c r="L13" s="14" t="str"/>
      <x:c r="M13" s="14" t="str"/>
      <x:c r="N13" s="14" t="str">
        <x:v>Catalogue d’équipement à relever dans ME1 ; valeurs non inventées.</x:v>
      </x:c>
      <x:c r="O13" s="14" t="str">
        <x:v>https://eaassets-a.akamaihd.net/eahelp/manuals/mass-effect-manuals_PC_fr.pdf</x:v>
      </x:c>
      <x:c r="P13" s="14" t="str">
        <x:v>Production ME1</x:v>
      </x:c>
      <x:c r="Q13" s="14" t="str">
        <x:v>Objectif de famille conservé. Références jouables documentées séparément : GEAR-onyx-human-i, GEAR-onyx-turian-i, GEAR-onyx-quarian-i, GEAR-onyx-krogan-i. Les modèles, rangs complets, silhouettes et statistiques canoniques restent à produire ou vérifier.</x:v>
      </x:c>
    </x:row>
    <x:row r="14" ht="75" customHeight="1">
      <x:c r="A14" s="12" t="str">
        <x:v>EQP-armure-phoenix</x:v>
      </x:c>
      <x:c r="B14" s="7" t="str">
        <x:v>Armure Phoenix</x:v>
      </x:c>
      <x:c r="C14" s="10" t="str">
        <x:v>Défini</x:v>
      </x:c>
      <x:c r="D14" s="11" t="str">
        <x:v>À produire</x:v>
      </x:c>
      <x:c r="E14" s="9" t="str">
        <x:v>P1</x:v>
      </x:c>
      <x:c r="F14" s="9" t="str">
        <x:v>ME1</x:v>
      </x:c>
      <x:c r="G14" s="9" t="str">
        <x:v>Référence à vérifier</x:v>
      </x:c>
      <x:c r="H14" s="7" t="str">
        <x:v>Gamme visuelle associée à des références ME1.</x:v>
      </x:c>
      <x:c r="I14" s="7" t="str">
        <x:v>Couleurs et disponibilité vérifiées.</x:v>
      </x:c>
      <x:c r="J14" s="7" t="str"/>
      <x:c r="K14" s="7" t="str">
        <x:v>content/equipment/EQP-armure-phoenix.json</x:v>
      </x:c>
      <x:c r="L14" s="7" t="str"/>
      <x:c r="M14" s="7" t="str"/>
      <x:c r="N14" s="7" t="str">
        <x:v>Catalogue d’équipement à relever dans ME1 ; valeurs non inventées.</x:v>
      </x:c>
      <x:c r="O14" s="7" t="str">
        <x:v>https://eaassets-a.akamaihd.net/eahelp/manuals/mass-effect-manuals_PC_fr.pdf</x:v>
      </x:c>
      <x:c r="P14" s="7" t="str">
        <x:v>Production ME1</x:v>
      </x:c>
      <x:c r="Q14" s="7" t="str">
        <x:v>Objectif de famille conservé. Références jouables documentées séparément : GEAR-phoenix-human-iii, GEAR-phoenix-turian-iii, GEAR-phoenix-quarian-iii, GEAR-phoenix-krogan-iii. Les modèles, rangs complets, silhouettes et statistiques canoniques restent à produire ou vérifier.</x:v>
      </x:c>
    </x:row>
    <x:row r="15" ht="75" customHeight="1">
      <x:c r="A15" s="13" t="str">
        <x:v>EQP-armure-colossus</x:v>
      </x:c>
      <x:c r="B15" s="14" t="str">
        <x:v>Armure Colossus</x:v>
      </x:c>
      <x:c r="C15" s="10" t="str">
        <x:v>Défini</x:v>
      </x:c>
      <x:c r="D15" s="11" t="str">
        <x:v>À produire</x:v>
      </x:c>
      <x:c r="E15" s="15" t="str">
        <x:v>P1</x:v>
      </x:c>
      <x:c r="F15" s="15" t="str">
        <x:v>ME1</x:v>
      </x:c>
      <x:c r="G15" s="15" t="str">
        <x:v>Référence à vérifier</x:v>
      </x:c>
      <x:c r="H15" s="14" t="str">
        <x:v>Gamme d’équipement avancé.</x:v>
      </x:c>
      <x:c r="I15" s="14" t="str">
        <x:v>Ne pas confondre avec l’ennemi geth du même nom.</x:v>
      </x:c>
      <x:c r="J15" s="14" t="str"/>
      <x:c r="K15" s="14" t="str">
        <x:v>content/equipment/EQP-armure-colossus.json</x:v>
      </x:c>
      <x:c r="L15" s="14" t="str"/>
      <x:c r="M15" s="14" t="str"/>
      <x:c r="N15" s="14" t="str">
        <x:v>Catalogue d’équipement à relever dans ME1 ; valeurs non inventées.</x:v>
      </x:c>
      <x:c r="O15" s="14" t="str">
        <x:v>https://eaassets-a.akamaihd.net/eahelp/manuals/mass-effect-manuals_PC_fr.pdf</x:v>
      </x:c>
      <x:c r="P15" s="14" t="str">
        <x:v>Production ME1</x:v>
      </x:c>
      <x:c r="Q15" s="14" t="str">
        <x:v>Objectif de famille conservé. Références jouables documentées séparément : GEAR-colossus-human-vii, GEAR-colossus-turian-vii, GEAR-colossus-quarian-vii, GEAR-colossus-krogan-vii. Les modèles, rangs complets, silhouettes et statistiques canoniques restent à produire ou vérifier.</x:v>
      </x:c>
    </x:row>
    <x:row r="16" ht="75" customHeight="1">
      <x:c r="A16" s="12" t="str">
        <x:v>EQP-armure-predator</x:v>
      </x:c>
      <x:c r="B16" s="7" t="str">
        <x:v>Armure Predator</x:v>
      </x:c>
      <x:c r="C16" s="10" t="str">
        <x:v>Défini</x:v>
      </x:c>
      <x:c r="D16" s="11" t="str">
        <x:v>À produire</x:v>
      </x:c>
      <x:c r="E16" s="9" t="str">
        <x:v>P1</x:v>
      </x:c>
      <x:c r="F16" s="9" t="str">
        <x:v>ME1</x:v>
      </x:c>
      <x:c r="G16" s="9" t="str">
        <x:v>Référence à vérifier</x:v>
      </x:c>
      <x:c r="H16" s="7" t="str">
        <x:v>Gamme d’équipement avancé.</x:v>
      </x:c>
      <x:c r="I16" s="7" t="str">
        <x:v>Version et fabricant à relever.</x:v>
      </x:c>
      <x:c r="J16" s="7" t="str"/>
      <x:c r="K16" s="7" t="str">
        <x:v>content/equipment/EQP-armure-predator.json</x:v>
      </x:c>
      <x:c r="L16" s="7" t="str"/>
      <x:c r="M16" s="7" t="str"/>
      <x:c r="N16" s="7" t="str">
        <x:v>Catalogue d’équipement à relever dans ME1 ; valeurs non inventées.</x:v>
      </x:c>
      <x:c r="O16" s="7" t="str">
        <x:v>https://eaassets-a.akamaihd.net/eahelp/manuals/mass-effect-manuals_PC_fr.pdf</x:v>
      </x:c>
      <x:c r="P16" s="7" t="str">
        <x:v>Production ME1</x:v>
      </x:c>
      <x:c r="Q16" s="7" t="str">
        <x:v>Objectif de famille conservé. Références jouables documentées séparément : GEAR-predator-human-vii, GEAR-predator-turian-vii, GEAR-predator-krogan-vii. Les modèles, rangs complets, silhouettes et statistiques canoniques restent à produire ou vérifier.</x:v>
      </x:c>
    </x:row>
    <x:row r="17" ht="36" customHeight="1">
      <x:c r="A17" s="13" t="str">
        <x:v>EQP-armure-mercenary</x:v>
      </x:c>
      <x:c r="B17" s="14" t="str">
        <x:v>Armure Mercenary</x:v>
      </x:c>
      <x:c r="C17" s="10" t="str">
        <x:v>Défini</x:v>
      </x:c>
      <x:c r="D17" s="11" t="str">
        <x:v>À produire</x:v>
      </x:c>
      <x:c r="E17" s="15" t="str">
        <x:v>P1</x:v>
      </x:c>
      <x:c r="F17" s="15" t="str">
        <x:v>ME1</x:v>
      </x:c>
      <x:c r="G17" s="15" t="str">
        <x:v>Référence à vérifier</x:v>
      </x:c>
      <x:c r="H17" s="14" t="str">
        <x:v>Gamme d’équipement standard.</x:v>
      </x:c>
      <x:c r="I17" s="14" t="str">
        <x:v>Variantes réellement disponibles recensées.</x:v>
      </x:c>
      <x:c r="J17" s="14" t="str"/>
      <x:c r="K17" s="14" t="str">
        <x:v>content/equipment/EQP-armure-mercenary.json</x:v>
      </x:c>
      <x:c r="L17" s="14" t="str"/>
      <x:c r="M17" s="14" t="str"/>
      <x:c r="N17" s="14" t="str">
        <x:v>Catalogue d’équipement à relever dans ME1 ; valeurs non inventées.</x:v>
      </x:c>
      <x:c r="O17" s="14" t="str">
        <x:v>https://eaassets-a.akamaihd.net/eahelp/manuals/mass-effect-manuals_PC_fr.pdf</x:v>
      </x:c>
      <x:c r="P17" s="14" t="str">
        <x:v>Production ME1</x:v>
      </x:c>
      <x:c r="Q17" s="14" t="str"/>
    </x:row>
    <x:row r="18" ht="36" customHeight="1">
      <x:c r="A18" s="12" t="str">
        <x:v>EQP-armure-explorer</x:v>
      </x:c>
      <x:c r="B18" s="7" t="str">
        <x:v>Armure Explorer</x:v>
      </x:c>
      <x:c r="C18" s="10" t="str">
        <x:v>Défini</x:v>
      </x:c>
      <x:c r="D18" s="11" t="str">
        <x:v>À produire</x:v>
      </x:c>
      <x:c r="E18" s="9" t="str">
        <x:v>P1</x:v>
      </x:c>
      <x:c r="F18" s="9" t="str">
        <x:v>ME1</x:v>
      </x:c>
      <x:c r="G18" s="9" t="str">
        <x:v>Référence à vérifier</x:v>
      </x:c>
      <x:c r="H18" s="7" t="str">
        <x:v>Gamme d’exploration.</x:v>
      </x:c>
      <x:c r="I18" s="7" t="str">
        <x:v>Classes et espèces compatibles documentées.</x:v>
      </x:c>
      <x:c r="J18" s="7" t="str"/>
      <x:c r="K18" s="7" t="str">
        <x:v>content/equipment/EQP-armure-explorer.json</x:v>
      </x:c>
      <x:c r="L18" s="7" t="str"/>
      <x:c r="M18" s="7" t="str"/>
      <x:c r="N18" s="7" t="str">
        <x:v>Catalogue d’équipement à relever dans ME1 ; valeurs non inventées.</x:v>
      </x:c>
      <x:c r="O18" s="7" t="str">
        <x:v>https://eaassets-a.akamaihd.net/eahelp/manuals/mass-effect-manuals_PC_fr.pdf</x:v>
      </x:c>
      <x:c r="P18" s="7" t="str">
        <x:v>Production ME1</x:v>
      </x:c>
      <x:c r="Q18" s="7" t="str"/>
    </x:row>
    <x:row r="19" ht="36" customHeight="1">
      <x:c r="A19" s="13" t="str">
        <x:v>EQP-casque-militaire</x:v>
      </x:c>
      <x:c r="B19" s="14" t="str">
        <x:v>Casque militaire</x:v>
      </x:c>
      <x:c r="C19" s="10" t="str">
        <x:v>Défini</x:v>
      </x:c>
      <x:c r="D19" s="11" t="str">
        <x:v>À produire</x:v>
      </x:c>
      <x:c r="E19" s="15" t="str">
        <x:v>P1</x:v>
      </x:c>
      <x:c r="F19" s="15" t="str">
        <x:v>ME1</x:v>
      </x:c>
      <x:c r="G19" s="15" t="str">
        <x:v>Référence à vérifier</x:v>
      </x:c>
      <x:c r="H19" s="14" t="str">
        <x:v>Casque lié à l’armure équipée.</x:v>
      </x:c>
      <x:c r="I19" s="14" t="str">
        <x:v>Masquage en dialogue distinct de la protection réelle.</x:v>
      </x:c>
      <x:c r="J19" s="14" t="str"/>
      <x:c r="K19" s="14" t="str">
        <x:v>content/equipment/EQP-casque-militaire.json</x:v>
      </x:c>
      <x:c r="L19" s="14" t="str"/>
      <x:c r="M19" s="14" t="str"/>
      <x:c r="N19" s="14" t="str">
        <x:v>Catalogue d’équipement à relever dans ME1 ; valeurs non inventées.</x:v>
      </x:c>
      <x:c r="O19" s="14" t="str">
        <x:v>https://eaassets-a.akamaihd.net/eahelp/manuals/mass-effect-manuals_PC_fr.pdf</x:v>
      </x:c>
      <x:c r="P19" s="14" t="str">
        <x:v>Production ME1</x:v>
      </x:c>
      <x:c r="Q19" s="14" t="str"/>
    </x:row>
    <x:row r="20" ht="36" customHeight="1">
      <x:c r="A20" s="12" t="str">
        <x:v>EQP-visiere-de-tali</x:v>
      </x:c>
      <x:c r="B20" s="7" t="str">
        <x:v>Visière de Tali</x:v>
      </x:c>
      <x:c r="C20" s="10" t="str">
        <x:v>Défini</x:v>
      </x:c>
      <x:c r="D20" s="11" t="str">
        <x:v>À produire</x:v>
      </x:c>
      <x:c r="E20" s="9" t="str">
        <x:v>P1</x:v>
      </x:c>
      <x:c r="F20" s="9" t="str">
        <x:v>ME1</x:v>
      </x:c>
      <x:c r="G20" s="9" t="str">
        <x:v>Référence à vérifier</x:v>
      </x:c>
      <x:c r="H20" s="7" t="str">
        <x:v>Visière de combinaison.</x:v>
      </x:c>
      <x:c r="I20" s="7" t="str">
        <x:v>Transparence ne révèle pas un visage inventé comme canon.</x:v>
      </x:c>
      <x:c r="J20" s="7" t="str"/>
      <x:c r="K20" s="7" t="str">
        <x:v>content/equipment/EQP-visiere-de-tali.json</x:v>
      </x:c>
      <x:c r="L20" s="7" t="str"/>
      <x:c r="M20" s="7" t="str"/>
      <x:c r="N20" s="7" t="str">
        <x:v>Catalogue d’équipement à relever dans ME1 ; valeurs non inventées.</x:v>
      </x:c>
      <x:c r="O20" s="7" t="str">
        <x:v>https://eaassets-a.akamaihd.net/eahelp/manuals/mass-effect-manuals_PC_fr.pdf</x:v>
      </x:c>
      <x:c r="P20" s="7" t="str">
        <x:v>Production ME1</x:v>
      </x:c>
      <x:c r="Q20" s="7" t="str"/>
    </x:row>
    <x:row r="21" ht="88" customHeight="1">
      <x:c r="A21" s="13" t="str">
        <x:v>EQP-omni-outil</x:v>
      </x:c>
      <x:c r="B21" s="14" t="str">
        <x:v>Omni-outil</x:v>
      </x:c>
      <x:c r="C21" s="10" t="str">
        <x:v>Prototype</x:v>
      </x:c>
      <x:c r="D21" s="11" t="str">
        <x:v>À produire</x:v>
      </x:c>
      <x:c r="E21" s="15" t="str">
        <x:v>P1</x:v>
      </x:c>
      <x:c r="F21" s="15" t="str">
        <x:v>ME1</x:v>
      </x:c>
      <x:c r="G21" s="15" t="str">
        <x:v>Confirmé</x:v>
      </x:c>
      <x:c r="H21" s="14" t="str">
        <x:v>Interface technologique de l’équipier.</x:v>
      </x:c>
      <x:c r="I21" s="14" t="str">
        <x:v>Effets et modèles compatibles avec sa classe.</x:v>
      </x:c>
      <x:c r="J21" s="14" t="str"/>
      <x:c r="K21" s="14" t="str">
        <x:v>content/equipment/EQP-omni-outil.json</x:v>
      </x:c>
      <x:c r="L21" s="14" t="str">
        <x:v>src/tool-data.js</x:v>
      </x:c>
      <x:c r="M21" s="14" t="str">
        <x:v>omniTool</x:v>
      </x:c>
      <x:c r="N21" s="14" t="str">
        <x:v>Manuel PC FR p.24 (PDF14), existence et rôle général de l’outil. Aucun fabricant, rang, prix ou chiffre original certifié.</x:v>
      </x:c>
      <x:c r="O21" s="14" t="str">
        <x:v>https://eaassets-a.akamaihd.net/eahelp/manuals/mass-effect-manuals_PC_fr.pdf</x:v>
      </x:c>
      <x:c r="P21" s="14" t="str">
        <x:v>Production ME1</x:v>
      </x:c>
      <x:c r="Q21" s="14" t="str">
        <x:v>Versions génériques standard et améliorée dans le commerce, avec équipement, vente et persistance. Compatibilité bio/tech contrôlée ; aucun pouvoir ajouté. Multiplicateur et prix ATB. Pas de modèle visuel dédié ni gamme complète. Preuves : docs/research/loadout-extension-sources.md, tests/tool-data.test.js et docs/qa/equipment-extension-report.json.</x:v>
      </x:c>
    </x:row>
    <x:row r="22" ht="88" customHeight="1">
      <x:c r="A22" s="12" t="str">
        <x:v>EQP-amplificateur-biotique</x:v>
      </x:c>
      <x:c r="B22" s="7" t="str">
        <x:v>Amplificateur biotique</x:v>
      </x:c>
      <x:c r="C22" s="10" t="str">
        <x:v>Prototype</x:v>
      </x:c>
      <x:c r="D22" s="11" t="str">
        <x:v>À produire</x:v>
      </x:c>
      <x:c r="E22" s="9" t="str">
        <x:v>P1</x:v>
      </x:c>
      <x:c r="F22" s="9" t="str">
        <x:v>ME1</x:v>
      </x:c>
      <x:c r="G22" s="9" t="str">
        <x:v>Confirmé</x:v>
      </x:c>
      <x:c r="H22" s="7" t="str">
        <x:v>Équipement réservé aux utilisateurs biotiques.</x:v>
      </x:c>
      <x:c r="I22" s="7" t="str">
        <x:v>N’accorde pas la biotique à un personnage non biotique.</x:v>
      </x:c>
      <x:c r="J22" s="7" t="str"/>
      <x:c r="K22" s="7" t="str">
        <x:v>content/equipment/EQP-amplificateur-biotique.json</x:v>
      </x:c>
      <x:c r="L22" s="7" t="str">
        <x:v>src/tool-data.js</x:v>
      </x:c>
      <x:c r="M22" s="7" t="str">
        <x:v>bioticAmp</x:v>
      </x:c>
      <x:c r="N22" s="7" t="str">
        <x:v>Manuel PC FR p.24 (PDF14), existence et rôle général de l’outil. Aucun fabricant, rang, prix ou chiffre original certifié.</x:v>
      </x:c>
      <x:c r="O22" s="7" t="str">
        <x:v>https://eaassets-a.akamaihd.net/eahelp/manuals/mass-effect-manuals_PC_fr.pdf</x:v>
      </x:c>
      <x:c r="P22" s="7" t="str">
        <x:v>Production ME1</x:v>
      </x:c>
      <x:c r="Q22" s="7" t="str">
        <x:v>Versions génériques standard et améliorée dans le commerce, avec équipement, vente et persistance. Compatibilité bio/tech contrôlée ; aucun pouvoir ajouté. Multiplicateur et prix ATB. Pas de modèle visuel dédié ni gamme complète. Preuves : docs/research/loadout-extension-sources.md, tests/tool-data.test.js et docs/qa/equipment-extension-report.json.</x:v>
      </x:c>
    </x:row>
    <x:row r="23" ht="36" customHeight="1">
      <x:c r="A23" s="13" t="str">
        <x:v>EQP-medi-gel</x:v>
      </x:c>
      <x:c r="B23" s="14" t="str">
        <x:v>Médi-gel</x:v>
      </x:c>
      <x:c r="C23" s="10" t="str">
        <x:v>Défini</x:v>
      </x:c>
      <x:c r="D23" s="11" t="str">
        <x:v>À produire</x:v>
      </x:c>
      <x:c r="E23" s="15" t="str">
        <x:v>P1</x:v>
      </x:c>
      <x:c r="F23" s="15" t="str">
        <x:v>ME1</x:v>
      </x:c>
      <x:c r="G23" s="15" t="str">
        <x:v>Référence à vérifier</x:v>
      </x:c>
      <x:c r="H23" s="14" t="str">
        <x:v>Ressource de soin du commando.</x:v>
      </x:c>
      <x:c r="I23" s="14" t="str">
        <x:v>Quantité, délai et effet explicitement affichés.</x:v>
      </x:c>
      <x:c r="J23" s="14" t="str"/>
      <x:c r="K23" s="14" t="str">
        <x:v>content/equipment/EQP-medi-gel.json</x:v>
      </x:c>
      <x:c r="L23" s="14" t="str"/>
      <x:c r="M23" s="14" t="str"/>
      <x:c r="N23" s="14" t="str">
        <x:v>Catalogue d’équipement à relever dans ME1 ; valeurs non inventées.</x:v>
      </x:c>
      <x:c r="O23" s="14" t="str">
        <x:v>https://eaassets-a.akamaihd.net/eahelp/manuals/mass-effect-manuals_PC_fr.pdf</x:v>
      </x:c>
      <x:c r="P23" s="14" t="str">
        <x:v>Production ME1</x:v>
      </x:c>
      <x:c r="Q23" s="14" t="str"/>
    </x:row>
    <x:row r="24" ht="36" customHeight="1">
      <x:c r="A24" s="12" t="str">
        <x:v>EQP-omni-gel</x:v>
      </x:c>
      <x:c r="B24" s="7" t="str">
        <x:v>Omni-gel</x:v>
      </x:c>
      <x:c r="C24" s="10" t="str">
        <x:v>Défini</x:v>
      </x:c>
      <x:c r="D24" s="11" t="str">
        <x:v>À produire</x:v>
      </x:c>
      <x:c r="E24" s="9" t="str">
        <x:v>P1</x:v>
      </x:c>
      <x:c r="F24" s="9" t="str">
        <x:v>ME1</x:v>
      </x:c>
      <x:c r="G24" s="9" t="str">
        <x:v>Référence à vérifier</x:v>
      </x:c>
      <x:c r="H24" s="7" t="str">
        <x:v>Ressource technique de conversion et réparation.</x:v>
      </x:c>
      <x:c r="I24" s="7" t="str">
        <x:v>Aucun gain par annulation répétée d’une action.</x:v>
      </x:c>
      <x:c r="J24" s="7" t="str"/>
      <x:c r="K24" s="7" t="str">
        <x:v>content/equipment/EQP-omni-gel.json</x:v>
      </x:c>
      <x:c r="L24" s="7" t="str"/>
      <x:c r="M24" s="7" t="str"/>
      <x:c r="N24" s="7" t="str">
        <x:v>Catalogue d’équipement à relever dans ME1 ; valeurs non inventées.</x:v>
      </x:c>
      <x:c r="O24" s="7" t="str">
        <x:v>https://eaassets-a.akamaihd.net/eahelp/manuals/mass-effect-manuals_PC_fr.pdf</x:v>
      </x:c>
      <x:c r="P24" s="7" t="str">
        <x:v>Production ME1</x:v>
      </x:c>
      <x:c r="Q24" s="7" t="str"/>
    </x:row>
    <x:row r="25" ht="36" customHeight="1">
      <x:c r="A25" s="13" t="str">
        <x:v>EQP-amelioration-de-bouclier</x:v>
      </x:c>
      <x:c r="B25" s="14" t="str">
        <x:v>Amélioration de bouclier</x:v>
      </x:c>
      <x:c r="C25" s="10" t="str">
        <x:v>Défini</x:v>
      </x:c>
      <x:c r="D25" s="11" t="str">
        <x:v>À produire</x:v>
      </x:c>
      <x:c r="E25" s="15" t="str">
        <x:v>P1</x:v>
      </x:c>
      <x:c r="F25" s="15" t="str">
        <x:v>ME1</x:v>
      </x:c>
      <x:c r="G25" s="15" t="str">
        <x:v>Référence à vérifier</x:v>
      </x:c>
      <x:c r="H25" s="14" t="str">
        <x:v>Module de protection.</x:v>
      </x:c>
      <x:c r="I25" s="14" t="str">
        <x:v>Statistiques recalculées après équipement.</x:v>
      </x:c>
      <x:c r="J25" s="14" t="str"/>
      <x:c r="K25" s="14" t="str">
        <x:v>content/equipment/EQP-amelioration-de-bouclier.json</x:v>
      </x:c>
      <x:c r="L25" s="14" t="str"/>
      <x:c r="M25" s="14" t="str"/>
      <x:c r="N25" s="14" t="str">
        <x:v>Catalogue d’équipement à relever dans ME1 ; valeurs non inventées.</x:v>
      </x:c>
      <x:c r="O25" s="14" t="str">
        <x:v>https://eaassets-a.akamaihd.net/eahelp/manuals/mass-effect-manuals_PC_fr.pdf</x:v>
      </x:c>
      <x:c r="P25" s="14" t="str">
        <x:v>Production ME1</x:v>
      </x:c>
      <x:c r="Q25" s="14" t="str"/>
    </x:row>
    <x:row r="26" ht="36" customHeight="1">
      <x:c r="A26" s="12" t="str">
        <x:v>EQP-amelioration-de-sante</x:v>
      </x:c>
      <x:c r="B26" s="7" t="str">
        <x:v>Amélioration de santé</x:v>
      </x:c>
      <x:c r="C26" s="10" t="str">
        <x:v>Défini</x:v>
      </x:c>
      <x:c r="D26" s="11" t="str">
        <x:v>À produire</x:v>
      </x:c>
      <x:c r="E26" s="9" t="str">
        <x:v>P1</x:v>
      </x:c>
      <x:c r="F26" s="9" t="str">
        <x:v>ME1</x:v>
      </x:c>
      <x:c r="G26" s="9" t="str">
        <x:v>Référence à vérifier</x:v>
      </x:c>
      <x:c r="H26" s="7" t="str">
        <x:v>Module de résistance et récupération.</x:v>
      </x:c>
      <x:c r="I26" s="7" t="str">
        <x:v>Ne neutralise pas les morts narratives.</x:v>
      </x:c>
      <x:c r="J26" s="7" t="str"/>
      <x:c r="K26" s="7" t="str">
        <x:v>content/equipment/EQP-amelioration-de-sante.json</x:v>
      </x:c>
      <x:c r="L26" s="7" t="str"/>
      <x:c r="M26" s="7" t="str"/>
      <x:c r="N26" s="7" t="str">
        <x:v>Catalogue d’équipement à relever dans ME1 ; valeurs non inventées.</x:v>
      </x:c>
      <x:c r="O26" s="7" t="str">
        <x:v>https://eaassets-a.akamaihd.net/eahelp/manuals/mass-effect-manuals_PC_fr.pdf</x:v>
      </x:c>
      <x:c r="P26" s="7" t="str">
        <x:v>Production ME1</x:v>
      </x:c>
      <x:c r="Q26" s="7" t="str"/>
    </x:row>
    <x:row r="27" ht="36" customHeight="1">
      <x:c r="A27" s="13" t="str">
        <x:v>EQP-protection-environnementale</x:v>
      </x:c>
      <x:c r="B27" s="14" t="str">
        <x:v>Protection environnementale</x:v>
      </x:c>
      <x:c r="C27" s="10" t="str">
        <x:v>Défini</x:v>
      </x:c>
      <x:c r="D27" s="11" t="str">
        <x:v>À produire</x:v>
      </x:c>
      <x:c r="E27" s="15" t="str">
        <x:v>P1</x:v>
      </x:c>
      <x:c r="F27" s="15" t="str">
        <x:v>ME1</x:v>
      </x:c>
      <x:c r="G27" s="15" t="str">
        <x:v>Référence à vérifier</x:v>
      </x:c>
      <x:c r="H27" s="14" t="str">
        <x:v>Résistance aux dangers de surface.</x:v>
      </x:c>
      <x:c r="I27" s="14" t="str">
        <x:v>Avertissement et progression du danger lisibles.</x:v>
      </x:c>
      <x:c r="J27" s="14" t="str"/>
      <x:c r="K27" s="14" t="str">
        <x:v>content/equipment/EQP-protection-environnementale.json</x:v>
      </x:c>
      <x:c r="L27" s="14" t="str"/>
      <x:c r="M27" s="14" t="str"/>
      <x:c r="N27" s="14" t="str">
        <x:v>Catalogue d’équipement à relever dans ME1 ; valeurs non inventées.</x:v>
      </x:c>
      <x:c r="O27" s="14" t="str">
        <x:v>https://eaassets-a.akamaihd.net/eahelp/manuals/mass-effect-manuals_PC_fr.pdf</x:v>
      </x:c>
      <x:c r="P27" s="14" t="str">
        <x:v>Production ME1</x:v>
      </x:c>
      <x:c r="Q27" s="14" t="str"/>
    </x:row>
    <x:row r="28" ht="36" customHeight="1">
      <x:c r="A28" s="12" t="str">
        <x:v>EQP-dissipateur-d-arme</x:v>
      </x:c>
      <x:c r="B28" s="7" t="str">
        <x:v>Dissipateur d’arme</x:v>
      </x:c>
      <x:c r="C28" s="10" t="str">
        <x:v>Défini</x:v>
      </x:c>
      <x:c r="D28" s="11" t="str">
        <x:v>À produire</x:v>
      </x:c>
      <x:c r="E28" s="9" t="str">
        <x:v>P1</x:v>
      </x:c>
      <x:c r="F28" s="9" t="str">
        <x:v>ME1</x:v>
      </x:c>
      <x:c r="G28" s="9" t="str">
        <x:v>Référence à vérifier</x:v>
      </x:c>
      <x:c r="H28" s="7" t="str">
        <x:v>Module de gestion de chaleur.</x:v>
      </x:c>
      <x:c r="I28" s="7" t="str">
        <x:v>Refroidissement actif et maximum testés.</x:v>
      </x:c>
      <x:c r="J28" s="7" t="str"/>
      <x:c r="K28" s="7" t="str">
        <x:v>content/equipment/EQP-dissipateur-d-arme.json</x:v>
      </x:c>
      <x:c r="L28" s="7" t="str"/>
      <x:c r="M28" s="7" t="str"/>
      <x:c r="N28" s="7" t="str">
        <x:v>Catalogue d’équipement à relever dans ME1 ; valeurs non inventées.</x:v>
      </x:c>
      <x:c r="O28" s="7" t="str">
        <x:v>https://eaassets-a.akamaihd.net/eahelp/manuals/mass-effect-manuals_PC_fr.pdf</x:v>
      </x:c>
      <x:c r="P28" s="7" t="str">
        <x:v>Production ME1</x:v>
      </x:c>
      <x:c r="Q28" s="7" t="str"/>
    </x:row>
    <x:row r="29" ht="36" customHeight="1">
      <x:c r="A29" s="13" t="str">
        <x:v>EQP-module-de-precision</x:v>
      </x:c>
      <x:c r="B29" s="14" t="str">
        <x:v>Module de précision</x:v>
      </x:c>
      <x:c r="C29" s="10" t="str">
        <x:v>Défini</x:v>
      </x:c>
      <x:c r="D29" s="11" t="str">
        <x:v>À produire</x:v>
      </x:c>
      <x:c r="E29" s="15" t="str">
        <x:v>P1</x:v>
      </x:c>
      <x:c r="F29" s="15" t="str">
        <x:v>ME1</x:v>
      </x:c>
      <x:c r="G29" s="15" t="str">
        <x:v>Référence à vérifier</x:v>
      </x:c>
      <x:c r="H29" s="14" t="str">
        <x:v>Amélioration de stabilité d’arme.</x:v>
      </x:c>
      <x:c r="I29" s="14" t="str">
        <x:v>Effet reflété dans la prévisualisation de l’action.</x:v>
      </x:c>
      <x:c r="J29" s="14" t="str"/>
      <x:c r="K29" s="14" t="str">
        <x:v>content/equipment/EQP-module-de-precision.json</x:v>
      </x:c>
      <x:c r="L29" s="14" t="str"/>
      <x:c r="M29" s="14" t="str"/>
      <x:c r="N29" s="14" t="str">
        <x:v>Catalogue d’équipement à relever dans ME1 ; valeurs non inventées.</x:v>
      </x:c>
      <x:c r="O29" s="14" t="str">
        <x:v>https://eaassets-a.akamaihd.net/eahelp/manuals/mass-effect-manuals_PC_fr.pdf</x:v>
      </x:c>
      <x:c r="P29" s="14" t="str">
        <x:v>Production ME1</x:v>
      </x:c>
      <x:c r="Q29" s="14" t="str"/>
    </x:row>
    <x:row r="30" ht="36" customHeight="1">
      <x:c r="A30" s="12" t="str">
        <x:v>EQP-module-de-grenade</x:v>
      </x:c>
      <x:c r="B30" s="7" t="str">
        <x:v>Module de grenade</x:v>
      </x:c>
      <x:c r="C30" s="10" t="str">
        <x:v>Défini</x:v>
      </x:c>
      <x:c r="D30" s="11" t="str">
        <x:v>À produire</x:v>
      </x:c>
      <x:c r="E30" s="9" t="str">
        <x:v>P1</x:v>
      </x:c>
      <x:c r="F30" s="9" t="str">
        <x:v>ME1</x:v>
      </x:c>
      <x:c r="G30" s="9" t="str">
        <x:v>Référence à vérifier</x:v>
      </x:c>
      <x:c r="H30" s="7" t="str">
        <x:v>Effet spécifique d’une grenade.</x:v>
      </x:c>
      <x:c r="I30" s="7" t="str">
        <x:v>Cible organique ou contexte de Feros correctement filtré.</x:v>
      </x:c>
      <x:c r="J30" s="7" t="str"/>
      <x:c r="K30" s="7" t="str">
        <x:v>content/equipment/EQP-module-de-grenade.json</x:v>
      </x:c>
      <x:c r="L30" s="7" t="str"/>
      <x:c r="M30" s="7" t="str"/>
      <x:c r="N30" s="7" t="str">
        <x:v>Catalogue d’équipement à relever dans ME1 ; valeurs non inventées.</x:v>
      </x:c>
      <x:c r="O30" s="7" t="str">
        <x:v>https://eaassets-a.akamaihd.net/eahelp/manuals/mass-effect-manuals_PC_fr.pdf</x:v>
      </x:c>
      <x:c r="P30" s="7" t="str">
        <x:v>Production ME1</x:v>
      </x:c>
      <x:c r="Q30" s="7" t="str"/>
    </x:row>
    <x:row r="31" ht="36" customHeight="1">
      <x:c r="A31" s="13" t="str">
        <x:v>EQP-licence-d-equipement</x:v>
      </x:c>
      <x:c r="B31" s="14" t="str">
        <x:v>Licence d’équipement</x:v>
      </x:c>
      <x:c r="C31" s="10" t="str">
        <x:v>Défini</x:v>
      </x:c>
      <x:c r="D31" s="11" t="str">
        <x:v>À produire</x:v>
      </x:c>
      <x:c r="E31" s="15" t="str">
        <x:v>P1</x:v>
      </x:c>
      <x:c r="F31" s="15" t="str">
        <x:v>ME1</x:v>
      </x:c>
      <x:c r="G31" s="15" t="str">
        <x:v>Référence à vérifier</x:v>
      </x:c>
      <x:c r="H31" s="14" t="str">
        <x:v>Accès aux stocks d’un fabricant.</x:v>
      </x:c>
      <x:c r="I31" s="14" t="str">
        <x:v>Catalogue marchand actualisé à la prochaine consultation.</x:v>
      </x:c>
      <x:c r="J31" s="14" t="str"/>
      <x:c r="K31" s="14" t="str">
        <x:v>content/equipment/EQP-licence-d-equipement.json</x:v>
      </x:c>
      <x:c r="L31" s="14" t="str"/>
      <x:c r="M31" s="14" t="str"/>
      <x:c r="N31" s="14" t="str">
        <x:v>Catalogue d’équipement à relever dans ME1 ; valeurs non inventées.</x:v>
      </x:c>
      <x:c r="O31" s="14" t="str">
        <x:v>https://eaassets-a.akamaihd.net/eahelp/manuals/mass-effect-manuals_PC_fr.pdf</x:v>
      </x:c>
      <x:c r="P31" s="14" t="str">
        <x:v>Production ME1</x:v>
      </x:c>
      <x:c r="Q31" s="14" t="str"/>
    </x:row>
    <x:row r="32" ht="36" customHeight="1">
      <x:c r="A32" s="12" t="str">
        <x:v>EQP-credits</x:v>
      </x:c>
      <x:c r="B32" s="7" t="str">
        <x:v>Crédits</x:v>
      </x:c>
      <x:c r="C32" s="10" t="str">
        <x:v>Défini</x:v>
      </x:c>
      <x:c r="D32" s="11" t="str">
        <x:v>À produire</x:v>
      </x:c>
      <x:c r="E32" s="9" t="str">
        <x:v>P1</x:v>
      </x:c>
      <x:c r="F32" s="9" t="str">
        <x:v>ME1</x:v>
      </x:c>
      <x:c r="G32" s="9" t="str">
        <x:v>Référence à vérifier</x:v>
      </x:c>
      <x:c r="H32" s="7" t="str">
        <x:v>Monnaie des achats et récompenses.</x:v>
      </x:c>
      <x:c r="I32" s="7" t="str">
        <x:v>Transactions atomiques et quantités jamais négatives.</x:v>
      </x:c>
      <x:c r="J32" s="7" t="str"/>
      <x:c r="K32" s="7" t="str">
        <x:v>content/equipment/EQP-credits.json</x:v>
      </x:c>
      <x:c r="L32" s="7" t="str"/>
      <x:c r="M32" s="7" t="str"/>
      <x:c r="N32" s="7" t="str">
        <x:v>Catalogue d’équipement à relever dans ME1 ; valeurs non inventées.</x:v>
      </x:c>
      <x:c r="O32" s="7" t="str">
        <x:v>https://eaassets-a.akamaihd.net/eahelp/manuals/mass-effect-manuals_PC_fr.pdf</x:v>
      </x:c>
      <x:c r="P32" s="7" t="str">
        <x:v>Production ME1</x:v>
      </x:c>
      <x:c r="Q32" s="7" t="str"/>
    </x:row>
    <x:row r="33" ht="62" customHeight="1">
      <x:c r="A33" s="13" t="str">
        <x:v>GEAR-onyx-human-i</x:v>
      </x:c>
      <x:c r="B33" s="14" t="str">
        <x:v>Onyx I · humains / Asari</x:v>
      </x:c>
      <x:c r="C33" s="10" t="str">
        <x:v>Prototype</x:v>
      </x:c>
      <x:c r="D33" s="11" t="str">
        <x:v>À produire</x:v>
      </x:c>
      <x:c r="E33" s="15" t="str">
        <x:v>P1</x:v>
      </x:c>
      <x:c r="F33" s="15" t="str">
        <x:v>ME1</x:v>
      </x:c>
      <x:c r="G33" s="15" t="str">
        <x:v>Adaptation</x:v>
      </x:c>
      <x:c r="H33" s="14" t="str">
        <x:v>Armure, Légère (human). Aldrin Labs. Niveau 1. Achat 80 crédits, vente 32, stock initial 3. Effets ATB : aucun bonus supplémentaire.</x:v>
      </x:c>
      <x:c r="I33" s="14" t="str">
        <x:v>Achat, vente et attribution atomiques à l’emplacement Armure. Vérifier niveau, stock, possession, morphologie et poids autorisé. Appliquer une fois les bonus affichés, préserver après sauvegarde et restituer au retrait.</x:v>
      </x:c>
      <x:c r="J33" s="14" t="str">
        <x:v>SYS-inventaire, SYS-commerce</x:v>
      </x:c>
      <x:c r="K33" s="14" t="str">
        <x:v>src/loadout.js</x:v>
      </x:c>
      <x:c r="L33" s="14" t="str">
        <x:v>src/loadout.js</x:v>
      </x:c>
      <x:c r="M33" s="14" t="str">
        <x:v>ITEMS.onyx-human-i</x:v>
      </x:c>
      <x:c r="N33" s="14" t="str">
        <x:v>Objectifs et noms ME1 référencés ; chiffres, découpage et interface propres à cette adaptation ATB.</x:v>
      </x:c>
      <x:c r="O33" s="14" t="str">
        <x:v>https://masseffect.fandom.com/wiki/Onyx_Armor</x:v>
      </x:c>
      <x:c r="P33" s="14" t="str">
        <x:v>Production ME1</x:v>
      </x:c>
      <x:c r="Q33" s="14" t="str">
        <x:v>Légère pour humains / Asari. Protection de départ, sans bonus supplémentaire. Nom, fabricant et morphologie référencés ; protection et déblocage adaptés. Aucun sprite ou modèle distinct pour cette référence.</x:v>
      </x:c>
    </x:row>
    <x:row r="34" ht="62" customHeight="1">
      <x:c r="A34" s="12" t="str">
        <x:v>GEAR-phoenix-human-iii</x:v>
      </x:c>
      <x:c r="B34" s="7" t="str">
        <x:v>Phoenix III · humains / Asari</x:v>
      </x:c>
      <x:c r="C34" s="10" t="str">
        <x:v>Prototype</x:v>
      </x:c>
      <x:c r="D34" s="11" t="str">
        <x:v>À produire</x:v>
      </x:c>
      <x:c r="E34" s="9" t="str">
        <x:v>P1</x:v>
      </x:c>
      <x:c r="F34" s="9" t="str">
        <x:v>ME1</x:v>
      </x:c>
      <x:c r="G34" s="9" t="str">
        <x:v>Adaptation</x:v>
      </x:c>
      <x:c r="H34" s="7" t="str">
        <x:v>Armure, Légère (human). Sirta Foundation. Niveau 2. Achat 220 crédits, vente 88, stock initial 3. Effets ATB : santé=15, bouclier=15, défense=1.</x:v>
      </x:c>
      <x:c r="I34" s="7" t="str">
        <x:v>Achat, vente et attribution atomiques à l’emplacement Armure. Vérifier niveau, stock, possession, morphologie et poids autorisé. Appliquer une fois les bonus affichés, préserver après sauvegarde et restituer au retrait.</x:v>
      </x:c>
      <x:c r="J34" s="7" t="str">
        <x:v>SYS-inventaire, SYS-commerce</x:v>
      </x:c>
      <x:c r="K34" s="7" t="str">
        <x:v>src/loadout.js</x:v>
      </x:c>
      <x:c r="L34" s="7" t="str">
        <x:v>src/loadout.js</x:v>
      </x:c>
      <x:c r="M34" s="7" t="str">
        <x:v>ITEMS.phoenix-human-iii</x:v>
      </x:c>
      <x:c r="N34" s="7" t="str">
        <x:v>Objectifs et noms ME1 référencés ; chiffres, découpage et interface propres à cette adaptation ATB.</x:v>
      </x:c>
      <x:c r="O34" s="7" t="str">
        <x:v>https://masseffect.fandom.com/wiki/Phoenix_Armor</x:v>
      </x:c>
      <x:c r="P34" s="7" t="str">
        <x:v>Production ME1</x:v>
      </x:c>
      <x:c r="Q34" s="7" t="str">
        <x:v>Légère pour humains / Asari. Protection et réserves ajustées au combat ATB. Nom, fabricant et morphologie référencés ; protection et déblocage adaptés. Aucun sprite ou modèle distinct pour cette référence.</x:v>
      </x:c>
    </x:row>
    <x:row r="35" ht="62" customHeight="1">
      <x:c r="A35" s="13" t="str">
        <x:v>GEAR-colossus-human-vii</x:v>
      </x:c>
      <x:c r="B35" s="14" t="str">
        <x:v>Colossus VII · humains / Asari</x:v>
      </x:c>
      <x:c r="C35" s="10" t="str">
        <x:v>Prototype</x:v>
      </x:c>
      <x:c r="D35" s="11" t="str">
        <x:v>À produire</x:v>
      </x:c>
      <x:c r="E35" s="15" t="str">
        <x:v>P1</x:v>
      </x:c>
      <x:c r="F35" s="15" t="str">
        <x:v>ME1</x:v>
      </x:c>
      <x:c r="G35" s="15" t="str">
        <x:v>Adaptation</x:v>
      </x:c>
      <x:c r="H35" s="14" t="str">
        <x:v>Armure, Lourde (human). Kassa Fabrication. Niveau 6. Achat 600 crédits, vente 240, stock initial 3. Effets ATB : santé=30, bouclier=35, défense=6.</x:v>
      </x:c>
      <x:c r="I35" s="14" t="str">
        <x:v>Achat, vente et attribution atomiques à l’emplacement Armure. Vérifier niveau, stock, possession, morphologie et poids autorisé. Appliquer une fois les bonus affichés, préserver après sauvegarde et restituer au retrait.</x:v>
      </x:c>
      <x:c r="J35" s="14" t="str">
        <x:v>SYS-inventaire, SYS-commerce</x:v>
      </x:c>
      <x:c r="K35" s="14" t="str">
        <x:v>src/loadout.js</x:v>
      </x:c>
      <x:c r="L35" s="14" t="str">
        <x:v>src/loadout.js</x:v>
      </x:c>
      <x:c r="M35" s="14" t="str">
        <x:v>ITEMS.colossus-human-vii</x:v>
      </x:c>
      <x:c r="N35" s="14" t="str">
        <x:v>Objectifs et noms ME1 référencés ; chiffres, découpage et interface propres à cette adaptation ATB.</x:v>
      </x:c>
      <x:c r="O35" s="14" t="str">
        <x:v>https://masseffect.fandom.com/wiki/Colossus_Armor</x:v>
      </x:c>
      <x:c r="P35" s="14" t="str">
        <x:v>Production ME1</x:v>
      </x:c>
      <x:c r="Q35" s="14" t="str">
        <x:v>Lourde pour humains / Asari. Protection et réserves ajustées au combat ATB. Nom, fabricant et morphologie référencés ; protection et déblocage adaptés. Aucun sprite ou modèle distinct pour cette référence.</x:v>
      </x:c>
    </x:row>
    <x:row r="36" ht="62" customHeight="1">
      <x:c r="A36" s="12" t="str">
        <x:v>GEAR-predator-human-vii</x:v>
      </x:c>
      <x:c r="B36" s="7" t="str">
        <x:v>Predator M VII · humains / Asari</x:v>
      </x:c>
      <x:c r="C36" s="10" t="str">
        <x:v>Prototype</x:v>
      </x:c>
      <x:c r="D36" s="11" t="str">
        <x:v>À produire</x:v>
      </x:c>
      <x:c r="E36" s="9" t="str">
        <x:v>P1</x:v>
      </x:c>
      <x:c r="F36" s="9" t="str">
        <x:v>ME1</x:v>
      </x:c>
      <x:c r="G36" s="9" t="str">
        <x:v>Adaptation</x:v>
      </x:c>
      <x:c r="H36" s="7" t="str">
        <x:v>Armure, Intermédiaire (human). Armax Arsenal. Niveau 6. Achat 620 crédits, vente 248, stock initial 3. Effets ATB : bouclier=65, défense=3, résistance aux contrôles=0.05.</x:v>
      </x:c>
      <x:c r="I36" s="7" t="str">
        <x:v>Achat, vente et attribution atomiques à l’emplacement Armure. Vérifier niveau, stock, possession, morphologie et poids autorisé. Appliquer une fois les bonus affichés, préserver après sauvegarde et restituer au retrait.</x:v>
      </x:c>
      <x:c r="J36" s="7" t="str">
        <x:v>SYS-inventaire, SYS-commerce</x:v>
      </x:c>
      <x:c r="K36" s="7" t="str">
        <x:v>src/loadout.js</x:v>
      </x:c>
      <x:c r="L36" s="7" t="str">
        <x:v>src/loadout.js</x:v>
      </x:c>
      <x:c r="M36" s="7" t="str">
        <x:v>ITEMS.predator-human-vii</x:v>
      </x:c>
      <x:c r="N36" s="7" t="str">
        <x:v>Objectifs et noms ME1 référencés ; chiffres, découpage et interface propres à cette adaptation ATB.</x:v>
      </x:c>
      <x:c r="O36" s="7" t="str">
        <x:v>https://masseffect.fandom.com/wiki/Predator_L/M/H_Armor</x:v>
      </x:c>
      <x:c r="P36" s="7" t="str">
        <x:v>Production ME1</x:v>
      </x:c>
      <x:c r="Q36" s="7" t="str">
        <x:v>Intermédiaire pour humains / Asari. Protection et réserves ajustées au combat ATB. Nom, fabricant et morphologie référencés ; protection et déblocage adaptés. Aucun sprite ou modèle distinct pour cette référence.</x:v>
      </x:c>
    </x:row>
    <x:row r="37" ht="62" customHeight="1">
      <x:c r="A37" s="13" t="str">
        <x:v>GEAR-onyx-turian-i</x:v>
      </x:c>
      <x:c r="B37" s="14" t="str">
        <x:v>Onyx I · Turiens</x:v>
      </x:c>
      <x:c r="C37" s="10" t="str">
        <x:v>Prototype</x:v>
      </x:c>
      <x:c r="D37" s="11" t="str">
        <x:v>À produire</x:v>
      </x:c>
      <x:c r="E37" s="15" t="str">
        <x:v>P1</x:v>
      </x:c>
      <x:c r="F37" s="15" t="str">
        <x:v>ME1</x:v>
      </x:c>
      <x:c r="G37" s="15" t="str">
        <x:v>Adaptation</x:v>
      </x:c>
      <x:c r="H37" s="14" t="str">
        <x:v>Armure, Légère (turian). Aldrin Labs. Niveau 1. Achat 80 crédits, vente 32, stock initial 3. Effets ATB : aucun bonus supplémentaire.</x:v>
      </x:c>
      <x:c r="I37" s="14" t="str">
        <x:v>Achat, vente et attribution atomiques à l’emplacement Armure. Vérifier niveau, stock, possession, morphologie et poids autorisé. Appliquer une fois les bonus affichés, préserver après sauvegarde et restituer au retrait.</x:v>
      </x:c>
      <x:c r="J37" s="14" t="str">
        <x:v>SYS-inventaire, SYS-commerce</x:v>
      </x:c>
      <x:c r="K37" s="14" t="str">
        <x:v>src/loadout.js</x:v>
      </x:c>
      <x:c r="L37" s="14" t="str">
        <x:v>src/loadout.js</x:v>
      </x:c>
      <x:c r="M37" s="14" t="str">
        <x:v>ITEMS.onyx-turian-i</x:v>
      </x:c>
      <x:c r="N37" s="14" t="str">
        <x:v>Objectifs et noms ME1 référencés ; chiffres, découpage et interface propres à cette adaptation ATB.</x:v>
      </x:c>
      <x:c r="O37" s="14" t="str">
        <x:v>https://masseffect.fandom.com/wiki/Onyx_Armor</x:v>
      </x:c>
      <x:c r="P37" s="14" t="str">
        <x:v>Production ME1</x:v>
      </x:c>
      <x:c r="Q37" s="14" t="str">
        <x:v>Légère pour Turiens. Protection de départ, sans bonus supplémentaire. Nom, fabricant et morphologie référencés ; protection et déblocage adaptés. Aucun sprite ou modèle distinct pour cette référence.</x:v>
      </x:c>
    </x:row>
    <x:row r="38" ht="62" customHeight="1">
      <x:c r="A38" s="12" t="str">
        <x:v>GEAR-phoenix-turian-iii</x:v>
      </x:c>
      <x:c r="B38" s="7" t="str">
        <x:v>Phoenix III · Turiens</x:v>
      </x:c>
      <x:c r="C38" s="10" t="str">
        <x:v>Prototype</x:v>
      </x:c>
      <x:c r="D38" s="11" t="str">
        <x:v>À produire</x:v>
      </x:c>
      <x:c r="E38" s="9" t="str">
        <x:v>P1</x:v>
      </x:c>
      <x:c r="F38" s="9" t="str">
        <x:v>ME1</x:v>
      </x:c>
      <x:c r="G38" s="9" t="str">
        <x:v>Adaptation</x:v>
      </x:c>
      <x:c r="H38" s="7" t="str">
        <x:v>Armure, Légère (turian). Sirta Foundation. Niveau 2. Achat 220 crédits, vente 88, stock initial 3. Effets ATB : santé=15, bouclier=15, défense=1.</x:v>
      </x:c>
      <x:c r="I38" s="7" t="str">
        <x:v>Achat, vente et attribution atomiques à l’emplacement Armure. Vérifier niveau, stock, possession, morphologie et poids autorisé. Appliquer une fois les bonus affichés, préserver après sauvegarde et restituer au retrait.</x:v>
      </x:c>
      <x:c r="J38" s="7" t="str">
        <x:v>SYS-inventaire, SYS-commerce</x:v>
      </x:c>
      <x:c r="K38" s="7" t="str">
        <x:v>src/loadout.js</x:v>
      </x:c>
      <x:c r="L38" s="7" t="str">
        <x:v>src/loadout.js</x:v>
      </x:c>
      <x:c r="M38" s="7" t="str">
        <x:v>ITEMS.phoenix-turian-iii</x:v>
      </x:c>
      <x:c r="N38" s="7" t="str">
        <x:v>Objectifs et noms ME1 référencés ; chiffres, découpage et interface propres à cette adaptation ATB.</x:v>
      </x:c>
      <x:c r="O38" s="7" t="str">
        <x:v>https://masseffect.fandom.com/wiki/Phoenix_Armor</x:v>
      </x:c>
      <x:c r="P38" s="7" t="str">
        <x:v>Production ME1</x:v>
      </x:c>
      <x:c r="Q38" s="7" t="str">
        <x:v>Légère pour Turiens. Protection et réserves ajustées au combat ATB. Nom, fabricant et morphologie référencés ; protection et déblocage adaptés. Aucun sprite ou modèle distinct pour cette référence.</x:v>
      </x:c>
    </x:row>
    <x:row r="39" ht="62" customHeight="1">
      <x:c r="A39" s="13" t="str">
        <x:v>GEAR-colossus-turian-vii</x:v>
      </x:c>
      <x:c r="B39" s="14" t="str">
        <x:v>Colossus VII · Turiens</x:v>
      </x:c>
      <x:c r="C39" s="10" t="str">
        <x:v>Prototype</x:v>
      </x:c>
      <x:c r="D39" s="11" t="str">
        <x:v>À produire</x:v>
      </x:c>
      <x:c r="E39" s="15" t="str">
        <x:v>P1</x:v>
      </x:c>
      <x:c r="F39" s="15" t="str">
        <x:v>ME1</x:v>
      </x:c>
      <x:c r="G39" s="15" t="str">
        <x:v>Adaptation</x:v>
      </x:c>
      <x:c r="H39" s="14" t="str">
        <x:v>Armure, Intermédiaire (turian). Kassa Fabrication. Niveau 6. Achat 600 crédits, vente 240, stock initial 3. Effets ATB : santé=30, bouclier=35, défense=6.</x:v>
      </x:c>
      <x:c r="I39" s="14" t="str">
        <x:v>Achat, vente et attribution atomiques à l’emplacement Armure. Vérifier niveau, stock, possession, morphologie et poids autorisé. Appliquer une fois les bonus affichés, préserver après sauvegarde et restituer au retrait.</x:v>
      </x:c>
      <x:c r="J39" s="14" t="str">
        <x:v>SYS-inventaire, SYS-commerce</x:v>
      </x:c>
      <x:c r="K39" s="14" t="str">
        <x:v>src/loadout.js</x:v>
      </x:c>
      <x:c r="L39" s="14" t="str">
        <x:v>src/loadout.js</x:v>
      </x:c>
      <x:c r="M39" s="14" t="str">
        <x:v>ITEMS.colossus-turian-vii</x:v>
      </x:c>
      <x:c r="N39" s="14" t="str">
        <x:v>Objectifs et noms ME1 référencés ; chiffres, découpage et interface propres à cette adaptation ATB.</x:v>
      </x:c>
      <x:c r="O39" s="14" t="str">
        <x:v>https://masseffect.fandom.com/wiki/Colossus_Armor</x:v>
      </x:c>
      <x:c r="P39" s="14" t="str">
        <x:v>Production ME1</x:v>
      </x:c>
      <x:c r="Q39" s="14" t="str">
        <x:v>Intermédiaire pour Turiens. Protection et réserves ajustées au combat ATB. Nom, fabricant et morphologie référencés ; protection et déblocage adaptés. Aucun sprite ou modèle distinct pour cette référence.</x:v>
      </x:c>
    </x:row>
    <x:row r="40" ht="62" customHeight="1">
      <x:c r="A40" s="12" t="str">
        <x:v>GEAR-predator-turian-vii</x:v>
      </x:c>
      <x:c r="B40" s="7" t="str">
        <x:v>Predator M VII · Turiens</x:v>
      </x:c>
      <x:c r="C40" s="10" t="str">
        <x:v>Prototype</x:v>
      </x:c>
      <x:c r="D40" s="11" t="str">
        <x:v>À produire</x:v>
      </x:c>
      <x:c r="E40" s="9" t="str">
        <x:v>P1</x:v>
      </x:c>
      <x:c r="F40" s="9" t="str">
        <x:v>ME1</x:v>
      </x:c>
      <x:c r="G40" s="9" t="str">
        <x:v>Adaptation</x:v>
      </x:c>
      <x:c r="H40" s="7" t="str">
        <x:v>Armure, Intermédiaire (turian). Armax Arsenal. Niveau 6. Achat 620 crédits, vente 248, stock initial 3. Effets ATB : bouclier=65, défense=3, résistance aux contrôles=0.05.</x:v>
      </x:c>
      <x:c r="I40" s="7" t="str">
        <x:v>Achat, vente et attribution atomiques à l’emplacement Armure. Vérifier niveau, stock, possession, morphologie et poids autorisé. Appliquer une fois les bonus affichés, préserver après sauvegarde et restituer au retrait.</x:v>
      </x:c>
      <x:c r="J40" s="7" t="str">
        <x:v>SYS-inventaire, SYS-commerce</x:v>
      </x:c>
      <x:c r="K40" s="7" t="str">
        <x:v>src/loadout.js</x:v>
      </x:c>
      <x:c r="L40" s="7" t="str">
        <x:v>src/loadout.js</x:v>
      </x:c>
      <x:c r="M40" s="7" t="str">
        <x:v>ITEMS.predator-turian-vii</x:v>
      </x:c>
      <x:c r="N40" s="7" t="str">
        <x:v>Objectifs et noms ME1 référencés ; chiffres, découpage et interface propres à cette adaptation ATB.</x:v>
      </x:c>
      <x:c r="O40" s="7" t="str">
        <x:v>https://masseffect.fandom.com/wiki/Predator_L/M/H_Armor</x:v>
      </x:c>
      <x:c r="P40" s="7" t="str">
        <x:v>Production ME1</x:v>
      </x:c>
      <x:c r="Q40" s="7" t="str">
        <x:v>Intermédiaire pour Turiens. Protection et réserves ajustées au combat ATB. Nom, fabricant et morphologie référencés ; protection et déblocage adaptés. Aucun sprite ou modèle distinct pour cette référence.</x:v>
      </x:c>
    </x:row>
    <x:row r="41" ht="62" customHeight="1">
      <x:c r="A41" s="13" t="str">
        <x:v>GEAR-onyx-quarian-i</x:v>
      </x:c>
      <x:c r="B41" s="14" t="str">
        <x:v>Onyx I · Quariens</x:v>
      </x:c>
      <x:c r="C41" s="10" t="str">
        <x:v>Prototype</x:v>
      </x:c>
      <x:c r="D41" s="11" t="str">
        <x:v>À produire</x:v>
      </x:c>
      <x:c r="E41" s="15" t="str">
        <x:v>P1</x:v>
      </x:c>
      <x:c r="F41" s="15" t="str">
        <x:v>ME1</x:v>
      </x:c>
      <x:c r="G41" s="15" t="str">
        <x:v>Adaptation</x:v>
      </x:c>
      <x:c r="H41" s="14" t="str">
        <x:v>Armure, Légère (quarian). Aldrin Labs. Niveau 1. Achat 80 crédits, vente 32, stock initial 3. Effets ATB : aucun bonus supplémentaire.</x:v>
      </x:c>
      <x:c r="I41" s="14" t="str">
        <x:v>Achat, vente et attribution atomiques à l’emplacement Armure. Vérifier niveau, stock, possession, morphologie et poids autorisé. Appliquer une fois les bonus affichés, préserver après sauvegarde et restituer au retrait.</x:v>
      </x:c>
      <x:c r="J41" s="14" t="str">
        <x:v>SYS-inventaire, SYS-commerce</x:v>
      </x:c>
      <x:c r="K41" s="14" t="str">
        <x:v>src/loadout.js</x:v>
      </x:c>
      <x:c r="L41" s="14" t="str">
        <x:v>src/loadout.js</x:v>
      </x:c>
      <x:c r="M41" s="14" t="str">
        <x:v>ITEMS.onyx-quarian-i</x:v>
      </x:c>
      <x:c r="N41" s="14" t="str">
        <x:v>Objectifs et noms ME1 référencés ; chiffres, découpage et interface propres à cette adaptation ATB.</x:v>
      </x:c>
      <x:c r="O41" s="14" t="str">
        <x:v>https://masseffect.fandom.com/wiki/Onyx_Armor</x:v>
      </x:c>
      <x:c r="P41" s="14" t="str">
        <x:v>Production ME1</x:v>
      </x:c>
      <x:c r="Q41" s="14" t="str">
        <x:v>Légère pour Quariens. Protection de départ, sans bonus supplémentaire. Nom, fabricant et morphologie référencés ; protection et déblocage adaptés. Aucun sprite ou modèle distinct pour cette référence.</x:v>
      </x:c>
    </x:row>
    <x:row r="42" ht="62" customHeight="1">
      <x:c r="A42" s="12" t="str">
        <x:v>GEAR-phoenix-quarian-iii</x:v>
      </x:c>
      <x:c r="B42" s="7" t="str">
        <x:v>Phoenix III · Quariens</x:v>
      </x:c>
      <x:c r="C42" s="10" t="str">
        <x:v>Prototype</x:v>
      </x:c>
      <x:c r="D42" s="11" t="str">
        <x:v>À produire</x:v>
      </x:c>
      <x:c r="E42" s="9" t="str">
        <x:v>P1</x:v>
      </x:c>
      <x:c r="F42" s="9" t="str">
        <x:v>ME1</x:v>
      </x:c>
      <x:c r="G42" s="9" t="str">
        <x:v>Adaptation</x:v>
      </x:c>
      <x:c r="H42" s="7" t="str">
        <x:v>Armure, Légère (quarian). Sirta Foundation. Niveau 2. Achat 220 crédits, vente 88, stock initial 3. Effets ATB : santé=15, bouclier=15, défense=1.</x:v>
      </x:c>
      <x:c r="I42" s="7" t="str">
        <x:v>Achat, vente et attribution atomiques à l’emplacement Armure. Vérifier niveau, stock, possession, morphologie et poids autorisé. Appliquer une fois les bonus affichés, préserver après sauvegarde et restituer au retrait.</x:v>
      </x:c>
      <x:c r="J42" s="7" t="str">
        <x:v>SYS-inventaire, SYS-commerce</x:v>
      </x:c>
      <x:c r="K42" s="7" t="str">
        <x:v>src/loadout.js</x:v>
      </x:c>
      <x:c r="L42" s="7" t="str">
        <x:v>src/loadout.js</x:v>
      </x:c>
      <x:c r="M42" s="7" t="str">
        <x:v>ITEMS.phoenix-quarian-iii</x:v>
      </x:c>
      <x:c r="N42" s="7" t="str">
        <x:v>Objectifs et noms ME1 référencés ; chiffres, découpage et interface propres à cette adaptation ATB.</x:v>
      </x:c>
      <x:c r="O42" s="7" t="str">
        <x:v>https://masseffect.fandom.com/wiki/Phoenix_Armor</x:v>
      </x:c>
      <x:c r="P42" s="7" t="str">
        <x:v>Production ME1</x:v>
      </x:c>
      <x:c r="Q42" s="7" t="str">
        <x:v>Légère pour Quariens. Protection et réserves ajustées au combat ATB. Nom, fabricant et morphologie référencés ; protection et déblocage adaptés. Aucun sprite ou modèle distinct pour cette référence.</x:v>
      </x:c>
    </x:row>
    <x:row r="43" ht="62" customHeight="1">
      <x:c r="A43" s="13" t="str">
        <x:v>GEAR-colossus-quarian-vii</x:v>
      </x:c>
      <x:c r="B43" s="14" t="str">
        <x:v>Colossus VII · Quariens</x:v>
      </x:c>
      <x:c r="C43" s="10" t="str">
        <x:v>Prototype</x:v>
      </x:c>
      <x:c r="D43" s="11" t="str">
        <x:v>À produire</x:v>
      </x:c>
      <x:c r="E43" s="15" t="str">
        <x:v>P1</x:v>
      </x:c>
      <x:c r="F43" s="15" t="str">
        <x:v>ME1</x:v>
      </x:c>
      <x:c r="G43" s="15" t="str">
        <x:v>Adaptation</x:v>
      </x:c>
      <x:c r="H43" s="14" t="str">
        <x:v>Armure, Légère (quarian). Kassa Fabrication. Niveau 6. Achat 600 crédits, vente 240, stock initial 3. Effets ATB : santé=30, bouclier=35, défense=6.</x:v>
      </x:c>
      <x:c r="I43" s="14" t="str">
        <x:v>Achat, vente et attribution atomiques à l’emplacement Armure. Vérifier niveau, stock, possession, morphologie et poids autorisé. Appliquer une fois les bonus affichés, préserver après sauvegarde et restituer au retrait.</x:v>
      </x:c>
      <x:c r="J43" s="14" t="str">
        <x:v>SYS-inventaire, SYS-commerce</x:v>
      </x:c>
      <x:c r="K43" s="14" t="str">
        <x:v>src/loadout.js</x:v>
      </x:c>
      <x:c r="L43" s="14" t="str">
        <x:v>src/loadout.js</x:v>
      </x:c>
      <x:c r="M43" s="14" t="str">
        <x:v>ITEMS.colossus-quarian-vii</x:v>
      </x:c>
      <x:c r="N43" s="14" t="str">
        <x:v>Objectifs et noms ME1 référencés ; chiffres, découpage et interface propres à cette adaptation ATB.</x:v>
      </x:c>
      <x:c r="O43" s="14" t="str">
        <x:v>https://masseffect.fandom.com/wiki/Colossus_Armor</x:v>
      </x:c>
      <x:c r="P43" s="14" t="str">
        <x:v>Production ME1</x:v>
      </x:c>
      <x:c r="Q43" s="14" t="str">
        <x:v>Légère pour Quariens. Protection et réserves ajustées au combat ATB. Nom, fabricant et morphologie référencés ; protection et déblocage adaptés. Aucun sprite ou modèle distinct pour cette référence.</x:v>
      </x:c>
    </x:row>
    <x:row r="44" ht="62" customHeight="1">
      <x:c r="A44" s="12" t="str">
        <x:v>GEAR-liberator-quarian-v</x:v>
      </x:c>
      <x:c r="B44" s="7" t="str">
        <x:v>Liberator V · Quariens</x:v>
      </x:c>
      <x:c r="C44" s="10" t="str">
        <x:v>Prototype</x:v>
      </x:c>
      <x:c r="D44" s="11" t="str">
        <x:v>À produire</x:v>
      </x:c>
      <x:c r="E44" s="9" t="str">
        <x:v>P1</x:v>
      </x:c>
      <x:c r="F44" s="9" t="str">
        <x:v>ME1</x:v>
      </x:c>
      <x:c r="G44" s="9" t="str">
        <x:v>Adaptation</x:v>
      </x:c>
      <x:c r="H44" s="7" t="str">
        <x:v>Armure, Légère (quarian). Devlon Industries. Niveau 4. Achat 370 crédits, vente 148, stock initial 3. Effets ATB : santé=15, bouclier=30, défense=3.</x:v>
      </x:c>
      <x:c r="I44" s="7" t="str">
        <x:v>Achat, vente et attribution atomiques à l’emplacement Armure. Vérifier niveau, stock, possession, morphologie et poids autorisé. Appliquer une fois les bonus affichés, préserver après sauvegarde et restituer au retrait.</x:v>
      </x:c>
      <x:c r="J44" s="7" t="str">
        <x:v>SYS-inventaire, SYS-commerce</x:v>
      </x:c>
      <x:c r="K44" s="7" t="str">
        <x:v>src/loadout.js</x:v>
      </x:c>
      <x:c r="L44" s="7" t="str">
        <x:v>src/loadout.js</x:v>
      </x:c>
      <x:c r="M44" s="7" t="str">
        <x:v>ITEMS.liberator-quarian-v</x:v>
      </x:c>
      <x:c r="N44" s="7" t="str">
        <x:v>Objectifs et noms ME1 référencés ; chiffres, découpage et interface propres à cette adaptation ATB.</x:v>
      </x:c>
      <x:c r="O44" s="7" t="str">
        <x:v>https://masseffect.fandom.com/wiki/Liberator_Armor</x:v>
      </x:c>
      <x:c r="P44" s="7" t="str">
        <x:v>Production ME1</x:v>
      </x:c>
      <x:c r="Q44" s="7" t="str">
        <x:v>Légère pour Quariens. Protection et réserves ajustées au combat ATB. Nom, fabricant et morphologie référencés ; protection et déblocage adaptés. Aucun sprite ou modèle distinct pour cette référence.</x:v>
      </x:c>
    </x:row>
    <x:row r="45" ht="62" customHeight="1">
      <x:c r="A45" s="13" t="str">
        <x:v>GEAR-onyx-krogan-i</x:v>
      </x:c>
      <x:c r="B45" s="14" t="str">
        <x:v>Onyx I · Krogans</x:v>
      </x:c>
      <x:c r="C45" s="10" t="str">
        <x:v>Prototype</x:v>
      </x:c>
      <x:c r="D45" s="11" t="str">
        <x:v>À produire</x:v>
      </x:c>
      <x:c r="E45" s="15" t="str">
        <x:v>P1</x:v>
      </x:c>
      <x:c r="F45" s="15" t="str">
        <x:v>ME1</x:v>
      </x:c>
      <x:c r="G45" s="15" t="str">
        <x:v>Adaptation</x:v>
      </x:c>
      <x:c r="H45" s="14" t="str">
        <x:v>Armure, Intermédiaire (krogan). Aldrin Labs. Niveau 1. Achat 80 crédits, vente 32, stock initial 3. Effets ATB : aucun bonus supplémentaire.</x:v>
      </x:c>
      <x:c r="I45" s="14" t="str">
        <x:v>Achat, vente et attribution atomiques à l’emplacement Armure. Vérifier niveau, stock, possession, morphologie et poids autorisé. Appliquer une fois les bonus affichés, préserver après sauvegarde et restituer au retrait.</x:v>
      </x:c>
      <x:c r="J45" s="14" t="str">
        <x:v>SYS-inventaire, SYS-commerce</x:v>
      </x:c>
      <x:c r="K45" s="14" t="str">
        <x:v>src/loadout.js</x:v>
      </x:c>
      <x:c r="L45" s="14" t="str">
        <x:v>src/loadout.js</x:v>
      </x:c>
      <x:c r="M45" s="14" t="str">
        <x:v>ITEMS.onyx-krogan-i</x:v>
      </x:c>
      <x:c r="N45" s="14" t="str">
        <x:v>Objectifs et noms ME1 référencés ; chiffres, découpage et interface propres à cette adaptation ATB.</x:v>
      </x:c>
      <x:c r="O45" s="14" t="str">
        <x:v>https://masseffect.fandom.com/wiki/Onyx_Armor</x:v>
      </x:c>
      <x:c r="P45" s="14" t="str">
        <x:v>Production ME1</x:v>
      </x:c>
      <x:c r="Q45" s="14" t="str">
        <x:v>Intermédiaire pour Krogans. Protection de départ, sans bonus supplémentaire. Nom, fabricant et morphologie référencés ; protection et déblocage adaptés. Aucun sprite ou modèle distinct pour cette référence.</x:v>
      </x:c>
    </x:row>
    <x:row r="46" ht="62" customHeight="1">
      <x:c r="A46" s="12" t="str">
        <x:v>GEAR-phoenix-krogan-iii</x:v>
      </x:c>
      <x:c r="B46" s="7" t="str">
        <x:v>Phoenix III · Krogans</x:v>
      </x:c>
      <x:c r="C46" s="10" t="str">
        <x:v>Prototype</x:v>
      </x:c>
      <x:c r="D46" s="11" t="str">
        <x:v>À produire</x:v>
      </x:c>
      <x:c r="E46" s="9" t="str">
        <x:v>P1</x:v>
      </x:c>
      <x:c r="F46" s="9" t="str">
        <x:v>ME1</x:v>
      </x:c>
      <x:c r="G46" s="9" t="str">
        <x:v>Adaptation</x:v>
      </x:c>
      <x:c r="H46" s="7" t="str">
        <x:v>Armure, Intermédiaire (krogan). Sirta Foundation. Niveau 2. Achat 220 crédits, vente 88, stock initial 3. Effets ATB : santé=15, bouclier=15, défense=1.</x:v>
      </x:c>
      <x:c r="I46" s="7" t="str">
        <x:v>Achat, vente et attribution atomiques à l’emplacement Armure. Vérifier niveau, stock, possession, morphologie et poids autorisé. Appliquer une fois les bonus affichés, préserver après sauvegarde et restituer au retrait.</x:v>
      </x:c>
      <x:c r="J46" s="7" t="str">
        <x:v>SYS-inventaire, SYS-commerce</x:v>
      </x:c>
      <x:c r="K46" s="7" t="str">
        <x:v>src/loadout.js</x:v>
      </x:c>
      <x:c r="L46" s="7" t="str">
        <x:v>src/loadout.js</x:v>
      </x:c>
      <x:c r="M46" s="7" t="str">
        <x:v>ITEMS.phoenix-krogan-iii</x:v>
      </x:c>
      <x:c r="N46" s="7" t="str">
        <x:v>Objectifs et noms ME1 référencés ; chiffres, découpage et interface propres à cette adaptation ATB.</x:v>
      </x:c>
      <x:c r="O46" s="7" t="str">
        <x:v>https://masseffect.fandom.com/wiki/Phoenix_Armor</x:v>
      </x:c>
      <x:c r="P46" s="7" t="str">
        <x:v>Production ME1</x:v>
      </x:c>
      <x:c r="Q46" s="7" t="str">
        <x:v>Intermédiaire pour Krogans. Protection et réserves ajustées au combat ATB. Nom, fabricant et morphologie référencés ; protection et déblocage adaptés. Aucun sprite ou modèle distinct pour cette référence.</x:v>
      </x:c>
    </x:row>
    <x:row r="47" ht="62" customHeight="1">
      <x:c r="A47" s="13" t="str">
        <x:v>GEAR-colossus-krogan-vii</x:v>
      </x:c>
      <x:c r="B47" s="14" t="str">
        <x:v>Colossus VII · Krogans</x:v>
      </x:c>
      <x:c r="C47" s="10" t="str">
        <x:v>Prototype</x:v>
      </x:c>
      <x:c r="D47" s="11" t="str">
        <x:v>À produire</x:v>
      </x:c>
      <x:c r="E47" s="15" t="str">
        <x:v>P1</x:v>
      </x:c>
      <x:c r="F47" s="15" t="str">
        <x:v>ME1</x:v>
      </x:c>
      <x:c r="G47" s="15" t="str">
        <x:v>Adaptation</x:v>
      </x:c>
      <x:c r="H47" s="14" t="str">
        <x:v>Armure, Lourde (krogan). Kassa Fabrication. Niveau 6. Achat 600 crédits, vente 240, stock initial 3. Effets ATB : santé=30, bouclier=35, défense=6.</x:v>
      </x:c>
      <x:c r="I47" s="14" t="str">
        <x:v>Achat, vente et attribution atomiques à l’emplacement Armure. Vérifier niveau, stock, possession, morphologie et poids autorisé. Appliquer une fois les bonus affichés, préserver après sauvegarde et restituer au retrait.</x:v>
      </x:c>
      <x:c r="J47" s="14" t="str">
        <x:v>SYS-inventaire, SYS-commerce</x:v>
      </x:c>
      <x:c r="K47" s="14" t="str">
        <x:v>src/loadout.js</x:v>
      </x:c>
      <x:c r="L47" s="14" t="str">
        <x:v>src/loadout.js</x:v>
      </x:c>
      <x:c r="M47" s="14" t="str">
        <x:v>ITEMS.colossus-krogan-vii</x:v>
      </x:c>
      <x:c r="N47" s="14" t="str">
        <x:v>Objectifs et noms ME1 référencés ; chiffres, découpage et interface propres à cette adaptation ATB.</x:v>
      </x:c>
      <x:c r="O47" s="14" t="str">
        <x:v>https://masseffect.fandom.com/wiki/Colossus_Armor</x:v>
      </x:c>
      <x:c r="P47" s="14" t="str">
        <x:v>Production ME1</x:v>
      </x:c>
      <x:c r="Q47" s="14" t="str">
        <x:v>Lourde pour Krogans. Protection et réserves ajustées au combat ATB. Nom, fabricant et morphologie référencés ; protection et déblocage adaptés. Aucun sprite ou modèle distinct pour cette référence.</x:v>
      </x:c>
    </x:row>
    <x:row r="48" ht="62" customHeight="1">
      <x:c r="A48" s="12" t="str">
        <x:v>GEAR-predator-krogan-vii</x:v>
      </x:c>
      <x:c r="B48" s="7" t="str">
        <x:v>Predator H VII · Krogans</x:v>
      </x:c>
      <x:c r="C48" s="10" t="str">
        <x:v>Prototype</x:v>
      </x:c>
      <x:c r="D48" s="11" t="str">
        <x:v>À produire</x:v>
      </x:c>
      <x:c r="E48" s="9" t="str">
        <x:v>P1</x:v>
      </x:c>
      <x:c r="F48" s="9" t="str">
        <x:v>ME1</x:v>
      </x:c>
      <x:c r="G48" s="9" t="str">
        <x:v>Adaptation</x:v>
      </x:c>
      <x:c r="H48" s="7" t="str">
        <x:v>Armure, Lourde (krogan). Armax Arsenal. Niveau 6. Achat 620 crédits, vente 248, stock initial 3. Effets ATB : bouclier=65, défense=3, résistance aux contrôles=0.05.</x:v>
      </x:c>
      <x:c r="I48" s="7" t="str">
        <x:v>Achat, vente et attribution atomiques à l’emplacement Armure. Vérifier niveau, stock, possession, morphologie et poids autorisé. Appliquer une fois les bonus affichés, préserver après sauvegarde et restituer au retrait.</x:v>
      </x:c>
      <x:c r="J48" s="7" t="str">
        <x:v>SYS-inventaire, SYS-commerce</x:v>
      </x:c>
      <x:c r="K48" s="7" t="str">
        <x:v>src/loadout.js</x:v>
      </x:c>
      <x:c r="L48" s="7" t="str">
        <x:v>src/loadout.js</x:v>
      </x:c>
      <x:c r="M48" s="7" t="str">
        <x:v>ITEMS.predator-krogan-vii</x:v>
      </x:c>
      <x:c r="N48" s="7" t="str">
        <x:v>Objectifs et noms ME1 référencés ; chiffres, découpage et interface propres à cette adaptation ATB.</x:v>
      </x:c>
      <x:c r="O48" s="7" t="str">
        <x:v>https://masseffect.fandom.com/wiki/Predator_L/M/H_Armor</x:v>
      </x:c>
      <x:c r="P48" s="7" t="str">
        <x:v>Production ME1</x:v>
      </x:c>
      <x:c r="Q48" s="7" t="str">
        <x:v>Lourde pour Krogans. Protection et réserves ajustées au combat ATB. Nom, fabricant et morphologie référencés ; protection et déblocage adaptés. Aucun sprite ou modèle distinct pour cette référence.</x:v>
      </x:c>
    </x:row>
    <x:row r="49" ht="62" customHeight="1">
      <x:c r="A49" s="13" t="str">
        <x:v>GEAR-heat-sink-i</x:v>
      </x:c>
      <x:c r="B49" s="14" t="str">
        <x:v>Dissipateur thermique I</x:v>
      </x:c>
      <x:c r="C49" s="10" t="str">
        <x:v>Prototype</x:v>
      </x:c>
      <x:c r="D49" s="11" t="str">
        <x:v>À produire</x:v>
      </x:c>
      <x:c r="E49" s="15" t="str">
        <x:v>P1</x:v>
      </x:c>
      <x:c r="F49" s="15" t="str">
        <x:v>ME1</x:v>
      </x:c>
      <x:c r="G49" s="15" t="str">
        <x:v>Adaptation</x:v>
      </x:c>
      <x:c r="H49" s="14" t="str">
        <x:v>Module d’arme. Module standard. Niveau 1. Achat 100 crédits, vente 40, stock initial 5. Effets ATB : multiplicateur de chaleur=0.9, refroidissement par seconde=1.</x:v>
      </x:c>
      <x:c r="I49" s="14" t="str">
        <x:v>Achat, vente et attribution atomiques à l’emplacement Module d’arme. Vérifier niveau, stock, possession. Appliquer une fois les bonus affichés, préserver après sauvegarde et restituer au retrait.</x:v>
      </x:c>
      <x:c r="J49" s="14" t="str">
        <x:v>SYS-inventaire, SYS-commerce</x:v>
      </x:c>
      <x:c r="K49" s="14" t="str">
        <x:v>src/loadout.js</x:v>
      </x:c>
      <x:c r="L49" s="14" t="str">
        <x:v>src/loadout.js</x:v>
      </x:c>
      <x:c r="M49" s="14" t="str">
        <x:v>ITEMS.heat-sink-i</x:v>
      </x:c>
      <x:c r="N49" s="14" t="str">
        <x:v>Objectifs et noms ME1 référencés ; chiffres, découpage et interface propres à cette adaptation ATB.</x:v>
      </x:c>
      <x:c r="O49" s="14" t="str">
        <x:v>https://masseffect.fandom.com/wiki/Weapon_Upgrades</x:v>
      </x:c>
      <x:c r="P49" s="14" t="str">
        <x:v>Production ME1</x:v>
      </x:c>
      <x:c r="Q49" s="14" t="str">
        <x:v>Réduit la chaleur des tirs de 10 % et ajoute 1 point de refroidissement par seconde. Famille de module ME1 référencée ; traduction et effets ATB adaptés. Aucun sprite ou modèle distinct pour cette référence.</x:v>
      </x:c>
    </x:row>
    <x:row r="50" ht="62" customHeight="1">
      <x:c r="A50" s="12" t="str">
        <x:v>GEAR-kinetic-coil-vii</x:v>
      </x:c>
      <x:c r="B50" s="7" t="str">
        <x:v>Bobine cinétique VII</x:v>
      </x:c>
      <x:c r="C50" s="10" t="str">
        <x:v>Prototype</x:v>
      </x:c>
      <x:c r="D50" s="11" t="str">
        <x:v>À produire</x:v>
      </x:c>
      <x:c r="E50" s="9" t="str">
        <x:v>P1</x:v>
      </x:c>
      <x:c r="F50" s="9" t="str">
        <x:v>ME1</x:v>
      </x:c>
      <x:c r="G50" s="9" t="str">
        <x:v>Adaptation</x:v>
      </x:c>
      <x:c r="H50" s="7" t="str">
        <x:v>Module d’arme. Module standard. Niveau 5. Achat 340 crédits, vente 136, stock initial 5. Effets ATB : puissance=5.</x:v>
      </x:c>
      <x:c r="I50" s="7" t="str">
        <x:v>Achat, vente et attribution atomiques à l’emplacement Module d’arme. Vérifier niveau, stock, possession. Appliquer une fois les bonus affichés, préserver après sauvegarde et restituer au retrait.</x:v>
      </x:c>
      <x:c r="J50" s="7" t="str">
        <x:v>SYS-inventaire, SYS-commerce</x:v>
      </x:c>
      <x:c r="K50" s="7" t="str">
        <x:v>src/loadout.js</x:v>
      </x:c>
      <x:c r="L50" s="7" t="str">
        <x:v>src/loadout.js</x:v>
      </x:c>
      <x:c r="M50" s="7" t="str">
        <x:v>ITEMS.kinetic-coil-vii</x:v>
      </x:c>
      <x:c r="N50" s="7" t="str">
        <x:v>Objectifs et noms ME1 référencés ; chiffres, découpage et interface propres à cette adaptation ATB.</x:v>
      </x:c>
      <x:c r="O50" s="7" t="str">
        <x:v>https://masseffect.fandom.com/wiki/Weapon_Upgrades</x:v>
      </x:c>
      <x:c r="P50" s="7" t="str">
        <x:v>Production ME1</x:v>
      </x:c>
      <x:c r="Q50" s="7" t="str">
        <x:v>Renforce de 5 la puissance de tir dans cette adaptation. Famille de module ME1 référencée ; traduction et effets ATB adaptés. Aucun sprite ou modèle distinct pour cette référence.</x:v>
      </x:c>
    </x:row>
    <x:row r="51" ht="62" customHeight="1">
      <x:c r="A51" s="13" t="str">
        <x:v>GEAR-rail-extension-iv</x:v>
      </x:c>
      <x:c r="B51" s="14" t="str">
        <x:v>Extension de rail IV</x:v>
      </x:c>
      <x:c r="C51" s="10" t="str">
        <x:v>Prototype</x:v>
      </x:c>
      <x:c r="D51" s="11" t="str">
        <x:v>À produire</x:v>
      </x:c>
      <x:c r="E51" s="15" t="str">
        <x:v>P1</x:v>
      </x:c>
      <x:c r="F51" s="15" t="str">
        <x:v>ME1</x:v>
      </x:c>
      <x:c r="G51" s="15" t="str">
        <x:v>Adaptation</x:v>
      </x:c>
      <x:c r="H51" s="14" t="str">
        <x:v>Module d’arme. Module standard. Niveau 3. Achat 200 crédits, vente 80, stock initial 5. Effets ATB : puissance=6, multiplicateur de chaleur=1.2.</x:v>
      </x:c>
      <x:c r="I51" s="14" t="str">
        <x:v>Achat, vente et attribution atomiques à l’emplacement Module d’arme. Vérifier niveau, stock, possession. Appliquer une fois les bonus affichés, préserver après sauvegarde et restituer au retrait.</x:v>
      </x:c>
      <x:c r="J51" s="14" t="str">
        <x:v>SYS-inventaire, SYS-commerce</x:v>
      </x:c>
      <x:c r="K51" s="14" t="str">
        <x:v>src/loadout.js</x:v>
      </x:c>
      <x:c r="L51" s="14" t="str">
        <x:v>src/loadout.js</x:v>
      </x:c>
      <x:c r="M51" s="14" t="str">
        <x:v>ITEMS.rail-extension-iv</x:v>
      </x:c>
      <x:c r="N51" s="14" t="str">
        <x:v>Objectifs et noms ME1 référencés ; chiffres, découpage et interface propres à cette adaptation ATB.</x:v>
      </x:c>
      <x:c r="O51" s="14" t="str">
        <x:v>https://masseffect.fandom.com/wiki/Weapon_Upgrades</x:v>
      </x:c>
      <x:c r="P51" s="14" t="str">
        <x:v>Production ME1</x:v>
      </x:c>
      <x:c r="Q51" s="14" t="str">
        <x:v>Ajoute 6 en puissance mais augmente la chaleur des tirs de 20 %. Famille de module ME1 référencée ; traduction et effets ATB adaptés. Aucun sprite ou modèle distinct pour cette référence.</x:v>
      </x:c>
    </x:row>
    <x:row r="52" ht="62" customHeight="1">
      <x:c r="A52" s="12" t="str">
        <x:v>GEAR-frictionless-materials-viii</x:v>
      </x:c>
      <x:c r="B52" s="7" t="str">
        <x:v>Matériaux sans friction VIII</x:v>
      </x:c>
      <x:c r="C52" s="10" t="str">
        <x:v>Prototype</x:v>
      </x:c>
      <x:c r="D52" s="11" t="str">
        <x:v>À produire</x:v>
      </x:c>
      <x:c r="E52" s="9" t="str">
        <x:v>P1</x:v>
      </x:c>
      <x:c r="F52" s="9" t="str">
        <x:v>ME1</x:v>
      </x:c>
      <x:c r="G52" s="9" t="str">
        <x:v>Adaptation</x:v>
      </x:c>
      <x:c r="H52" s="7" t="str">
        <x:v>Module d’arme. Module standard. Niveau 7. Achat 500 crédits, vente 200, stock initial 5. Effets ATB : puissance=4, multiplicateur de chaleur=0.85, refroidissement par seconde=2.</x:v>
      </x:c>
      <x:c r="I52" s="7" t="str">
        <x:v>Achat, vente et attribution atomiques à l’emplacement Module d’arme. Vérifier niveau, stock, possession. Appliquer une fois les bonus affichés, préserver après sauvegarde et restituer au retrait.</x:v>
      </x:c>
      <x:c r="J52" s="7" t="str">
        <x:v>SYS-inventaire, SYS-commerce</x:v>
      </x:c>
      <x:c r="K52" s="7" t="str">
        <x:v>src/loadout.js</x:v>
      </x:c>
      <x:c r="L52" s="7" t="str">
        <x:v>src/loadout.js</x:v>
      </x:c>
      <x:c r="M52" s="7" t="str">
        <x:v>ITEMS.frictionless-materials-viii</x:v>
      </x:c>
      <x:c r="N52" s="7" t="str">
        <x:v>Objectifs et noms ME1 référencés ; chiffres, découpage et interface propres à cette adaptation ATB.</x:v>
      </x:c>
      <x:c r="O52" s="7" t="str">
        <x:v>https://masseffect.fandom.com/wiki/Weapon_Upgrades</x:v>
      </x:c>
      <x:c r="P52" s="7" t="str">
        <x:v>Production ME1</x:v>
      </x:c>
      <x:c r="Q52" s="7" t="str">
        <x:v>Ajoute 4 en puissance, réduit la chaleur de 15 % et accélère le refroidissement de 2 points par seconde. Famille de module ME1 référencée ; traduction et effets ATB adaptés. Aucun sprite ou modèle distinct pour cette référence.</x:v>
      </x:c>
    </x:row>
    <x:row r="53" ht="62" customHeight="1">
      <x:c r="A53" s="13" t="str">
        <x:v>GEAR-armor-piercing-rounds-i</x:v>
      </x:c>
      <x:c r="B53" s="14" t="str">
        <x:v>Munitions perforantes I</x:v>
      </x:c>
      <x:c r="C53" s="10" t="str">
        <x:v>Prototype</x:v>
      </x:c>
      <x:c r="D53" s="11" t="str">
        <x:v>À produire</x:v>
      </x:c>
      <x:c r="E53" s="15" t="str">
        <x:v>P1</x:v>
      </x:c>
      <x:c r="F53" s="15" t="str">
        <x:v>ME1</x:v>
      </x:c>
      <x:c r="G53" s="15" t="str">
        <x:v>Adaptation</x:v>
      </x:c>
      <x:c r="H53" s="14" t="str">
        <x:v>Munitions. Module standard. Niveau 1. Achat 110 crédits, vente 44, stock initial 5. Effets ATB : bonus contre synthétiques=0.15.</x:v>
      </x:c>
      <x:c r="I53" s="14" t="str">
        <x:v>Achat, vente et attribution atomiques à l’emplacement Munitions. Vérifier niveau, stock, possession. Appliquer une fois les bonus affichés, préserver après sauvegarde et restituer au retrait.</x:v>
      </x:c>
      <x:c r="J53" s="14" t="str">
        <x:v>SYS-inventaire, SYS-commerce</x:v>
      </x:c>
      <x:c r="K53" s="14" t="str">
        <x:v>src/loadout.js</x:v>
      </x:c>
      <x:c r="L53" s="14" t="str">
        <x:v>src/loadout.js</x:v>
      </x:c>
      <x:c r="M53" s="14" t="str">
        <x:v>ITEMS.armor-piercing-rounds-i</x:v>
      </x:c>
      <x:c r="N53" s="14" t="str">
        <x:v>Objectifs et noms ME1 référencés ; chiffres, découpage et interface propres à cette adaptation ATB.</x:v>
      </x:c>
      <x:c r="O53" s="14" t="str">
        <x:v>https://masseffect.fandom.com/wiki/Ammunition_Upgrades</x:v>
      </x:c>
      <x:c r="P53" s="14" t="str">
        <x:v>Production ME1</x:v>
      </x:c>
      <x:c r="Q53" s="14" t="str">
        <x:v>Les tirs infligent 15 % de dégâts supplémentaires aux cibles synthétiques. Famille de module ME1 référencée ; traduction et effets ATB adaptés. Aucun sprite ou modèle distinct pour cette référence.</x:v>
      </x:c>
    </x:row>
    <x:row r="54" ht="62" customHeight="1">
      <x:c r="A54" s="12" t="str">
        <x:v>GEAR-tungsten-rounds-iv</x:v>
      </x:c>
      <x:c r="B54" s="7" t="str">
        <x:v>Munitions au tungstène IV</x:v>
      </x:c>
      <x:c r="C54" s="10" t="str">
        <x:v>Prototype</x:v>
      </x:c>
      <x:c r="D54" s="11" t="str">
        <x:v>À produire</x:v>
      </x:c>
      <x:c r="E54" s="9" t="str">
        <x:v>P1</x:v>
      </x:c>
      <x:c r="F54" s="9" t="str">
        <x:v>ME1</x:v>
      </x:c>
      <x:c r="G54" s="9" t="str">
        <x:v>Adaptation</x:v>
      </x:c>
      <x:c r="H54" s="7" t="str">
        <x:v>Munitions. Module standard. Niveau 4. Achat 280 crédits, vente 112, stock initial 5. Effets ATB : bonus contre synthétiques=0.25.</x:v>
      </x:c>
      <x:c r="I54" s="7" t="str">
        <x:v>Achat, vente et attribution atomiques à l’emplacement Munitions. Vérifier niveau, stock, possession. Appliquer une fois les bonus affichés, préserver après sauvegarde et restituer au retrait.</x:v>
      </x:c>
      <x:c r="J54" s="7" t="str">
        <x:v>SYS-inventaire, SYS-commerce</x:v>
      </x:c>
      <x:c r="K54" s="7" t="str">
        <x:v>src/loadout.js</x:v>
      </x:c>
      <x:c r="L54" s="7" t="str">
        <x:v>src/loadout.js</x:v>
      </x:c>
      <x:c r="M54" s="7" t="str">
        <x:v>ITEMS.tungsten-rounds-iv</x:v>
      </x:c>
      <x:c r="N54" s="7" t="str">
        <x:v>Objectifs et noms ME1 référencés ; chiffres, découpage et interface propres à cette adaptation ATB.</x:v>
      </x:c>
      <x:c r="O54" s="7" t="str">
        <x:v>https://masseffect.fandom.com/wiki/Ammunition_Upgrades</x:v>
      </x:c>
      <x:c r="P54" s="7" t="str">
        <x:v>Production ME1</x:v>
      </x:c>
      <x:c r="Q54" s="7" t="str">
        <x:v>Les tirs infligent 25 % de dégâts supplémentaires aux cibles synthétiques. Famille de module ME1 référencée ; traduction et effets ATB adaptés. Aucun sprite ou modèle distinct pour cette référence.</x:v>
      </x:c>
    </x:row>
    <x:row r="55" ht="62" customHeight="1">
      <x:c r="A55" s="13" t="str">
        <x:v>GEAR-shredder-rounds-iv</x:v>
      </x:c>
      <x:c r="B55" s="14" t="str">
        <x:v>Munitions lacérantes IV</x:v>
      </x:c>
      <x:c r="C55" s="10" t="str">
        <x:v>Prototype</x:v>
      </x:c>
      <x:c r="D55" s="11" t="str">
        <x:v>À produire</x:v>
      </x:c>
      <x:c r="E55" s="15" t="str">
        <x:v>P1</x:v>
      </x:c>
      <x:c r="F55" s="15" t="str">
        <x:v>ME1</x:v>
      </x:c>
      <x:c r="G55" s="15" t="str">
        <x:v>Adaptation</x:v>
      </x:c>
      <x:c r="H55" s="14" t="str">
        <x:v>Munitions. Module standard. Niveau 4. Achat 280 crédits, vente 112, stock initial 5. Effets ATB : bonus contre organiques=0.25.</x:v>
      </x:c>
      <x:c r="I55" s="14" t="str">
        <x:v>Achat, vente et attribution atomiques à l’emplacement Munitions. Vérifier niveau, stock, possession. Appliquer une fois les bonus affichés, préserver après sauvegarde et restituer au retrait.</x:v>
      </x:c>
      <x:c r="J55" s="14" t="str">
        <x:v>SYS-inventaire, SYS-commerce</x:v>
      </x:c>
      <x:c r="K55" s="14" t="str">
        <x:v>src/loadout.js</x:v>
      </x:c>
      <x:c r="L55" s="14" t="str">
        <x:v>src/loadout.js</x:v>
      </x:c>
      <x:c r="M55" s="14" t="str">
        <x:v>ITEMS.shredder-rounds-iv</x:v>
      </x:c>
      <x:c r="N55" s="14" t="str">
        <x:v>Objectifs et noms ME1 référencés ; chiffres, découpage et interface propres à cette adaptation ATB.</x:v>
      </x:c>
      <x:c r="O55" s="14" t="str">
        <x:v>https://masseffect.fandom.com/wiki/Ammunition_Upgrades</x:v>
      </x:c>
      <x:c r="P55" s="14" t="str">
        <x:v>Production ME1</x:v>
      </x:c>
      <x:c r="Q55" s="14" t="str">
        <x:v>Les tirs infligent 25 % de dégâts supplémentaires aux cibles organiques. Famille de module ME1 référencée ; traduction et effets ATB adaptés. Aucun sprite ou modèle distinct pour cette référence.</x:v>
      </x:c>
    </x:row>
    <x:row r="56" ht="62" customHeight="1">
      <x:c r="A56" s="12" t="str">
        <x:v>GEAR-phasic-rounds-vii</x:v>
      </x:c>
      <x:c r="B56" s="7" t="str">
        <x:v>Munitions phasiques VII</x:v>
      </x:c>
      <x:c r="C56" s="10" t="str">
        <x:v>Prototype</x:v>
      </x:c>
      <x:c r="D56" s="11" t="str">
        <x:v>À produire</x:v>
      </x:c>
      <x:c r="E56" s="9" t="str">
        <x:v>P1</x:v>
      </x:c>
      <x:c r="F56" s="9" t="str">
        <x:v>ME1</x:v>
      </x:c>
      <x:c r="G56" s="9" t="str">
        <x:v>Adaptation</x:v>
      </x:c>
      <x:c r="H56" s="7" t="str">
        <x:v>Munitions. Module standard. Niveau 6. Achat 400 crédits, vente 160, stock initial 5. Effets ATB : part contournant le bouclier=0.2, multiplicateur de chaleur=1.1.</x:v>
      </x:c>
      <x:c r="I56" s="7" t="str">
        <x:v>Achat, vente et attribution atomiques à l’emplacement Munitions. Vérifier niveau, stock, possession. Appliquer une fois les bonus affichés, préserver après sauvegarde et restituer au retrait.</x:v>
      </x:c>
      <x:c r="J56" s="7" t="str">
        <x:v>SYS-inventaire, SYS-commerce</x:v>
      </x:c>
      <x:c r="K56" s="7" t="str">
        <x:v>src/loadout.js</x:v>
      </x:c>
      <x:c r="L56" s="7" t="str">
        <x:v>src/loadout.js</x:v>
      </x:c>
      <x:c r="M56" s="7" t="str">
        <x:v>ITEMS.phasic-rounds-vii</x:v>
      </x:c>
      <x:c r="N56" s="7" t="str">
        <x:v>Objectifs et noms ME1 référencés ; chiffres, découpage et interface propres à cette adaptation ATB.</x:v>
      </x:c>
      <x:c r="O56" s="7" t="str">
        <x:v>https://masseffect.fandom.com/wiki/Ammunition_Upgrades</x:v>
      </x:c>
      <x:c r="P56" s="7" t="str">
        <x:v>Production ME1</x:v>
      </x:c>
      <x:c r="Q56" s="7" t="str">
        <x:v>20 % des dégâts de tir contournent les boucliers ; chaleur augmentée de 10 %. Famille de module ME1 référencée ; traduction et effets ATB adaptés. Aucun sprite ou modèle distinct pour cette référence.</x:v>
      </x:c>
    </x:row>
    <x:row r="57" ht="62" customHeight="1">
      <x:c r="A57" s="13" t="str">
        <x:v>GEAR-armor-plating-i</x:v>
      </x:c>
      <x:c r="B57" s="14" t="str">
        <x:v>Plaques de blindage I</x:v>
      </x:c>
      <x:c r="C57" s="10" t="str">
        <x:v>Prototype</x:v>
      </x:c>
      <x:c r="D57" s="11" t="str">
        <x:v>À produire</x:v>
      </x:c>
      <x:c r="E57" s="15" t="str">
        <x:v>P1</x:v>
      </x:c>
      <x:c r="F57" s="15" t="str">
        <x:v>ME1</x:v>
      </x:c>
      <x:c r="G57" s="15" t="str">
        <x:v>Adaptation</x:v>
      </x:c>
      <x:c r="H57" s="14" t="str">
        <x:v>Module d’armure. Module standard. Niveau 1. Achat 110 crédits, vente 44, stock initial 5. Effets ATB : défense=3.</x:v>
      </x:c>
      <x:c r="I57" s="14" t="str">
        <x:v>Achat, vente et attribution atomiques à l’emplacement Module d’armure. Vérifier niveau, stock, possession. Appliquer une fois les bonus affichés, préserver après sauvegarde et restituer au retrait.</x:v>
      </x:c>
      <x:c r="J57" s="14" t="str">
        <x:v>SYS-inventaire, SYS-commerce</x:v>
      </x:c>
      <x:c r="K57" s="14" t="str">
        <x:v>src/loadout.js</x:v>
      </x:c>
      <x:c r="L57" s="14" t="str">
        <x:v>src/loadout.js</x:v>
      </x:c>
      <x:c r="M57" s="14" t="str">
        <x:v>ITEMS.armor-plating-i</x:v>
      </x:c>
      <x:c r="N57" s="14" t="str">
        <x:v>Objectifs et noms ME1 référencés ; chiffres, découpage et interface propres à cette adaptation ATB.</x:v>
      </x:c>
      <x:c r="O57" s="14" t="str">
        <x:v>https://masseffect.fandom.com/wiki/Armor_Upgrades</x:v>
      </x:c>
      <x:c r="P57" s="14" t="str">
        <x:v>Production ME1</x:v>
      </x:c>
      <x:c r="Q57" s="14" t="str">
        <x:v>Ajoute 3 en défense. Famille de module ME1 référencée ; traduction et effets ATB adaptés. Aucun sprite ou modèle distinct pour cette référence.</x:v>
      </x:c>
    </x:row>
    <x:row r="58" ht="62" customHeight="1">
      <x:c r="A58" s="12" t="str">
        <x:v>GEAR-shield-battery-i</x:v>
      </x:c>
      <x:c r="B58" s="7" t="str">
        <x:v>Batterie de bouclier I</x:v>
      </x:c>
      <x:c r="C58" s="10" t="str">
        <x:v>Prototype</x:v>
      </x:c>
      <x:c r="D58" s="11" t="str">
        <x:v>À produire</x:v>
      </x:c>
      <x:c r="E58" s="9" t="str">
        <x:v>P1</x:v>
      </x:c>
      <x:c r="F58" s="9" t="str">
        <x:v>ME1</x:v>
      </x:c>
      <x:c r="G58" s="9" t="str">
        <x:v>Adaptation</x:v>
      </x:c>
      <x:c r="H58" s="7" t="str">
        <x:v>Module d’armure. Module standard. Niveau 1. Achat 120 crédits, vente 48, stock initial 5. Effets ATB : bouclier=25.</x:v>
      </x:c>
      <x:c r="I58" s="7" t="str">
        <x:v>Achat, vente et attribution atomiques à l’emplacement Module d’armure. Vérifier niveau, stock, possession. Appliquer une fois les bonus affichés, préserver après sauvegarde et restituer au retrait.</x:v>
      </x:c>
      <x:c r="J58" s="7" t="str">
        <x:v>SYS-inventaire, SYS-commerce</x:v>
      </x:c>
      <x:c r="K58" s="7" t="str">
        <x:v>src/loadout.js</x:v>
      </x:c>
      <x:c r="L58" s="7" t="str">
        <x:v>src/loadout.js</x:v>
      </x:c>
      <x:c r="M58" s="7" t="str">
        <x:v>ITEMS.shield-battery-i</x:v>
      </x:c>
      <x:c r="N58" s="7" t="str">
        <x:v>Objectifs et noms ME1 référencés ; chiffres, découpage et interface propres à cette adaptation ATB.</x:v>
      </x:c>
      <x:c r="O58" s="7" t="str">
        <x:v>https://masseffect.fandom.com/wiki/Armor_Upgrades</x:v>
      </x:c>
      <x:c r="P58" s="7" t="str">
        <x:v>Production ME1</x:v>
      </x:c>
      <x:c r="Q58" s="7" t="str">
        <x:v>Augmente la réserve de bouclier de 25. Famille de module ME1 référencée ; traduction et effets ATB adaptés. Aucun sprite ou modèle distinct pour cette référence.</x:v>
      </x:c>
    </x:row>
    <x:row r="59" ht="62" customHeight="1">
      <x:c r="A59" s="13" t="str">
        <x:v>GEAR-hardened-weave-i</x:v>
      </x:c>
      <x:c r="B59" s="14" t="str">
        <x:v>Tissage renforcé I</x:v>
      </x:c>
      <x:c r="C59" s="10" t="str">
        <x:v>Prototype</x:v>
      </x:c>
      <x:c r="D59" s="11" t="str">
        <x:v>À produire</x:v>
      </x:c>
      <x:c r="E59" s="15" t="str">
        <x:v>P1</x:v>
      </x:c>
      <x:c r="F59" s="15" t="str">
        <x:v>ME1</x:v>
      </x:c>
      <x:c r="G59" s="15" t="str">
        <x:v>Adaptation</x:v>
      </x:c>
      <x:c r="H59" s="14" t="str">
        <x:v>Module d’armure. Module standard. Niveau 2. Achat 170 crédits, vente 68, stock initial 5. Effets ATB : résistance aux contrôles=0.12.</x:v>
      </x:c>
      <x:c r="I59" s="14" t="str">
        <x:v>Achat, vente et attribution atomiques à l’emplacement Module d’armure. Vérifier niveau, stock, possession. Appliquer une fois les bonus affichés, préserver après sauvegarde et restituer au retrait.</x:v>
      </x:c>
      <x:c r="J59" s="14" t="str">
        <x:v>SYS-inventaire, SYS-commerce</x:v>
      </x:c>
      <x:c r="K59" s="14" t="str">
        <x:v>src/loadout.js</x:v>
      </x:c>
      <x:c r="L59" s="14" t="str">
        <x:v>src/loadout.js</x:v>
      </x:c>
      <x:c r="M59" s="14" t="str">
        <x:v>ITEMS.hardened-weave-i</x:v>
      </x:c>
      <x:c r="N59" s="14" t="str">
        <x:v>Objectifs et noms ME1 référencés ; chiffres, découpage et interface propres à cette adaptation ATB.</x:v>
      </x:c>
      <x:c r="O59" s="14" t="str">
        <x:v>https://masseffect.fandom.com/wiki/Armor_Upgrades</x:v>
      </x:c>
      <x:c r="P59" s="14" t="str">
        <x:v>Production ME1</x:v>
      </x:c>
      <x:c r="Q59" s="14" t="str">
        <x:v>Réduit la durée des contrôles biotiques et technologiques de 12 %. Famille de module ME1 référencée ; traduction et effets ATB adaptés. Aucun sprite ou modèle distinct pour cette référence.</x:v>
      </x:c>
    </x:row>
    <x:row r="60" ht="62" customHeight="1">
      <x:c r="A60" s="12" t="str">
        <x:v>GEAR-shock-absorbers-iii</x:v>
      </x:c>
      <x:c r="B60" s="7" t="str">
        <x:v>Amortisseurs III</x:v>
      </x:c>
      <x:c r="C60" s="10" t="str">
        <x:v>Prototype</x:v>
      </x:c>
      <x:c r="D60" s="11" t="str">
        <x:v>À produire</x:v>
      </x:c>
      <x:c r="E60" s="9" t="str">
        <x:v>P1</x:v>
      </x:c>
      <x:c r="F60" s="9" t="str">
        <x:v>ME1</x:v>
      </x:c>
      <x:c r="G60" s="9" t="str">
        <x:v>Adaptation</x:v>
      </x:c>
      <x:c r="H60" s="7" t="str">
        <x:v>Module d’armure. Module standard. Niveau 3. Achat 230 crédits, vente 92, stock initial 5. Effets ATB : santé=15, résistance aux contrôles=0.2.</x:v>
      </x:c>
      <x:c r="I60" s="7" t="str">
        <x:v>Achat, vente et attribution atomiques à l’emplacement Module d’armure. Vérifier niveau, stock, possession. Appliquer une fois les bonus affichés, préserver après sauvegarde et restituer au retrait.</x:v>
      </x:c>
      <x:c r="J60" s="7" t="str">
        <x:v>SYS-inventaire, SYS-commerce</x:v>
      </x:c>
      <x:c r="K60" s="7" t="str">
        <x:v>src/loadout.js</x:v>
      </x:c>
      <x:c r="L60" s="7" t="str">
        <x:v>src/loadout.js</x:v>
      </x:c>
      <x:c r="M60" s="7" t="str">
        <x:v>ITEMS.shock-absorbers-iii</x:v>
      </x:c>
      <x:c r="N60" s="7" t="str">
        <x:v>Objectifs et noms ME1 référencés ; chiffres, découpage et interface propres à cette adaptation ATB.</x:v>
      </x:c>
      <x:c r="O60" s="7" t="str">
        <x:v>https://masseffect.fandom.com/wiki/Armor_Upgrades</x:v>
      </x:c>
      <x:c r="P60" s="7" t="str">
        <x:v>Production ME1</x:v>
      </x:c>
      <x:c r="Q60" s="7" t="str">
        <x:v>Ajoute 15 en santé et réduit de 20 % la durée des contrôles. Famille de module ME1 référencée ; traduction et effets ATB adaptés. Aucun sprite ou modèle distinct pour cette référence.</x:v>
      </x:c>
    </x:row>
    <x:row r="61" ht="62" customHeight="1">
      <x:c r="A61" s="13" t="str">
        <x:v>GEAR-omni-tool-standard</x:v>
      </x:c>
      <x:c r="B61" s="14" t="str">
        <x:v>OmniTech standard</x:v>
      </x:c>
      <x:c r="C61" s="10" t="str">
        <x:v>Prototype</x:v>
      </x:c>
      <x:c r="D61" s="11" t="str">
        <x:v>À produire</x:v>
      </x:c>
      <x:c r="E61" s="15" t="str">
        <x:v>P1</x:v>
      </x:c>
      <x:c r="F61" s="15" t="str">
        <x:v>ME1</x:v>
      </x:c>
      <x:c r="G61" s="15" t="str">
        <x:v>Adaptation</x:v>
      </x:c>
      <x:c r="H61" s="14" t="str">
        <x:v>Outil générique pour capacités technologiques ; achat 80 CR, vente 32 CR, stock initial 3. Bonus ATB : {"techMultiplier":1}.</x:v>
      </x:c>
      <x:c r="I61" s="14" t="str">
        <x:v>Contrôler éligibilité, quantité, stock et transaction avant mutation. Renforcer uniquement les pouvoirs existants du domaine, sans double bonus ni nouveau pouvoir. Conserver après reprise et import.</x:v>
      </x:c>
      <x:c r="J61" s="14" t="str">
        <x:v>SYS-inventaire, SYS-commerce, EQP-omni-outil</x:v>
      </x:c>
      <x:c r="K61" s="14" t="str">
        <x:v>src/tool-data.js</x:v>
      </x:c>
      <x:c r="L61" s="14" t="str">
        <x:v>src/tool-data.js</x:v>
      </x:c>
      <x:c r="M61" s="14" t="str">
        <x:v>ITEMS.omni-tool-standard</x:v>
      </x:c>
      <x:c r="N61" s="14" t="str">
        <x:v>Manuel PC FR p.24 : rôle général. Version générique ; prix et bonus propres à Relay Chronicles.</x:v>
      </x:c>
      <x:c r="O61" s="14" t="str">
        <x:v>https://eaassets-a.akamaihd.net/eahelp/manuals/mass-effect-manuals_PC_fr.pdf</x:v>
      </x:c>
      <x:c r="P61" s="14" t="str">
        <x:v>Production ME1</x:v>
      </x:c>
      <x:c r="Q61" s="14" t="str">
        <x:v>Aucun fabricant, rang original ni modèle visuel dédié. Coûts et multiplicateurs ATB, à comparer aux tables de l’édition retenue.</x:v>
      </x:c>
    </x:row>
    <x:row r="62" ht="62" customHeight="1">
      <x:c r="A62" s="12" t="str">
        <x:v>GEAR-biotic-amp-standard</x:v>
      </x:c>
      <x:c r="B62" s="7" t="str">
        <x:v>Amplificateur biotique standard</x:v>
      </x:c>
      <x:c r="C62" s="10" t="str">
        <x:v>Prototype</x:v>
      </x:c>
      <x:c r="D62" s="11" t="str">
        <x:v>À produire</x:v>
      </x:c>
      <x:c r="E62" s="9" t="str">
        <x:v>P1</x:v>
      </x:c>
      <x:c r="F62" s="9" t="str">
        <x:v>ME1</x:v>
      </x:c>
      <x:c r="G62" s="9" t="str">
        <x:v>Adaptation</x:v>
      </x:c>
      <x:c r="H62" s="7" t="str">
        <x:v>Outil générique pour capacités biotiques ; achat 80 CR, vente 32 CR, stock initial 3. Bonus ATB : {"bioticMultiplier":1}.</x:v>
      </x:c>
      <x:c r="I62" s="7" t="str">
        <x:v>Contrôler éligibilité, quantité, stock et transaction avant mutation. Renforcer uniquement les pouvoirs existants du domaine, sans double bonus ni nouveau pouvoir. Conserver après reprise et import.</x:v>
      </x:c>
      <x:c r="J62" s="7" t="str">
        <x:v>SYS-inventaire, SYS-commerce, EQP-amplificateur-biotique</x:v>
      </x:c>
      <x:c r="K62" s="7" t="str">
        <x:v>src/tool-data.js</x:v>
      </x:c>
      <x:c r="L62" s="7" t="str">
        <x:v>src/tool-data.js</x:v>
      </x:c>
      <x:c r="M62" s="7" t="str">
        <x:v>ITEMS.biotic-amp-standard</x:v>
      </x:c>
      <x:c r="N62" s="7" t="str">
        <x:v>Manuel PC FR p.24 : rôle général. Version générique ; prix et bonus propres à Relay Chronicles.</x:v>
      </x:c>
      <x:c r="O62" s="7" t="str">
        <x:v>https://eaassets-a.akamaihd.net/eahelp/manuals/mass-effect-manuals_PC_fr.pdf</x:v>
      </x:c>
      <x:c r="P62" s="7" t="str">
        <x:v>Production ME1</x:v>
      </x:c>
      <x:c r="Q62" s="7" t="str">
        <x:v>Aucun fabricant, rang original ni modèle visuel dédié. Coûts et multiplicateurs ATB, à comparer aux tables de l’édition retenue.</x:v>
      </x:c>
    </x:row>
    <x:row r="63" ht="62" customHeight="1">
      <x:c r="A63" s="13" t="str">
        <x:v>GEAR-omni-tool-upgraded</x:v>
      </x:c>
      <x:c r="B63" s="14" t="str">
        <x:v>OmniTech amélioré</x:v>
      </x:c>
      <x:c r="C63" s="10" t="str">
        <x:v>Prototype</x:v>
      </x:c>
      <x:c r="D63" s="11" t="str">
        <x:v>À produire</x:v>
      </x:c>
      <x:c r="E63" s="15" t="str">
        <x:v>P1</x:v>
      </x:c>
      <x:c r="F63" s="15" t="str">
        <x:v>ME1</x:v>
      </x:c>
      <x:c r="G63" s="15" t="str">
        <x:v>Adaptation</x:v>
      </x:c>
      <x:c r="H63" s="14" t="str">
        <x:v>Outil générique pour capacités technologiques ; achat 240 CR, vente 96 CR, stock initial 3. Bonus ATB : {"techMultiplier":1.15}.</x:v>
      </x:c>
      <x:c r="I63" s="14" t="str">
        <x:v>Contrôler éligibilité, quantité, stock et transaction avant mutation. Renforcer uniquement les pouvoirs existants du domaine, sans double bonus ni nouveau pouvoir. Conserver après reprise et import.</x:v>
      </x:c>
      <x:c r="J63" s="14" t="str">
        <x:v>SYS-inventaire, SYS-commerce, EQP-omni-outil</x:v>
      </x:c>
      <x:c r="K63" s="14" t="str">
        <x:v>src/tool-data.js</x:v>
      </x:c>
      <x:c r="L63" s="14" t="str">
        <x:v>src/tool-data.js</x:v>
      </x:c>
      <x:c r="M63" s="14" t="str">
        <x:v>ITEMS.omni-tool-upgraded</x:v>
      </x:c>
      <x:c r="N63" s="14" t="str">
        <x:v>Manuel PC FR p.24 : rôle général. Version générique ; prix et bonus propres à Relay Chronicles.</x:v>
      </x:c>
      <x:c r="O63" s="14" t="str">
        <x:v>https://eaassets-a.akamaihd.net/eahelp/manuals/mass-effect-manuals_PC_fr.pdf</x:v>
      </x:c>
      <x:c r="P63" s="14" t="str">
        <x:v>Production ME1</x:v>
      </x:c>
      <x:c r="Q63" s="14" t="str">
        <x:v>Aucun fabricant, rang original ni modèle visuel dédié. Coûts et multiplicateurs ATB, à comparer aux tables de l’édition retenue.</x:v>
      </x:c>
    </x:row>
    <x:row r="64" ht="62" customHeight="1">
      <x:c r="A64" s="12" t="str">
        <x:v>GEAR-biotic-amp-upgraded</x:v>
      </x:c>
      <x:c r="B64" s="7" t="str">
        <x:v>Amplificateur biotique amélioré</x:v>
      </x:c>
      <x:c r="C64" s="10" t="str">
        <x:v>Prototype</x:v>
      </x:c>
      <x:c r="D64" s="11" t="str">
        <x:v>À produire</x:v>
      </x:c>
      <x:c r="E64" s="9" t="str">
        <x:v>P1</x:v>
      </x:c>
      <x:c r="F64" s="9" t="str">
        <x:v>ME1</x:v>
      </x:c>
      <x:c r="G64" s="9" t="str">
        <x:v>Adaptation</x:v>
      </x:c>
      <x:c r="H64" s="7" t="str">
        <x:v>Outil générique pour capacités biotiques ; achat 240 CR, vente 96 CR, stock initial 3. Bonus ATB : {"bioticMultiplier":1.15}.</x:v>
      </x:c>
      <x:c r="I64" s="7" t="str">
        <x:v>Contrôler éligibilité, quantité, stock et transaction avant mutation. Renforcer uniquement les pouvoirs existants du domaine, sans double bonus ni nouveau pouvoir. Conserver après reprise et import.</x:v>
      </x:c>
      <x:c r="J64" s="7" t="str">
        <x:v>SYS-inventaire, SYS-commerce, EQP-amplificateur-biotique</x:v>
      </x:c>
      <x:c r="K64" s="7" t="str">
        <x:v>src/tool-data.js</x:v>
      </x:c>
      <x:c r="L64" s="7" t="str">
        <x:v>src/tool-data.js</x:v>
      </x:c>
      <x:c r="M64" s="7" t="str">
        <x:v>ITEMS.biotic-amp-upgraded</x:v>
      </x:c>
      <x:c r="N64" s="7" t="str">
        <x:v>Manuel PC FR p.24 : rôle général. Version générique ; prix et bonus propres à Relay Chronicles.</x:v>
      </x:c>
      <x:c r="O64" s="7" t="str">
        <x:v>https://eaassets-a.akamaihd.net/eahelp/manuals/mass-effect-manuals_PC_fr.pdf</x:v>
      </x:c>
      <x:c r="P64" s="7" t="str">
        <x:v>Production ME1</x:v>
      </x:c>
      <x:c r="Q64" s="7" t="str">
        <x:v>Aucun fabricant, rang original ni modèle visuel dédié. Coûts et multiplicateurs ATB, à comparer aux tables de l’édition retenue.</x:v>
      </x:c>
    </x:row>
    <x:row r="65" ht="49" customHeight="1">
      <x:c r="A65" s="13" t="str">
        <x:v>CUST-ARMOR-full-suit</x:v>
      </x:c>
      <x:c r="B65" s="14" t="str">
        <x:v>Armure complète ME1 dans l’atelier</x:v>
      </x:c>
      <x:c r="C65" s="10" t="str">
        <x:v>Prototype</x:v>
      </x:c>
      <x:c r="D65" s="11" t="str">
        <x:v>Prototype</x:v>
      </x:c>
      <x:c r="E65" s="15" t="str">
        <x:v>P0</x:v>
      </x:c>
      <x:c r="F65" s="15" t="str">
        <x:v>ME1</x:v>
      </x:c>
      <x:c r="G65" s="15" t="str">
        <x:v>Adaptation</x:v>
      </x:c>
      <x:c r="H65" s="14" t="str">
        <x:v>Une seule armure complète remplit l’emplacement armure. Les catégories légère, intermédiaire et lourde restent celles du catalogue existant.</x:v>
      </x:c>
      <x:c r="I65" s="14" t="str">
        <x:v>Ne pas fabriquer de combinaison torse/bras/jambes ME2 dans la dotation ME1. L’objet sélectionné est un identifiant existant de l’inventaire.</x:v>
      </x:c>
      <x:c r="J65" s="14" t="str">
        <x:v>CUST-UI-armor, SYS-inventaire</x:v>
      </x:c>
      <x:c r="K65" s="14" t="str">
        <x:v>src/customization-ui.js</x:v>
      </x:c>
      <x:c r="L65" s="14" t="str">
        <x:v>src/customization-ui.js</x:v>
      </x:c>
      <x:c r="M65" s="14" t="str">
        <x:v>customization:ARMOR-full-suit</x:v>
      </x:c>
      <x:c r="N65" s="14" t="str">
        <x:v>Atelier de Relay Chronicles. Interface et réglages propres au fan game ; contrôle de fidélité distinct.</x:v>
      </x:c>
      <x:c r="O65" s="14" t="str">
        <x:v>https://eaassets-a.akamaihd.net/eahelp/manuals/mass-effect-manuals_Microsoft%20XBOX360_en_US.pdf</x:v>
      </x:c>
      <x:c r="P65" s="14" t="str">
        <x:v>Production ME1</x:v>
      </x:c>
      <x:c r="Q65" s="14" t="str">
        <x:v>Implémentation de prototype. Les valeurs de combat restent celles de l’adaptation ATB.</x:v>
      </x:c>
    </x:row>
    <x:row r="66" ht="49" customHeight="1">
      <x:c r="A66" s="12" t="str">
        <x:v>CUST-ARMOR-compatibility</x:v>
      </x:c>
      <x:c r="B66" s="7" t="str">
        <x:v>Restrictions d’armure et disponibilité</x:v>
      </x:c>
      <x:c r="C66" s="10" t="str">
        <x:v>Prototype</x:v>
      </x:c>
      <x:c r="D66" s="11" t="str">
        <x:v>Prototype</x:v>
      </x:c>
      <x:c r="E66" s="9" t="str">
        <x:v>P0</x:v>
      </x:c>
      <x:c r="F66" s="9" t="str">
        <x:v>ME1</x:v>
      </x:c>
      <x:c r="G66" s="9" t="str">
        <x:v>Adaptation</x:v>
      </x:c>
      <x:c r="H66" s="7" t="str">
        <x:v>La sélection reprend les restrictions d’espèce, d’entraînement et de disponibilité de la dotation existante.</x:v>
      </x:c>
      <x:c r="I66" s="7" t="str">
        <x:v>Une armure incompatible ou réservée par un autre équipier ne peut pas être validée. La raison est compréhensible dans l’écran.</x:v>
      </x:c>
      <x:c r="J66" s="7" t="str">
        <x:v>CUST-ARMOR-full-suit</x:v>
      </x:c>
      <x:c r="K66" s="7" t="str">
        <x:v>src/customization.js</x:v>
      </x:c>
      <x:c r="L66" s="7" t="str">
        <x:v>src/customization.js</x:v>
      </x:c>
      <x:c r="M66" s="7" t="str">
        <x:v>customization:ARMOR-compatibility</x:v>
      </x:c>
      <x:c r="N66" s="7" t="str">
        <x:v>Atelier de Relay Chronicles. Interface et réglages propres au fan game ; contrôle de fidélité distinct.</x:v>
      </x:c>
      <x:c r="O66" s="7" t="str">
        <x:v>https://eaassets-a.akamaihd.net/eahelp/manuals/mass-effect-manuals_Microsoft%20XBOX360_en_US.pdf</x:v>
      </x:c>
      <x:c r="P66" s="7" t="str">
        <x:v>Production ME1</x:v>
      </x:c>
      <x:c r="Q66" s="7" t="str">
        <x:v>Implémentation de prototype. Les valeurs de combat restent celles de l’adaptation ATB.</x:v>
      </x:c>
    </x:row>
    <x:row r="67" ht="49" customHeight="1">
      <x:c r="A67" s="13" t="str">
        <x:v>CUST-ARMOR-module</x:v>
      </x:c>
      <x:c r="B67" s="14" t="str">
        <x:v>Module d’armure dans le brouillon</x:v>
      </x:c>
      <x:c r="C67" s="10" t="str">
        <x:v>Prototype</x:v>
      </x:c>
      <x:c r="D67" s="11" t="str">
        <x:v>Prototype</x:v>
      </x:c>
      <x:c r="E67" s="15" t="str">
        <x:v>P0</x:v>
      </x:c>
      <x:c r="F67" s="15" t="str">
        <x:v>ME1</x:v>
      </x:c>
      <x:c r="G67" s="15" t="str">
        <x:v>Adaptation</x:v>
      </x:c>
      <x:c r="H67" s="14" t="str">
        <x:v>Choisir ou retirer le module d’armure existant, sans ajouter d’emplacement non pris en charge par le moteur.</x:v>
      </x:c>
      <x:c r="I67" s="14" t="str">
        <x:v>La comparaison du bouclier, de la défense ou des résistances suit le module choisi. Retirer le module ne détruit pas l’objet.</x:v>
      </x:c>
      <x:c r="J67" s="14" t="str">
        <x:v>CUST-UI-armor</x:v>
      </x:c>
      <x:c r="K67" s="14" t="str">
        <x:v>src/customization-ui.js</x:v>
      </x:c>
      <x:c r="L67" s="14" t="str">
        <x:v>src/customization-ui.js</x:v>
      </x:c>
      <x:c r="M67" s="14" t="str">
        <x:v>customization:ARMOR-module</x:v>
      </x:c>
      <x:c r="N67" s="14" t="str">
        <x:v>Atelier de Relay Chronicles. Interface et réglages propres au fan game ; contrôle de fidélité distinct.</x:v>
      </x:c>
      <x:c r="O67" s="14" t="str">
        <x:v>https://eaassets-a.akamaihd.net/eahelp/manuals/mass-effect-manuals_Microsoft%20XBOX360_en_US.pdf</x:v>
      </x:c>
      <x:c r="P67" s="14" t="str">
        <x:v>Production ME1</x:v>
      </x:c>
      <x:c r="Q67" s="14" t="str">
        <x:v>Implémentation de prototype. Les valeurs de combat restent celles de l’adaptation ATB.</x:v>
      </x:c>
    </x:row>
    <x:row r="68" ht="49" customHeight="1">
      <x:c r="A68" s="12" t="str">
        <x:v>CUST-ARMOR-colors</x:v>
      </x:c>
      <x:c r="B68" s="7" t="str">
        <x:v>Couleurs de l’armure de Relay Chronicles</x:v>
      </x:c>
      <x:c r="C68" s="10" t="str">
        <x:v>Prototype</x:v>
      </x:c>
      <x:c r="D68" s="11" t="str">
        <x:v>Prototype</x:v>
      </x:c>
      <x:c r="E68" s="9" t="str">
        <x:v>P0</x:v>
      </x:c>
      <x:c r="F68" s="9" t="str">
        <x:v>ME1</x:v>
      </x:c>
      <x:c r="G68" s="9" t="str">
        <x:v>Adaptation</x:v>
      </x:c>
      <x:c r="H68" s="7" t="str">
        <x:v>Couleurs principales, secondaires et d’accent de l’atelier visuel, séparées des propriétés de l’objet équipé.</x:v>
      </x:c>
      <x:c r="I68" s="7" t="str">
        <x:v>Changer une couleur conserve les statistiques et les objets. Afficher qu’il s’agit d’une option de l’adaptation.</x:v>
      </x:c>
      <x:c r="J68" s="7" t="str">
        <x:v>CUST-UI-workshop</x:v>
      </x:c>
      <x:c r="K68" s="7" t="str">
        <x:v>src/customization.js</x:v>
      </x:c>
      <x:c r="L68" s="7" t="str">
        <x:v>src/customization.js</x:v>
      </x:c>
      <x:c r="M68" s="7" t="str">
        <x:v>customization:ARMOR-colors</x:v>
      </x:c>
      <x:c r="N68" s="7" t="str">
        <x:v>Atelier de Relay Chronicles. Interface et réglages propres au fan game ; contrôle de fidélité distinct.</x:v>
      </x:c>
      <x:c r="O68" s="7" t="str">
        <x:v>https://eaassets-a.akamaihd.net/eahelp/manuals/mass-effect-2-manuals_PC_fr.pdf</x:v>
      </x:c>
      <x:c r="P68" s="7" t="str">
        <x:v>Production ME1</x:v>
      </x:c>
      <x:c r="Q68" s="7" t="str">
        <x:v>Personnalisation cosmétique inspirée des opus ultérieurs. Ce n’est pas une fonction native revendiquée de ME1.</x:v>
      </x:c>
    </x:row>
    <x:row r="69" ht="36" customHeight="1">
      <x:c r="A69" s="13" t="str">
        <x:v>CUST-ARMOR-pattern-finish</x:v>
      </x:c>
      <x:c r="B69" s="14" t="str">
        <x:v>Motif et finition de l’armure</x:v>
      </x:c>
      <x:c r="C69" s="10" t="str">
        <x:v>Prototype</x:v>
      </x:c>
      <x:c r="D69" s="11" t="str">
        <x:v>Prototype</x:v>
      </x:c>
      <x:c r="E69" s="15" t="str">
        <x:v>P0</x:v>
      </x:c>
      <x:c r="F69" s="15" t="str">
        <x:v>ME1</x:v>
      </x:c>
      <x:c r="G69" s="15" t="str">
        <x:v>Adaptation</x:v>
      </x:c>
      <x:c r="H69" s="14" t="str">
        <x:v>Options visuelles de motif et de finition dans le personnage présenté par l’atelier.</x:v>
      </x:c>
      <x:c r="I69" s="14" t="str">
        <x:v>Le motif et la finition sont visibles dans l’aperçu, persistent après validation et ne modifient pas les bonus.</x:v>
      </x:c>
      <x:c r="J69" s="14" t="str">
        <x:v>CUST-UI-workshop</x:v>
      </x:c>
      <x:c r="K69" s="14" t="str">
        <x:v>src/customization.js</x:v>
      </x:c>
      <x:c r="L69" s="14" t="str">
        <x:v>src/customization.js</x:v>
      </x:c>
      <x:c r="M69" s="14" t="str">
        <x:v>customization:ARMOR-pattern-finish</x:v>
      </x:c>
      <x:c r="N69" s="14" t="str">
        <x:v>Atelier de Relay Chronicles. Interface et réglages propres au fan game ; contrôle de fidélité distinct.</x:v>
      </x:c>
      <x:c r="O69" s="14" t="str">
        <x:v>https://eaassets-a.akamaihd.net/eahelp/manuals/mass-effect-3-manuals_PC.pdf</x:v>
      </x:c>
      <x:c r="P69" s="14" t="str">
        <x:v>Production ME1</x:v>
      </x:c>
      <x:c r="Q69" s="14" t="str">
        <x:v>Extension de Relay Chronicles ; les règles d’armures spéciales de ME3 ne sont pas importées dans ME1.</x:v>
      </x:c>
    </x:row>
    <x:row r="70" ht="49" customHeight="1">
      <x:c r="A70" s="12" t="str">
        <x:v>CUST-ARMOR-helmet</x:v>
      </x:c>
      <x:c r="B70" s="7" t="str">
        <x:v>Visibilité du casque dans l’atelier</x:v>
      </x:c>
      <x:c r="C70" s="10" t="str">
        <x:v>Prototype</x:v>
      </x:c>
      <x:c r="D70" s="11" t="str">
        <x:v>Prototype</x:v>
      </x:c>
      <x:c r="E70" s="9" t="str">
        <x:v>P0</x:v>
      </x:c>
      <x:c r="F70" s="9" t="str">
        <x:v>ME1</x:v>
      </x:c>
      <x:c r="G70" s="9" t="str">
        <x:v>Adaptation</x:v>
      </x:c>
      <x:c r="H70" s="7" t="str">
        <x:v>Préférence de présentation du casque pour l’aperçu du personnage.</x:v>
      </x:c>
      <x:c r="I70" s="7" t="str">
        <x:v>Activer et masquer le casque laisse l’armure et sa défense inchangées. Décrire la portée réelle de la représentation en jeu.</x:v>
      </x:c>
      <x:c r="J70" s="7" t="str">
        <x:v>CUST-UI-workshop</x:v>
      </x:c>
      <x:c r="K70" s="7" t="str">
        <x:v>src/customization.js</x:v>
      </x:c>
      <x:c r="L70" s="7" t="str">
        <x:v>src/customization.js</x:v>
      </x:c>
      <x:c r="M70" s="7" t="str">
        <x:v>customization:ARMOR-helmet</x:v>
      </x:c>
      <x:c r="N70" s="7" t="str">
        <x:v>Atelier de Relay Chronicles. Interface et réglages propres au fan game ; contrôle de fidélité distinct.</x:v>
      </x:c>
      <x:c r="O70" s="7" t="str"/>
      <x:c r="P70" s="7" t="str">
        <x:v>Production ME1</x:v>
      </x:c>
      <x:c r="Q70" s="7" t="str">
        <x:v>Option visuelle. Le remplacement fidèle du casque sur toutes les images animées demande des assets dédiés.</x:v>
      </x:c>
    </x:row>
  </x:sheetData>
  <x:conditionalFormatting sqref="C7:C70">
    <x:cfRule type="cellIs" dxfId="335" priority="1" operator="equal">
      <x:formula>"Prototype"</x:formula>
    </x:cfRule>
    <x:cfRule type="cellIs" dxfId="336" priority="2" operator="equal">
      <x:formula>"Intégré"</x:formula>
    </x:cfRule>
    <x:cfRule type="cellIs" dxfId="337" priority="3" operator="equal">
      <x:formula>"Validé"</x:formula>
    </x:cfRule>
  </x:conditionalFormatting>
  <x:conditionalFormatting sqref="G7:G70">
    <x:cfRule type="cellIs" dxfId="338" priority="4" operator="equal">
      <x:formula>"Référence à vérifier"</x:formula>
    </x:cfRule>
  </x:conditionalFormatting>
  <x:conditionalFormatting sqref="E7:E70">
    <x:cfRule type="cellIs" dxfId="339" priority="5" operator="equal">
      <x:formula>"P0"</x:formula>
    </x:cfRule>
  </x:conditionalFormatting>
  <x:dataValidations count="5">
    <x:dataValidation type="list" sqref="C7:C70">
      <x:formula1>"Défini,Prototype,Intégré,Validé"</x:formula1>
    </x:dataValidation>
    <x:dataValidation type="list" sqref="D7:D70">
      <x:formula1>"À produire,Prototype,Disponible,Validé,Sans objet,Non planifié"</x:formula1>
    </x:dataValidation>
    <x:dataValidation type="list" sqref="E7:E70">
      <x:formula1>"P0,P1,P2"</x:formula1>
    </x:dataValidation>
    <x:dataValidation type="list" sqref="F7:F70">
      <x:formula1>"ME1,ME2,ME3,TRANSVERSE"</x:formula1>
    </x:dataValidation>
    <x:dataValidation type="list" sqref="G7:G70">
      <x:formula1>"Confirmé,Référence à vérifier,Adaptation"</x:formula1>
    </x:dataValidation>
  </x:dataValidations>
  <x:pageMargins left="0.7" right="0.7" top="0.75" bottom="0.75" header="0.3" footer="0.3"/>
  <x:tableParts count="1">
    <x:tablePart xmlns:r="http://schemas.openxmlformats.org/officeDocument/2006/relationships" r:id="R53370b8926d04f90"/>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Pouvoirs</x:v>
      </x:c>
      <x:c r="B2" s="2"/>
      <x:c r="C2" s="2"/>
      <x:c r="D2" s="2"/>
      <x:c r="E2" s="2"/>
      <x:c r="F2" s="2"/>
      <x:c r="G2" s="2"/>
      <x:c r="H2" s="2"/>
      <x:c r="I2" s="2"/>
      <x:c r="J2" s="2"/>
      <x:c r="K2" s="2"/>
      <x:c r="L2" s="2"/>
      <x:c r="M2" s="2"/>
      <x:c r="N2" s="2"/>
      <x:c r="O2" s="2"/>
      <x:c r="P2" s="2"/>
      <x:c r="Q2" s="2"/>
    </x:row>
    <x:row r="3" ht="22" customHeight="1">
      <x:c r="A3" s="4" t="str">
        <x:v>Capacités canoniques et traduction ATB</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PWR-projection</x:v>
      </x:c>
      <x:c r="B7" s="14" t="str">
        <x:v>Projection</x:v>
      </x:c>
      <x:c r="C7" s="10" t="str">
        <x:v>Prototype</x:v>
      </x:c>
      <x:c r="D7" s="11" t="str">
        <x:v>Prototype</x:v>
      </x:c>
      <x:c r="E7" s="15" t="str">
        <x:v>P1</x:v>
      </x:c>
      <x:c r="F7" s="15" t="str">
        <x:v>ME1</x:v>
      </x:c>
      <x:c r="G7" s="15" t="str">
        <x:v>Confirmé</x:v>
      </x:c>
      <x:c r="H7" s="14" t="str">
        <x:v>Déplacer une cible par biotique.</x:v>
      </x:c>
      <x:c r="I7" s="14" t="str">
        <x:v>Résistance et trajectoire vérifiées selon ME1.</x:v>
      </x:c>
      <x:c r="J7" s="14" t="str"/>
      <x:c r="K7" s="14" t="str">
        <x:v>content/powers/PWR-projection.json</x:v>
      </x:c>
      <x:c r="L7" s="14" t="str">
        <x:v>src/combat.js</x:v>
      </x:c>
      <x:c r="M7" s="14" t="str">
        <x:v>ACTIONS.throw</x:v>
      </x:c>
      <x:c r="N7" s="14" t="str">
        <x:v>Talent de ME1 ou règle explicitement adaptée ; traduction et paramètres à relever.</x:v>
      </x:c>
      <x:c r="O7" s="14" t="str">
        <x:v>https://eaassets-a.akamaihd.net/eahelp/manuals/mass-effect-manuals_PC_fr.pdf</x:v>
      </x:c>
      <x:c r="P7" s="14" t="str">
        <x:v>Production ME1</x:v>
      </x:c>
      <x:c r="Q7" s="14" t="str">
        <x:v>Règle ATB fonctionnelle dans le prototype ; chiffres, animation et correspondance à ME1 restent à calibrer.</x:v>
      </x:c>
    </x:row>
    <x:row r="8" ht="36" customHeight="1">
      <x:c r="A8" s="12" t="str">
        <x:v>PWR-levitation</x:v>
      </x:c>
      <x:c r="B8" s="7" t="str">
        <x:v>Lévitation</x:v>
      </x:c>
      <x:c r="C8" s="10" t="str">
        <x:v>Prototype</x:v>
      </x:c>
      <x:c r="D8" s="11" t="str">
        <x:v>Prototype</x:v>
      </x:c>
      <x:c r="E8" s="9" t="str">
        <x:v>P1</x:v>
      </x:c>
      <x:c r="F8" s="9" t="str">
        <x:v>ME1</x:v>
      </x:c>
      <x:c r="G8" s="9" t="str">
        <x:v>Confirmé</x:v>
      </x:c>
      <x:c r="H8" s="7" t="str">
        <x:v>Soulever des cibles exposées.</x:v>
      </x:c>
      <x:c r="I8" s="7" t="str">
        <x:v>Envol du sprite accompagné d’une ombre au sol.</x:v>
      </x:c>
      <x:c r="J8" s="7" t="str"/>
      <x:c r="K8" s="7" t="str">
        <x:v>content/powers/PWR-levitation.json</x:v>
      </x:c>
      <x:c r="L8" s="7" t="str">
        <x:v>src/combat.js</x:v>
      </x:c>
      <x:c r="M8" s="7" t="str">
        <x:v>ACTIONS.lift</x:v>
      </x:c>
      <x:c r="N8" s="7" t="str">
        <x:v>Talent de ME1 ou règle explicitement adaptée ; traduction et paramètres à relever.</x:v>
      </x:c>
      <x:c r="O8" s="7" t="str">
        <x:v>https://eaassets-a.akamaihd.net/eahelp/manuals/mass-effect-manuals_PC_fr.pdf</x:v>
      </x:c>
      <x:c r="P8" s="7" t="str">
        <x:v>Production ME1</x:v>
      </x:c>
      <x:c r="Q8" s="7" t="str">
        <x:v>Règle ATB fonctionnelle dans le prototype ; chiffres, animation et correspondance à ME1 restent à calibrer.</x:v>
      </x:c>
    </x:row>
    <x:row r="9" ht="36" customHeight="1">
      <x:c r="A9" s="13" t="str">
        <x:v>PWR-dechirure</x:v>
      </x:c>
      <x:c r="B9" s="14" t="str">
        <x:v>Déchirure</x:v>
      </x:c>
      <x:c r="C9" s="10" t="str">
        <x:v>Prototype</x:v>
      </x:c>
      <x:c r="D9" s="11" t="str">
        <x:v>Prototype</x:v>
      </x:c>
      <x:c r="E9" s="15" t="str">
        <x:v>P1</x:v>
      </x:c>
      <x:c r="F9" s="15" t="str">
        <x:v>ME1</x:v>
      </x:c>
      <x:c r="G9" s="15" t="str">
        <x:v>Confirmé</x:v>
      </x:c>
      <x:c r="H9" s="14" t="str">
        <x:v>Dégâts biotiques et réduction de protection selon ME1.</x:v>
      </x:c>
      <x:c r="I9" s="14" t="str">
        <x:v>Durée et résistance documentées.</x:v>
      </x:c>
      <x:c r="J9" s="14" t="str"/>
      <x:c r="K9" s="14" t="str">
        <x:v>content/powers/PWR-dechirure.json</x:v>
      </x:c>
      <x:c r="L9" s="14" t="str">
        <x:v>src/combat.js</x:v>
      </x:c>
      <x:c r="M9" s="14" t="str">
        <x:v>ACTIONS.warp</x:v>
      </x:c>
      <x:c r="N9" s="14" t="str">
        <x:v>Talent de ME1 ou règle explicitement adaptée ; traduction et paramètres à relever.</x:v>
      </x:c>
      <x:c r="O9" s="14" t="str">
        <x:v>https://eaassets-a.akamaihd.net/eahelp/manuals/mass-effect-manuals_PC_fr.pdf</x:v>
      </x:c>
      <x:c r="P9" s="14" t="str">
        <x:v>Production ME1</x:v>
      </x:c>
      <x:c r="Q9" s="14" t="str">
        <x:v>Règle ATB fonctionnelle dans le prototype ; chiffres, animation et correspondance à ME1 restent à calibrer.</x:v>
      </x:c>
    </x:row>
    <x:row r="10" ht="36" customHeight="1">
      <x:c r="A10" s="12" t="str">
        <x:v>PWR-singularite</x:v>
      </x:c>
      <x:c r="B10" s="7" t="str">
        <x:v>Singularité</x:v>
      </x:c>
      <x:c r="C10" s="10" t="str">
        <x:v>Prototype</x:v>
      </x:c>
      <x:c r="D10" s="11" t="str">
        <x:v>Prototype</x:v>
      </x:c>
      <x:c r="E10" s="9" t="str">
        <x:v>P1</x:v>
      </x:c>
      <x:c r="F10" s="9" t="str">
        <x:v>ME1</x:v>
      </x:c>
      <x:c r="G10" s="9" t="str">
        <x:v>Confirmé</x:v>
      </x:c>
      <x:c r="H10" s="7" t="str">
        <x:v>Regrouper et contrôler des objets ou adversaires.</x:v>
      </x:c>
      <x:c r="I10" s="7" t="str">
        <x:v>Cibles autorisées et durée clairement définies.</x:v>
      </x:c>
      <x:c r="J10" s="7" t="str"/>
      <x:c r="K10" s="7" t="str">
        <x:v>content/powers/PWR-singularite.json</x:v>
      </x:c>
      <x:c r="L10" s="7" t="str">
        <x:v>src/combat.js</x:v>
      </x:c>
      <x:c r="M10" s="7" t="str">
        <x:v>ACTIONS.singularity</x:v>
      </x:c>
      <x:c r="N10" s="7" t="str">
        <x:v>Talent de ME1 ou règle explicitement adaptée ; traduction et paramètres à relever.</x:v>
      </x:c>
      <x:c r="O10" s="7" t="str">
        <x:v>https://eaassets-a.akamaihd.net/eahelp/manuals/mass-effect-manuals_PC_fr.pdf</x:v>
      </x:c>
      <x:c r="P10" s="7" t="str">
        <x:v>Production ME1</x:v>
      </x:c>
      <x:c r="Q10" s="7" t="str">
        <x:v>Règle ATB fonctionnelle dans le prototype ; chiffres, animation et correspondance à ME1 restent à calibrer.</x:v>
      </x:c>
    </x:row>
    <x:row r="11" ht="36" customHeight="1">
      <x:c r="A11" s="13" t="str">
        <x:v>PWR-barriere</x:v>
      </x:c>
      <x:c r="B11" s="14" t="str">
        <x:v>Barrière</x:v>
      </x:c>
      <x:c r="C11" s="10" t="str">
        <x:v>Prototype</x:v>
      </x:c>
      <x:c r="D11" s="11" t="str">
        <x:v>Prototype</x:v>
      </x:c>
      <x:c r="E11" s="15" t="str">
        <x:v>P1</x:v>
      </x:c>
      <x:c r="F11" s="15" t="str">
        <x:v>ME1</x:v>
      </x:c>
      <x:c r="G11" s="15" t="str">
        <x:v>Confirmé</x:v>
      </x:c>
      <x:c r="H11" s="14" t="str">
        <x:v>Protection biotique du personnage.</x:v>
      </x:c>
      <x:c r="I11" s="14" t="str">
        <x:v>Ne pas cumuler indéfiniment une même activation.</x:v>
      </x:c>
      <x:c r="J11" s="14" t="str"/>
      <x:c r="K11" s="14" t="str">
        <x:v>content/powers/PWR-barriere.json</x:v>
      </x:c>
      <x:c r="L11" s="14" t="str">
        <x:v>src/combat.js</x:v>
      </x:c>
      <x:c r="M11" s="14" t="str">
        <x:v>ACTIONS.barrier</x:v>
      </x:c>
      <x:c r="N11" s="14" t="str">
        <x:v>Talent de ME1 ou règle explicitement adaptée ; traduction et paramètres à relever.</x:v>
      </x:c>
      <x:c r="O11" s="14" t="str">
        <x:v>https://eaassets-a.akamaihd.net/eahelp/manuals/mass-effect-manuals_PC_fr.pdf</x:v>
      </x:c>
      <x:c r="P11" s="14" t="str">
        <x:v>Production ME1</x:v>
      </x:c>
      <x:c r="Q11" s="14" t="str">
        <x:v>Règle ATB fonctionnelle dans le prototype ; chiffres, animation et correspondance à ME1 restent à calibrer.</x:v>
      </x:c>
    </x:row>
    <x:row r="12" ht="36" customHeight="1">
      <x:c r="A12" s="12" t="str">
        <x:v>PWR-stase</x:v>
      </x:c>
      <x:c r="B12" s="7" t="str">
        <x:v>Stase</x:v>
      </x:c>
      <x:c r="C12" s="10" t="str">
        <x:v>Prototype</x:v>
      </x:c>
      <x:c r="D12" s="11" t="str">
        <x:v>Prototype</x:v>
      </x:c>
      <x:c r="E12" s="9" t="str">
        <x:v>P1</x:v>
      </x:c>
      <x:c r="F12" s="9" t="str">
        <x:v>ME1</x:v>
      </x:c>
      <x:c r="G12" s="9" t="str">
        <x:v>Confirmé</x:v>
      </x:c>
      <x:c r="H12" s="7" t="str">
        <x:v>Immobiliser et isoler une cible.</x:v>
      </x:c>
      <x:c r="I12" s="7" t="str">
        <x:v>Immunité aux dégâts de la version de base respectée.</x:v>
      </x:c>
      <x:c r="J12" s="7" t="str"/>
      <x:c r="K12" s="7" t="str">
        <x:v>content/powers/PWR-stase.json</x:v>
      </x:c>
      <x:c r="L12" s="7" t="str">
        <x:v>src/combat.js</x:v>
      </x:c>
      <x:c r="M12" s="7" t="str">
        <x:v>ACTIONS.stasis</x:v>
      </x:c>
      <x:c r="N12" s="7" t="str">
        <x:v>Talent de ME1 ou règle explicitement adaptée ; traduction et paramètres à relever.</x:v>
      </x:c>
      <x:c r="O12" s="7" t="str">
        <x:v>https://eaassets-a.akamaihd.net/eahelp/manuals/mass-effect-manuals_PC_fr.pdf</x:v>
      </x:c>
      <x:c r="P12" s="7" t="str">
        <x:v>Production ME1</x:v>
      </x:c>
      <x:c r="Q12" s="7" t="str">
        <x:v>Règle ATB fonctionnelle dans le prototype ; chiffres, animation et correspondance à ME1 restent à calibrer.</x:v>
      </x:c>
    </x:row>
    <x:row r="13" ht="36" customHeight="1">
      <x:c r="A13" s="13" t="str">
        <x:v>PWR-surcharge</x:v>
      </x:c>
      <x:c r="B13" s="14" t="str">
        <x:v>Surcharge</x:v>
      </x:c>
      <x:c r="C13" s="10" t="str">
        <x:v>Prototype</x:v>
      </x:c>
      <x:c r="D13" s="11" t="str">
        <x:v>Prototype</x:v>
      </x:c>
      <x:c r="E13" s="15" t="str">
        <x:v>P1</x:v>
      </x:c>
      <x:c r="F13" s="15" t="str">
        <x:v>ME1</x:v>
      </x:c>
      <x:c r="G13" s="15" t="str">
        <x:v>Confirmé</x:v>
      </x:c>
      <x:c r="H13" s="14" t="str">
        <x:v>Attaque technologique contre les protections.</x:v>
      </x:c>
      <x:c r="I13" s="14" t="str">
        <x:v>Interactions avec boucliers et électronique documentées.</x:v>
      </x:c>
      <x:c r="J13" s="14" t="str"/>
      <x:c r="K13" s="14" t="str">
        <x:v>content/powers/PWR-surcharge.json</x:v>
      </x:c>
      <x:c r="L13" s="14" t="str">
        <x:v>src/combat.js</x:v>
      </x:c>
      <x:c r="M13" s="14" t="str">
        <x:v>ACTIONS.overload</x:v>
      </x:c>
      <x:c r="N13" s="14" t="str">
        <x:v>Talent de ME1 ou règle explicitement adaptée ; traduction et paramètres à relever.</x:v>
      </x:c>
      <x:c r="O13" s="14" t="str">
        <x:v>https://eaassets-a.akamaihd.net/eahelp/manuals/mass-effect-manuals_PC_fr.pdf</x:v>
      </x:c>
      <x:c r="P13" s="14" t="str">
        <x:v>Production ME1</x:v>
      </x:c>
      <x:c r="Q13" s="14" t="str">
        <x:v>Règle ATB fonctionnelle dans le prototype ; chiffres, animation et correspondance à ME1 restent à calibrer.</x:v>
      </x:c>
    </x:row>
    <x:row r="14" ht="36" customHeight="1">
      <x:c r="A14" s="12" t="str">
        <x:v>PWR-sabotage</x:v>
      </x:c>
      <x:c r="B14" s="7" t="str">
        <x:v>Sabotage</x:v>
      </x:c>
      <x:c r="C14" s="10" t="str">
        <x:v>Prototype</x:v>
      </x:c>
      <x:c r="D14" s="11" t="str">
        <x:v>Prototype</x:v>
      </x:c>
      <x:c r="E14" s="9" t="str">
        <x:v>P1</x:v>
      </x:c>
      <x:c r="F14" s="9" t="str">
        <x:v>ME1</x:v>
      </x:c>
      <x:c r="G14" s="9" t="str">
        <x:v>Confirmé</x:v>
      </x:c>
      <x:c r="H14" s="7" t="str">
        <x:v>Perturber l’armement ennemi.</x:v>
      </x:c>
      <x:c r="I14" s="7" t="str">
        <x:v>Délai et effet de chauffe ne bloquent pas définitivement l’IA.</x:v>
      </x:c>
      <x:c r="J14" s="7" t="str"/>
      <x:c r="K14" s="7" t="str">
        <x:v>content/powers/PWR-sabotage.json</x:v>
      </x:c>
      <x:c r="L14" s="7" t="str">
        <x:v>src/combat.js</x:v>
      </x:c>
      <x:c r="M14" s="7" t="str">
        <x:v>ACTIONS.sabotage</x:v>
      </x:c>
      <x:c r="N14" s="7" t="str">
        <x:v>Talent de ME1 ou règle explicitement adaptée ; traduction et paramètres à relever.</x:v>
      </x:c>
      <x:c r="O14" s="7" t="str">
        <x:v>https://eaassets-a.akamaihd.net/eahelp/manuals/mass-effect-manuals_PC_fr.pdf</x:v>
      </x:c>
      <x:c r="P14" s="7" t="str">
        <x:v>Production ME1</x:v>
      </x:c>
      <x:c r="Q14" s="7" t="str">
        <x:v>Règle ATB fonctionnelle dans le prototype ; chiffres, animation et correspondance à ME1 restent à calibrer.</x:v>
      </x:c>
    </x:row>
    <x:row r="15" ht="36" customHeight="1">
      <x:c r="A15" s="13" t="str">
        <x:v>PWR-amortissement</x:v>
      </x:c>
      <x:c r="B15" s="14" t="str">
        <x:v>Amortissement</x:v>
      </x:c>
      <x:c r="C15" s="10" t="str">
        <x:v>Défini</x:v>
      </x:c>
      <x:c r="D15" s="11" t="str">
        <x:v>À produire</x:v>
      </x:c>
      <x:c r="E15" s="15" t="str">
        <x:v>P1</x:v>
      </x:c>
      <x:c r="F15" s="15" t="str">
        <x:v>ME1</x:v>
      </x:c>
      <x:c r="G15" s="15" t="str">
        <x:v>Confirmé</x:v>
      </x:c>
      <x:c r="H15" s="14" t="str">
        <x:v>Perturber l’usage des pouvoirs.</x:v>
      </x:c>
      <x:c r="I15" s="14" t="str">
        <x:v>Actions déjà résolues non annulées rétroactivement.</x:v>
      </x:c>
      <x:c r="J15" s="14" t="str"/>
      <x:c r="K15" s="14" t="str">
        <x:v>content/powers/PWR-amortissement.json</x:v>
      </x:c>
      <x:c r="L15" s="14" t="str"/>
      <x:c r="M15" s="14" t="str"/>
      <x:c r="N15" s="14" t="str">
        <x:v>Talent de ME1 ou règle explicitement adaptée ; traduction et paramètres à relever.</x:v>
      </x:c>
      <x:c r="O15" s="14" t="str">
        <x:v>https://eaassets-a.akamaihd.net/eahelp/manuals/mass-effect-manuals_PC_fr.pdf</x:v>
      </x:c>
      <x:c r="P15" s="14" t="str">
        <x:v>Production ME1</x:v>
      </x:c>
      <x:c r="Q15" s="14" t="str"/>
    </x:row>
    <x:row r="16" ht="36" customHeight="1">
      <x:c r="A16" s="12" t="str">
        <x:v>PWR-piratage-d-ia</x:v>
      </x:c>
      <x:c r="B16" s="7" t="str">
        <x:v>Piratage d’IA</x:v>
      </x:c>
      <x:c r="C16" s="10" t="str">
        <x:v>Prototype</x:v>
      </x:c>
      <x:c r="D16" s="11" t="str">
        <x:v>Prototype</x:v>
      </x:c>
      <x:c r="E16" s="9" t="str">
        <x:v>P1</x:v>
      </x:c>
      <x:c r="F16" s="9" t="str">
        <x:v>ME1</x:v>
      </x:c>
      <x:c r="G16" s="9" t="str">
        <x:v>Confirmé</x:v>
      </x:c>
      <x:c r="H16" s="7" t="str">
        <x:v>Retourner temporairement un synthétique compatible.</x:v>
      </x:c>
      <x:c r="I16" s="7" t="str">
        <x:v>Cibles organiques exclues.</x:v>
      </x:c>
      <x:c r="J16" s="7" t="str"/>
      <x:c r="K16" s="7" t="str">
        <x:v>content/powers/PWR-piratage-d-ia.json</x:v>
      </x:c>
      <x:c r="L16" s="7" t="str">
        <x:v>src/combat.js</x:v>
      </x:c>
      <x:c r="M16" s="7" t="str">
        <x:v>ACTIONS.hack</x:v>
      </x:c>
      <x:c r="N16" s="7" t="str">
        <x:v>Talent de ME1 ou règle explicitement adaptée ; traduction et paramètres à relever.</x:v>
      </x:c>
      <x:c r="O16" s="7" t="str">
        <x:v>https://eaassets-a.akamaihd.net/eahelp/manuals/mass-effect-manuals_PC_fr.pdf</x:v>
      </x:c>
      <x:c r="P16" s="7" t="str">
        <x:v>Production ME1</x:v>
      </x:c>
      <x:c r="Q16" s="7" t="str">
        <x:v>Règle ATB fonctionnelle dans le prototype ; chiffres, animation et correspondance à ME1 restent à calibrer.</x:v>
      </x:c>
    </x:row>
    <x:row r="17" ht="36" customHeight="1">
      <x:c r="A17" s="13" t="str">
        <x:v>PWR-premiers-secours</x:v>
      </x:c>
      <x:c r="B17" s="14" t="str">
        <x:v>Premiers secours</x:v>
      </x:c>
      <x:c r="C17" s="10" t="str">
        <x:v>Prototype</x:v>
      </x:c>
      <x:c r="D17" s="11" t="str">
        <x:v>Prototype</x:v>
      </x:c>
      <x:c r="E17" s="15" t="str">
        <x:v>P1</x:v>
      </x:c>
      <x:c r="F17" s="15" t="str">
        <x:v>ME1</x:v>
      </x:c>
      <x:c r="G17" s="15" t="str">
        <x:v>Confirmé</x:v>
      </x:c>
      <x:c r="H17" s="14" t="str">
        <x:v>Soigner le commando avec médi-gel.</x:v>
      </x:c>
      <x:c r="I17" s="14" t="str">
        <x:v>Délai et consommation affichés.</x:v>
      </x:c>
      <x:c r="J17" s="14" t="str"/>
      <x:c r="K17" s="14" t="str">
        <x:v>content/powers/PWR-premiers-secours.json</x:v>
      </x:c>
      <x:c r="L17" s="14" t="str">
        <x:v>src/combat.js</x:v>
      </x:c>
      <x:c r="M17" s="14" t="str">
        <x:v>ACTIONS.medigel</x:v>
      </x:c>
      <x:c r="N17" s="14" t="str">
        <x:v>Talent de ME1 ou règle explicitement adaptée ; traduction et paramètres à relever.</x:v>
      </x:c>
      <x:c r="O17" s="14" t="str">
        <x:v>https://eaassets-a.akamaihd.net/eahelp/manuals/mass-effect-manuals_PC_fr.pdf</x:v>
      </x:c>
      <x:c r="P17" s="14" t="str">
        <x:v>Production ME1</x:v>
      </x:c>
      <x:c r="Q17" s="14" t="str">
        <x:v>Règle ATB fonctionnelle dans le prototype ; chiffres, animation et correspondance à ME1 restent à calibrer.</x:v>
      </x:c>
    </x:row>
    <x:row r="18" ht="36" customHeight="1">
      <x:c r="A18" s="12" t="str">
        <x:v>PWR-medecine</x:v>
      </x:c>
      <x:c r="B18" s="7" t="str">
        <x:v>Médecine</x:v>
      </x:c>
      <x:c r="C18" s="10" t="str">
        <x:v>Défini</x:v>
      </x:c>
      <x:c r="D18" s="11" t="str">
        <x:v>À produire</x:v>
      </x:c>
      <x:c r="E18" s="9" t="str">
        <x:v>P1</x:v>
      </x:c>
      <x:c r="F18" s="9" t="str">
        <x:v>ME1</x:v>
      </x:c>
      <x:c r="G18" s="9" t="str">
        <x:v>Référence à vérifier</x:v>
      </x:c>
      <x:c r="H18" s="7" t="str">
        <x:v>Améliorer les capacités médicales selon le talent.</x:v>
      </x:c>
      <x:c r="I18" s="7" t="str">
        <x:v>Effets exacts vérifiés avant équilibrage.</x:v>
      </x:c>
      <x:c r="J18" s="7" t="str"/>
      <x:c r="K18" s="7" t="str">
        <x:v>content/powers/PWR-medecine.json</x:v>
      </x:c>
      <x:c r="L18" s="7" t="str"/>
      <x:c r="M18" s="7" t="str"/>
      <x:c r="N18" s="7" t="str">
        <x:v>Talent de ME1 ou règle explicitement adaptée ; traduction et paramètres à relever.</x:v>
      </x:c>
      <x:c r="O18" s="7" t="str">
        <x:v>https://eaassets-a.akamaihd.net/eahelp/manuals/mass-effect-manuals_PC_fr.pdf</x:v>
      </x:c>
      <x:c r="P18" s="7" t="str">
        <x:v>Production ME1</x:v>
      </x:c>
      <x:c r="Q18" s="7" t="str"/>
    </x:row>
    <x:row r="19" ht="36" customHeight="1">
      <x:c r="A19" s="13" t="str">
        <x:v>PWR-unite</x:v>
      </x:c>
      <x:c r="B19" s="14" t="str">
        <x:v>Unité</x:v>
      </x:c>
      <x:c r="C19" s="10" t="str">
        <x:v>Prototype</x:v>
      </x:c>
      <x:c r="D19" s="11" t="str">
        <x:v>Prototype</x:v>
      </x:c>
      <x:c r="E19" s="15" t="str">
        <x:v>P1</x:v>
      </x:c>
      <x:c r="F19" s="15" t="str">
        <x:v>ME1</x:v>
      </x:c>
      <x:c r="G19" s="15" t="str">
        <x:v>Référence à vérifier</x:v>
      </x:c>
      <x:c r="H19" s="14" t="str">
        <x:v>Réanimer les équipiers tombés au combat.</x:v>
      </x:c>
      <x:c r="I19" s="14" t="str">
        <x:v>Ne concerne pas les morts du scénario.</x:v>
      </x:c>
      <x:c r="J19" s="14" t="str"/>
      <x:c r="K19" s="14" t="str">
        <x:v>content/powers/PWR-unite.json</x:v>
      </x:c>
      <x:c r="L19" s="14" t="str">
        <x:v>src/combat.js</x:v>
      </x:c>
      <x:c r="M19" s="14" t="str">
        <x:v>ACTIONS.unity</x:v>
      </x:c>
      <x:c r="N19" s="14" t="str">
        <x:v>Talent de ME1 ou règle explicitement adaptée ; traduction et paramètres à relever.</x:v>
      </x:c>
      <x:c r="O19" s="14" t="str">
        <x:v>https://eaassets-a.akamaihd.net/eahelp/manuals/mass-effect-manuals_PC_fr.pdf</x:v>
      </x:c>
      <x:c r="P19" s="14" t="str">
        <x:v>Production ME1</x:v>
      </x:c>
      <x:c r="Q19" s="14" t="str">
        <x:v>Règle ATB fonctionnelle dans le prototype ; chiffres, animation et correspondance à ME1 restent à calibrer.</x:v>
      </x:c>
    </x:row>
    <x:row r="20" ht="36" customHeight="1">
      <x:c r="A20" s="12" t="str">
        <x:v>PWR-tireur-d-elite-pistolet</x:v>
      </x:c>
      <x:c r="B20" s="7" t="str">
        <x:v>Tireur d’élite pistolet</x:v>
      </x:c>
      <x:c r="C20" s="10" t="str">
        <x:v>Défini</x:v>
      </x:c>
      <x:c r="D20" s="11" t="str">
        <x:v>À produire</x:v>
      </x:c>
      <x:c r="E20" s="9" t="str">
        <x:v>P1</x:v>
      </x:c>
      <x:c r="F20" s="9" t="str">
        <x:v>ME1</x:v>
      </x:c>
      <x:c r="G20" s="9" t="str">
        <x:v>Référence à vérifier</x:v>
      </x:c>
      <x:c r="H20" s="7" t="str">
        <x:v>Pouvoir lié à la maîtrise du pistolet.</x:v>
      </x:c>
      <x:c r="I20" s="7" t="str">
        <x:v>Durée et gestion de chaleur selon version choisie.</x:v>
      </x:c>
      <x:c r="J20" s="7" t="str"/>
      <x:c r="K20" s="7" t="str">
        <x:v>content/powers/PWR-tireur-d-elite-pistolet.json</x:v>
      </x:c>
      <x:c r="L20" s="7" t="str"/>
      <x:c r="M20" s="7" t="str"/>
      <x:c r="N20" s="7" t="str">
        <x:v>Talent de ME1 ou règle explicitement adaptée ; traduction et paramètres à relever.</x:v>
      </x:c>
      <x:c r="O20" s="7" t="str">
        <x:v>https://eaassets-a.akamaihd.net/eahelp/manuals/mass-effect-manuals_PC_fr.pdf</x:v>
      </x:c>
      <x:c r="P20" s="7" t="str">
        <x:v>Production ME1</x:v>
      </x:c>
      <x:c r="Q20" s="7" t="str"/>
    </x:row>
    <x:row r="21" ht="36" customHeight="1">
      <x:c r="A21" s="13" t="str">
        <x:v>PWR-carnage</x:v>
      </x:c>
      <x:c r="B21" s="14" t="str">
        <x:v>Carnage</x:v>
      </x:c>
      <x:c r="C21" s="10" t="str">
        <x:v>Défini</x:v>
      </x:c>
      <x:c r="D21" s="11" t="str">
        <x:v>À produire</x:v>
      </x:c>
      <x:c r="E21" s="15" t="str">
        <x:v>P1</x:v>
      </x:c>
      <x:c r="F21" s="15" t="str">
        <x:v>ME1</x:v>
      </x:c>
      <x:c r="G21" s="15" t="str">
        <x:v>Référence à vérifier</x:v>
      </x:c>
      <x:c r="H21" s="14" t="str">
        <x:v>Pouvoir lié au fusil à pompe.</x:v>
      </x:c>
      <x:c r="I21" s="14" t="str">
        <x:v>Projectile et effets propres à ME1.</x:v>
      </x:c>
      <x:c r="J21" s="14" t="str"/>
      <x:c r="K21" s="14" t="str">
        <x:v>content/powers/PWR-carnage.json</x:v>
      </x:c>
      <x:c r="L21" s="14" t="str"/>
      <x:c r="M21" s="14" t="str"/>
      <x:c r="N21" s="14" t="str">
        <x:v>Talent de ME1 ou règle explicitement adaptée ; traduction et paramètres à relever.</x:v>
      </x:c>
      <x:c r="O21" s="14" t="str">
        <x:v>https://eaassets-a.akamaihd.net/eahelp/manuals/mass-effect-manuals_PC_fr.pdf</x:v>
      </x:c>
      <x:c r="P21" s="14" t="str">
        <x:v>Production ME1</x:v>
      </x:c>
      <x:c r="Q21" s="14" t="str"/>
    </x:row>
    <x:row r="22" ht="36" customHeight="1">
      <x:c r="A22" s="12" t="str">
        <x:v>PWR-assassinat</x:v>
      </x:c>
      <x:c r="B22" s="7" t="str">
        <x:v>Assassinat</x:v>
      </x:c>
      <x:c r="C22" s="10" t="str">
        <x:v>Défini</x:v>
      </x:c>
      <x:c r="D22" s="11" t="str">
        <x:v>À produire</x:v>
      </x:c>
      <x:c r="E22" s="9" t="str">
        <x:v>P1</x:v>
      </x:c>
      <x:c r="F22" s="9" t="str">
        <x:v>ME1</x:v>
      </x:c>
      <x:c r="G22" s="9" t="str">
        <x:v>Référence à vérifier</x:v>
      </x:c>
      <x:c r="H22" s="7" t="str">
        <x:v>Pouvoir lié au fusil de précision.</x:v>
      </x:c>
      <x:c r="I22" s="7" t="str">
        <x:v>Cible unique et conditions de visée.</x:v>
      </x:c>
      <x:c r="J22" s="7" t="str"/>
      <x:c r="K22" s="7" t="str">
        <x:v>content/powers/PWR-assassinat.json</x:v>
      </x:c>
      <x:c r="L22" s="7" t="str"/>
      <x:c r="M22" s="7" t="str"/>
      <x:c r="N22" s="7" t="str">
        <x:v>Talent de ME1 ou règle explicitement adaptée ; traduction et paramètres à relever.</x:v>
      </x:c>
      <x:c r="O22" s="7" t="str">
        <x:v>https://eaassets-a.akamaihd.net/eahelp/manuals/mass-effect-manuals_PC_fr.pdf</x:v>
      </x:c>
      <x:c r="P22" s="7" t="str">
        <x:v>Production ME1</x:v>
      </x:c>
      <x:c r="Q22" s="7" t="str"/>
    </x:row>
    <x:row r="23" ht="36" customHeight="1">
      <x:c r="A23" s="13" t="str">
        <x:v>PWR-surpuissance-fusil-d-assaut</x:v>
      </x:c>
      <x:c r="B23" s="14" t="str">
        <x:v>Surpuissance fusil d’assaut</x:v>
      </x:c>
      <x:c r="C23" s="10" t="str">
        <x:v>Défini</x:v>
      </x:c>
      <x:c r="D23" s="11" t="str">
        <x:v>À produire</x:v>
      </x:c>
      <x:c r="E23" s="15" t="str">
        <x:v>P1</x:v>
      </x:c>
      <x:c r="F23" s="15" t="str">
        <x:v>ME1</x:v>
      </x:c>
      <x:c r="G23" s="15" t="str">
        <x:v>Référence à vérifier</x:v>
      </x:c>
      <x:c r="H23" s="14" t="str">
        <x:v>Pouvoir militaire de tir soutenu.</x:v>
      </x:c>
      <x:c r="I23" s="14" t="str">
        <x:v>Nom français exact et fonctionnement à vérifier.</x:v>
      </x:c>
      <x:c r="J23" s="14" t="str"/>
      <x:c r="K23" s="14" t="str">
        <x:v>content/powers/PWR-surpuissance-fusil-d-assaut.json</x:v>
      </x:c>
      <x:c r="L23" s="14" t="str"/>
      <x:c r="M23" s="14" t="str"/>
      <x:c r="N23" s="14" t="str">
        <x:v>Talent de ME1 ou règle explicitement adaptée ; traduction et paramètres à relever.</x:v>
      </x:c>
      <x:c r="O23" s="14" t="str">
        <x:v>https://eaassets-a.akamaihd.net/eahelp/manuals/mass-effect-manuals_PC_fr.pdf</x:v>
      </x:c>
      <x:c r="P23" s="14" t="str">
        <x:v>Production ME1</x:v>
      </x:c>
      <x:c r="Q23" s="14" t="str"/>
    </x:row>
    <x:row r="24" ht="36" customHeight="1">
      <x:c r="A24" s="12" t="str">
        <x:v>PWR-immunite</x:v>
      </x:c>
      <x:c r="B24" s="7" t="str">
        <x:v>Immunité</x:v>
      </x:c>
      <x:c r="C24" s="10" t="str">
        <x:v>Défini</x:v>
      </x:c>
      <x:c r="D24" s="11" t="str">
        <x:v>À produire</x:v>
      </x:c>
      <x:c r="E24" s="9" t="str">
        <x:v>P1</x:v>
      </x:c>
      <x:c r="F24" s="9" t="str">
        <x:v>ME1</x:v>
      </x:c>
      <x:c r="G24" s="9" t="str">
        <x:v>Référence à vérifier</x:v>
      </x:c>
      <x:c r="H24" s="7" t="str">
        <x:v>Pouvoir de résistance militaire.</x:v>
      </x:c>
      <x:c r="I24" s="7" t="str">
        <x:v>Durée de la version originale ou LE explicitement choisie.</x:v>
      </x:c>
      <x:c r="J24" s="7" t="str"/>
      <x:c r="K24" s="7" t="str">
        <x:v>content/powers/PWR-immunite.json</x:v>
      </x:c>
      <x:c r="L24" s="7" t="str"/>
      <x:c r="M24" s="7" t="str"/>
      <x:c r="N24" s="7" t="str">
        <x:v>Talent de ME1 ou règle explicitement adaptée ; traduction et paramètres à relever.</x:v>
      </x:c>
      <x:c r="O24" s="7" t="str">
        <x:v>https://eaassets-a.akamaihd.net/eahelp/manuals/mass-effect-manuals_PC_fr.pdf</x:v>
      </x:c>
      <x:c r="P24" s="7" t="str">
        <x:v>Production ME1</x:v>
      </x:c>
      <x:c r="Q24" s="7" t="str"/>
    </x:row>
    <x:row r="25" ht="36" customHeight="1">
      <x:c r="A25" s="13" t="str">
        <x:v>PWR-montee-d-adrenaline-me1</x:v>
      </x:c>
      <x:c r="B25" s="14" t="str">
        <x:v>Montée d’adrénaline ME1</x:v>
      </x:c>
      <x:c r="C25" s="10" t="str">
        <x:v>Défini</x:v>
      </x:c>
      <x:c r="D25" s="11" t="str">
        <x:v>À produire</x:v>
      </x:c>
      <x:c r="E25" s="15" t="str">
        <x:v>P1</x:v>
      </x:c>
      <x:c r="F25" s="15" t="str">
        <x:v>ME1</x:v>
      </x:c>
      <x:c r="G25" s="15" t="str">
        <x:v>Référence à vérifier</x:v>
      </x:c>
      <x:c r="H25" s="14" t="str">
        <x:v>Talent militaire dont la fonction diffère des suites.</x:v>
      </x:c>
      <x:c r="I25" s="14" t="str">
        <x:v>Ne pas importer automatiquement le ralenti de ME2.</x:v>
      </x:c>
      <x:c r="J25" s="14" t="str"/>
      <x:c r="K25" s="14" t="str">
        <x:v>content/powers/PWR-montee-d-adrenaline-me1.json</x:v>
      </x:c>
      <x:c r="L25" s="14" t="str"/>
      <x:c r="M25" s="14" t="str"/>
      <x:c r="N25" s="14" t="str">
        <x:v>Talent de ME1 ou règle explicitement adaptée ; traduction et paramètres à relever.</x:v>
      </x:c>
      <x:c r="O25" s="14" t="str">
        <x:v>https://eaassets-a.akamaihd.net/eahelp/manuals/mass-effect-manuals_PC_fr.pdf</x:v>
      </x:c>
      <x:c r="P25" s="14" t="str">
        <x:v>Production ME1</x:v>
      </x:c>
      <x:c r="Q25" s="14" t="str"/>
    </x:row>
    <x:row r="26" ht="36" customHeight="1">
      <x:c r="A26" s="12" t="str">
        <x:v>PWR-decryptage</x:v>
      </x:c>
      <x:c r="B26" s="7" t="str">
        <x:v>Décryptage</x:v>
      </x:c>
      <x:c r="C26" s="10" t="str">
        <x:v>Défini</x:v>
      </x:c>
      <x:c r="D26" s="11" t="str">
        <x:v>À produire</x:v>
      </x:c>
      <x:c r="E26" s="9" t="str">
        <x:v>P1</x:v>
      </x:c>
      <x:c r="F26" s="9" t="str">
        <x:v>ME1</x:v>
      </x:c>
      <x:c r="G26" s="9" t="str">
        <x:v>Confirmé</x:v>
      </x:c>
      <x:c r="H26" s="7" t="str">
        <x:v>Compétence d’ouverture et d’accès.</x:v>
      </x:c>
      <x:c r="I26" s="7" t="str">
        <x:v>Objets incompatibles ne proposent pas l’action.</x:v>
      </x:c>
      <x:c r="J26" s="7" t="str"/>
      <x:c r="K26" s="7" t="str">
        <x:v>content/powers/PWR-decryptage.json</x:v>
      </x:c>
      <x:c r="L26" s="7" t="str"/>
      <x:c r="M26" s="7" t="str"/>
      <x:c r="N26" s="7" t="str">
        <x:v>Talent de ME1 ou règle explicitement adaptée ; traduction et paramètres à relever.</x:v>
      </x:c>
      <x:c r="O26" s="7" t="str">
        <x:v>https://eaassets-a.akamaihd.net/eahelp/manuals/mass-effect-manuals_PC_fr.pdf</x:v>
      </x:c>
      <x:c r="P26" s="7" t="str">
        <x:v>Production ME1</x:v>
      </x:c>
      <x:c r="Q26" s="7" t="str"/>
    </x:row>
    <x:row r="27" ht="36" customHeight="1">
      <x:c r="A27" s="13" t="str">
        <x:v>PWR-electronique</x:v>
      </x:c>
      <x:c r="B27" s="14" t="str">
        <x:v>Électronique</x:v>
      </x:c>
      <x:c r="C27" s="10" t="str">
        <x:v>Défini</x:v>
      </x:c>
      <x:c r="D27" s="11" t="str">
        <x:v>À produire</x:v>
      </x:c>
      <x:c r="E27" s="15" t="str">
        <x:v>P1</x:v>
      </x:c>
      <x:c r="F27" s="15" t="str">
        <x:v>ME1</x:v>
      </x:c>
      <x:c r="G27" s="15" t="str">
        <x:v>Confirmé</x:v>
      </x:c>
      <x:c r="H27" s="14" t="str">
        <x:v>Compétence d’accès et de protection technique.</x:v>
      </x:c>
      <x:c r="I27" s="14" t="str">
        <x:v>Équipier actif éligible requis quand applicable.</x:v>
      </x:c>
      <x:c r="J27" s="14" t="str"/>
      <x:c r="K27" s="14" t="str">
        <x:v>content/powers/PWR-electronique.json</x:v>
      </x:c>
      <x:c r="L27" s="14" t="str"/>
      <x:c r="M27" s="14" t="str"/>
      <x:c r="N27" s="14" t="str">
        <x:v>Talent de ME1 ou règle explicitement adaptée ; traduction et paramètres à relever.</x:v>
      </x:c>
      <x:c r="O27" s="14" t="str">
        <x:v>https://eaassets-a.akamaihd.net/eahelp/manuals/mass-effect-manuals_PC_fr.pdf</x:v>
      </x:c>
      <x:c r="P27" s="14" t="str">
        <x:v>Production ME1</x:v>
      </x:c>
      <x:c r="Q27" s="14" t="str"/>
    </x:row>
    <x:row r="28" ht="36" customHeight="1">
      <x:c r="A28" s="12" t="str">
        <x:v>PWR-charme</x:v>
      </x:c>
      <x:c r="B28" s="7" t="str">
        <x:v>Charme</x:v>
      </x:c>
      <x:c r="C28" s="10" t="str">
        <x:v>Défini</x:v>
      </x:c>
      <x:c r="D28" s="11" t="str">
        <x:v>À produire</x:v>
      </x:c>
      <x:c r="E28" s="9" t="str">
        <x:v>P1</x:v>
      </x:c>
      <x:c r="F28" s="9" t="str">
        <x:v>ME1</x:v>
      </x:c>
      <x:c r="G28" s="9" t="str">
        <x:v>Confirmé</x:v>
      </x:c>
      <x:c r="H28" s="7" t="str">
        <x:v>Options de persuasion conciliatrice.</x:v>
      </x:c>
      <x:c r="I28" s="7" t="str">
        <x:v>Seuils liés aux talents et décisions.</x:v>
      </x:c>
      <x:c r="J28" s="7" t="str"/>
      <x:c r="K28" s="7" t="str">
        <x:v>content/powers/PWR-charme.json</x:v>
      </x:c>
      <x:c r="L28" s="7" t="str"/>
      <x:c r="M28" s="7" t="str"/>
      <x:c r="N28" s="7" t="str">
        <x:v>Talent de ME1 ou règle explicitement adaptée ; traduction et paramètres à relever.</x:v>
      </x:c>
      <x:c r="O28" s="7" t="str">
        <x:v>https://eaassets-a.akamaihd.net/eahelp/manuals/mass-effect-manuals_PC_fr.pdf</x:v>
      </x:c>
      <x:c r="P28" s="7" t="str">
        <x:v>Production ME1</x:v>
      </x:c>
      <x:c r="Q28" s="7" t="str"/>
    </x:row>
    <x:row r="29" ht="36" customHeight="1">
      <x:c r="A29" s="13" t="str">
        <x:v>PWR-intimidation</x:v>
      </x:c>
      <x:c r="B29" s="14" t="str">
        <x:v>Intimidation</x:v>
      </x:c>
      <x:c r="C29" s="10" t="str">
        <x:v>Défini</x:v>
      </x:c>
      <x:c r="D29" s="11" t="str">
        <x:v>À produire</x:v>
      </x:c>
      <x:c r="E29" s="15" t="str">
        <x:v>P1</x:v>
      </x:c>
      <x:c r="F29" s="15" t="str">
        <x:v>ME1</x:v>
      </x:c>
      <x:c r="G29" s="15" t="str">
        <x:v>Confirmé</x:v>
      </x:c>
      <x:c r="H29" s="14" t="str">
        <x:v>Options de persuasion pragmatique.</x:v>
      </x:c>
      <x:c r="I29" s="14" t="str">
        <x:v>Affichage d’option indisponible compréhensible.</x:v>
      </x:c>
      <x:c r="J29" s="14" t="str"/>
      <x:c r="K29" s="14" t="str">
        <x:v>content/powers/PWR-intimidation.json</x:v>
      </x:c>
      <x:c r="L29" s="14" t="str"/>
      <x:c r="M29" s="14" t="str"/>
      <x:c r="N29" s="14" t="str">
        <x:v>Talent de ME1 ou règle explicitement adaptée ; traduction et paramètres à relever.</x:v>
      </x:c>
      <x:c r="O29" s="14" t="str">
        <x:v>https://eaassets-a.akamaihd.net/eahelp/manuals/mass-effect-manuals_PC_fr.pdf</x:v>
      </x:c>
      <x:c r="P29" s="14" t="str">
        <x:v>Production ME1</x:v>
      </x:c>
      <x:c r="Q29" s="14" t="str"/>
    </x:row>
    <x:row r="30" ht="36" customHeight="1">
      <x:c r="A30" s="12" t="str">
        <x:v>PWR-formation-spectre</x:v>
      </x:c>
      <x:c r="B30" s="7" t="str">
        <x:v>Formation Spectre</x:v>
      </x:c>
      <x:c r="C30" s="10" t="str">
        <x:v>Défini</x:v>
      </x:c>
      <x:c r="D30" s="11" t="str">
        <x:v>À produire</x:v>
      </x:c>
      <x:c r="E30" s="9" t="str">
        <x:v>P1</x:v>
      </x:c>
      <x:c r="F30" s="9" t="str">
        <x:v>ME1</x:v>
      </x:c>
      <x:c r="G30" s="9" t="str">
        <x:v>Référence à vérifier</x:v>
      </x:c>
      <x:c r="H30" s="7" t="str">
        <x:v>Progression propre à Shepard après intronisation.</x:v>
      </x:c>
      <x:c r="I30" s="7" t="str">
        <x:v>Dépendance au statut vérifiée.</x:v>
      </x:c>
      <x:c r="J30" s="7" t="str"/>
      <x:c r="K30" s="7" t="str">
        <x:v>content/powers/PWR-formation-spectre.json</x:v>
      </x:c>
      <x:c r="L30" s="7" t="str"/>
      <x:c r="M30" s="7" t="str"/>
      <x:c r="N30" s="7" t="str">
        <x:v>Talent de ME1 ou règle explicitement adaptée ; traduction et paramètres à relever.</x:v>
      </x:c>
      <x:c r="O30" s="7" t="str">
        <x:v>https://eaassets-a.akamaihd.net/eahelp/manuals/mass-effect-manuals_PC_fr.pdf</x:v>
      </x:c>
      <x:c r="P30" s="7" t="str">
        <x:v>Production ME1</x:v>
      </x:c>
      <x:c r="Q30" s="7" t="str"/>
    </x:row>
    <x:row r="31" ht="36" customHeight="1">
      <x:c r="A31" s="13" t="str">
        <x:v>PWR-combat-rapproche</x:v>
      </x:c>
      <x:c r="B31" s="14" t="str">
        <x:v>Combat rapproché</x:v>
      </x:c>
      <x:c r="C31" s="10" t="str">
        <x:v>Défini</x:v>
      </x:c>
      <x:c r="D31" s="11" t="str">
        <x:v>À produire</x:v>
      </x:c>
      <x:c r="E31" s="15" t="str">
        <x:v>P1</x:v>
      </x:c>
      <x:c r="F31" s="15" t="str">
        <x:v>ME1</x:v>
      </x:c>
      <x:c r="G31" s="15" t="str">
        <x:v>Référence à vérifier</x:v>
      </x:c>
      <x:c r="H31" s="14" t="str">
        <x:v>Frappe physique de l’épisode.</x:v>
      </x:c>
      <x:c r="I31" s="14" t="str">
        <x:v>Animation de crosse ou geste canonique, sans omni-lame ME3.</x:v>
      </x:c>
      <x:c r="J31" s="14" t="str"/>
      <x:c r="K31" s="14" t="str">
        <x:v>content/powers/PWR-combat-rapproche.json</x:v>
      </x:c>
      <x:c r="L31" s="14" t="str"/>
      <x:c r="M31" s="14" t="str"/>
      <x:c r="N31" s="14" t="str">
        <x:v>Talent de ME1 ou règle explicitement adaptée ; traduction et paramètres à relever.</x:v>
      </x:c>
      <x:c r="O31" s="14" t="str">
        <x:v>https://eaassets-a.akamaihd.net/eahelp/manuals/mass-effect-manuals_PC_fr.pdf</x:v>
      </x:c>
      <x:c r="P31" s="14" t="str">
        <x:v>Production ME1</x:v>
      </x:c>
      <x:c r="Q31" s="14" t="str"/>
    </x:row>
    <x:row r="32" ht="36" customHeight="1">
      <x:c r="A32" s="12" t="str">
        <x:v>PWR-garde-atb</x:v>
      </x:c>
      <x:c r="B32" s="7" t="str">
        <x:v>Garde ATB</x:v>
      </x:c>
      <x:c r="C32" s="10" t="str">
        <x:v>Prototype</x:v>
      </x:c>
      <x:c r="D32" s="11" t="str">
        <x:v>Prototype</x:v>
      </x:c>
      <x:c r="E32" s="9" t="str">
        <x:v>P1</x:v>
      </x:c>
      <x:c r="F32" s="9" t="str">
        <x:v>ME1</x:v>
      </x:c>
      <x:c r="G32" s="9" t="str">
        <x:v>Adaptation</x:v>
      </x:c>
      <x:c r="H32" s="7" t="str">
        <x:v>Réduire l’exposition en attendant une ouverture.</x:v>
      </x:c>
      <x:c r="I32" s="7" t="str">
        <x:v>Règle originale de l’adaptation explicitement indiquée.</x:v>
      </x:c>
      <x:c r="J32" s="7" t="str"/>
      <x:c r="K32" s="7" t="str">
        <x:v>content/powers/PWR-garde-atb.json</x:v>
      </x:c>
      <x:c r="L32" s="7" t="str">
        <x:v>src/combat.js</x:v>
      </x:c>
      <x:c r="M32" s="7" t="str">
        <x:v>ACTIONS.cover</x:v>
      </x:c>
      <x:c r="N32" s="7" t="str">
        <x:v>Règle de combat conçue pour le fan game.</x:v>
      </x:c>
      <x:c r="O32" s="7" t="str"/>
      <x:c r="P32" s="7" t="str">
        <x:v>Production ME1</x:v>
      </x:c>
      <x:c r="Q32" s="7" t="str">
        <x:v>Règle ATB fonctionnelle dans le prototype ; chiffres, animation et correspondance à ME1 restent à calibrer.</x:v>
      </x:c>
    </x:row>
    <x:row r="33" ht="36" customHeight="1">
      <x:c r="A33" s="13" t="str">
        <x:v>PWR-repositionnement-atb</x:v>
      </x:c>
      <x:c r="B33" s="14" t="str">
        <x:v>Repositionnement ATB</x:v>
      </x:c>
      <x:c r="C33" s="10" t="str">
        <x:v>Prototype</x:v>
      </x:c>
      <x:c r="D33" s="11" t="str">
        <x:v>Prototype</x:v>
      </x:c>
      <x:c r="E33" s="15" t="str">
        <x:v>P1</x:v>
      </x:c>
      <x:c r="F33" s="15" t="str">
        <x:v>ME1</x:v>
      </x:c>
      <x:c r="G33" s="15" t="str">
        <x:v>Adaptation</x:v>
      </x:c>
      <x:c r="H33" s="14" t="str">
        <x:v>Changer de couvert ou de bande de portée.</x:v>
      </x:c>
      <x:c r="I33" s="14" t="str">
        <x:v>Coût et emplacement final vérifiables.</x:v>
      </x:c>
      <x:c r="J33" s="14" t="str"/>
      <x:c r="K33" s="14" t="str">
        <x:v>content/powers/PWR-repositionnement-atb.json</x:v>
      </x:c>
      <x:c r="L33" s="14" t="str">
        <x:v>src/combat.js</x:v>
      </x:c>
      <x:c r="M33" s="14" t="str">
        <x:v>ACTIONS.reposition</x:v>
      </x:c>
      <x:c r="N33" s="14" t="str">
        <x:v>Règle de combat conçue pour le fan game.</x:v>
      </x:c>
      <x:c r="O33" s="14" t="str"/>
      <x:c r="P33" s="14" t="str">
        <x:v>Production ME1</x:v>
      </x:c>
      <x:c r="Q33" s="14" t="str">
        <x:v>Règle ATB fonctionnelle dans le prototype ; chiffres, animation et correspondance à ME1 restent à calibrer.</x:v>
      </x:c>
    </x:row>
    <x:row r="34" ht="36" customHeight="1">
      <x:c r="A34" s="12" t="str">
        <x:v>PWR-ordre-coordonne</x:v>
      </x:c>
      <x:c r="B34" s="7" t="str">
        <x:v>Ordre coordonné</x:v>
      </x:c>
      <x:c r="C34" s="10" t="str">
        <x:v>Défini</x:v>
      </x:c>
      <x:c r="D34" s="11" t="str">
        <x:v>À produire</x:v>
      </x:c>
      <x:c r="E34" s="9" t="str">
        <x:v>P1</x:v>
      </x:c>
      <x:c r="F34" s="9" t="str">
        <x:v>ME1</x:v>
      </x:c>
      <x:c r="G34" s="9" t="str">
        <x:v>Adaptation</x:v>
      </x:c>
      <x:c r="H34" s="7" t="str">
        <x:v>Dépenser les commandes de plusieurs alliés pour une séquence.</x:v>
      </x:c>
      <x:c r="I34" s="7" t="str">
        <x:v>Aucun pouvoir nouveau accordé aux participants.</x:v>
      </x:c>
      <x:c r="J34" s="7" t="str"/>
      <x:c r="K34" s="7" t="str">
        <x:v>content/powers/PWR-ordre-coordonne.json</x:v>
      </x:c>
      <x:c r="L34" s="7" t="str"/>
      <x:c r="M34" s="7" t="str"/>
      <x:c r="N34" s="7" t="str">
        <x:v>Règle de combat conçue pour le fan game.</x:v>
      </x:c>
      <x:c r="O34" s="7" t="str"/>
      <x:c r="P34" s="7" t="str">
        <x:v>Production ME1</x:v>
      </x:c>
      <x:c r="Q34" s="7" t="str"/>
    </x:row>
    <x:row r="35" ht="36" customHeight="1">
      <x:c r="A35" s="13" t="str">
        <x:v>PWR-analyse-tactique</x:v>
      </x:c>
      <x:c r="B35" s="14" t="str">
        <x:v>Analyse tactique</x:v>
      </x:c>
      <x:c r="C35" s="10" t="str">
        <x:v>Défini</x:v>
      </x:c>
      <x:c r="D35" s="11" t="str">
        <x:v>À produire</x:v>
      </x:c>
      <x:c r="E35" s="15" t="str">
        <x:v>P1</x:v>
      </x:c>
      <x:c r="F35" s="15" t="str">
        <x:v>ME1</x:v>
      </x:c>
      <x:c r="G35" s="15" t="str">
        <x:v>Adaptation</x:v>
      </x:c>
      <x:c r="H35" s="14" t="str">
        <x:v>Lire les résistances observées de la cible.</x:v>
      </x:c>
      <x:c r="I35" s="14" t="str">
        <x:v>Données découvertes et données inconnues distinguées.</x:v>
      </x:c>
      <x:c r="J35" s="14" t="str"/>
      <x:c r="K35" s="14" t="str">
        <x:v>content/powers/PWR-analyse-tactique.json</x:v>
      </x:c>
      <x:c r="L35" s="14" t="str"/>
      <x:c r="M35" s="14" t="str"/>
      <x:c r="N35" s="14" t="str">
        <x:v>Règle de combat conçue pour le fan game.</x:v>
      </x:c>
      <x:c r="O35" s="14" t="str"/>
      <x:c r="P35" s="14" t="str">
        <x:v>Production ME1</x:v>
      </x:c>
      <x:c r="Q35" s="14" t="str"/>
    </x:row>
    <x:row r="36" ht="36" customHeight="1">
      <x:c r="A36" s="12" t="str">
        <x:v>PWR-retraite-tactique</x:v>
      </x:c>
      <x:c r="B36" s="7" t="str">
        <x:v>Retraite tactique</x:v>
      </x:c>
      <x:c r="C36" s="10" t="str">
        <x:v>Défini</x:v>
      </x:c>
      <x:c r="D36" s="11" t="str">
        <x:v>À produire</x:v>
      </x:c>
      <x:c r="E36" s="9" t="str">
        <x:v>P1</x:v>
      </x:c>
      <x:c r="F36" s="9" t="str">
        <x:v>ME1</x:v>
      </x:c>
      <x:c r="G36" s="9" t="str">
        <x:v>Adaptation</x:v>
      </x:c>
      <x:c r="H36" s="7" t="str">
        <x:v>Quitter un combat éligible.</x:v>
      </x:c>
      <x:c r="I36" s="7" t="str">
        <x:v>Interdiction uniquement dans les rencontres qui l’exigent.</x:v>
      </x:c>
      <x:c r="J36" s="7" t="str"/>
      <x:c r="K36" s="7" t="str">
        <x:v>content/powers/PWR-retraite-tactique.json</x:v>
      </x:c>
      <x:c r="L36" s="7" t="str"/>
      <x:c r="M36" s="7" t="str"/>
      <x:c r="N36" s="7" t="str">
        <x:v>Règle de combat conçue pour le fan game.</x:v>
      </x:c>
      <x:c r="O36" s="7" t="str"/>
      <x:c r="P36" s="7" t="str">
        <x:v>Production ME1</x:v>
      </x:c>
      <x:c r="Q36" s="7" t="str"/>
    </x:row>
  </x:sheetData>
  <x:conditionalFormatting sqref="C7:C36">
    <x:cfRule type="cellIs" dxfId="340" priority="1" operator="equal">
      <x:formula>"Prototype"</x:formula>
    </x:cfRule>
    <x:cfRule type="cellIs" dxfId="341" priority="2" operator="equal">
      <x:formula>"Intégré"</x:formula>
    </x:cfRule>
    <x:cfRule type="cellIs" dxfId="342" priority="3" operator="equal">
      <x:formula>"Validé"</x:formula>
    </x:cfRule>
  </x:conditionalFormatting>
  <x:conditionalFormatting sqref="G7:G36">
    <x:cfRule type="cellIs" dxfId="343" priority="4" operator="equal">
      <x:formula>"Référence à vérifier"</x:formula>
    </x:cfRule>
  </x:conditionalFormatting>
  <x:conditionalFormatting sqref="E7:E36">
    <x:cfRule type="cellIs" dxfId="344" priority="5" operator="equal">
      <x:formula>"P0"</x:formula>
    </x:cfRule>
  </x:conditionalFormatting>
  <x:dataValidations count="5">
    <x:dataValidation type="list" sqref="C7:C36">
      <x:formula1>"Défini,Prototype,Intégré,Validé"</x:formula1>
    </x:dataValidation>
    <x:dataValidation type="list" sqref="D7:D36">
      <x:formula1>"À produire,Prototype,Disponible,Validé,Sans objet,Non planifié"</x:formula1>
    </x:dataValidation>
    <x:dataValidation type="list" sqref="E7:E36">
      <x:formula1>"P0,P1,P2"</x:formula1>
    </x:dataValidation>
    <x:dataValidation type="list" sqref="F7:F36">
      <x:formula1>"ME1,ME2,ME3,TRANSVERSE"</x:formula1>
    </x:dataValidation>
    <x:dataValidation type="list" sqref="G7:G36">
      <x:formula1>"Confirmé,Référence à vérifier,Adaptation"</x:formula1>
    </x:dataValidation>
  </x:dataValidations>
  <x:pageMargins left="0.7" right="0.7" top="0.75" bottom="0.75" header="0.3" footer="0.3"/>
  <x:tableParts count="1">
    <x:tablePart xmlns:r="http://schemas.openxmlformats.org/officeDocument/2006/relationships" r:id="Raba323fcfff0423e"/>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Movesets alliés</x:v>
      </x:c>
      <x:c r="B2" s="2"/>
      <x:c r="C2" s="2"/>
      <x:c r="D2" s="2"/>
      <x:c r="E2" s="2"/>
      <x:c r="F2" s="2"/>
      <x:c r="G2" s="2"/>
      <x:c r="H2" s="2"/>
      <x:c r="I2" s="2"/>
      <x:c r="J2" s="2"/>
      <x:c r="K2" s="2"/>
      <x:c r="L2" s="2"/>
      <x:c r="M2" s="2"/>
      <x:c r="N2" s="2"/>
      <x:c r="O2" s="2"/>
      <x:c r="P2" s="2"/>
      <x:c r="Q2" s="2"/>
    </x:row>
    <x:row r="3" ht="22" customHeight="1">
      <x:c r="A3" s="4" t="str">
        <x:v>Actions et contraintes par équipier</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MOV-shepard-tir-commande</x:v>
      </x:c>
      <x:c r="B7" s="14" t="str">
        <x:v>Shepard — Tir commandé</x:v>
      </x:c>
      <x:c r="C7" s="10" t="str">
        <x:v>Défini</x:v>
      </x:c>
      <x:c r="D7" s="11" t="str">
        <x:v>À produire</x:v>
      </x:c>
      <x:c r="E7" s="15" t="str">
        <x:v>P1</x:v>
      </x:c>
      <x:c r="F7" s="15" t="str">
        <x:v>ME1</x:v>
      </x:c>
      <x:c r="G7" s="15" t="str">
        <x:v>Adaptation</x:v>
      </x:c>
      <x:c r="H7" s="14" t="str">
        <x:v>Arme équipée et compétence de classe</x:v>
      </x:c>
      <x:c r="I7" s="14" t="str">
        <x:v>Personnage éligible, cible valide, coût, délai, animation et effets contrôlés.</x:v>
      </x:c>
      <x:c r="J7" s="14" t="str">
        <x:v>CHR-shepard</x:v>
      </x:c>
      <x:c r="K7" s="14" t="str">
        <x:v>content/ally_moves/MOV-shepard-tir-commande.json</x:v>
      </x:c>
      <x:c r="L7" s="14" t="str"/>
      <x:c r="M7" s="14" t="str"/>
      <x:c r="N7" s="14" t="str">
        <x:v>Arbre de talents de ce personnage à contrôler dans ME1 ; timing ATB original.</x:v>
      </x:c>
      <x:c r="O7" s="14" t="str">
        <x:v>https://masseffect.fandom.com/wiki/Squad</x:v>
      </x:c>
      <x:c r="P7" s="14" t="str">
        <x:v>Production ME1</x:v>
      </x:c>
      <x:c r="Q7" s="14" t="str">
        <x:v>Valeurs et cadence ATB à équilibrer ; aucune promesse de reproduction des dégâts en temps réel.</x:v>
      </x:c>
    </x:row>
    <x:row r="8" ht="36" customHeight="1">
      <x:c r="A8" s="12" t="str">
        <x:v>MOV-shepard-grenade</x:v>
      </x:c>
      <x:c r="B8" s="7" t="str">
        <x:v>Shepard — Grenade</x:v>
      </x:c>
      <x:c r="C8" s="10" t="str">
        <x:v>Défini</x:v>
      </x:c>
      <x:c r="D8" s="11" t="str">
        <x:v>À produire</x:v>
      </x:c>
      <x:c r="E8" s="9" t="str">
        <x:v>P1</x:v>
      </x:c>
      <x:c r="F8" s="9" t="str">
        <x:v>ME1</x:v>
      </x:c>
      <x:c r="G8" s="9" t="str">
        <x:v>Adaptation</x:v>
      </x:c>
      <x:c r="H8" s="7" t="str">
        <x:v>Projectile de réserve limitée</x:v>
      </x:c>
      <x:c r="I8" s="7" t="str">
        <x:v>Personnage éligible, cible valide, coût, délai, animation et effets contrôlés.</x:v>
      </x:c>
      <x:c r="J8" s="7" t="str">
        <x:v>CHR-shepard</x:v>
      </x:c>
      <x:c r="K8" s="7" t="str">
        <x:v>content/ally_moves/MOV-shepard-grenade.json</x:v>
      </x:c>
      <x:c r="L8" s="7" t="str"/>
      <x:c r="M8" s="7" t="str"/>
      <x:c r="N8" s="7" t="str">
        <x:v>Arbre de talents de ce personnage à contrôler dans ME1 ; timing ATB original.</x:v>
      </x:c>
      <x:c r="O8" s="7" t="str">
        <x:v>https://masseffect.fandom.com/wiki/Squad</x:v>
      </x:c>
      <x:c r="P8" s="7" t="str">
        <x:v>Production ME1</x:v>
      </x:c>
      <x:c r="Q8" s="7" t="str">
        <x:v>Valeurs et cadence ATB à équilibrer ; aucune promesse de reproduction des dégâts en temps réel.</x:v>
      </x:c>
    </x:row>
    <x:row r="9" ht="36" customHeight="1">
      <x:c r="A9" s="13" t="str">
        <x:v>MOV-shepard-unite</x:v>
      </x:c>
      <x:c r="B9" s="14" t="str">
        <x:v>Shepard — Unité</x:v>
      </x:c>
      <x:c r="C9" s="10" t="str">
        <x:v>Défini</x:v>
      </x:c>
      <x:c r="D9" s="11" t="str">
        <x:v>À produire</x:v>
      </x:c>
      <x:c r="E9" s="15" t="str">
        <x:v>P1</x:v>
      </x:c>
      <x:c r="F9" s="15" t="str">
        <x:v>ME1</x:v>
      </x:c>
      <x:c r="G9" s="15" t="str">
        <x:v>Adaptation</x:v>
      </x:c>
      <x:c r="H9" s="14" t="str">
        <x:v>Relève les équipiers seulement tombés en combat</x:v>
      </x:c>
      <x:c r="I9" s="14" t="str">
        <x:v>Personnage éligible, cible valide, coût, délai, animation et effets contrôlés.</x:v>
      </x:c>
      <x:c r="J9" s="14" t="str">
        <x:v>CHR-shepard</x:v>
      </x:c>
      <x:c r="K9" s="14" t="str">
        <x:v>content/ally_moves/MOV-shepard-unite.json</x:v>
      </x:c>
      <x:c r="L9" s="14" t="str"/>
      <x:c r="M9" s="14" t="str"/>
      <x:c r="N9" s="14" t="str">
        <x:v>Arbre de talents de ce personnage à contrôler dans ME1 ; timing ATB original.</x:v>
      </x:c>
      <x:c r="O9" s="14" t="str">
        <x:v>https://masseffect.fandom.com/wiki/Squad</x:v>
      </x:c>
      <x:c r="P9" s="14" t="str">
        <x:v>Production ME1</x:v>
      </x:c>
      <x:c r="Q9" s="14" t="str">
        <x:v>Valeurs et cadence ATB à équilibrer ; aucune promesse de reproduction des dégâts en temps réel.</x:v>
      </x:c>
    </x:row>
    <x:row r="10" ht="36" customHeight="1">
      <x:c r="A10" s="12" t="str">
        <x:v>MOV-shepard-talent-militaire</x:v>
      </x:c>
      <x:c r="B10" s="7" t="str">
        <x:v>Shepard — Talent militaire</x:v>
      </x:c>
      <x:c r="C10" s="10" t="str">
        <x:v>Défini</x:v>
      </x:c>
      <x:c r="D10" s="11" t="str">
        <x:v>À produire</x:v>
      </x:c>
      <x:c r="E10" s="9" t="str">
        <x:v>P1</x:v>
      </x:c>
      <x:c r="F10" s="9" t="str">
        <x:v>ME1</x:v>
      </x:c>
      <x:c r="G10" s="9" t="str">
        <x:v>Adaptation</x:v>
      </x:c>
      <x:c r="H10" s="7" t="str">
        <x:v>Sélection selon la classe créée</x:v>
      </x:c>
      <x:c r="I10" s="7" t="str">
        <x:v>Personnage éligible, cible valide, coût, délai, animation et effets contrôlés.</x:v>
      </x:c>
      <x:c r="J10" s="7" t="str">
        <x:v>CHR-shepard</x:v>
      </x:c>
      <x:c r="K10" s="7" t="str">
        <x:v>content/ally_moves/MOV-shepard-talent-militaire.json</x:v>
      </x:c>
      <x:c r="L10" s="7" t="str"/>
      <x:c r="M10" s="7" t="str"/>
      <x:c r="N10" s="7" t="str">
        <x:v>Arbre de talents de ce personnage à contrôler dans ME1 ; timing ATB original.</x:v>
      </x:c>
      <x:c r="O10" s="7" t="str">
        <x:v>https://masseffect.fandom.com/wiki/Squad</x:v>
      </x:c>
      <x:c r="P10" s="7" t="str">
        <x:v>Production ME1</x:v>
      </x:c>
      <x:c r="Q10" s="7" t="str">
        <x:v>Valeurs et cadence ATB à équilibrer ; aucune promesse de reproduction des dégâts en temps réel.</x:v>
      </x:c>
    </x:row>
    <x:row r="11" ht="36" customHeight="1">
      <x:c r="A11" s="13" t="str">
        <x:v>MOV-shepard-talent-technologique</x:v>
      </x:c>
      <x:c r="B11" s="14" t="str">
        <x:v>Shepard — Talent technologique</x:v>
      </x:c>
      <x:c r="C11" s="10" t="str">
        <x:v>Défini</x:v>
      </x:c>
      <x:c r="D11" s="11" t="str">
        <x:v>À produire</x:v>
      </x:c>
      <x:c r="E11" s="15" t="str">
        <x:v>P1</x:v>
      </x:c>
      <x:c r="F11" s="15" t="str">
        <x:v>ME1</x:v>
      </x:c>
      <x:c r="G11" s="15" t="str">
        <x:v>Adaptation</x:v>
      </x:c>
      <x:c r="H11" s="14" t="str">
        <x:v>Disponible si la classe le permet</x:v>
      </x:c>
      <x:c r="I11" s="14" t="str">
        <x:v>Personnage éligible, cible valide, coût, délai, animation et effets contrôlés.</x:v>
      </x:c>
      <x:c r="J11" s="14" t="str">
        <x:v>CHR-shepard</x:v>
      </x:c>
      <x:c r="K11" s="14" t="str">
        <x:v>content/ally_moves/MOV-shepard-talent-technologique.json</x:v>
      </x:c>
      <x:c r="L11" s="14" t="str"/>
      <x:c r="M11" s="14" t="str"/>
      <x:c r="N11" s="14" t="str">
        <x:v>Arbre de talents de ce personnage à contrôler dans ME1 ; timing ATB original.</x:v>
      </x:c>
      <x:c r="O11" s="14" t="str">
        <x:v>https://masseffect.fandom.com/wiki/Squad</x:v>
      </x:c>
      <x:c r="P11" s="14" t="str">
        <x:v>Production ME1</x:v>
      </x:c>
      <x:c r="Q11" s="14" t="str">
        <x:v>Valeurs et cadence ATB à équilibrer ; aucune promesse de reproduction des dégâts en temps réel.</x:v>
      </x:c>
    </x:row>
    <x:row r="12" ht="36" customHeight="1">
      <x:c r="A12" s="12" t="str">
        <x:v>MOV-shepard-talent-biotique</x:v>
      </x:c>
      <x:c r="B12" s="7" t="str">
        <x:v>Shepard — Talent biotique</x:v>
      </x:c>
      <x:c r="C12" s="10" t="str">
        <x:v>Défini</x:v>
      </x:c>
      <x:c r="D12" s="11" t="str">
        <x:v>À produire</x:v>
      </x:c>
      <x:c r="E12" s="9" t="str">
        <x:v>P1</x:v>
      </x:c>
      <x:c r="F12" s="9" t="str">
        <x:v>ME1</x:v>
      </x:c>
      <x:c r="G12" s="9" t="str">
        <x:v>Adaptation</x:v>
      </x:c>
      <x:c r="H12" s="7" t="str">
        <x:v>Disponible si la classe le permet</x:v>
      </x:c>
      <x:c r="I12" s="7" t="str">
        <x:v>Personnage éligible, cible valide, coût, délai, animation et effets contrôlés.</x:v>
      </x:c>
      <x:c r="J12" s="7" t="str">
        <x:v>CHR-shepard</x:v>
      </x:c>
      <x:c r="K12" s="7" t="str">
        <x:v>content/ally_moves/MOV-shepard-talent-biotique.json</x:v>
      </x:c>
      <x:c r="L12" s="7" t="str"/>
      <x:c r="M12" s="7" t="str"/>
      <x:c r="N12" s="7" t="str">
        <x:v>Arbre de talents de ce personnage à contrôler dans ME1 ; timing ATB original.</x:v>
      </x:c>
      <x:c r="O12" s="7" t="str">
        <x:v>https://masseffect.fandom.com/wiki/Squad</x:v>
      </x:c>
      <x:c r="P12" s="7" t="str">
        <x:v>Production ME1</x:v>
      </x:c>
      <x:c r="Q12" s="7" t="str">
        <x:v>Valeurs et cadence ATB à équilibrer ; aucune promesse de reproduction des dégâts en temps réel.</x:v>
      </x:c>
    </x:row>
    <x:row r="13" ht="36" customHeight="1">
      <x:c r="A13" s="13" t="str">
        <x:v>MOV-shepard-garde</x:v>
      </x:c>
      <x:c r="B13" s="14" t="str">
        <x:v>Shepard — Garde</x:v>
      </x:c>
      <x:c r="C13" s="10" t="str">
        <x:v>Défini</x:v>
      </x:c>
      <x:c r="D13" s="11" t="str">
        <x:v>À produire</x:v>
      </x:c>
      <x:c r="E13" s="15" t="str">
        <x:v>P1</x:v>
      </x:c>
      <x:c r="F13" s="15" t="str">
        <x:v>ME1</x:v>
      </x:c>
      <x:c r="G13" s="15" t="str">
        <x:v>Adaptation</x:v>
      </x:c>
      <x:c r="H13" s="14" t="str">
        <x:v>Ordre défensif ATB</x:v>
      </x:c>
      <x:c r="I13" s="14" t="str">
        <x:v>Personnage éligible, cible valide, coût, délai, animation et effets contrôlés.</x:v>
      </x:c>
      <x:c r="J13" s="14" t="str">
        <x:v>CHR-shepard</x:v>
      </x:c>
      <x:c r="K13" s="14" t="str">
        <x:v>content/ally_moves/MOV-shepard-garde.json</x:v>
      </x:c>
      <x:c r="L13" s="14" t="str"/>
      <x:c r="M13" s="14" t="str"/>
      <x:c r="N13" s="14" t="str">
        <x:v>Arbre de talents de ce personnage à contrôler dans ME1 ; timing ATB original.</x:v>
      </x:c>
      <x:c r="O13" s="14" t="str">
        <x:v>https://masseffect.fandom.com/wiki/Squad</x:v>
      </x:c>
      <x:c r="P13" s="14" t="str">
        <x:v>Production ME1</x:v>
      </x:c>
      <x:c r="Q13" s="14" t="str">
        <x:v>Valeurs et cadence ATB à équilibrer ; aucune promesse de reproduction des dégâts en temps réel.</x:v>
      </x:c>
    </x:row>
    <x:row r="14" ht="36" customHeight="1">
      <x:c r="A14" s="12" t="str">
        <x:v>MOV-shepard-ordre-coordonne</x:v>
      </x:c>
      <x:c r="B14" s="7" t="str">
        <x:v>Shepard — Ordre coordonné</x:v>
      </x:c>
      <x:c r="C14" s="10" t="str">
        <x:v>Défini</x:v>
      </x:c>
      <x:c r="D14" s="11" t="str">
        <x:v>À produire</x:v>
      </x:c>
      <x:c r="E14" s="9" t="str">
        <x:v>P1</x:v>
      </x:c>
      <x:c r="F14" s="9" t="str">
        <x:v>ME1</x:v>
      </x:c>
      <x:c r="G14" s="9" t="str">
        <x:v>Adaptation</x:v>
      </x:c>
      <x:c r="H14" s="7" t="str">
        <x:v>Commande d’équipe proposée</x:v>
      </x:c>
      <x:c r="I14" s="7" t="str">
        <x:v>Personnage éligible, cible valide, coût, délai, animation et effets contrôlés.</x:v>
      </x:c>
      <x:c r="J14" s="7" t="str">
        <x:v>CHR-shepard</x:v>
      </x:c>
      <x:c r="K14" s="7" t="str">
        <x:v>content/ally_moves/MOV-shepard-ordre-coordonne.json</x:v>
      </x:c>
      <x:c r="L14" s="7" t="str"/>
      <x:c r="M14" s="7" t="str"/>
      <x:c r="N14" s="7" t="str">
        <x:v>Arbre de talents de ce personnage à contrôler dans ME1 ; timing ATB original.</x:v>
      </x:c>
      <x:c r="O14" s="7" t="str">
        <x:v>https://masseffect.fandom.com/wiki/Squad</x:v>
      </x:c>
      <x:c r="P14" s="7" t="str">
        <x:v>Production ME1</x:v>
      </x:c>
      <x:c r="Q14" s="7" t="str">
        <x:v>Valeurs et cadence ATB à équilibrer ; aucune promesse de reproduction des dégâts en temps réel.</x:v>
      </x:c>
    </x:row>
    <x:row r="15" ht="36" customHeight="1">
      <x:c r="A15" s="13" t="str">
        <x:v>MOV-ashley-williams-rafale-d-assaut</x:v>
      </x:c>
      <x:c r="B15" s="14" t="str">
        <x:v>Ashley Williams — Rafale d’assaut</x:v>
      </x:c>
      <x:c r="C15" s="10" t="str">
        <x:v>Défini</x:v>
      </x:c>
      <x:c r="D15" s="11" t="str">
        <x:v>À produire</x:v>
      </x:c>
      <x:c r="E15" s="15" t="str">
        <x:v>P1</x:v>
      </x:c>
      <x:c r="F15" s="15" t="str">
        <x:v>ME1</x:v>
      </x:c>
      <x:c r="G15" s="15" t="str">
        <x:v>Adaptation</x:v>
      </x:c>
      <x:c r="H15" s="14" t="str">
        <x:v>Pression à moyenne portée</x:v>
      </x:c>
      <x:c r="I15" s="14" t="str">
        <x:v>Personnage éligible, cible valide, coût, délai, animation et effets contrôlés.</x:v>
      </x:c>
      <x:c r="J15" s="14" t="str">
        <x:v>CHR-ashley-williams</x:v>
      </x:c>
      <x:c r="K15" s="14" t="str">
        <x:v>content/ally_moves/MOV-ashley-williams-rafale-d-assaut.json</x:v>
      </x:c>
      <x:c r="L15" s="14" t="str"/>
      <x:c r="M15" s="14" t="str"/>
      <x:c r="N15" s="14" t="str">
        <x:v>Arbre de talents de ce personnage à contrôler dans ME1 ; timing ATB original.</x:v>
      </x:c>
      <x:c r="O15" s="14" t="str">
        <x:v>https://masseffect.fandom.com/wiki/Squad</x:v>
      </x:c>
      <x:c r="P15" s="14" t="str">
        <x:v>Production ME1</x:v>
      </x:c>
      <x:c r="Q15" s="14" t="str">
        <x:v>Valeurs et cadence ATB à équilibrer ; aucune promesse de reproduction des dégâts en temps réel.</x:v>
      </x:c>
    </x:row>
    <x:row r="16" ht="36" customHeight="1">
      <x:c r="A16" s="12" t="str">
        <x:v>MOV-ashley-williams-tir-de-precision</x:v>
      </x:c>
      <x:c r="B16" s="7" t="str">
        <x:v>Ashley Williams — Tir de précision</x:v>
      </x:c>
      <x:c r="C16" s="10" t="str">
        <x:v>Défini</x:v>
      </x:c>
      <x:c r="D16" s="11" t="str">
        <x:v>À produire</x:v>
      </x:c>
      <x:c r="E16" s="9" t="str">
        <x:v>P1</x:v>
      </x:c>
      <x:c r="F16" s="9" t="str">
        <x:v>ME1</x:v>
      </x:c>
      <x:c r="G16" s="9" t="str">
        <x:v>Adaptation</x:v>
      </x:c>
      <x:c r="H16" s="7" t="str">
        <x:v>Arme et talent appropriés</x:v>
      </x:c>
      <x:c r="I16" s="7" t="str">
        <x:v>Personnage éligible, cible valide, coût, délai, animation et effets contrôlés.</x:v>
      </x:c>
      <x:c r="J16" s="7" t="str">
        <x:v>CHR-ashley-williams</x:v>
      </x:c>
      <x:c r="K16" s="7" t="str">
        <x:v>content/ally_moves/MOV-ashley-williams-tir-de-precision.json</x:v>
      </x:c>
      <x:c r="L16" s="7" t="str"/>
      <x:c r="M16" s="7" t="str"/>
      <x:c r="N16" s="7" t="str">
        <x:v>Arbre de talents de ce personnage à contrôler dans ME1 ; timing ATB original.</x:v>
      </x:c>
      <x:c r="O16" s="7" t="str">
        <x:v>https://masseffect.fandom.com/wiki/Squad</x:v>
      </x:c>
      <x:c r="P16" s="7" t="str">
        <x:v>Production ME1</x:v>
      </x:c>
      <x:c r="Q16" s="7" t="str">
        <x:v>Valeurs et cadence ATB à équilibrer ; aucune promesse de reproduction des dégâts en temps réel.</x:v>
      </x:c>
    </x:row>
    <x:row r="17" ht="36" customHeight="1">
      <x:c r="A17" s="13" t="str">
        <x:v>MOV-ashley-williams-decharge-de-pompe</x:v>
      </x:c>
      <x:c r="B17" s="14" t="str">
        <x:v>Ashley Williams — Décharge de pompe</x:v>
      </x:c>
      <x:c r="C17" s="10" t="str">
        <x:v>Défini</x:v>
      </x:c>
      <x:c r="D17" s="11" t="str">
        <x:v>À produire</x:v>
      </x:c>
      <x:c r="E17" s="15" t="str">
        <x:v>P1</x:v>
      </x:c>
      <x:c r="F17" s="15" t="str">
        <x:v>ME1</x:v>
      </x:c>
      <x:c r="G17" s="15" t="str">
        <x:v>Adaptation</x:v>
      </x:c>
      <x:c r="H17" s="14" t="str">
        <x:v>Réponse à courte portée</x:v>
      </x:c>
      <x:c r="I17" s="14" t="str">
        <x:v>Personnage éligible, cible valide, coût, délai, animation et effets contrôlés.</x:v>
      </x:c>
      <x:c r="J17" s="14" t="str">
        <x:v>CHR-ashley-williams</x:v>
      </x:c>
      <x:c r="K17" s="14" t="str">
        <x:v>content/ally_moves/MOV-ashley-williams-decharge-de-pompe.json</x:v>
      </x:c>
      <x:c r="L17" s="14" t="str"/>
      <x:c r="M17" s="14" t="str"/>
      <x:c r="N17" s="14" t="str">
        <x:v>Arbre de talents de ce personnage à contrôler dans ME1 ; timing ATB original.</x:v>
      </x:c>
      <x:c r="O17" s="14" t="str">
        <x:v>https://masseffect.fandom.com/wiki/Squad</x:v>
      </x:c>
      <x:c r="P17" s="14" t="str">
        <x:v>Production ME1</x:v>
      </x:c>
      <x:c r="Q17" s="14" t="str">
        <x:v>Valeurs et cadence ATB à équilibrer ; aucune promesse de reproduction des dégâts en temps réel.</x:v>
      </x:c>
    </x:row>
    <x:row r="18" ht="36" customHeight="1">
      <x:c r="A18" s="12" t="str">
        <x:v>MOV-ashley-williams-pistolet</x:v>
      </x:c>
      <x:c r="B18" s="7" t="str">
        <x:v>Ashley Williams — Pistolet</x:v>
      </x:c>
      <x:c r="C18" s="10" t="str">
        <x:v>Défini</x:v>
      </x:c>
      <x:c r="D18" s="11" t="str">
        <x:v>À produire</x:v>
      </x:c>
      <x:c r="E18" s="9" t="str">
        <x:v>P1</x:v>
      </x:c>
      <x:c r="F18" s="9" t="str">
        <x:v>ME1</x:v>
      </x:c>
      <x:c r="G18" s="9" t="str">
        <x:v>Adaptation</x:v>
      </x:c>
      <x:c r="H18" s="7" t="str">
        <x:v>Arme secondaire</x:v>
      </x:c>
      <x:c r="I18" s="7" t="str">
        <x:v>Personnage éligible, cible valide, coût, délai, animation et effets contrôlés.</x:v>
      </x:c>
      <x:c r="J18" s="7" t="str">
        <x:v>CHR-ashley-williams</x:v>
      </x:c>
      <x:c r="K18" s="7" t="str">
        <x:v>content/ally_moves/MOV-ashley-williams-pistolet.json</x:v>
      </x:c>
      <x:c r="L18" s="7" t="str"/>
      <x:c r="M18" s="7" t="str"/>
      <x:c r="N18" s="7" t="str">
        <x:v>Arbre de talents de ce personnage à contrôler dans ME1 ; timing ATB original.</x:v>
      </x:c>
      <x:c r="O18" s="7" t="str">
        <x:v>https://masseffect.fandom.com/wiki/Squad</x:v>
      </x:c>
      <x:c r="P18" s="7" t="str">
        <x:v>Production ME1</x:v>
      </x:c>
      <x:c r="Q18" s="7" t="str">
        <x:v>Valeurs et cadence ATB à équilibrer ; aucune promesse de reproduction des dégâts en temps réel.</x:v>
      </x:c>
    </x:row>
    <x:row r="19" ht="36" customHeight="1">
      <x:c r="A19" s="13" t="str">
        <x:v>MOV-ashley-williams-resistance</x:v>
      </x:c>
      <x:c r="B19" s="14" t="str">
        <x:v>Ashley Williams — Résistance</x:v>
      </x:c>
      <x:c r="C19" s="10" t="str">
        <x:v>Défini</x:v>
      </x:c>
      <x:c r="D19" s="11" t="str">
        <x:v>À produire</x:v>
      </x:c>
      <x:c r="E19" s="15" t="str">
        <x:v>P1</x:v>
      </x:c>
      <x:c r="F19" s="15" t="str">
        <x:v>ME1</x:v>
      </x:c>
      <x:c r="G19" s="15" t="str">
        <x:v>Adaptation</x:v>
      </x:c>
      <x:c r="H19" s="14" t="str">
        <x:v>Pouvoir militaire à vérifier</x:v>
      </x:c>
      <x:c r="I19" s="14" t="str">
        <x:v>Personnage éligible, cible valide, coût, délai, animation et effets contrôlés.</x:v>
      </x:c>
      <x:c r="J19" s="14" t="str">
        <x:v>CHR-ashley-williams</x:v>
      </x:c>
      <x:c r="K19" s="14" t="str">
        <x:v>content/ally_moves/MOV-ashley-williams-resistance.json</x:v>
      </x:c>
      <x:c r="L19" s="14" t="str"/>
      <x:c r="M19" s="14" t="str"/>
      <x:c r="N19" s="14" t="str">
        <x:v>Arbre de talents de ce personnage à contrôler dans ME1 ; timing ATB original.</x:v>
      </x:c>
      <x:c r="O19" s="14" t="str">
        <x:v>https://masseffect.fandom.com/wiki/Squad</x:v>
      </x:c>
      <x:c r="P19" s="14" t="str">
        <x:v>Production ME1</x:v>
      </x:c>
      <x:c r="Q19" s="14" t="str">
        <x:v>Valeurs et cadence ATB à équilibrer ; aucune promesse de reproduction des dégâts en temps réel.</x:v>
      </x:c>
    </x:row>
    <x:row r="20" ht="36" customHeight="1">
      <x:c r="A20" s="12" t="str">
        <x:v>MOV-ashley-williams-protection-de-couvert</x:v>
      </x:c>
      <x:c r="B20" s="7" t="str">
        <x:v>Ashley Williams — Protection de couvert</x:v>
      </x:c>
      <x:c r="C20" s="10" t="str">
        <x:v>Défini</x:v>
      </x:c>
      <x:c r="D20" s="11" t="str">
        <x:v>À produire</x:v>
      </x:c>
      <x:c r="E20" s="9" t="str">
        <x:v>P1</x:v>
      </x:c>
      <x:c r="F20" s="9" t="str">
        <x:v>ME1</x:v>
      </x:c>
      <x:c r="G20" s="9" t="str">
        <x:v>Adaptation</x:v>
      </x:c>
      <x:c r="H20" s="7" t="str">
        <x:v>Garde de l’adaptation</x:v>
      </x:c>
      <x:c r="I20" s="7" t="str">
        <x:v>Personnage éligible, cible valide, coût, délai, animation et effets contrôlés.</x:v>
      </x:c>
      <x:c r="J20" s="7" t="str">
        <x:v>CHR-ashley-williams</x:v>
      </x:c>
      <x:c r="K20" s="7" t="str">
        <x:v>content/ally_moves/MOV-ashley-williams-protection-de-couvert.json</x:v>
      </x:c>
      <x:c r="L20" s="7" t="str"/>
      <x:c r="M20" s="7" t="str"/>
      <x:c r="N20" s="7" t="str">
        <x:v>Arbre de talents de ce personnage à contrôler dans ME1 ; timing ATB original.</x:v>
      </x:c>
      <x:c r="O20" s="7" t="str">
        <x:v>https://masseffect.fandom.com/wiki/Squad</x:v>
      </x:c>
      <x:c r="P20" s="7" t="str">
        <x:v>Production ME1</x:v>
      </x:c>
      <x:c r="Q20" s="7" t="str">
        <x:v>Valeurs et cadence ATB à équilibrer ; aucune promesse de reproduction des dégâts en temps réel.</x:v>
      </x:c>
    </x:row>
    <x:row r="21" ht="36" customHeight="1">
      <x:c r="A21" s="13" t="str">
        <x:v>MOV-kaidan-alenko-pistolet-controle</x:v>
      </x:c>
      <x:c r="B21" s="14" t="str">
        <x:v>Kaidan Alenko — Pistolet contrôlé</x:v>
      </x:c>
      <x:c r="C21" s="10" t="str">
        <x:v>Défini</x:v>
      </x:c>
      <x:c r="D21" s="11" t="str">
        <x:v>À produire</x:v>
      </x:c>
      <x:c r="E21" s="15" t="str">
        <x:v>P1</x:v>
      </x:c>
      <x:c r="F21" s="15" t="str">
        <x:v>ME1</x:v>
      </x:c>
      <x:c r="G21" s="15" t="str">
        <x:v>Adaptation</x:v>
      </x:c>
      <x:c r="H21" s="14" t="str">
        <x:v>Tir à chaleur modérée</x:v>
      </x:c>
      <x:c r="I21" s="14" t="str">
        <x:v>Personnage éligible, cible valide, coût, délai, animation et effets contrôlés.</x:v>
      </x:c>
      <x:c r="J21" s="14" t="str">
        <x:v>CHR-kaidan-alenko</x:v>
      </x:c>
      <x:c r="K21" s="14" t="str">
        <x:v>content/ally_moves/MOV-kaidan-alenko-pistolet-controle.json</x:v>
      </x:c>
      <x:c r="L21" s="14" t="str"/>
      <x:c r="M21" s="14" t="str"/>
      <x:c r="N21" s="14" t="str">
        <x:v>Arbre de talents de ce personnage à contrôler dans ME1 ; timing ATB original.</x:v>
      </x:c>
      <x:c r="O21" s="14" t="str">
        <x:v>https://masseffect.fandom.com/wiki/Squad</x:v>
      </x:c>
      <x:c r="P21" s="14" t="str">
        <x:v>Production ME1</x:v>
      </x:c>
      <x:c r="Q21" s="14" t="str">
        <x:v>Valeurs et cadence ATB à équilibrer ; aucune promesse de reproduction des dégâts en temps réel.</x:v>
      </x:c>
    </x:row>
    <x:row r="22" ht="36" customHeight="1">
      <x:c r="A22" s="12" t="str">
        <x:v>MOV-kaidan-alenko-projection</x:v>
      </x:c>
      <x:c r="B22" s="7" t="str">
        <x:v>Kaidan Alenko — Projection</x:v>
      </x:c>
      <x:c r="C22" s="10" t="str">
        <x:v>Défini</x:v>
      </x:c>
      <x:c r="D22" s="11" t="str">
        <x:v>À produire</x:v>
      </x:c>
      <x:c r="E22" s="9" t="str">
        <x:v>P1</x:v>
      </x:c>
      <x:c r="F22" s="9" t="str">
        <x:v>ME1</x:v>
      </x:c>
      <x:c r="G22" s="9" t="str">
        <x:v>Adaptation</x:v>
      </x:c>
      <x:c r="H22" s="7" t="str">
        <x:v>Déplacement biotique</x:v>
      </x:c>
      <x:c r="I22" s="7" t="str">
        <x:v>Personnage éligible, cible valide, coût, délai, animation et effets contrôlés.</x:v>
      </x:c>
      <x:c r="J22" s="7" t="str">
        <x:v>CHR-kaidan-alenko</x:v>
      </x:c>
      <x:c r="K22" s="7" t="str">
        <x:v>content/ally_moves/MOV-kaidan-alenko-projection.json</x:v>
      </x:c>
      <x:c r="L22" s="7" t="str"/>
      <x:c r="M22" s="7" t="str"/>
      <x:c r="N22" s="7" t="str">
        <x:v>Arbre de talents de ce personnage à contrôler dans ME1 ; timing ATB original.</x:v>
      </x:c>
      <x:c r="O22" s="7" t="str">
        <x:v>https://masseffect.fandom.com/wiki/Squad</x:v>
      </x:c>
      <x:c r="P22" s="7" t="str">
        <x:v>Production ME1</x:v>
      </x:c>
      <x:c r="Q22" s="7" t="str">
        <x:v>Valeurs et cadence ATB à équilibrer ; aucune promesse de reproduction des dégâts en temps réel.</x:v>
      </x:c>
    </x:row>
    <x:row r="23" ht="36" customHeight="1">
      <x:c r="A23" s="13" t="str">
        <x:v>MOV-kaidan-alenko-levitation</x:v>
      </x:c>
      <x:c r="B23" s="14" t="str">
        <x:v>Kaidan Alenko — Lévitation</x:v>
      </x:c>
      <x:c r="C23" s="10" t="str">
        <x:v>Défini</x:v>
      </x:c>
      <x:c r="D23" s="11" t="str">
        <x:v>À produire</x:v>
      </x:c>
      <x:c r="E23" s="15" t="str">
        <x:v>P1</x:v>
      </x:c>
      <x:c r="F23" s="15" t="str">
        <x:v>ME1</x:v>
      </x:c>
      <x:c r="G23" s="15" t="str">
        <x:v>Adaptation</x:v>
      </x:c>
      <x:c r="H23" s="14" t="str">
        <x:v>Contrôle de cible</x:v>
      </x:c>
      <x:c r="I23" s="14" t="str">
        <x:v>Personnage éligible, cible valide, coût, délai, animation et effets contrôlés.</x:v>
      </x:c>
      <x:c r="J23" s="14" t="str">
        <x:v>CHR-kaidan-alenko</x:v>
      </x:c>
      <x:c r="K23" s="14" t="str">
        <x:v>content/ally_moves/MOV-kaidan-alenko-levitation.json</x:v>
      </x:c>
      <x:c r="L23" s="14" t="str"/>
      <x:c r="M23" s="14" t="str"/>
      <x:c r="N23" s="14" t="str">
        <x:v>Arbre de talents de ce personnage à contrôler dans ME1 ; timing ATB original.</x:v>
      </x:c>
      <x:c r="O23" s="14" t="str">
        <x:v>https://masseffect.fandom.com/wiki/Squad</x:v>
      </x:c>
      <x:c r="P23" s="14" t="str">
        <x:v>Production ME1</x:v>
      </x:c>
      <x:c r="Q23" s="14" t="str">
        <x:v>Valeurs et cadence ATB à équilibrer ; aucune promesse de reproduction des dégâts en temps réel.</x:v>
      </x:c>
    </x:row>
    <x:row r="24" ht="36" customHeight="1">
      <x:c r="A24" s="12" t="str">
        <x:v>MOV-kaidan-alenko-barriere</x:v>
      </x:c>
      <x:c r="B24" s="7" t="str">
        <x:v>Kaidan Alenko — Barrière</x:v>
      </x:c>
      <x:c r="C24" s="10" t="str">
        <x:v>Défini</x:v>
      </x:c>
      <x:c r="D24" s="11" t="str">
        <x:v>À produire</x:v>
      </x:c>
      <x:c r="E24" s="9" t="str">
        <x:v>P1</x:v>
      </x:c>
      <x:c r="F24" s="9" t="str">
        <x:v>ME1</x:v>
      </x:c>
      <x:c r="G24" s="9" t="str">
        <x:v>Adaptation</x:v>
      </x:c>
      <x:c r="H24" s="7" t="str">
        <x:v>Protection biotique</x:v>
      </x:c>
      <x:c r="I24" s="7" t="str">
        <x:v>Personnage éligible, cible valide, coût, délai, animation et effets contrôlés.</x:v>
      </x:c>
      <x:c r="J24" s="7" t="str">
        <x:v>CHR-kaidan-alenko</x:v>
      </x:c>
      <x:c r="K24" s="7" t="str">
        <x:v>content/ally_moves/MOV-kaidan-alenko-barriere.json</x:v>
      </x:c>
      <x:c r="L24" s="7" t="str"/>
      <x:c r="M24" s="7" t="str"/>
      <x:c r="N24" s="7" t="str">
        <x:v>Arbre de talents de ce personnage à contrôler dans ME1 ; timing ATB original.</x:v>
      </x:c>
      <x:c r="O24" s="7" t="str">
        <x:v>https://masseffect.fandom.com/wiki/Squad</x:v>
      </x:c>
      <x:c r="P24" s="7" t="str">
        <x:v>Production ME1</x:v>
      </x:c>
      <x:c r="Q24" s="7" t="str">
        <x:v>Valeurs et cadence ATB à équilibrer ; aucune promesse de reproduction des dégâts en temps réel.</x:v>
      </x:c>
    </x:row>
    <x:row r="25" ht="36" customHeight="1">
      <x:c r="A25" s="13" t="str">
        <x:v>MOV-kaidan-alenko-stase</x:v>
      </x:c>
      <x:c r="B25" s="14" t="str">
        <x:v>Kaidan Alenko — Stase</x:v>
      </x:c>
      <x:c r="C25" s="10" t="str">
        <x:v>Défini</x:v>
      </x:c>
      <x:c r="D25" s="11" t="str">
        <x:v>À produire</x:v>
      </x:c>
      <x:c r="E25" s="15" t="str">
        <x:v>P1</x:v>
      </x:c>
      <x:c r="F25" s="15" t="str">
        <x:v>ME1</x:v>
      </x:c>
      <x:c r="G25" s="15" t="str">
        <x:v>Adaptation</x:v>
      </x:c>
      <x:c r="H25" s="14" t="str">
        <x:v>Isolation avec immunité selon ME1</x:v>
      </x:c>
      <x:c r="I25" s="14" t="str">
        <x:v>Personnage éligible, cible valide, coût, délai, animation et effets contrôlés.</x:v>
      </x:c>
      <x:c r="J25" s="14" t="str">
        <x:v>CHR-kaidan-alenko</x:v>
      </x:c>
      <x:c r="K25" s="14" t="str">
        <x:v>content/ally_moves/MOV-kaidan-alenko-stase.json</x:v>
      </x:c>
      <x:c r="L25" s="14" t="str"/>
      <x:c r="M25" s="14" t="str"/>
      <x:c r="N25" s="14" t="str">
        <x:v>Arbre de talents de ce personnage à contrôler dans ME1 ; timing ATB original.</x:v>
      </x:c>
      <x:c r="O25" s="14" t="str">
        <x:v>https://masseffect.fandom.com/wiki/Squad</x:v>
      </x:c>
      <x:c r="P25" s="14" t="str">
        <x:v>Production ME1</x:v>
      </x:c>
      <x:c r="Q25" s="14" t="str">
        <x:v>Valeurs et cadence ATB à équilibrer ; aucune promesse de reproduction des dégâts en temps réel.</x:v>
      </x:c>
    </x:row>
    <x:row r="26" ht="36" customHeight="1">
      <x:c r="A26" s="12" t="str">
        <x:v>MOV-kaidan-alenko-surcharge</x:v>
      </x:c>
      <x:c r="B26" s="7" t="str">
        <x:v>Kaidan Alenko — Surcharge</x:v>
      </x:c>
      <x:c r="C26" s="10" t="str">
        <x:v>Défini</x:v>
      </x:c>
      <x:c r="D26" s="11" t="str">
        <x:v>À produire</x:v>
      </x:c>
      <x:c r="E26" s="9" t="str">
        <x:v>P1</x:v>
      </x:c>
      <x:c r="F26" s="9" t="str">
        <x:v>ME1</x:v>
      </x:c>
      <x:c r="G26" s="9" t="str">
        <x:v>Adaptation</x:v>
      </x:c>
      <x:c r="H26" s="7" t="str">
        <x:v>Neutralisation technologique</x:v>
      </x:c>
      <x:c r="I26" s="7" t="str">
        <x:v>Personnage éligible, cible valide, coût, délai, animation et effets contrôlés.</x:v>
      </x:c>
      <x:c r="J26" s="7" t="str">
        <x:v>CHR-kaidan-alenko</x:v>
      </x:c>
      <x:c r="K26" s="7" t="str">
        <x:v>content/ally_moves/MOV-kaidan-alenko-surcharge.json</x:v>
      </x:c>
      <x:c r="L26" s="7" t="str"/>
      <x:c r="M26" s="7" t="str"/>
      <x:c r="N26" s="7" t="str">
        <x:v>Arbre de talents de ce personnage à contrôler dans ME1 ; timing ATB original.</x:v>
      </x:c>
      <x:c r="O26" s="7" t="str">
        <x:v>https://masseffect.fandom.com/wiki/Squad</x:v>
      </x:c>
      <x:c r="P26" s="7" t="str">
        <x:v>Production ME1</x:v>
      </x:c>
      <x:c r="Q26" s="7" t="str">
        <x:v>Valeurs et cadence ATB à équilibrer ; aucune promesse de reproduction des dégâts en temps réel.</x:v>
      </x:c>
    </x:row>
    <x:row r="27" ht="36" customHeight="1">
      <x:c r="A27" s="13" t="str">
        <x:v>MOV-kaidan-alenko-sabotage</x:v>
      </x:c>
      <x:c r="B27" s="14" t="str">
        <x:v>Kaidan Alenko — Sabotage</x:v>
      </x:c>
      <x:c r="C27" s="10" t="str">
        <x:v>Défini</x:v>
      </x:c>
      <x:c r="D27" s="11" t="str">
        <x:v>À produire</x:v>
      </x:c>
      <x:c r="E27" s="15" t="str">
        <x:v>P1</x:v>
      </x:c>
      <x:c r="F27" s="15" t="str">
        <x:v>ME1</x:v>
      </x:c>
      <x:c r="G27" s="15" t="str">
        <x:v>Adaptation</x:v>
      </x:c>
      <x:c r="H27" s="14" t="str">
        <x:v>Perturbation d’arme</x:v>
      </x:c>
      <x:c r="I27" s="14" t="str">
        <x:v>Personnage éligible, cible valide, coût, délai, animation et effets contrôlés.</x:v>
      </x:c>
      <x:c r="J27" s="14" t="str">
        <x:v>CHR-kaidan-alenko</x:v>
      </x:c>
      <x:c r="K27" s="14" t="str">
        <x:v>content/ally_moves/MOV-kaidan-alenko-sabotage.json</x:v>
      </x:c>
      <x:c r="L27" s="14" t="str"/>
      <x:c r="M27" s="14" t="str"/>
      <x:c r="N27" s="14" t="str">
        <x:v>Arbre de talents de ce personnage à contrôler dans ME1 ; timing ATB original.</x:v>
      </x:c>
      <x:c r="O27" s="14" t="str">
        <x:v>https://masseffect.fandom.com/wiki/Squad</x:v>
      </x:c>
      <x:c r="P27" s="14" t="str">
        <x:v>Production ME1</x:v>
      </x:c>
      <x:c r="Q27" s="14" t="str">
        <x:v>Valeurs et cadence ATB à équilibrer ; aucune promesse de reproduction des dégâts en temps réel.</x:v>
      </x:c>
    </x:row>
    <x:row r="28" ht="36" customHeight="1">
      <x:c r="A28" s="12" t="str">
        <x:v>MOV-kaidan-alenko-premiers-secours</x:v>
      </x:c>
      <x:c r="B28" s="7" t="str">
        <x:v>Kaidan Alenko — Premiers secours</x:v>
      </x:c>
      <x:c r="C28" s="10" t="str">
        <x:v>Défini</x:v>
      </x:c>
      <x:c r="D28" s="11" t="str">
        <x:v>À produire</x:v>
      </x:c>
      <x:c r="E28" s="9" t="str">
        <x:v>P1</x:v>
      </x:c>
      <x:c r="F28" s="9" t="str">
        <x:v>ME1</x:v>
      </x:c>
      <x:c r="G28" s="9" t="str">
        <x:v>Adaptation</x:v>
      </x:c>
      <x:c r="H28" s="7" t="str">
        <x:v>Soutien médical du commando</x:v>
      </x:c>
      <x:c r="I28" s="7" t="str">
        <x:v>Personnage éligible, cible valide, coût, délai, animation et effets contrôlés.</x:v>
      </x:c>
      <x:c r="J28" s="7" t="str">
        <x:v>CHR-kaidan-alenko</x:v>
      </x:c>
      <x:c r="K28" s="7" t="str">
        <x:v>content/ally_moves/MOV-kaidan-alenko-premiers-secours.json</x:v>
      </x:c>
      <x:c r="L28" s="7" t="str"/>
      <x:c r="M28" s="7" t="str"/>
      <x:c r="N28" s="7" t="str">
        <x:v>Arbre de talents de ce personnage à contrôler dans ME1 ; timing ATB original.</x:v>
      </x:c>
      <x:c r="O28" s="7" t="str">
        <x:v>https://masseffect.fandom.com/wiki/Squad</x:v>
      </x:c>
      <x:c r="P28" s="7" t="str">
        <x:v>Production ME1</x:v>
      </x:c>
      <x:c r="Q28" s="7" t="str">
        <x:v>Valeurs et cadence ATB à équilibrer ; aucune promesse de reproduction des dégâts en temps réel.</x:v>
      </x:c>
    </x:row>
    <x:row r="29" ht="36" customHeight="1">
      <x:c r="A29" s="13" t="str">
        <x:v>MOV-garrus-vakarian-rafale-d-assaut</x:v>
      </x:c>
      <x:c r="B29" s="14" t="str">
        <x:v>Garrus Vakarian — Rafale d’assaut</x:v>
      </x:c>
      <x:c r="C29" s="10" t="str">
        <x:v>Défini</x:v>
      </x:c>
      <x:c r="D29" s="11" t="str">
        <x:v>À produire</x:v>
      </x:c>
      <x:c r="E29" s="15" t="str">
        <x:v>P1</x:v>
      </x:c>
      <x:c r="F29" s="15" t="str">
        <x:v>ME1</x:v>
      </x:c>
      <x:c r="G29" s="15" t="str">
        <x:v>Adaptation</x:v>
      </x:c>
      <x:c r="H29" s="14" t="str">
        <x:v>Tir soutenu depuis le couvert</x:v>
      </x:c>
      <x:c r="I29" s="14" t="str">
        <x:v>Personnage éligible, cible valide, coût, délai, animation et effets contrôlés.</x:v>
      </x:c>
      <x:c r="J29" s="14" t="str">
        <x:v>CHR-garrus-vakarian</x:v>
      </x:c>
      <x:c r="K29" s="14" t="str">
        <x:v>content/ally_moves/MOV-garrus-vakarian-rafale-d-assaut.json</x:v>
      </x:c>
      <x:c r="L29" s="14" t="str"/>
      <x:c r="M29" s="14" t="str"/>
      <x:c r="N29" s="14" t="str">
        <x:v>Arbre de talents de ce personnage à contrôler dans ME1 ; timing ATB original.</x:v>
      </x:c>
      <x:c r="O29" s="14" t="str">
        <x:v>https://masseffect.fandom.com/wiki/Squad</x:v>
      </x:c>
      <x:c r="P29" s="14" t="str">
        <x:v>Production ME1</x:v>
      </x:c>
      <x:c r="Q29" s="14" t="str">
        <x:v>Valeurs et cadence ATB à équilibrer ; aucune promesse de reproduction des dégâts en temps réel.</x:v>
      </x:c>
    </x:row>
    <x:row r="30" ht="36" customHeight="1">
      <x:c r="A30" s="12" t="str">
        <x:v>MOV-garrus-vakarian-tir-de-precision</x:v>
      </x:c>
      <x:c r="B30" s="7" t="str">
        <x:v>Garrus Vakarian — Tir de précision</x:v>
      </x:c>
      <x:c r="C30" s="10" t="str">
        <x:v>Défini</x:v>
      </x:c>
      <x:c r="D30" s="11" t="str">
        <x:v>À produire</x:v>
      </x:c>
      <x:c r="E30" s="9" t="str">
        <x:v>P1</x:v>
      </x:c>
      <x:c r="F30" s="9" t="str">
        <x:v>ME1</x:v>
      </x:c>
      <x:c r="G30" s="9" t="str">
        <x:v>Adaptation</x:v>
      </x:c>
      <x:c r="H30" s="7" t="str">
        <x:v>Priorité aux cibles exposées</x:v>
      </x:c>
      <x:c r="I30" s="7" t="str">
        <x:v>Personnage éligible, cible valide, coût, délai, animation et effets contrôlés.</x:v>
      </x:c>
      <x:c r="J30" s="7" t="str">
        <x:v>CHR-garrus-vakarian</x:v>
      </x:c>
      <x:c r="K30" s="7" t="str">
        <x:v>content/ally_moves/MOV-garrus-vakarian-tir-de-precision.json</x:v>
      </x:c>
      <x:c r="L30" s="7" t="str"/>
      <x:c r="M30" s="7" t="str"/>
      <x:c r="N30" s="7" t="str">
        <x:v>Arbre de talents de ce personnage à contrôler dans ME1 ; timing ATB original.</x:v>
      </x:c>
      <x:c r="O30" s="7" t="str">
        <x:v>https://masseffect.fandom.com/wiki/Squad</x:v>
      </x:c>
      <x:c r="P30" s="7" t="str">
        <x:v>Production ME1</x:v>
      </x:c>
      <x:c r="Q30" s="7" t="str">
        <x:v>Valeurs et cadence ATB à équilibrer ; aucune promesse de reproduction des dégâts en temps réel.</x:v>
      </x:c>
    </x:row>
    <x:row r="31" ht="36" customHeight="1">
      <x:c r="A31" s="13" t="str">
        <x:v>MOV-garrus-vakarian-surcharge</x:v>
      </x:c>
      <x:c r="B31" s="14" t="str">
        <x:v>Garrus Vakarian — Surcharge</x:v>
      </x:c>
      <x:c r="C31" s="10" t="str">
        <x:v>Défini</x:v>
      </x:c>
      <x:c r="D31" s="11" t="str">
        <x:v>À produire</x:v>
      </x:c>
      <x:c r="E31" s="15" t="str">
        <x:v>P1</x:v>
      </x:c>
      <x:c r="F31" s="15" t="str">
        <x:v>ME1</x:v>
      </x:c>
      <x:c r="G31" s="15" t="str">
        <x:v>Adaptation</x:v>
      </x:c>
      <x:c r="H31" s="14" t="str">
        <x:v>Attaque des protections</x:v>
      </x:c>
      <x:c r="I31" s="14" t="str">
        <x:v>Personnage éligible, cible valide, coût, délai, animation et effets contrôlés.</x:v>
      </x:c>
      <x:c r="J31" s="14" t="str">
        <x:v>CHR-garrus-vakarian</x:v>
      </x:c>
      <x:c r="K31" s="14" t="str">
        <x:v>content/ally_moves/MOV-garrus-vakarian-surcharge.json</x:v>
      </x:c>
      <x:c r="L31" s="14" t="str"/>
      <x:c r="M31" s="14" t="str"/>
      <x:c r="N31" s="14" t="str">
        <x:v>Arbre de talents de ce personnage à contrôler dans ME1 ; timing ATB original.</x:v>
      </x:c>
      <x:c r="O31" s="14" t="str">
        <x:v>https://masseffect.fandom.com/wiki/Squad</x:v>
      </x:c>
      <x:c r="P31" s="14" t="str">
        <x:v>Production ME1</x:v>
      </x:c>
      <x:c r="Q31" s="14" t="str">
        <x:v>Valeurs et cadence ATB à équilibrer ; aucune promesse de reproduction des dégâts en temps réel.</x:v>
      </x:c>
    </x:row>
    <x:row r="32" ht="36" customHeight="1">
      <x:c r="A32" s="12" t="str">
        <x:v>MOV-garrus-vakarian-sabotage</x:v>
      </x:c>
      <x:c r="B32" s="7" t="str">
        <x:v>Garrus Vakarian — Sabotage</x:v>
      </x:c>
      <x:c r="C32" s="10" t="str">
        <x:v>Défini</x:v>
      </x:c>
      <x:c r="D32" s="11" t="str">
        <x:v>À produire</x:v>
      </x:c>
      <x:c r="E32" s="9" t="str">
        <x:v>P1</x:v>
      </x:c>
      <x:c r="F32" s="9" t="str">
        <x:v>ME1</x:v>
      </x:c>
      <x:c r="G32" s="9" t="str">
        <x:v>Adaptation</x:v>
      </x:c>
      <x:c r="H32" s="7" t="str">
        <x:v>Perturbation d’armement</x:v>
      </x:c>
      <x:c r="I32" s="7" t="str">
        <x:v>Personnage éligible, cible valide, coût, délai, animation et effets contrôlés.</x:v>
      </x:c>
      <x:c r="J32" s="7" t="str">
        <x:v>CHR-garrus-vakarian</x:v>
      </x:c>
      <x:c r="K32" s="7" t="str">
        <x:v>content/ally_moves/MOV-garrus-vakarian-sabotage.json</x:v>
      </x:c>
      <x:c r="L32" s="7" t="str"/>
      <x:c r="M32" s="7" t="str"/>
      <x:c r="N32" s="7" t="str">
        <x:v>Arbre de talents de ce personnage à contrôler dans ME1 ; timing ATB original.</x:v>
      </x:c>
      <x:c r="O32" s="7" t="str">
        <x:v>https://masseffect.fandom.com/wiki/Squad</x:v>
      </x:c>
      <x:c r="P32" s="7" t="str">
        <x:v>Production ME1</x:v>
      </x:c>
      <x:c r="Q32" s="7" t="str">
        <x:v>Valeurs et cadence ATB à équilibrer ; aucune promesse de reproduction des dégâts en temps réel.</x:v>
      </x:c>
    </x:row>
    <x:row r="33" ht="36" customHeight="1">
      <x:c r="A33" s="13" t="str">
        <x:v>MOV-garrus-vakarian-premiers-secours</x:v>
      </x:c>
      <x:c r="B33" s="14" t="str">
        <x:v>Garrus Vakarian — Premiers secours</x:v>
      </x:c>
      <x:c r="C33" s="10" t="str">
        <x:v>Défini</x:v>
      </x:c>
      <x:c r="D33" s="11" t="str">
        <x:v>À produire</x:v>
      </x:c>
      <x:c r="E33" s="15" t="str">
        <x:v>P1</x:v>
      </x:c>
      <x:c r="F33" s="15" t="str">
        <x:v>ME1</x:v>
      </x:c>
      <x:c r="G33" s="15" t="str">
        <x:v>Adaptation</x:v>
      </x:c>
      <x:c r="H33" s="14" t="str">
        <x:v>Soutien conditionné au talent</x:v>
      </x:c>
      <x:c r="I33" s="14" t="str">
        <x:v>Personnage éligible, cible valide, coût, délai, animation et effets contrôlés.</x:v>
      </x:c>
      <x:c r="J33" s="14" t="str">
        <x:v>CHR-garrus-vakarian</x:v>
      </x:c>
      <x:c r="K33" s="14" t="str">
        <x:v>content/ally_moves/MOV-garrus-vakarian-premiers-secours.json</x:v>
      </x:c>
      <x:c r="L33" s="14" t="str"/>
      <x:c r="M33" s="14" t="str"/>
      <x:c r="N33" s="14" t="str">
        <x:v>Arbre de talents de ce personnage à contrôler dans ME1 ; timing ATB original.</x:v>
      </x:c>
      <x:c r="O33" s="14" t="str">
        <x:v>https://masseffect.fandom.com/wiki/Squad</x:v>
      </x:c>
      <x:c r="P33" s="14" t="str">
        <x:v>Production ME1</x:v>
      </x:c>
      <x:c r="Q33" s="14" t="str">
        <x:v>Valeurs et cadence ATB à équilibrer ; aucune promesse de reproduction des dégâts en temps réel.</x:v>
      </x:c>
    </x:row>
    <x:row r="34" ht="36" customHeight="1">
      <x:c r="A34" s="12" t="str">
        <x:v>MOV-garrus-vakarian-changement-de-ligne</x:v>
      </x:c>
      <x:c r="B34" s="7" t="str">
        <x:v>Garrus Vakarian — Changement de ligne</x:v>
      </x:c>
      <x:c r="C34" s="10" t="str">
        <x:v>Défini</x:v>
      </x:c>
      <x:c r="D34" s="11" t="str">
        <x:v>À produire</x:v>
      </x:c>
      <x:c r="E34" s="9" t="str">
        <x:v>P1</x:v>
      </x:c>
      <x:c r="F34" s="9" t="str">
        <x:v>ME1</x:v>
      </x:c>
      <x:c r="G34" s="9" t="str">
        <x:v>Adaptation</x:v>
      </x:c>
      <x:c r="H34" s="7" t="str">
        <x:v>Repositionnement ATB</x:v>
      </x:c>
      <x:c r="I34" s="7" t="str">
        <x:v>Personnage éligible, cible valide, coût, délai, animation et effets contrôlés.</x:v>
      </x:c>
      <x:c r="J34" s="7" t="str">
        <x:v>CHR-garrus-vakarian</x:v>
      </x:c>
      <x:c r="K34" s="7" t="str">
        <x:v>content/ally_moves/MOV-garrus-vakarian-changement-de-ligne.json</x:v>
      </x:c>
      <x:c r="L34" s="7" t="str"/>
      <x:c r="M34" s="7" t="str"/>
      <x:c r="N34" s="7" t="str">
        <x:v>Arbre de talents de ce personnage à contrôler dans ME1 ; timing ATB original.</x:v>
      </x:c>
      <x:c r="O34" s="7" t="str">
        <x:v>https://masseffect.fandom.com/wiki/Squad</x:v>
      </x:c>
      <x:c r="P34" s="7" t="str">
        <x:v>Production ME1</x:v>
      </x:c>
      <x:c r="Q34" s="7" t="str">
        <x:v>Valeurs et cadence ATB à équilibrer ; aucune promesse de reproduction des dégâts en temps réel.</x:v>
      </x:c>
    </x:row>
    <x:row r="35" ht="36" customHeight="1">
      <x:c r="A35" s="13" t="str">
        <x:v>MOV-urdnot-wrex-decharge-de-pompe</x:v>
      </x:c>
      <x:c r="B35" s="14" t="str">
        <x:v>Urdnot Wrex — Décharge de pompe</x:v>
      </x:c>
      <x:c r="C35" s="10" t="str">
        <x:v>Défini</x:v>
      </x:c>
      <x:c r="D35" s="11" t="str">
        <x:v>À produire</x:v>
      </x:c>
      <x:c r="E35" s="15" t="str">
        <x:v>P1</x:v>
      </x:c>
      <x:c r="F35" s="15" t="str">
        <x:v>ME1</x:v>
      </x:c>
      <x:c r="G35" s="15" t="str">
        <x:v>Adaptation</x:v>
      </x:c>
      <x:c r="H35" s="14" t="str">
        <x:v>Pression de proximité</x:v>
      </x:c>
      <x:c r="I35" s="14" t="str">
        <x:v>Personnage éligible, cible valide, coût, délai, animation et effets contrôlés.</x:v>
      </x:c>
      <x:c r="J35" s="14" t="str">
        <x:v>CHR-urdnot-wrex</x:v>
      </x:c>
      <x:c r="K35" s="14" t="str">
        <x:v>content/ally_moves/MOV-urdnot-wrex-decharge-de-pompe.json</x:v>
      </x:c>
      <x:c r="L35" s="14" t="str"/>
      <x:c r="M35" s="14" t="str"/>
      <x:c r="N35" s="14" t="str">
        <x:v>Arbre de talents de ce personnage à contrôler dans ME1 ; timing ATB original.</x:v>
      </x:c>
      <x:c r="O35" s="14" t="str">
        <x:v>https://masseffect.fandom.com/wiki/Squad</x:v>
      </x:c>
      <x:c r="P35" s="14" t="str">
        <x:v>Production ME1</x:v>
      </x:c>
      <x:c r="Q35" s="14" t="str">
        <x:v>Valeurs et cadence ATB à équilibrer ; aucune promesse de reproduction des dégâts en temps réel.</x:v>
      </x:c>
    </x:row>
    <x:row r="36" ht="36" customHeight="1">
      <x:c r="A36" s="12" t="str">
        <x:v>MOV-urdnot-wrex-rafale-d-assaut</x:v>
      </x:c>
      <x:c r="B36" s="7" t="str">
        <x:v>Urdnot Wrex — Rafale d’assaut</x:v>
      </x:c>
      <x:c r="C36" s="10" t="str">
        <x:v>Défini</x:v>
      </x:c>
      <x:c r="D36" s="11" t="str">
        <x:v>À produire</x:v>
      </x:c>
      <x:c r="E36" s="9" t="str">
        <x:v>P1</x:v>
      </x:c>
      <x:c r="F36" s="9" t="str">
        <x:v>ME1</x:v>
      </x:c>
      <x:c r="G36" s="9" t="str">
        <x:v>Adaptation</x:v>
      </x:c>
      <x:c r="H36" s="7" t="str">
        <x:v>Couverture à moyenne portée</x:v>
      </x:c>
      <x:c r="I36" s="7" t="str">
        <x:v>Personnage éligible, cible valide, coût, délai, animation et effets contrôlés.</x:v>
      </x:c>
      <x:c r="J36" s="7" t="str">
        <x:v>CHR-urdnot-wrex</x:v>
      </x:c>
      <x:c r="K36" s="7" t="str">
        <x:v>content/ally_moves/MOV-urdnot-wrex-rafale-d-assaut.json</x:v>
      </x:c>
      <x:c r="L36" s="7" t="str"/>
      <x:c r="M36" s="7" t="str"/>
      <x:c r="N36" s="7" t="str">
        <x:v>Arbre de talents de ce personnage à contrôler dans ME1 ; timing ATB original.</x:v>
      </x:c>
      <x:c r="O36" s="7" t="str">
        <x:v>https://masseffect.fandom.com/wiki/Squad</x:v>
      </x:c>
      <x:c r="P36" s="7" t="str">
        <x:v>Production ME1</x:v>
      </x:c>
      <x:c r="Q36" s="7" t="str">
        <x:v>Valeurs et cadence ATB à équilibrer ; aucune promesse de reproduction des dégâts en temps réel.</x:v>
      </x:c>
    </x:row>
    <x:row r="37" ht="36" customHeight="1">
      <x:c r="A37" s="13" t="str">
        <x:v>MOV-urdnot-wrex-projection</x:v>
      </x:c>
      <x:c r="B37" s="14" t="str">
        <x:v>Urdnot Wrex — Projection</x:v>
      </x:c>
      <x:c r="C37" s="10" t="str">
        <x:v>Défini</x:v>
      </x:c>
      <x:c r="D37" s="11" t="str">
        <x:v>À produire</x:v>
      </x:c>
      <x:c r="E37" s="15" t="str">
        <x:v>P1</x:v>
      </x:c>
      <x:c r="F37" s="15" t="str">
        <x:v>ME1</x:v>
      </x:c>
      <x:c r="G37" s="15" t="str">
        <x:v>Adaptation</x:v>
      </x:c>
      <x:c r="H37" s="14" t="str">
        <x:v>Pouvoir biotique à relever</x:v>
      </x:c>
      <x:c r="I37" s="14" t="str">
        <x:v>Personnage éligible, cible valide, coût, délai, animation et effets contrôlés.</x:v>
      </x:c>
      <x:c r="J37" s="14" t="str">
        <x:v>CHR-urdnot-wrex</x:v>
      </x:c>
      <x:c r="K37" s="14" t="str">
        <x:v>content/ally_moves/MOV-urdnot-wrex-projection.json</x:v>
      </x:c>
      <x:c r="L37" s="14" t="str"/>
      <x:c r="M37" s="14" t="str"/>
      <x:c r="N37" s="14" t="str">
        <x:v>Arbre de talents de ce personnage à contrôler dans ME1 ; timing ATB original.</x:v>
      </x:c>
      <x:c r="O37" s="14" t="str">
        <x:v>https://masseffect.fandom.com/wiki/Squad</x:v>
      </x:c>
      <x:c r="P37" s="14" t="str">
        <x:v>Production ME1</x:v>
      </x:c>
      <x:c r="Q37" s="14" t="str">
        <x:v>Valeurs et cadence ATB à équilibrer ; aucune promesse de reproduction des dégâts en temps réel.</x:v>
      </x:c>
    </x:row>
    <x:row r="38" ht="36" customHeight="1">
      <x:c r="A38" s="12" t="str">
        <x:v>MOV-urdnot-wrex-dechirure</x:v>
      </x:c>
      <x:c r="B38" s="7" t="str">
        <x:v>Urdnot Wrex — Déchirure</x:v>
      </x:c>
      <x:c r="C38" s="10" t="str">
        <x:v>Défini</x:v>
      </x:c>
      <x:c r="D38" s="11" t="str">
        <x:v>À produire</x:v>
      </x:c>
      <x:c r="E38" s="9" t="str">
        <x:v>P1</x:v>
      </x:c>
      <x:c r="F38" s="9" t="str">
        <x:v>ME1</x:v>
      </x:c>
      <x:c r="G38" s="9" t="str">
        <x:v>Adaptation</x:v>
      </x:c>
      <x:c r="H38" s="7" t="str">
        <x:v>Affaiblissement biotique</x:v>
      </x:c>
      <x:c r="I38" s="7" t="str">
        <x:v>Personnage éligible, cible valide, coût, délai, animation et effets contrôlés.</x:v>
      </x:c>
      <x:c r="J38" s="7" t="str">
        <x:v>CHR-urdnot-wrex</x:v>
      </x:c>
      <x:c r="K38" s="7" t="str">
        <x:v>content/ally_moves/MOV-urdnot-wrex-dechirure.json</x:v>
      </x:c>
      <x:c r="L38" s="7" t="str"/>
      <x:c r="M38" s="7" t="str"/>
      <x:c r="N38" s="7" t="str">
        <x:v>Arbre de talents de ce personnage à contrôler dans ME1 ; timing ATB original.</x:v>
      </x:c>
      <x:c r="O38" s="7" t="str">
        <x:v>https://masseffect.fandom.com/wiki/Squad</x:v>
      </x:c>
      <x:c r="P38" s="7" t="str">
        <x:v>Production ME1</x:v>
      </x:c>
      <x:c r="Q38" s="7" t="str">
        <x:v>Valeurs et cadence ATB à équilibrer ; aucune promesse de reproduction des dégâts en temps réel.</x:v>
      </x:c>
    </x:row>
    <x:row r="39" ht="36" customHeight="1">
      <x:c r="A39" s="13" t="str">
        <x:v>MOV-urdnot-wrex-barriere</x:v>
      </x:c>
      <x:c r="B39" s="14" t="str">
        <x:v>Urdnot Wrex — Barrière</x:v>
      </x:c>
      <x:c r="C39" s="10" t="str">
        <x:v>Défini</x:v>
      </x:c>
      <x:c r="D39" s="11" t="str">
        <x:v>À produire</x:v>
      </x:c>
      <x:c r="E39" s="15" t="str">
        <x:v>P1</x:v>
      </x:c>
      <x:c r="F39" s="15" t="str">
        <x:v>ME1</x:v>
      </x:c>
      <x:c r="G39" s="15" t="str">
        <x:v>Adaptation</x:v>
      </x:c>
      <x:c r="H39" s="14" t="str">
        <x:v>Résistance biotique</x:v>
      </x:c>
      <x:c r="I39" s="14" t="str">
        <x:v>Personnage éligible, cible valide, coût, délai, animation et effets contrôlés.</x:v>
      </x:c>
      <x:c r="J39" s="14" t="str">
        <x:v>CHR-urdnot-wrex</x:v>
      </x:c>
      <x:c r="K39" s="14" t="str">
        <x:v>content/ally_moves/MOV-urdnot-wrex-barriere.json</x:v>
      </x:c>
      <x:c r="L39" s="14" t="str"/>
      <x:c r="M39" s="14" t="str"/>
      <x:c r="N39" s="14" t="str">
        <x:v>Arbre de talents de ce personnage à contrôler dans ME1 ; timing ATB original.</x:v>
      </x:c>
      <x:c r="O39" s="14" t="str">
        <x:v>https://masseffect.fandom.com/wiki/Squad</x:v>
      </x:c>
      <x:c r="P39" s="14" t="str">
        <x:v>Production ME1</x:v>
      </x:c>
      <x:c r="Q39" s="14" t="str">
        <x:v>Valeurs et cadence ATB à équilibrer ; aucune promesse de reproduction des dégâts en temps réel.</x:v>
      </x:c>
    </x:row>
    <x:row r="40" ht="36" customHeight="1">
      <x:c r="A40" s="12" t="str">
        <x:v>MOV-urdnot-wrex-stase</x:v>
      </x:c>
      <x:c r="B40" s="7" t="str">
        <x:v>Urdnot Wrex — Stase</x:v>
      </x:c>
      <x:c r="C40" s="10" t="str">
        <x:v>Défini</x:v>
      </x:c>
      <x:c r="D40" s="11" t="str">
        <x:v>À produire</x:v>
      </x:c>
      <x:c r="E40" s="9" t="str">
        <x:v>P1</x:v>
      </x:c>
      <x:c r="F40" s="9" t="str">
        <x:v>ME1</x:v>
      </x:c>
      <x:c r="G40" s="9" t="str">
        <x:v>Adaptation</x:v>
      </x:c>
      <x:c r="H40" s="7" t="str">
        <x:v>Contrôle avec restrictions ME1</x:v>
      </x:c>
      <x:c r="I40" s="7" t="str">
        <x:v>Personnage éligible, cible valide, coût, délai, animation et effets contrôlés.</x:v>
      </x:c>
      <x:c r="J40" s="7" t="str">
        <x:v>CHR-urdnot-wrex</x:v>
      </x:c>
      <x:c r="K40" s="7" t="str">
        <x:v>content/ally_moves/MOV-urdnot-wrex-stase.json</x:v>
      </x:c>
      <x:c r="L40" s="7" t="str"/>
      <x:c r="M40" s="7" t="str"/>
      <x:c r="N40" s="7" t="str">
        <x:v>Arbre de talents de ce personnage à contrôler dans ME1 ; timing ATB original.</x:v>
      </x:c>
      <x:c r="O40" s="7" t="str">
        <x:v>https://masseffect.fandom.com/wiki/Squad</x:v>
      </x:c>
      <x:c r="P40" s="7" t="str">
        <x:v>Production ME1</x:v>
      </x:c>
      <x:c r="Q40" s="7" t="str">
        <x:v>Valeurs et cadence ATB à équilibrer ; aucune promesse de reproduction des dégâts en temps réel.</x:v>
      </x:c>
    </x:row>
    <x:row r="41" ht="36" customHeight="1">
      <x:c r="A41" s="13" t="str">
        <x:v>MOV-urdnot-wrex-coup-physique</x:v>
      </x:c>
      <x:c r="B41" s="14" t="str">
        <x:v>Urdnot Wrex — Coup physique</x:v>
      </x:c>
      <x:c r="C41" s="10" t="str">
        <x:v>Défini</x:v>
      </x:c>
      <x:c r="D41" s="11" t="str">
        <x:v>À produire</x:v>
      </x:c>
      <x:c r="E41" s="15" t="str">
        <x:v>P1</x:v>
      </x:c>
      <x:c r="F41" s="15" t="str">
        <x:v>ME1</x:v>
      </x:c>
      <x:c r="G41" s="15" t="str">
        <x:v>Adaptation</x:v>
      </x:c>
      <x:c r="H41" s="14" t="str">
        <x:v>Animation tenant compte de la masse krogan</x:v>
      </x:c>
      <x:c r="I41" s="14" t="str">
        <x:v>Personnage éligible, cible valide, coût, délai, animation et effets contrôlés.</x:v>
      </x:c>
      <x:c r="J41" s="14" t="str">
        <x:v>CHR-urdnot-wrex</x:v>
      </x:c>
      <x:c r="K41" s="14" t="str">
        <x:v>content/ally_moves/MOV-urdnot-wrex-coup-physique.json</x:v>
      </x:c>
      <x:c r="L41" s="14" t="str"/>
      <x:c r="M41" s="14" t="str"/>
      <x:c r="N41" s="14" t="str">
        <x:v>Arbre de talents de ce personnage à contrôler dans ME1 ; timing ATB original.</x:v>
      </x:c>
      <x:c r="O41" s="14" t="str">
        <x:v>https://masseffect.fandom.com/wiki/Squad</x:v>
      </x:c>
      <x:c r="P41" s="14" t="str">
        <x:v>Production ME1</x:v>
      </x:c>
      <x:c r="Q41" s="14" t="str">
        <x:v>Valeurs et cadence ATB à équilibrer ; aucune promesse de reproduction des dégâts en temps réel.</x:v>
      </x:c>
    </x:row>
    <x:row r="42" ht="36" customHeight="1">
      <x:c r="A42" s="12" t="str">
        <x:v>MOV-tali-zorah-nar-rayya-tir-de-pistolet</x:v>
      </x:c>
      <x:c r="B42" s="7" t="str">
        <x:v>Tali'Zorah nar Rayya — Tir de pistolet</x:v>
      </x:c>
      <x:c r="C42" s="10" t="str">
        <x:v>Défini</x:v>
      </x:c>
      <x:c r="D42" s="11" t="str">
        <x:v>À produire</x:v>
      </x:c>
      <x:c r="E42" s="9" t="str">
        <x:v>P1</x:v>
      </x:c>
      <x:c r="F42" s="9" t="str">
        <x:v>ME1</x:v>
      </x:c>
      <x:c r="G42" s="9" t="str">
        <x:v>Adaptation</x:v>
      </x:c>
      <x:c r="H42" s="7" t="str">
        <x:v>Feu mesuré</x:v>
      </x:c>
      <x:c r="I42" s="7" t="str">
        <x:v>Personnage éligible, cible valide, coût, délai, animation et effets contrôlés.</x:v>
      </x:c>
      <x:c r="J42" s="7" t="str">
        <x:v>CHR-tali-zorah-nar-rayya</x:v>
      </x:c>
      <x:c r="K42" s="7" t="str">
        <x:v>content/ally_moves/MOV-tali-zorah-nar-rayya-tir-de-pistolet.json</x:v>
      </x:c>
      <x:c r="L42" s="7" t="str"/>
      <x:c r="M42" s="7" t="str"/>
      <x:c r="N42" s="7" t="str">
        <x:v>Arbre de talents de ce personnage à contrôler dans ME1 ; timing ATB original.</x:v>
      </x:c>
      <x:c r="O42" s="7" t="str">
        <x:v>https://masseffect.fandom.com/wiki/Squad</x:v>
      </x:c>
      <x:c r="P42" s="7" t="str">
        <x:v>Production ME1</x:v>
      </x:c>
      <x:c r="Q42" s="7" t="str">
        <x:v>Valeurs et cadence ATB à équilibrer ; aucune promesse de reproduction des dégâts en temps réel.</x:v>
      </x:c>
    </x:row>
    <x:row r="43" ht="36" customHeight="1">
      <x:c r="A43" s="13" t="str">
        <x:v>MOV-tali-zorah-nar-rayya-fusil-a-pompe</x:v>
      </x:c>
      <x:c r="B43" s="14" t="str">
        <x:v>Tali'Zorah nar Rayya — Fusil à pompe</x:v>
      </x:c>
      <x:c r="C43" s="10" t="str">
        <x:v>Défini</x:v>
      </x:c>
      <x:c r="D43" s="11" t="str">
        <x:v>À produire</x:v>
      </x:c>
      <x:c r="E43" s="15" t="str">
        <x:v>P1</x:v>
      </x:c>
      <x:c r="F43" s="15" t="str">
        <x:v>ME1</x:v>
      </x:c>
      <x:c r="G43" s="15" t="str">
        <x:v>Adaptation</x:v>
      </x:c>
      <x:c r="H43" s="14" t="str">
        <x:v>Réponse de proximité</x:v>
      </x:c>
      <x:c r="I43" s="14" t="str">
        <x:v>Personnage éligible, cible valide, coût, délai, animation et effets contrôlés.</x:v>
      </x:c>
      <x:c r="J43" s="14" t="str">
        <x:v>CHR-tali-zorah-nar-rayya</x:v>
      </x:c>
      <x:c r="K43" s="14" t="str">
        <x:v>content/ally_moves/MOV-tali-zorah-nar-rayya-fusil-a-pompe.json</x:v>
      </x:c>
      <x:c r="L43" s="14" t="str"/>
      <x:c r="M43" s="14" t="str"/>
      <x:c r="N43" s="14" t="str">
        <x:v>Arbre de talents de ce personnage à contrôler dans ME1 ; timing ATB original.</x:v>
      </x:c>
      <x:c r="O43" s="14" t="str">
        <x:v>https://masseffect.fandom.com/wiki/Squad</x:v>
      </x:c>
      <x:c r="P43" s="14" t="str">
        <x:v>Production ME1</x:v>
      </x:c>
      <x:c r="Q43" s="14" t="str">
        <x:v>Valeurs et cadence ATB à équilibrer ; aucune promesse de reproduction des dégâts en temps réel.</x:v>
      </x:c>
    </x:row>
    <x:row r="44" ht="36" customHeight="1">
      <x:c r="A44" s="12" t="str">
        <x:v>MOV-tali-zorah-nar-rayya-piratage-d-ia</x:v>
      </x:c>
      <x:c r="B44" s="7" t="str">
        <x:v>Tali'Zorah nar Rayya — Piratage d’IA</x:v>
      </x:c>
      <x:c r="C44" s="10" t="str">
        <x:v>Défini</x:v>
      </x:c>
      <x:c r="D44" s="11" t="str">
        <x:v>À produire</x:v>
      </x:c>
      <x:c r="E44" s="9" t="str">
        <x:v>P1</x:v>
      </x:c>
      <x:c r="F44" s="9" t="str">
        <x:v>ME1</x:v>
      </x:c>
      <x:c r="G44" s="9" t="str">
        <x:v>Adaptation</x:v>
      </x:c>
      <x:c r="H44" s="7" t="str">
        <x:v>Cible synthétique compatible</x:v>
      </x:c>
      <x:c r="I44" s="7" t="str">
        <x:v>Personnage éligible, cible valide, coût, délai, animation et effets contrôlés.</x:v>
      </x:c>
      <x:c r="J44" s="7" t="str">
        <x:v>CHR-tali-zorah-nar-rayya</x:v>
      </x:c>
      <x:c r="K44" s="7" t="str">
        <x:v>content/ally_moves/MOV-tali-zorah-nar-rayya-piratage-d-ia.json</x:v>
      </x:c>
      <x:c r="L44" s="7" t="str"/>
      <x:c r="M44" s="7" t="str"/>
      <x:c r="N44" s="7" t="str">
        <x:v>Arbre de talents de ce personnage à contrôler dans ME1 ; timing ATB original.</x:v>
      </x:c>
      <x:c r="O44" s="7" t="str">
        <x:v>https://masseffect.fandom.com/wiki/Squad</x:v>
      </x:c>
      <x:c r="P44" s="7" t="str">
        <x:v>Production ME1</x:v>
      </x:c>
      <x:c r="Q44" s="7" t="str">
        <x:v>Valeurs et cadence ATB à équilibrer ; aucune promesse de reproduction des dégâts en temps réel.</x:v>
      </x:c>
    </x:row>
    <x:row r="45" ht="36" customHeight="1">
      <x:c r="A45" s="13" t="str">
        <x:v>MOV-tali-zorah-nar-rayya-surcharge</x:v>
      </x:c>
      <x:c r="B45" s="14" t="str">
        <x:v>Tali'Zorah nar Rayya — Surcharge</x:v>
      </x:c>
      <x:c r="C45" s="10" t="str">
        <x:v>Défini</x:v>
      </x:c>
      <x:c r="D45" s="11" t="str">
        <x:v>À produire</x:v>
      </x:c>
      <x:c r="E45" s="15" t="str">
        <x:v>P1</x:v>
      </x:c>
      <x:c r="F45" s="15" t="str">
        <x:v>ME1</x:v>
      </x:c>
      <x:c r="G45" s="15" t="str">
        <x:v>Adaptation</x:v>
      </x:c>
      <x:c r="H45" s="14" t="str">
        <x:v>Action technologique</x:v>
      </x:c>
      <x:c r="I45" s="14" t="str">
        <x:v>Personnage éligible, cible valide, coût, délai, animation et effets contrôlés.</x:v>
      </x:c>
      <x:c r="J45" s="14" t="str">
        <x:v>CHR-tali-zorah-nar-rayya</x:v>
      </x:c>
      <x:c r="K45" s="14" t="str">
        <x:v>content/ally_moves/MOV-tali-zorah-nar-rayya-surcharge.json</x:v>
      </x:c>
      <x:c r="L45" s="14" t="str"/>
      <x:c r="M45" s="14" t="str"/>
      <x:c r="N45" s="14" t="str">
        <x:v>Arbre de talents de ce personnage à contrôler dans ME1 ; timing ATB original.</x:v>
      </x:c>
      <x:c r="O45" s="14" t="str">
        <x:v>https://masseffect.fandom.com/wiki/Squad</x:v>
      </x:c>
      <x:c r="P45" s="14" t="str">
        <x:v>Production ME1</x:v>
      </x:c>
      <x:c r="Q45" s="14" t="str">
        <x:v>Valeurs et cadence ATB à équilibrer ; aucune promesse de reproduction des dégâts en temps réel.</x:v>
      </x:c>
    </x:row>
    <x:row r="46" ht="36" customHeight="1">
      <x:c r="A46" s="12" t="str">
        <x:v>MOV-tali-zorah-nar-rayya-sabotage</x:v>
      </x:c>
      <x:c r="B46" s="7" t="str">
        <x:v>Tali'Zorah nar Rayya — Sabotage</x:v>
      </x:c>
      <x:c r="C46" s="10" t="str">
        <x:v>Défini</x:v>
      </x:c>
      <x:c r="D46" s="11" t="str">
        <x:v>À produire</x:v>
      </x:c>
      <x:c r="E46" s="9" t="str">
        <x:v>P1</x:v>
      </x:c>
      <x:c r="F46" s="9" t="str">
        <x:v>ME1</x:v>
      </x:c>
      <x:c r="G46" s="9" t="str">
        <x:v>Adaptation</x:v>
      </x:c>
      <x:c r="H46" s="7" t="str">
        <x:v>Arme ennemie perturbée</x:v>
      </x:c>
      <x:c r="I46" s="7" t="str">
        <x:v>Personnage éligible, cible valide, coût, délai, animation et effets contrôlés.</x:v>
      </x:c>
      <x:c r="J46" s="7" t="str">
        <x:v>CHR-tali-zorah-nar-rayya</x:v>
      </x:c>
      <x:c r="K46" s="7" t="str">
        <x:v>content/ally_moves/MOV-tali-zorah-nar-rayya-sabotage.json</x:v>
      </x:c>
      <x:c r="L46" s="7" t="str"/>
      <x:c r="M46" s="7" t="str"/>
      <x:c r="N46" s="7" t="str">
        <x:v>Arbre de talents de ce personnage à contrôler dans ME1 ; timing ATB original.</x:v>
      </x:c>
      <x:c r="O46" s="7" t="str">
        <x:v>https://masseffect.fandom.com/wiki/Squad</x:v>
      </x:c>
      <x:c r="P46" s="7" t="str">
        <x:v>Production ME1</x:v>
      </x:c>
      <x:c r="Q46" s="7" t="str">
        <x:v>Valeurs et cadence ATB à équilibrer ; aucune promesse de reproduction des dégâts en temps réel.</x:v>
      </x:c>
    </x:row>
    <x:row r="47" ht="36" customHeight="1">
      <x:c r="A47" s="13" t="str">
        <x:v>MOV-tali-zorah-nar-rayya-amortissement</x:v>
      </x:c>
      <x:c r="B47" s="14" t="str">
        <x:v>Tali'Zorah nar Rayya — Amortissement</x:v>
      </x:c>
      <x:c r="C47" s="10" t="str">
        <x:v>Défini</x:v>
      </x:c>
      <x:c r="D47" s="11" t="str">
        <x:v>À produire</x:v>
      </x:c>
      <x:c r="E47" s="15" t="str">
        <x:v>P1</x:v>
      </x:c>
      <x:c r="F47" s="15" t="str">
        <x:v>ME1</x:v>
      </x:c>
      <x:c r="G47" s="15" t="str">
        <x:v>Adaptation</x:v>
      </x:c>
      <x:c r="H47" s="14" t="str">
        <x:v>Pouvoirs ennemis perturbés</x:v>
      </x:c>
      <x:c r="I47" s="14" t="str">
        <x:v>Personnage éligible, cible valide, coût, délai, animation et effets contrôlés.</x:v>
      </x:c>
      <x:c r="J47" s="14" t="str">
        <x:v>CHR-tali-zorah-nar-rayya</x:v>
      </x:c>
      <x:c r="K47" s="14" t="str">
        <x:v>content/ally_moves/MOV-tali-zorah-nar-rayya-amortissement.json</x:v>
      </x:c>
      <x:c r="L47" s="14" t="str"/>
      <x:c r="M47" s="14" t="str"/>
      <x:c r="N47" s="14" t="str">
        <x:v>Arbre de talents de ce personnage à contrôler dans ME1 ; timing ATB original.</x:v>
      </x:c>
      <x:c r="O47" s="14" t="str">
        <x:v>https://masseffect.fandom.com/wiki/Squad</x:v>
      </x:c>
      <x:c r="P47" s="14" t="str">
        <x:v>Production ME1</x:v>
      </x:c>
      <x:c r="Q47" s="14" t="str">
        <x:v>Valeurs et cadence ATB à équilibrer ; aucune promesse de reproduction des dégâts en temps réel.</x:v>
      </x:c>
    </x:row>
    <x:row r="48" ht="36" customHeight="1">
      <x:c r="A48" s="12" t="str">
        <x:v>MOV-tali-zorah-nar-rayya-premiers-secours</x:v>
      </x:c>
      <x:c r="B48" s="7" t="str">
        <x:v>Tali'Zorah nar Rayya — Premiers secours</x:v>
      </x:c>
      <x:c r="C48" s="10" t="str">
        <x:v>Défini</x:v>
      </x:c>
      <x:c r="D48" s="11" t="str">
        <x:v>À produire</x:v>
      </x:c>
      <x:c r="E48" s="9" t="str">
        <x:v>P1</x:v>
      </x:c>
      <x:c r="F48" s="9" t="str">
        <x:v>ME1</x:v>
      </x:c>
      <x:c r="G48" s="9" t="str">
        <x:v>Adaptation</x:v>
      </x:c>
      <x:c r="H48" s="7" t="str">
        <x:v>Soutien médical selon talent</x:v>
      </x:c>
      <x:c r="I48" s="7" t="str">
        <x:v>Personnage éligible, cible valide, coût, délai, animation et effets contrôlés.</x:v>
      </x:c>
      <x:c r="J48" s="7" t="str">
        <x:v>CHR-tali-zorah-nar-rayya</x:v>
      </x:c>
      <x:c r="K48" s="7" t="str">
        <x:v>content/ally_moves/MOV-tali-zorah-nar-rayya-premiers-secours.json</x:v>
      </x:c>
      <x:c r="L48" s="7" t="str"/>
      <x:c r="M48" s="7" t="str"/>
      <x:c r="N48" s="7" t="str">
        <x:v>Arbre de talents de ce personnage à contrôler dans ME1 ; timing ATB original.</x:v>
      </x:c>
      <x:c r="O48" s="7" t="str">
        <x:v>https://masseffect.fandom.com/wiki/Squad</x:v>
      </x:c>
      <x:c r="P48" s="7" t="str">
        <x:v>Production ME1</x:v>
      </x:c>
      <x:c r="Q48" s="7" t="str">
        <x:v>Valeurs et cadence ATB à équilibrer ; aucune promesse de reproduction des dégâts en temps réel.</x:v>
      </x:c>
    </x:row>
    <x:row r="49" ht="36" customHeight="1">
      <x:c r="A49" s="13" t="str">
        <x:v>MOV-liara-t-soni-tir-de-pistolet</x:v>
      </x:c>
      <x:c r="B49" s="14" t="str">
        <x:v>Liara T'Soni — Tir de pistolet</x:v>
      </x:c>
      <x:c r="C49" s="10" t="str">
        <x:v>Défini</x:v>
      </x:c>
      <x:c r="D49" s="11" t="str">
        <x:v>À produire</x:v>
      </x:c>
      <x:c r="E49" s="15" t="str">
        <x:v>P1</x:v>
      </x:c>
      <x:c r="F49" s="15" t="str">
        <x:v>ME1</x:v>
      </x:c>
      <x:c r="G49" s="15" t="str">
        <x:v>Adaptation</x:v>
      </x:c>
      <x:c r="H49" s="14" t="str">
        <x:v>Arme de soutien sans classe militaire inventée</x:v>
      </x:c>
      <x:c r="I49" s="14" t="str">
        <x:v>Personnage éligible, cible valide, coût, délai, animation et effets contrôlés.</x:v>
      </x:c>
      <x:c r="J49" s="14" t="str">
        <x:v>CHR-liara-t-soni</x:v>
      </x:c>
      <x:c r="K49" s="14" t="str">
        <x:v>content/ally_moves/MOV-liara-t-soni-tir-de-pistolet.json</x:v>
      </x:c>
      <x:c r="L49" s="14" t="str"/>
      <x:c r="M49" s="14" t="str"/>
      <x:c r="N49" s="14" t="str">
        <x:v>Arbre de talents de ce personnage à contrôler dans ME1 ; timing ATB original.</x:v>
      </x:c>
      <x:c r="O49" s="14" t="str">
        <x:v>https://masseffect.fandom.com/wiki/Squad</x:v>
      </x:c>
      <x:c r="P49" s="14" t="str">
        <x:v>Production ME1</x:v>
      </x:c>
      <x:c r="Q49" s="14" t="str">
        <x:v>Valeurs et cadence ATB à équilibrer ; aucune promesse de reproduction des dégâts en temps réel.</x:v>
      </x:c>
    </x:row>
    <x:row r="50" ht="36" customHeight="1">
      <x:c r="A50" s="12" t="str">
        <x:v>MOV-liara-t-soni-singularite</x:v>
      </x:c>
      <x:c r="B50" s="7" t="str">
        <x:v>Liara T'Soni — Singularité</x:v>
      </x:c>
      <x:c r="C50" s="10" t="str">
        <x:v>Défini</x:v>
      </x:c>
      <x:c r="D50" s="11" t="str">
        <x:v>À produire</x:v>
      </x:c>
      <x:c r="E50" s="9" t="str">
        <x:v>P1</x:v>
      </x:c>
      <x:c r="F50" s="9" t="str">
        <x:v>ME1</x:v>
      </x:c>
      <x:c r="G50" s="9" t="str">
        <x:v>Adaptation</x:v>
      </x:c>
      <x:c r="H50" s="7" t="str">
        <x:v>Contrôle de groupe</x:v>
      </x:c>
      <x:c r="I50" s="7" t="str">
        <x:v>Personnage éligible, cible valide, coût, délai, animation et effets contrôlés.</x:v>
      </x:c>
      <x:c r="J50" s="7" t="str">
        <x:v>CHR-liara-t-soni</x:v>
      </x:c>
      <x:c r="K50" s="7" t="str">
        <x:v>content/ally_moves/MOV-liara-t-soni-singularite.json</x:v>
      </x:c>
      <x:c r="L50" s="7" t="str"/>
      <x:c r="M50" s="7" t="str"/>
      <x:c r="N50" s="7" t="str">
        <x:v>Arbre de talents de ce personnage à contrôler dans ME1 ; timing ATB original.</x:v>
      </x:c>
      <x:c r="O50" s="7" t="str">
        <x:v>https://masseffect.fandom.com/wiki/Squad</x:v>
      </x:c>
      <x:c r="P50" s="7" t="str">
        <x:v>Production ME1</x:v>
      </x:c>
      <x:c r="Q50" s="7" t="str">
        <x:v>Valeurs et cadence ATB à équilibrer ; aucune promesse de reproduction des dégâts en temps réel.</x:v>
      </x:c>
    </x:row>
    <x:row r="51" ht="36" customHeight="1">
      <x:c r="A51" s="13" t="str">
        <x:v>MOV-liara-t-soni-levitation</x:v>
      </x:c>
      <x:c r="B51" s="14" t="str">
        <x:v>Liara T'Soni — Lévitation</x:v>
      </x:c>
      <x:c r="C51" s="10" t="str">
        <x:v>Défini</x:v>
      </x:c>
      <x:c r="D51" s="11" t="str">
        <x:v>À produire</x:v>
      </x:c>
      <x:c r="E51" s="15" t="str">
        <x:v>P1</x:v>
      </x:c>
      <x:c r="F51" s="15" t="str">
        <x:v>ME1</x:v>
      </x:c>
      <x:c r="G51" s="15" t="str">
        <x:v>Adaptation</x:v>
      </x:c>
      <x:c r="H51" s="14" t="str">
        <x:v>Exposition de cibles</x:v>
      </x:c>
      <x:c r="I51" s="14" t="str">
        <x:v>Personnage éligible, cible valide, coût, délai, animation et effets contrôlés.</x:v>
      </x:c>
      <x:c r="J51" s="14" t="str">
        <x:v>CHR-liara-t-soni</x:v>
      </x:c>
      <x:c r="K51" s="14" t="str">
        <x:v>content/ally_moves/MOV-liara-t-soni-levitation.json</x:v>
      </x:c>
      <x:c r="L51" s="14" t="str"/>
      <x:c r="M51" s="14" t="str"/>
      <x:c r="N51" s="14" t="str">
        <x:v>Arbre de talents de ce personnage à contrôler dans ME1 ; timing ATB original.</x:v>
      </x:c>
      <x:c r="O51" s="14" t="str">
        <x:v>https://masseffect.fandom.com/wiki/Squad</x:v>
      </x:c>
      <x:c r="P51" s="14" t="str">
        <x:v>Production ME1</x:v>
      </x:c>
      <x:c r="Q51" s="14" t="str">
        <x:v>Valeurs et cadence ATB à équilibrer ; aucune promesse de reproduction des dégâts en temps réel.</x:v>
      </x:c>
    </x:row>
    <x:row r="52" ht="36" customHeight="1">
      <x:c r="A52" s="12" t="str">
        <x:v>MOV-liara-t-soni-projection</x:v>
      </x:c>
      <x:c r="B52" s="7" t="str">
        <x:v>Liara T'Soni — Projection</x:v>
      </x:c>
      <x:c r="C52" s="10" t="str">
        <x:v>Défini</x:v>
      </x:c>
      <x:c r="D52" s="11" t="str">
        <x:v>À produire</x:v>
      </x:c>
      <x:c r="E52" s="9" t="str">
        <x:v>P1</x:v>
      </x:c>
      <x:c r="F52" s="9" t="str">
        <x:v>ME1</x:v>
      </x:c>
      <x:c r="G52" s="9" t="str">
        <x:v>Adaptation</x:v>
      </x:c>
      <x:c r="H52" s="7" t="str">
        <x:v>Déplacement biotique</x:v>
      </x:c>
      <x:c r="I52" s="7" t="str">
        <x:v>Personnage éligible, cible valide, coût, délai, animation et effets contrôlés.</x:v>
      </x:c>
      <x:c r="J52" s="7" t="str">
        <x:v>CHR-liara-t-soni</x:v>
      </x:c>
      <x:c r="K52" s="7" t="str">
        <x:v>content/ally_moves/MOV-liara-t-soni-projection.json</x:v>
      </x:c>
      <x:c r="L52" s="7" t="str"/>
      <x:c r="M52" s="7" t="str"/>
      <x:c r="N52" s="7" t="str">
        <x:v>Arbre de talents de ce personnage à contrôler dans ME1 ; timing ATB original.</x:v>
      </x:c>
      <x:c r="O52" s="7" t="str">
        <x:v>https://masseffect.fandom.com/wiki/Squad</x:v>
      </x:c>
      <x:c r="P52" s="7" t="str">
        <x:v>Production ME1</x:v>
      </x:c>
      <x:c r="Q52" s="7" t="str">
        <x:v>Valeurs et cadence ATB à équilibrer ; aucune promesse de reproduction des dégâts en temps réel.</x:v>
      </x:c>
    </x:row>
    <x:row r="53" ht="36" customHeight="1">
      <x:c r="A53" s="13" t="str">
        <x:v>MOV-liara-t-soni-dechirure</x:v>
      </x:c>
      <x:c r="B53" s="14" t="str">
        <x:v>Liara T'Soni — Déchirure</x:v>
      </x:c>
      <x:c r="C53" s="10" t="str">
        <x:v>Défini</x:v>
      </x:c>
      <x:c r="D53" s="11" t="str">
        <x:v>À produire</x:v>
      </x:c>
      <x:c r="E53" s="15" t="str">
        <x:v>P1</x:v>
      </x:c>
      <x:c r="F53" s="15" t="str">
        <x:v>ME1</x:v>
      </x:c>
      <x:c r="G53" s="15" t="str">
        <x:v>Adaptation</x:v>
      </x:c>
      <x:c r="H53" s="14" t="str">
        <x:v>Dégâts et affaiblissement</x:v>
      </x:c>
      <x:c r="I53" s="14" t="str">
        <x:v>Personnage éligible, cible valide, coût, délai, animation et effets contrôlés.</x:v>
      </x:c>
      <x:c r="J53" s="14" t="str">
        <x:v>CHR-liara-t-soni</x:v>
      </x:c>
      <x:c r="K53" s="14" t="str">
        <x:v>content/ally_moves/MOV-liara-t-soni-dechirure.json</x:v>
      </x:c>
      <x:c r="L53" s="14" t="str"/>
      <x:c r="M53" s="14" t="str"/>
      <x:c r="N53" s="14" t="str">
        <x:v>Arbre de talents de ce personnage à contrôler dans ME1 ; timing ATB original.</x:v>
      </x:c>
      <x:c r="O53" s="14" t="str">
        <x:v>https://masseffect.fandom.com/wiki/Squad</x:v>
      </x:c>
      <x:c r="P53" s="14" t="str">
        <x:v>Production ME1</x:v>
      </x:c>
      <x:c r="Q53" s="14" t="str">
        <x:v>Valeurs et cadence ATB à équilibrer ; aucune promesse de reproduction des dégâts en temps réel.</x:v>
      </x:c>
    </x:row>
    <x:row r="54" ht="36" customHeight="1">
      <x:c r="A54" s="12" t="str">
        <x:v>MOV-liara-t-soni-barriere</x:v>
      </x:c>
      <x:c r="B54" s="7" t="str">
        <x:v>Liara T'Soni — Barrière</x:v>
      </x:c>
      <x:c r="C54" s="10" t="str">
        <x:v>Défini</x:v>
      </x:c>
      <x:c r="D54" s="11" t="str">
        <x:v>À produire</x:v>
      </x:c>
      <x:c r="E54" s="9" t="str">
        <x:v>P1</x:v>
      </x:c>
      <x:c r="F54" s="9" t="str">
        <x:v>ME1</x:v>
      </x:c>
      <x:c r="G54" s="9" t="str">
        <x:v>Adaptation</x:v>
      </x:c>
      <x:c r="H54" s="7" t="str">
        <x:v>Protection personnelle</x:v>
      </x:c>
      <x:c r="I54" s="7" t="str">
        <x:v>Personnage éligible, cible valide, coût, délai, animation et effets contrôlés.</x:v>
      </x:c>
      <x:c r="J54" s="7" t="str">
        <x:v>CHR-liara-t-soni</x:v>
      </x:c>
      <x:c r="K54" s="7" t="str">
        <x:v>content/ally_moves/MOV-liara-t-soni-barriere.json</x:v>
      </x:c>
      <x:c r="L54" s="7" t="str"/>
      <x:c r="M54" s="7" t="str"/>
      <x:c r="N54" s="7" t="str">
        <x:v>Arbre de talents de ce personnage à contrôler dans ME1 ; timing ATB original.</x:v>
      </x:c>
      <x:c r="O54" s="7" t="str">
        <x:v>https://masseffect.fandom.com/wiki/Squad</x:v>
      </x:c>
      <x:c r="P54" s="7" t="str">
        <x:v>Production ME1</x:v>
      </x:c>
      <x:c r="Q54" s="7" t="str">
        <x:v>Valeurs et cadence ATB à équilibrer ; aucune promesse de reproduction des dégâts en temps réel.</x:v>
      </x:c>
    </x:row>
    <x:row r="55" ht="36" customHeight="1">
      <x:c r="A55" s="13" t="str">
        <x:v>MOV-liara-t-soni-stase</x:v>
      </x:c>
      <x:c r="B55" s="14" t="str">
        <x:v>Liara T'Soni — Stase</x:v>
      </x:c>
      <x:c r="C55" s="10" t="str">
        <x:v>Défini</x:v>
      </x:c>
      <x:c r="D55" s="11" t="str">
        <x:v>À produire</x:v>
      </x:c>
      <x:c r="E55" s="15" t="str">
        <x:v>P1</x:v>
      </x:c>
      <x:c r="F55" s="15" t="str">
        <x:v>ME1</x:v>
      </x:c>
      <x:c r="G55" s="15" t="str">
        <x:v>Adaptation</x:v>
      </x:c>
      <x:c r="H55" s="14" t="str">
        <x:v>Isolation contrôlée</x:v>
      </x:c>
      <x:c r="I55" s="14" t="str">
        <x:v>Personnage éligible, cible valide, coût, délai, animation et effets contrôlés.</x:v>
      </x:c>
      <x:c r="J55" s="14" t="str">
        <x:v>CHR-liara-t-soni</x:v>
      </x:c>
      <x:c r="K55" s="14" t="str">
        <x:v>content/ally_moves/MOV-liara-t-soni-stase.json</x:v>
      </x:c>
      <x:c r="L55" s="14" t="str"/>
      <x:c r="M55" s="14" t="str"/>
      <x:c r="N55" s="14" t="str">
        <x:v>Arbre de talents de ce personnage à contrôler dans ME1 ; timing ATB original.</x:v>
      </x:c>
      <x:c r="O55" s="14" t="str">
        <x:v>https://masseffect.fandom.com/wiki/Squad</x:v>
      </x:c>
      <x:c r="P55" s="14" t="str">
        <x:v>Production ME1</x:v>
      </x:c>
      <x:c r="Q55" s="14" t="str">
        <x:v>Valeurs et cadence ATB à équilibrer ; aucune promesse de reproduction des dégâts en temps réel.</x:v>
      </x:c>
    </x:row>
    <x:row r="56" ht="36" customHeight="1">
      <x:c r="A56" s="12" t="str">
        <x:v>MOV-liara-t-soni-premiers-secours</x:v>
      </x:c>
      <x:c r="B56" s="7" t="str">
        <x:v>Liara T'Soni — Premiers secours</x:v>
      </x:c>
      <x:c r="C56" s="10" t="str">
        <x:v>Défini</x:v>
      </x:c>
      <x:c r="D56" s="11" t="str">
        <x:v>À produire</x:v>
      </x:c>
      <x:c r="E56" s="9" t="str">
        <x:v>P1</x:v>
      </x:c>
      <x:c r="F56" s="9" t="str">
        <x:v>ME1</x:v>
      </x:c>
      <x:c r="G56" s="9" t="str">
        <x:v>Adaptation</x:v>
      </x:c>
      <x:c r="H56" s="7" t="str">
        <x:v>Soutien selon le talent disponible</x:v>
      </x:c>
      <x:c r="I56" s="7" t="str">
        <x:v>Personnage éligible, cible valide, coût, délai, animation et effets contrôlés.</x:v>
      </x:c>
      <x:c r="J56" s="7" t="str">
        <x:v>CHR-liara-t-soni</x:v>
      </x:c>
      <x:c r="K56" s="7" t="str">
        <x:v>content/ally_moves/MOV-liara-t-soni-premiers-secours.json</x:v>
      </x:c>
      <x:c r="L56" s="7" t="str"/>
      <x:c r="M56" s="7" t="str"/>
      <x:c r="N56" s="7" t="str">
        <x:v>Arbre de talents de ce personnage à contrôler dans ME1 ; timing ATB original.</x:v>
      </x:c>
      <x:c r="O56" s="7" t="str">
        <x:v>https://masseffect.fandom.com/wiki/Squad</x:v>
      </x:c>
      <x:c r="P56" s="7" t="str">
        <x:v>Production ME1</x:v>
      </x:c>
      <x:c r="Q56" s="7" t="str">
        <x:v>Valeurs et cadence ATB à équilibrer ; aucune promesse de reproduction des dégâts en temps réel.</x:v>
      </x:c>
    </x:row>
  </x:sheetData>
  <x:conditionalFormatting sqref="C7:C56">
    <x:cfRule type="cellIs" dxfId="345" priority="1" operator="equal">
      <x:formula>"Prototype"</x:formula>
    </x:cfRule>
    <x:cfRule type="cellIs" dxfId="346" priority="2" operator="equal">
      <x:formula>"Intégré"</x:formula>
    </x:cfRule>
    <x:cfRule type="cellIs" dxfId="347" priority="3" operator="equal">
      <x:formula>"Validé"</x:formula>
    </x:cfRule>
  </x:conditionalFormatting>
  <x:conditionalFormatting sqref="G7:G56">
    <x:cfRule type="cellIs" dxfId="348" priority="4" operator="equal">
      <x:formula>"Référence à vérifier"</x:formula>
    </x:cfRule>
  </x:conditionalFormatting>
  <x:conditionalFormatting sqref="E7:E56">
    <x:cfRule type="cellIs" dxfId="349" priority="5" operator="equal">
      <x:formula>"P0"</x:formula>
    </x:cfRule>
  </x:conditionalFormatting>
  <x:dataValidations count="5">
    <x:dataValidation type="list" sqref="C7:C56">
      <x:formula1>"Défini,Prototype,Intégré,Validé"</x:formula1>
    </x:dataValidation>
    <x:dataValidation type="list" sqref="D7:D56">
      <x:formula1>"À produire,Prototype,Disponible,Validé,Sans objet,Non planifié"</x:formula1>
    </x:dataValidation>
    <x:dataValidation type="list" sqref="E7:E56">
      <x:formula1>"P0,P1,P2"</x:formula1>
    </x:dataValidation>
    <x:dataValidation type="list" sqref="F7:F56">
      <x:formula1>"ME1,ME2,ME3,TRANSVERSE"</x:formula1>
    </x:dataValidation>
    <x:dataValidation type="list" sqref="G7:G56">
      <x:formula1>"Confirmé,Référence à vérifier,Adaptation"</x:formula1>
    </x:dataValidation>
  </x:dataValidations>
  <x:pageMargins left="0.7" right="0.7" top="0.75" bottom="0.75" header="0.3" footer="0.3"/>
  <x:tableParts count="1">
    <x:tablePart xmlns:r="http://schemas.openxmlformats.org/officeDocument/2006/relationships" r:id="R2647dff9f1224c62"/>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Movesets ennemis</x:v>
      </x:c>
      <x:c r="B2" s="2"/>
      <x:c r="C2" s="2"/>
      <x:c r="D2" s="2"/>
      <x:c r="E2" s="2"/>
      <x:c r="F2" s="2"/>
      <x:c r="G2" s="2"/>
      <x:c r="H2" s="2"/>
      <x:c r="I2" s="2"/>
      <x:c r="J2" s="2"/>
      <x:c r="K2" s="2"/>
      <x:c r="L2" s="2"/>
      <x:c r="M2" s="2"/>
      <x:c r="N2" s="2"/>
      <x:c r="O2" s="2"/>
      <x:c r="P2" s="2"/>
      <x:c r="Q2" s="2"/>
    </x:row>
    <x:row r="3" ht="22" customHeight="1">
      <x:c r="A3" s="4" t="str">
        <x:v>Télégraphes, actions et réponses tactiques</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EMV-drone-de-reconnaissance-geth-survol</x:v>
      </x:c>
      <x:c r="B7" s="14" t="str">
        <x:v>Drone de reconnaissance geth — Survol</x:v>
      </x:c>
      <x:c r="C7" s="10" t="str">
        <x:v>Défini</x:v>
      </x:c>
      <x:c r="D7" s="11" t="str">
        <x:v>À produire</x:v>
      </x:c>
      <x:c r="E7" s="15" t="str">
        <x:v>P1</x:v>
      </x:c>
      <x:c r="F7" s="15" t="str">
        <x:v>ME1</x:v>
      </x:c>
      <x:c r="G7" s="15" t="str">
        <x:v>Adaptation</x:v>
      </x:c>
      <x:c r="H7" s="14" t="str">
        <x:v>Vol latéral court avant tir</x:v>
      </x:c>
      <x:c r="I7" s="14" t="str">
        <x:v>Télégraphe, cible, contre-mesure, résolution et retour à l’attente testés.</x:v>
      </x:c>
      <x:c r="J7" s="14" t="str">
        <x:v>ENM-drone-de-reconnaissance-geth</x:v>
      </x:c>
      <x:c r="K7" s="14" t="str">
        <x:v>content/enemy_moves/EMV-drone-de-reconnaissance-geth-survol.json</x:v>
      </x:c>
      <x:c r="L7" s="14" t="str"/>
      <x:c r="M7" s="14" t="str"/>
      <x:c r="N7" s="14" t="str">
        <x:v>Décisions du fan game ; aucune prétention de canon officiel</x:v>
      </x:c>
      <x:c r="O7" s="14" t="str"/>
      <x:c r="P7" s="14" t="str">
        <x:v>Production ME1</x:v>
      </x:c>
      <x:c r="Q7" s="14" t="str">
        <x:v>Interprétation ATB à confronter aux animations et comportements de ME1.</x:v>
      </x:c>
    </x:row>
    <x:row r="8" ht="36" customHeight="1">
      <x:c r="A8" s="12" t="str">
        <x:v>EMV-drone-de-reconnaissance-geth-tir-leger</x:v>
      </x:c>
      <x:c r="B8" s="7" t="str">
        <x:v>Drone de reconnaissance geth — Tir léger</x:v>
      </x:c>
      <x:c r="C8" s="10" t="str">
        <x:v>Défini</x:v>
      </x:c>
      <x:c r="D8" s="11" t="str">
        <x:v>À produire</x:v>
      </x:c>
      <x:c r="E8" s="9" t="str">
        <x:v>P1</x:v>
      </x:c>
      <x:c r="F8" s="9" t="str">
        <x:v>ME1</x:v>
      </x:c>
      <x:c r="G8" s="9" t="str">
        <x:v>Adaptation</x:v>
      </x:c>
      <x:c r="H8" s="7" t="str">
        <x:v>Projectile vers une cible exposée</x:v>
      </x:c>
      <x:c r="I8" s="7" t="str">
        <x:v>Télégraphe, cible, contre-mesure, résolution et retour à l’attente testés.</x:v>
      </x:c>
      <x:c r="J8" s="7" t="str">
        <x:v>ENM-drone-de-reconnaissance-geth</x:v>
      </x:c>
      <x:c r="K8" s="7" t="str">
        <x:v>content/enemy_moves/EMV-drone-de-reconnaissance-geth-tir-leger.json</x:v>
      </x:c>
      <x:c r="L8" s="7" t="str"/>
      <x:c r="M8" s="7" t="str"/>
      <x:c r="N8" s="7" t="str">
        <x:v>Décisions du fan game ; aucune prétention de canon officiel</x:v>
      </x:c>
      <x:c r="O8" s="7" t="str"/>
      <x:c r="P8" s="7" t="str">
        <x:v>Production ME1</x:v>
      </x:c>
      <x:c r="Q8" s="7" t="str">
        <x:v>Interprétation ATB à confronter aux animations et comportements de ME1.</x:v>
      </x:c>
    </x:row>
    <x:row r="9" ht="36" customHeight="1">
      <x:c r="A9" s="13" t="str">
        <x:v>EMV-drone-d-assaut-geth-rafale-aerienne</x:v>
      </x:c>
      <x:c r="B9" s="14" t="str">
        <x:v>Drone d’assaut geth — Rafale aérienne</x:v>
      </x:c>
      <x:c r="C9" s="10" t="str">
        <x:v>Défini</x:v>
      </x:c>
      <x:c r="D9" s="11" t="str">
        <x:v>À produire</x:v>
      </x:c>
      <x:c r="E9" s="15" t="str">
        <x:v>P1</x:v>
      </x:c>
      <x:c r="F9" s="15" t="str">
        <x:v>ME1</x:v>
      </x:c>
      <x:c r="G9" s="15" t="str">
        <x:v>Adaptation</x:v>
      </x:c>
      <x:c r="H9" s="14" t="str">
        <x:v>Maintien de pression depuis une hauteur</x:v>
      </x:c>
      <x:c r="I9" s="14" t="str">
        <x:v>Télégraphe, cible, contre-mesure, résolution et retour à l’attente testés.</x:v>
      </x:c>
      <x:c r="J9" s="14" t="str">
        <x:v>ENM-drone-d-assaut-geth</x:v>
      </x:c>
      <x:c r="K9" s="14" t="str">
        <x:v>content/enemy_moves/EMV-drone-d-assaut-geth-rafale-aerienne.json</x:v>
      </x:c>
      <x:c r="L9" s="14" t="str"/>
      <x:c r="M9" s="14" t="str"/>
      <x:c r="N9" s="14" t="str">
        <x:v>Décisions du fan game ; aucune prétention de canon officiel</x:v>
      </x:c>
      <x:c r="O9" s="14" t="str"/>
      <x:c r="P9" s="14" t="str">
        <x:v>Production ME1</x:v>
      </x:c>
      <x:c r="Q9" s="14" t="str">
        <x:v>Interprétation ATB à confronter aux animations et comportements de ME1.</x:v>
      </x:c>
    </x:row>
    <x:row r="10" ht="36" customHeight="1">
      <x:c r="A10" s="12" t="str">
        <x:v>EMV-drone-d-assaut-geth-repositionnement</x:v>
      </x:c>
      <x:c r="B10" s="7" t="str">
        <x:v>Drone d’assaut geth — Repositionnement</x:v>
      </x:c>
      <x:c r="C10" s="10" t="str">
        <x:v>Défini</x:v>
      </x:c>
      <x:c r="D10" s="11" t="str">
        <x:v>À produire</x:v>
      </x:c>
      <x:c r="E10" s="9" t="str">
        <x:v>P1</x:v>
      </x:c>
      <x:c r="F10" s="9" t="str">
        <x:v>ME1</x:v>
      </x:c>
      <x:c r="G10" s="9" t="str">
        <x:v>Adaptation</x:v>
      </x:c>
      <x:c r="H10" s="7" t="str">
        <x:v>Déplacement vers un angle différent</x:v>
      </x:c>
      <x:c r="I10" s="7" t="str">
        <x:v>Télégraphe, cible, contre-mesure, résolution et retour à l’attente testés.</x:v>
      </x:c>
      <x:c r="J10" s="7" t="str">
        <x:v>ENM-drone-d-assaut-geth</x:v>
      </x:c>
      <x:c r="K10" s="7" t="str">
        <x:v>content/enemy_moves/EMV-drone-d-assaut-geth-repositionnement.json</x:v>
      </x:c>
      <x:c r="L10" s="7" t="str"/>
      <x:c r="M10" s="7" t="str"/>
      <x:c r="N10" s="7" t="str">
        <x:v>Décisions du fan game ; aucune prétention de canon officiel</x:v>
      </x:c>
      <x:c r="O10" s="7" t="str"/>
      <x:c r="P10" s="7" t="str">
        <x:v>Production ME1</x:v>
      </x:c>
      <x:c r="Q10" s="7" t="str">
        <x:v>Interprétation ATB à confronter aux animations et comportements de ME1.</x:v>
      </x:c>
    </x:row>
    <x:row r="11" ht="36" customHeight="1">
      <x:c r="A11" s="13" t="str">
        <x:v>EMV-drone-lance-roquettes-verrouillage</x:v>
      </x:c>
      <x:c r="B11" s="14" t="str">
        <x:v>Drone lance-roquettes — Verrouillage</x:v>
      </x:c>
      <x:c r="C11" s="10" t="str">
        <x:v>Défini</x:v>
      </x:c>
      <x:c r="D11" s="11" t="str">
        <x:v>À produire</x:v>
      </x:c>
      <x:c r="E11" s="15" t="str">
        <x:v>P1</x:v>
      </x:c>
      <x:c r="F11" s="15" t="str">
        <x:v>ME1</x:v>
      </x:c>
      <x:c r="G11" s="15" t="str">
        <x:v>Adaptation</x:v>
      </x:c>
      <x:c r="H11" s="14" t="str">
        <x:v>Annonce de la zone visée</x:v>
      </x:c>
      <x:c r="I11" s="14" t="str">
        <x:v>Télégraphe, cible, contre-mesure, résolution et retour à l’attente testés.</x:v>
      </x:c>
      <x:c r="J11" s="14" t="str">
        <x:v>ENM-drone-lance-roquettes</x:v>
      </x:c>
      <x:c r="K11" s="14" t="str">
        <x:v>content/enemy_moves/EMV-drone-lance-roquettes-verrouillage.json</x:v>
      </x:c>
      <x:c r="L11" s="14" t="str"/>
      <x:c r="M11" s="14" t="str"/>
      <x:c r="N11" s="14" t="str">
        <x:v>Décisions du fan game ; aucune prétention de canon officiel</x:v>
      </x:c>
      <x:c r="O11" s="14" t="str"/>
      <x:c r="P11" s="14" t="str">
        <x:v>Production ME1</x:v>
      </x:c>
      <x:c r="Q11" s="14" t="str">
        <x:v>Interprétation ATB à confronter aux animations et comportements de ME1.</x:v>
      </x:c>
    </x:row>
    <x:row r="12" ht="36" customHeight="1">
      <x:c r="A12" s="12" t="str">
        <x:v>EMV-drone-lance-roquettes-roquette</x:v>
      </x:c>
      <x:c r="B12" s="7" t="str">
        <x:v>Drone lance-roquettes — Roquette</x:v>
      </x:c>
      <x:c r="C12" s="10" t="str">
        <x:v>Défini</x:v>
      </x:c>
      <x:c r="D12" s="11" t="str">
        <x:v>À produire</x:v>
      </x:c>
      <x:c r="E12" s="9" t="str">
        <x:v>P1</x:v>
      </x:c>
      <x:c r="F12" s="9" t="str">
        <x:v>ME1</x:v>
      </x:c>
      <x:c r="G12" s="9" t="str">
        <x:v>Adaptation</x:v>
      </x:c>
      <x:c r="H12" s="7" t="str">
        <x:v>Résolution de l’attaque de zone</x:v>
      </x:c>
      <x:c r="I12" s="7" t="str">
        <x:v>Télégraphe, cible, contre-mesure, résolution et retour à l’attente testés.</x:v>
      </x:c>
      <x:c r="J12" s="7" t="str">
        <x:v>ENM-drone-lance-roquettes</x:v>
      </x:c>
      <x:c r="K12" s="7" t="str">
        <x:v>content/enemy_moves/EMV-drone-lance-roquettes-roquette.json</x:v>
      </x:c>
      <x:c r="L12" s="7" t="str"/>
      <x:c r="M12" s="7" t="str"/>
      <x:c r="N12" s="7" t="str">
        <x:v>Décisions du fan game ; aucune prétention de canon officiel</x:v>
      </x:c>
      <x:c r="O12" s="7" t="str"/>
      <x:c r="P12" s="7" t="str">
        <x:v>Production ME1</x:v>
      </x:c>
      <x:c r="Q12" s="7" t="str">
        <x:v>Interprétation ATB à confronter aux animations et comportements de ME1.</x:v>
      </x:c>
    </x:row>
    <x:row r="13" ht="36" customHeight="1">
      <x:c r="A13" s="13" t="str">
        <x:v>EMV-soldat-geth-rafale</x:v>
      </x:c>
      <x:c r="B13" s="14" t="str">
        <x:v>Soldat geth — Rafale</x:v>
      </x:c>
      <x:c r="C13" s="10" t="str">
        <x:v>Défini</x:v>
      </x:c>
      <x:c r="D13" s="11" t="str">
        <x:v>À produire</x:v>
      </x:c>
      <x:c r="E13" s="15" t="str">
        <x:v>P1</x:v>
      </x:c>
      <x:c r="F13" s="15" t="str">
        <x:v>ME1</x:v>
      </x:c>
      <x:c r="G13" s="15" t="str">
        <x:v>Adaptation</x:v>
      </x:c>
      <x:c r="H13" s="14" t="str">
        <x:v>Tir standard avec récupération</x:v>
      </x:c>
      <x:c r="I13" s="14" t="str">
        <x:v>Télégraphe, cible, contre-mesure, résolution et retour à l’attente testés.</x:v>
      </x:c>
      <x:c r="J13" s="14" t="str">
        <x:v>ENM-soldat-geth</x:v>
      </x:c>
      <x:c r="K13" s="14" t="str">
        <x:v>content/enemy_moves/EMV-soldat-geth-rafale.json</x:v>
      </x:c>
      <x:c r="L13" s="14" t="str"/>
      <x:c r="M13" s="14" t="str"/>
      <x:c r="N13" s="14" t="str">
        <x:v>Décisions du fan game ; aucune prétention de canon officiel</x:v>
      </x:c>
      <x:c r="O13" s="14" t="str"/>
      <x:c r="P13" s="14" t="str">
        <x:v>Production ME1</x:v>
      </x:c>
      <x:c r="Q13" s="14" t="str">
        <x:v>Interprétation ATB à confronter aux animations et comportements de ME1.</x:v>
      </x:c>
    </x:row>
    <x:row r="14" ht="36" customHeight="1">
      <x:c r="A14" s="12" t="str">
        <x:v>EMV-soldat-geth-couvert</x:v>
      </x:c>
      <x:c r="B14" s="7" t="str">
        <x:v>Soldat geth — Couvert</x:v>
      </x:c>
      <x:c r="C14" s="10" t="str">
        <x:v>Défini</x:v>
      </x:c>
      <x:c r="D14" s="11" t="str">
        <x:v>À produire</x:v>
      </x:c>
      <x:c r="E14" s="9" t="str">
        <x:v>P1</x:v>
      </x:c>
      <x:c r="F14" s="9" t="str">
        <x:v>ME1</x:v>
      </x:c>
      <x:c r="G14" s="9" t="str">
        <x:v>Adaptation</x:v>
      </x:c>
      <x:c r="H14" s="7" t="str">
        <x:v>Réduit son exposition</x:v>
      </x:c>
      <x:c r="I14" s="7" t="str">
        <x:v>Télégraphe, cible, contre-mesure, résolution et retour à l’attente testés.</x:v>
      </x:c>
      <x:c r="J14" s="7" t="str">
        <x:v>ENM-soldat-geth</x:v>
      </x:c>
      <x:c r="K14" s="7" t="str">
        <x:v>content/enemy_moves/EMV-soldat-geth-couvert.json</x:v>
      </x:c>
      <x:c r="L14" s="7" t="str"/>
      <x:c r="M14" s="7" t="str"/>
      <x:c r="N14" s="7" t="str">
        <x:v>Décisions du fan game ; aucune prétention de canon officiel</x:v>
      </x:c>
      <x:c r="O14" s="7" t="str"/>
      <x:c r="P14" s="7" t="str">
        <x:v>Production ME1</x:v>
      </x:c>
      <x:c r="Q14" s="7" t="str">
        <x:v>Interprétation ATB à confronter aux animations et comportements de ME1.</x:v>
      </x:c>
    </x:row>
    <x:row r="15" ht="36" customHeight="1">
      <x:c r="A15" s="13" t="str">
        <x:v>EMV-sniper-geth-visee</x:v>
      </x:c>
      <x:c r="B15" s="14" t="str">
        <x:v>Sniper geth — Visée</x:v>
      </x:c>
      <x:c r="C15" s="10" t="str">
        <x:v>Défini</x:v>
      </x:c>
      <x:c r="D15" s="11" t="str">
        <x:v>À produire</x:v>
      </x:c>
      <x:c r="E15" s="15" t="str">
        <x:v>P1</x:v>
      </x:c>
      <x:c r="F15" s="15" t="str">
        <x:v>ME1</x:v>
      </x:c>
      <x:c r="G15" s="15" t="str">
        <x:v>Adaptation</x:v>
      </x:c>
      <x:c r="H15" s="14" t="str">
        <x:v>Ligne de tir annoncée</x:v>
      </x:c>
      <x:c r="I15" s="14" t="str">
        <x:v>Télégraphe, cible, contre-mesure, résolution et retour à l’attente testés.</x:v>
      </x:c>
      <x:c r="J15" s="14" t="str">
        <x:v>ENM-sniper-geth</x:v>
      </x:c>
      <x:c r="K15" s="14" t="str">
        <x:v>content/enemy_moves/EMV-sniper-geth-visee.json</x:v>
      </x:c>
      <x:c r="L15" s="14" t="str"/>
      <x:c r="M15" s="14" t="str"/>
      <x:c r="N15" s="14" t="str">
        <x:v>Décisions du fan game ; aucune prétention de canon officiel</x:v>
      </x:c>
      <x:c r="O15" s="14" t="str"/>
      <x:c r="P15" s="14" t="str">
        <x:v>Production ME1</x:v>
      </x:c>
      <x:c r="Q15" s="14" t="str">
        <x:v>Interprétation ATB à confronter aux animations et comportements de ME1.</x:v>
      </x:c>
    </x:row>
    <x:row r="16" ht="36" customHeight="1">
      <x:c r="A16" s="12" t="str">
        <x:v>EMV-sniper-geth-tir-precis</x:v>
      </x:c>
      <x:c r="B16" s="7" t="str">
        <x:v>Sniper geth — Tir précis</x:v>
      </x:c>
      <x:c r="C16" s="10" t="str">
        <x:v>Défini</x:v>
      </x:c>
      <x:c r="D16" s="11" t="str">
        <x:v>À produire</x:v>
      </x:c>
      <x:c r="E16" s="9" t="str">
        <x:v>P1</x:v>
      </x:c>
      <x:c r="F16" s="9" t="str">
        <x:v>ME1</x:v>
      </x:c>
      <x:c r="G16" s="9" t="str">
        <x:v>Adaptation</x:v>
      </x:c>
      <x:c r="H16" s="7" t="str">
        <x:v>Attaque lente à forte menace</x:v>
      </x:c>
      <x:c r="I16" s="7" t="str">
        <x:v>Télégraphe, cible, contre-mesure, résolution et retour à l’attente testés.</x:v>
      </x:c>
      <x:c r="J16" s="7" t="str">
        <x:v>ENM-sniper-geth</x:v>
      </x:c>
      <x:c r="K16" s="7" t="str">
        <x:v>content/enemy_moves/EMV-sniper-geth-tir-precis.json</x:v>
      </x:c>
      <x:c r="L16" s="7" t="str"/>
      <x:c r="M16" s="7" t="str"/>
      <x:c r="N16" s="7" t="str">
        <x:v>Décisions du fan game ; aucune prétention de canon officiel</x:v>
      </x:c>
      <x:c r="O16" s="7" t="str"/>
      <x:c r="P16" s="7" t="str">
        <x:v>Production ME1</x:v>
      </x:c>
      <x:c r="Q16" s="7" t="str">
        <x:v>Interprétation ATB à confronter aux animations et comportements de ME1.</x:v>
      </x:c>
    </x:row>
    <x:row r="17" ht="36" customHeight="1">
      <x:c r="A17" s="13" t="str">
        <x:v>EMV-lance-roquettes-geth-preparation</x:v>
      </x:c>
      <x:c r="B17" s="14" t="str">
        <x:v>Lance-roquettes geth — Préparation</x:v>
      </x:c>
      <x:c r="C17" s="10" t="str">
        <x:v>Défini</x:v>
      </x:c>
      <x:c r="D17" s="11" t="str">
        <x:v>À produire</x:v>
      </x:c>
      <x:c r="E17" s="15" t="str">
        <x:v>P1</x:v>
      </x:c>
      <x:c r="F17" s="15" t="str">
        <x:v>ME1</x:v>
      </x:c>
      <x:c r="G17" s="15" t="str">
        <x:v>Adaptation</x:v>
      </x:c>
      <x:c r="H17" s="14" t="str">
        <x:v>Pose de tir lisible</x:v>
      </x:c>
      <x:c r="I17" s="14" t="str">
        <x:v>Télégraphe, cible, contre-mesure, résolution et retour à l’attente testés.</x:v>
      </x:c>
      <x:c r="J17" s="14" t="str">
        <x:v>ENM-lance-roquettes-geth</x:v>
      </x:c>
      <x:c r="K17" s="14" t="str">
        <x:v>content/enemy_moves/EMV-lance-roquettes-geth-preparation.json</x:v>
      </x:c>
      <x:c r="L17" s="14" t="str"/>
      <x:c r="M17" s="14" t="str"/>
      <x:c r="N17" s="14" t="str">
        <x:v>Décisions du fan game ; aucune prétention de canon officiel</x:v>
      </x:c>
      <x:c r="O17" s="14" t="str"/>
      <x:c r="P17" s="14" t="str">
        <x:v>Production ME1</x:v>
      </x:c>
      <x:c r="Q17" s="14" t="str">
        <x:v>Interprétation ATB à confronter aux animations et comportements de ME1.</x:v>
      </x:c>
    </x:row>
    <x:row r="18" ht="36" customHeight="1">
      <x:c r="A18" s="12" t="str">
        <x:v>EMV-lance-roquettes-geth-explosion</x:v>
      </x:c>
      <x:c r="B18" s="7" t="str">
        <x:v>Lance-roquettes geth — Explosion</x:v>
      </x:c>
      <x:c r="C18" s="10" t="str">
        <x:v>Défini</x:v>
      </x:c>
      <x:c r="D18" s="11" t="str">
        <x:v>À produire</x:v>
      </x:c>
      <x:c r="E18" s="9" t="str">
        <x:v>P1</x:v>
      </x:c>
      <x:c r="F18" s="9" t="str">
        <x:v>ME1</x:v>
      </x:c>
      <x:c r="G18" s="9" t="str">
        <x:v>Adaptation</x:v>
      </x:c>
      <x:c r="H18" s="7" t="str">
        <x:v>Dégâts dans la zone ciblée</x:v>
      </x:c>
      <x:c r="I18" s="7" t="str">
        <x:v>Télégraphe, cible, contre-mesure, résolution et retour à l’attente testés.</x:v>
      </x:c>
      <x:c r="J18" s="7" t="str">
        <x:v>ENM-lance-roquettes-geth</x:v>
      </x:c>
      <x:c r="K18" s="7" t="str">
        <x:v>content/enemy_moves/EMV-lance-roquettes-geth-explosion.json</x:v>
      </x:c>
      <x:c r="L18" s="7" t="str"/>
      <x:c r="M18" s="7" t="str"/>
      <x:c r="N18" s="7" t="str">
        <x:v>Décisions du fan game ; aucune prétention de canon officiel</x:v>
      </x:c>
      <x:c r="O18" s="7" t="str"/>
      <x:c r="P18" s="7" t="str">
        <x:v>Production ME1</x:v>
      </x:c>
      <x:c r="Q18" s="7" t="str">
        <x:v>Interprétation ATB à confronter aux animations et comportements de ME1.</x:v>
      </x:c>
    </x:row>
    <x:row r="19" ht="36" customHeight="1">
      <x:c r="A19" s="13" t="str">
        <x:v>EMV-soldat-de-choc-geth-feu-soutenu</x:v>
      </x:c>
      <x:c r="B19" s="14" t="str">
        <x:v>Soldat de choc geth — Feu soutenu</x:v>
      </x:c>
      <x:c r="C19" s="10" t="str">
        <x:v>Défini</x:v>
      </x:c>
      <x:c r="D19" s="11" t="str">
        <x:v>À produire</x:v>
      </x:c>
      <x:c r="E19" s="15" t="str">
        <x:v>P1</x:v>
      </x:c>
      <x:c r="F19" s="15" t="str">
        <x:v>ME1</x:v>
      </x:c>
      <x:c r="G19" s="15" t="str">
        <x:v>Adaptation</x:v>
      </x:c>
      <x:c r="H19" s="14" t="str">
        <x:v>Attaque renforcée</x:v>
      </x:c>
      <x:c r="I19" s="14" t="str">
        <x:v>Télégraphe, cible, contre-mesure, résolution et retour à l’attente testés.</x:v>
      </x:c>
      <x:c r="J19" s="14" t="str">
        <x:v>ENM-soldat-de-choc-geth</x:v>
      </x:c>
      <x:c r="K19" s="14" t="str">
        <x:v>content/enemy_moves/EMV-soldat-de-choc-geth-feu-soutenu.json</x:v>
      </x:c>
      <x:c r="L19" s="14" t="str"/>
      <x:c r="M19" s="14" t="str"/>
      <x:c r="N19" s="14" t="str">
        <x:v>Décisions du fan game ; aucune prétention de canon officiel</x:v>
      </x:c>
      <x:c r="O19" s="14" t="str"/>
      <x:c r="P19" s="14" t="str">
        <x:v>Production ME1</x:v>
      </x:c>
      <x:c r="Q19" s="14" t="str">
        <x:v>Interprétation ATB à confronter aux animations et comportements de ME1.</x:v>
      </x:c>
    </x:row>
    <x:row r="20" ht="36" customHeight="1">
      <x:c r="A20" s="12" t="str">
        <x:v>EMV-soldat-de-choc-geth-maintien-de-position</x:v>
      </x:c>
      <x:c r="B20" s="7" t="str">
        <x:v>Soldat de choc geth — Maintien de position</x:v>
      </x:c>
      <x:c r="C20" s="10" t="str">
        <x:v>Défini</x:v>
      </x:c>
      <x:c r="D20" s="11" t="str">
        <x:v>À produire</x:v>
      </x:c>
      <x:c r="E20" s="9" t="str">
        <x:v>P1</x:v>
      </x:c>
      <x:c r="F20" s="9" t="str">
        <x:v>ME1</x:v>
      </x:c>
      <x:c r="G20" s="9" t="str">
        <x:v>Adaptation</x:v>
      </x:c>
      <x:c r="H20" s="7" t="str">
        <x:v>Protection accrue</x:v>
      </x:c>
      <x:c r="I20" s="7" t="str">
        <x:v>Télégraphe, cible, contre-mesure, résolution et retour à l’attente testés.</x:v>
      </x:c>
      <x:c r="J20" s="7" t="str">
        <x:v>ENM-soldat-de-choc-geth</x:v>
      </x:c>
      <x:c r="K20" s="7" t="str">
        <x:v>content/enemy_moves/EMV-soldat-de-choc-geth-maintien-de-position.json</x:v>
      </x:c>
      <x:c r="L20" s="7" t="str"/>
      <x:c r="M20" s="7" t="str"/>
      <x:c r="N20" s="7" t="str">
        <x:v>Décisions du fan game ; aucune prétention de canon officiel</x:v>
      </x:c>
      <x:c r="O20" s="7" t="str"/>
      <x:c r="P20" s="7" t="str">
        <x:v>Production ME1</x:v>
      </x:c>
      <x:c r="Q20" s="7" t="str">
        <x:v>Interprétation ATB à confronter aux animations et comportements de ME1.</x:v>
      </x:c>
    </x:row>
    <x:row r="21" ht="36" customHeight="1">
      <x:c r="A21" s="13" t="str">
        <x:v>EMV-destructeur-geth-avance</x:v>
      </x:c>
      <x:c r="B21" s="14" t="str">
        <x:v>Destructeur geth — Avance</x:v>
      </x:c>
      <x:c r="C21" s="10" t="str">
        <x:v>Défini</x:v>
      </x:c>
      <x:c r="D21" s="11" t="str">
        <x:v>À produire</x:v>
      </x:c>
      <x:c r="E21" s="15" t="str">
        <x:v>P1</x:v>
      </x:c>
      <x:c r="F21" s="15" t="str">
        <x:v>ME1</x:v>
      </x:c>
      <x:c r="G21" s="15" t="str">
        <x:v>Adaptation</x:v>
      </x:c>
      <x:c r="H21" s="14" t="str">
        <x:v>Ferme la distance</x:v>
      </x:c>
      <x:c r="I21" s="14" t="str">
        <x:v>Télégraphe, cible, contre-mesure, résolution et retour à l’attente testés.</x:v>
      </x:c>
      <x:c r="J21" s="14" t="str">
        <x:v>ENM-destructeur-geth</x:v>
      </x:c>
      <x:c r="K21" s="14" t="str">
        <x:v>content/enemy_moves/EMV-destructeur-geth-avance.json</x:v>
      </x:c>
      <x:c r="L21" s="14" t="str"/>
      <x:c r="M21" s="14" t="str"/>
      <x:c r="N21" s="14" t="str">
        <x:v>Décisions du fan game ; aucune prétention de canon officiel</x:v>
      </x:c>
      <x:c r="O21" s="14" t="str"/>
      <x:c r="P21" s="14" t="str">
        <x:v>Production ME1</x:v>
      </x:c>
      <x:c r="Q21" s="14" t="str">
        <x:v>Interprétation ATB à confronter aux animations et comportements de ME1.</x:v>
      </x:c>
    </x:row>
    <x:row r="22" ht="36" customHeight="1">
      <x:c r="A22" s="12" t="str">
        <x:v>EMV-destructeur-geth-attaque-lourde</x:v>
      </x:c>
      <x:c r="B22" s="7" t="str">
        <x:v>Destructeur geth — Attaque lourde</x:v>
      </x:c>
      <x:c r="C22" s="10" t="str">
        <x:v>Défini</x:v>
      </x:c>
      <x:c r="D22" s="11" t="str">
        <x:v>À produire</x:v>
      </x:c>
      <x:c r="E22" s="9" t="str">
        <x:v>P1</x:v>
      </x:c>
      <x:c r="F22" s="9" t="str">
        <x:v>ME1</x:v>
      </x:c>
      <x:c r="G22" s="9" t="str">
        <x:v>Adaptation</x:v>
      </x:c>
      <x:c r="H22" s="7" t="str">
        <x:v>Punition à courte portée</x:v>
      </x:c>
      <x:c r="I22" s="7" t="str">
        <x:v>Télégraphe, cible, contre-mesure, résolution et retour à l’attente testés.</x:v>
      </x:c>
      <x:c r="J22" s="7" t="str">
        <x:v>ENM-destructeur-geth</x:v>
      </x:c>
      <x:c r="K22" s="7" t="str">
        <x:v>content/enemy_moves/EMV-destructeur-geth-attaque-lourde.json</x:v>
      </x:c>
      <x:c r="L22" s="7" t="str"/>
      <x:c r="M22" s="7" t="str"/>
      <x:c r="N22" s="7" t="str">
        <x:v>Décisions du fan game ; aucune prétention de canon officiel</x:v>
      </x:c>
      <x:c r="O22" s="7" t="str"/>
      <x:c r="P22" s="7" t="str">
        <x:v>Production ME1</x:v>
      </x:c>
      <x:c r="Q22" s="7" t="str">
        <x:v>Interprétation ATB à confronter aux animations et comportements de ME1.</x:v>
      </x:c>
    </x:row>
    <x:row r="23" ht="36" customHeight="1">
      <x:c r="A23" s="13" t="str">
        <x:v>EMV-juggernaut-geth-tir-lourd</x:v>
      </x:c>
      <x:c r="B23" s="14" t="str">
        <x:v>Juggernaut geth — Tir lourd</x:v>
      </x:c>
      <x:c r="C23" s="10" t="str">
        <x:v>Défini</x:v>
      </x:c>
      <x:c r="D23" s="11" t="str">
        <x:v>À produire</x:v>
      </x:c>
      <x:c r="E23" s="15" t="str">
        <x:v>P1</x:v>
      </x:c>
      <x:c r="F23" s="15" t="str">
        <x:v>ME1</x:v>
      </x:c>
      <x:c r="G23" s="15" t="str">
        <x:v>Adaptation</x:v>
      </x:c>
      <x:c r="H23" s="14" t="str">
        <x:v>Pression à distance</x:v>
      </x:c>
      <x:c r="I23" s="14" t="str">
        <x:v>Télégraphe, cible, contre-mesure, résolution et retour à l’attente testés.</x:v>
      </x:c>
      <x:c r="J23" s="14" t="str">
        <x:v>ENM-juggernaut-geth</x:v>
      </x:c>
      <x:c r="K23" s="14" t="str">
        <x:v>content/enemy_moves/EMV-juggernaut-geth-tir-lourd.json</x:v>
      </x:c>
      <x:c r="L23" s="14" t="str"/>
      <x:c r="M23" s="14" t="str"/>
      <x:c r="N23" s="14" t="str">
        <x:v>Décisions du fan game ; aucune prétention de canon officiel</x:v>
      </x:c>
      <x:c r="O23" s="14" t="str"/>
      <x:c r="P23" s="14" t="str">
        <x:v>Production ME1</x:v>
      </x:c>
      <x:c r="Q23" s="14" t="str">
        <x:v>Interprétation ATB à confronter aux animations et comportements de ME1.</x:v>
      </x:c>
    </x:row>
    <x:row r="24" ht="36" customHeight="1">
      <x:c r="A24" s="12" t="str">
        <x:v>EMV-juggernaut-geth-resistance</x:v>
      </x:c>
      <x:c r="B24" s="7" t="str">
        <x:v>Juggernaut geth — Résistance</x:v>
      </x:c>
      <x:c r="C24" s="10" t="str">
        <x:v>Défini</x:v>
      </x:c>
      <x:c r="D24" s="11" t="str">
        <x:v>À produire</x:v>
      </x:c>
      <x:c r="E24" s="9" t="str">
        <x:v>P1</x:v>
      </x:c>
      <x:c r="F24" s="9" t="str">
        <x:v>ME1</x:v>
      </x:c>
      <x:c r="G24" s="9" t="str">
        <x:v>Adaptation</x:v>
      </x:c>
      <x:c r="H24" s="7" t="str">
        <x:v>Réduit les contrôles faibles</x:v>
      </x:c>
      <x:c r="I24" s="7" t="str">
        <x:v>Télégraphe, cible, contre-mesure, résolution et retour à l’attente testés.</x:v>
      </x:c>
      <x:c r="J24" s="7" t="str">
        <x:v>ENM-juggernaut-geth</x:v>
      </x:c>
      <x:c r="K24" s="7" t="str">
        <x:v>content/enemy_moves/EMV-juggernaut-geth-resistance.json</x:v>
      </x:c>
      <x:c r="L24" s="7" t="str"/>
      <x:c r="M24" s="7" t="str"/>
      <x:c r="N24" s="7" t="str">
        <x:v>Décisions du fan game ; aucune prétention de canon officiel</x:v>
      </x:c>
      <x:c r="O24" s="7" t="str"/>
      <x:c r="P24" s="7" t="str">
        <x:v>Production ME1</x:v>
      </x:c>
      <x:c r="Q24" s="7" t="str">
        <x:v>Interprétation ATB à confronter aux animations et comportements de ME1.</x:v>
      </x:c>
    </x:row>
    <x:row r="25" ht="36" customHeight="1">
      <x:c r="A25" s="13" t="str">
        <x:v>EMV-traqueur-geth-bond-mural</x:v>
      </x:c>
      <x:c r="B25" s="14" t="str">
        <x:v>Traqueur geth — Bond mural</x:v>
      </x:c>
      <x:c r="C25" s="10" t="str">
        <x:v>Défini</x:v>
      </x:c>
      <x:c r="D25" s="11" t="str">
        <x:v>À produire</x:v>
      </x:c>
      <x:c r="E25" s="15" t="str">
        <x:v>P1</x:v>
      </x:c>
      <x:c r="F25" s="15" t="str">
        <x:v>ME1</x:v>
      </x:c>
      <x:c r="G25" s="15" t="str">
        <x:v>Adaptation</x:v>
      </x:c>
      <x:c r="H25" s="14" t="str">
        <x:v>Change de surface d’ancrage</x:v>
      </x:c>
      <x:c r="I25" s="14" t="str">
        <x:v>Télégraphe, cible, contre-mesure, résolution et retour à l’attente testés.</x:v>
      </x:c>
      <x:c r="J25" s="14" t="str">
        <x:v>ENM-traqueur-geth</x:v>
      </x:c>
      <x:c r="K25" s="14" t="str">
        <x:v>content/enemy_moves/EMV-traqueur-geth-bond-mural.json</x:v>
      </x:c>
      <x:c r="L25" s="14" t="str"/>
      <x:c r="M25" s="14" t="str"/>
      <x:c r="N25" s="14" t="str">
        <x:v>Décisions du fan game ; aucune prétention de canon officiel</x:v>
      </x:c>
      <x:c r="O25" s="14" t="str"/>
      <x:c r="P25" s="14" t="str">
        <x:v>Production ME1</x:v>
      </x:c>
      <x:c r="Q25" s="14" t="str">
        <x:v>Interprétation ATB à confronter aux animations et comportements de ME1.</x:v>
      </x:c>
    </x:row>
    <x:row r="26" ht="36" customHeight="1">
      <x:c r="A26" s="12" t="str">
        <x:v>EMV-traqueur-geth-tir-incline</x:v>
      </x:c>
      <x:c r="B26" s="7" t="str">
        <x:v>Traqueur geth — Tir incliné</x:v>
      </x:c>
      <x:c r="C26" s="10" t="str">
        <x:v>Défini</x:v>
      </x:c>
      <x:c r="D26" s="11" t="str">
        <x:v>À produire</x:v>
      </x:c>
      <x:c r="E26" s="9" t="str">
        <x:v>P1</x:v>
      </x:c>
      <x:c r="F26" s="9" t="str">
        <x:v>ME1</x:v>
      </x:c>
      <x:c r="G26" s="9" t="str">
        <x:v>Adaptation</x:v>
      </x:c>
      <x:c r="H26" s="7" t="str">
        <x:v>Attaque depuis un appui vertical</x:v>
      </x:c>
      <x:c r="I26" s="7" t="str">
        <x:v>Télégraphe, cible, contre-mesure, résolution et retour à l’attente testés.</x:v>
      </x:c>
      <x:c r="J26" s="7" t="str">
        <x:v>ENM-traqueur-geth</x:v>
      </x:c>
      <x:c r="K26" s="7" t="str">
        <x:v>content/enemy_moves/EMV-traqueur-geth-tir-incline.json</x:v>
      </x:c>
      <x:c r="L26" s="7" t="str"/>
      <x:c r="M26" s="7" t="str"/>
      <x:c r="N26" s="7" t="str">
        <x:v>Décisions du fan game ; aucune prétention de canon officiel</x:v>
      </x:c>
      <x:c r="O26" s="7" t="str"/>
      <x:c r="P26" s="7" t="str">
        <x:v>Production ME1</x:v>
      </x:c>
      <x:c r="Q26" s="7" t="str">
        <x:v>Interprétation ATB à confronter aux animations et comportements de ME1.</x:v>
      </x:c>
    </x:row>
    <x:row r="27" ht="36" customHeight="1">
      <x:c r="A27" s="13" t="str">
        <x:v>EMV-sapeur-geth-sabotage</x:v>
      </x:c>
      <x:c r="B27" s="14" t="str">
        <x:v>Sapeur geth — Sabotage</x:v>
      </x:c>
      <x:c r="C27" s="10" t="str">
        <x:v>Défini</x:v>
      </x:c>
      <x:c r="D27" s="11" t="str">
        <x:v>À produire</x:v>
      </x:c>
      <x:c r="E27" s="15" t="str">
        <x:v>P1</x:v>
      </x:c>
      <x:c r="F27" s="15" t="str">
        <x:v>ME1</x:v>
      </x:c>
      <x:c r="G27" s="15" t="str">
        <x:v>Adaptation</x:v>
      </x:c>
      <x:c r="H27" s="14" t="str">
        <x:v>Perturbe une arme</x:v>
      </x:c>
      <x:c r="I27" s="14" t="str">
        <x:v>Télégraphe, cible, contre-mesure, résolution et retour à l’attente testés.</x:v>
      </x:c>
      <x:c r="J27" s="14" t="str">
        <x:v>ENM-sapeur-geth</x:v>
      </x:c>
      <x:c r="K27" s="14" t="str">
        <x:v>content/enemy_moves/EMV-sapeur-geth-sabotage.json</x:v>
      </x:c>
      <x:c r="L27" s="14" t="str"/>
      <x:c r="M27" s="14" t="str"/>
      <x:c r="N27" s="14" t="str">
        <x:v>Décisions du fan game ; aucune prétention de canon officiel</x:v>
      </x:c>
      <x:c r="O27" s="14" t="str"/>
      <x:c r="P27" s="14" t="str">
        <x:v>Production ME1</x:v>
      </x:c>
      <x:c r="Q27" s="14" t="str">
        <x:v>Interprétation ATB à confronter aux animations et comportements de ME1.</x:v>
      </x:c>
    </x:row>
    <x:row r="28" ht="36" customHeight="1">
      <x:c r="A28" s="12" t="str">
        <x:v>EMV-sapeur-geth-repli-bondissant</x:v>
      </x:c>
      <x:c r="B28" s="7" t="str">
        <x:v>Sapeur geth — Repli bondissant</x:v>
      </x:c>
      <x:c r="C28" s="10" t="str">
        <x:v>Défini</x:v>
      </x:c>
      <x:c r="D28" s="11" t="str">
        <x:v>À produire</x:v>
      </x:c>
      <x:c r="E28" s="9" t="str">
        <x:v>P1</x:v>
      </x:c>
      <x:c r="F28" s="9" t="str">
        <x:v>ME1</x:v>
      </x:c>
      <x:c r="G28" s="9" t="str">
        <x:v>Adaptation</x:v>
      </x:c>
      <x:c r="H28" s="7" t="str">
        <x:v>Réduit la possibilité de riposte</x:v>
      </x:c>
      <x:c r="I28" s="7" t="str">
        <x:v>Télégraphe, cible, contre-mesure, résolution et retour à l’attente testés.</x:v>
      </x:c>
      <x:c r="J28" s="7" t="str">
        <x:v>ENM-sapeur-geth</x:v>
      </x:c>
      <x:c r="K28" s="7" t="str">
        <x:v>content/enemy_moves/EMV-sapeur-geth-repli-bondissant.json</x:v>
      </x:c>
      <x:c r="L28" s="7" t="str"/>
      <x:c r="M28" s="7" t="str"/>
      <x:c r="N28" s="7" t="str">
        <x:v>Décisions du fan game ; aucune prétention de canon officiel</x:v>
      </x:c>
      <x:c r="O28" s="7" t="str"/>
      <x:c r="P28" s="7" t="str">
        <x:v>Production ME1</x:v>
      </x:c>
      <x:c r="Q28" s="7" t="str">
        <x:v>Interprétation ATB à confronter aux animations et comportements de ME1.</x:v>
      </x:c>
    </x:row>
    <x:row r="29" ht="36" customHeight="1">
      <x:c r="A29" s="13" t="str">
        <x:v>EMV-fantome-geth-bond</x:v>
      </x:c>
      <x:c r="B29" s="14" t="str">
        <x:v>Fantôme geth — Bond</x:v>
      </x:c>
      <x:c r="C29" s="10" t="str">
        <x:v>Défini</x:v>
      </x:c>
      <x:c r="D29" s="11" t="str">
        <x:v>À produire</x:v>
      </x:c>
      <x:c r="E29" s="15" t="str">
        <x:v>P1</x:v>
      </x:c>
      <x:c r="F29" s="15" t="str">
        <x:v>ME1</x:v>
      </x:c>
      <x:c r="G29" s="15" t="str">
        <x:v>Adaptation</x:v>
      </x:c>
      <x:c r="H29" s="14" t="str">
        <x:v>Déplacement rapide de couverture</x:v>
      </x:c>
      <x:c r="I29" s="14" t="str">
        <x:v>Télégraphe, cible, contre-mesure, résolution et retour à l’attente testés.</x:v>
      </x:c>
      <x:c r="J29" s="14" t="str">
        <x:v>ENM-fantome-geth</x:v>
      </x:c>
      <x:c r="K29" s="14" t="str">
        <x:v>content/enemy_moves/EMV-fantome-geth-bond.json</x:v>
      </x:c>
      <x:c r="L29" s="14" t="str"/>
      <x:c r="M29" s="14" t="str"/>
      <x:c r="N29" s="14" t="str">
        <x:v>Décisions du fan game ; aucune prétention de canon officiel</x:v>
      </x:c>
      <x:c r="O29" s="14" t="str"/>
      <x:c r="P29" s="14" t="str">
        <x:v>Production ME1</x:v>
      </x:c>
      <x:c r="Q29" s="14" t="str">
        <x:v>Interprétation ATB à confronter aux animations et comportements de ME1.</x:v>
      </x:c>
    </x:row>
    <x:row r="30" ht="36" customHeight="1">
      <x:c r="A30" s="12" t="str">
        <x:v>EMV-fantome-geth-attaque-a-verifier</x:v>
      </x:c>
      <x:c r="B30" s="7" t="str">
        <x:v>Fantôme geth — Attaque à vérifier</x:v>
      </x:c>
      <x:c r="C30" s="10" t="str">
        <x:v>Défini</x:v>
      </x:c>
      <x:c r="D30" s="11" t="str">
        <x:v>À produire</x:v>
      </x:c>
      <x:c r="E30" s="9" t="str">
        <x:v>P1</x:v>
      </x:c>
      <x:c r="F30" s="9" t="str">
        <x:v>ME1</x:v>
      </x:c>
      <x:c r="G30" s="9" t="str">
        <x:v>Adaptation</x:v>
      </x:c>
      <x:c r="H30" s="7" t="str">
        <x:v>Comportement exact à relever avant codage</x:v>
      </x:c>
      <x:c r="I30" s="7" t="str">
        <x:v>Télégraphe, cible, contre-mesure, résolution et retour à l’attente testés.</x:v>
      </x:c>
      <x:c r="J30" s="7" t="str">
        <x:v>ENM-fantome-geth</x:v>
      </x:c>
      <x:c r="K30" s="7" t="str">
        <x:v>content/enemy_moves/EMV-fantome-geth-attaque-a-verifier.json</x:v>
      </x:c>
      <x:c r="L30" s="7" t="str"/>
      <x:c r="M30" s="7" t="str"/>
      <x:c r="N30" s="7" t="str">
        <x:v>Décisions du fan game ; aucune prétention de canon officiel</x:v>
      </x:c>
      <x:c r="O30" s="7" t="str"/>
      <x:c r="P30" s="7" t="str">
        <x:v>Production ME1</x:v>
      </x:c>
      <x:c r="Q30" s="7" t="str">
        <x:v>Interprétation ATB à confronter aux animations et comportements de ME1.</x:v>
      </x:c>
    </x:row>
    <x:row r="31" ht="36" customHeight="1">
      <x:c r="A31" s="13" t="str">
        <x:v>EMV-armature-geth-charge-du-canon</x:v>
      </x:c>
      <x:c r="B31" s="14" t="str">
        <x:v>Armature geth — Charge du canon</x:v>
      </x:c>
      <x:c r="C31" s="10" t="str">
        <x:v>Défini</x:v>
      </x:c>
      <x:c r="D31" s="11" t="str">
        <x:v>À produire</x:v>
      </x:c>
      <x:c r="E31" s="15" t="str">
        <x:v>P1</x:v>
      </x:c>
      <x:c r="F31" s="15" t="str">
        <x:v>ME1</x:v>
      </x:c>
      <x:c r="G31" s="15" t="str">
        <x:v>Adaptation</x:v>
      </x:c>
      <x:c r="H31" s="14" t="str">
        <x:v>Télégraphe de rayon</x:v>
      </x:c>
      <x:c r="I31" s="14" t="str">
        <x:v>Télégraphe, cible, contre-mesure, résolution et retour à l’attente testés.</x:v>
      </x:c>
      <x:c r="J31" s="14" t="str">
        <x:v>ENM-armature-geth</x:v>
      </x:c>
      <x:c r="K31" s="14" t="str">
        <x:v>content/enemy_moves/EMV-armature-geth-charge-du-canon.json</x:v>
      </x:c>
      <x:c r="L31" s="14" t="str"/>
      <x:c r="M31" s="14" t="str"/>
      <x:c r="N31" s="14" t="str">
        <x:v>Décisions du fan game ; aucune prétention de canon officiel</x:v>
      </x:c>
      <x:c r="O31" s="14" t="str"/>
      <x:c r="P31" s="14" t="str">
        <x:v>Production ME1</x:v>
      </x:c>
      <x:c r="Q31" s="14" t="str">
        <x:v>Interprétation ATB à confronter aux animations et comportements de ME1.</x:v>
      </x:c>
    </x:row>
    <x:row r="32" ht="36" customHeight="1">
      <x:c r="A32" s="12" t="str">
        <x:v>EMV-armature-geth-decharge-lourde</x:v>
      </x:c>
      <x:c r="B32" s="7" t="str">
        <x:v>Armature geth — Décharge lourde</x:v>
      </x:c>
      <x:c r="C32" s="10" t="str">
        <x:v>Défini</x:v>
      </x:c>
      <x:c r="D32" s="11" t="str">
        <x:v>À produire</x:v>
      </x:c>
      <x:c r="E32" s="9" t="str">
        <x:v>P1</x:v>
      </x:c>
      <x:c r="F32" s="9" t="str">
        <x:v>ME1</x:v>
      </x:c>
      <x:c r="G32" s="9" t="str">
        <x:v>Adaptation</x:v>
      </x:c>
      <x:c r="H32" s="7" t="str">
        <x:v>Tir nécessitant couverture ou déplacement</x:v>
      </x:c>
      <x:c r="I32" s="7" t="str">
        <x:v>Télégraphe, cible, contre-mesure, résolution et retour à l’attente testés.</x:v>
      </x:c>
      <x:c r="J32" s="7" t="str">
        <x:v>ENM-armature-geth</x:v>
      </x:c>
      <x:c r="K32" s="7" t="str">
        <x:v>content/enemy_moves/EMV-armature-geth-decharge-lourde.json</x:v>
      </x:c>
      <x:c r="L32" s="7" t="str"/>
      <x:c r="M32" s="7" t="str"/>
      <x:c r="N32" s="7" t="str">
        <x:v>Décisions du fan game ; aucune prétention de canon officiel</x:v>
      </x:c>
      <x:c r="O32" s="7" t="str"/>
      <x:c r="P32" s="7" t="str">
        <x:v>Production ME1</x:v>
      </x:c>
      <x:c r="Q32" s="7" t="str">
        <x:v>Interprétation ATB à confronter aux animations et comportements de ME1.</x:v>
      </x:c>
    </x:row>
    <x:row r="33" ht="36" customHeight="1">
      <x:c r="A33" s="13" t="str">
        <x:v>EMV-colosse-geth-canon-principal</x:v>
      </x:c>
      <x:c r="B33" s="14" t="str">
        <x:v>Colosse geth — Canon principal</x:v>
      </x:c>
      <x:c r="C33" s="10" t="str">
        <x:v>Défini</x:v>
      </x:c>
      <x:c r="D33" s="11" t="str">
        <x:v>À produire</x:v>
      </x:c>
      <x:c r="E33" s="15" t="str">
        <x:v>P1</x:v>
      </x:c>
      <x:c r="F33" s="15" t="str">
        <x:v>ME1</x:v>
      </x:c>
      <x:c r="G33" s="15" t="str">
        <x:v>Adaptation</x:v>
      </x:c>
      <x:c r="H33" s="14" t="str">
        <x:v>Forte menace dans son axe</x:v>
      </x:c>
      <x:c r="I33" s="14" t="str">
        <x:v>Télégraphe, cible, contre-mesure, résolution et retour à l’attente testés.</x:v>
      </x:c>
      <x:c r="J33" s="14" t="str">
        <x:v>ENM-colosse-geth</x:v>
      </x:c>
      <x:c r="K33" s="14" t="str">
        <x:v>content/enemy_moves/EMV-colosse-geth-canon-principal.json</x:v>
      </x:c>
      <x:c r="L33" s="14" t="str"/>
      <x:c r="M33" s="14" t="str"/>
      <x:c r="N33" s="14" t="str">
        <x:v>Décisions du fan game ; aucune prétention de canon officiel</x:v>
      </x:c>
      <x:c r="O33" s="14" t="str"/>
      <x:c r="P33" s="14" t="str">
        <x:v>Production ME1</x:v>
      </x:c>
      <x:c r="Q33" s="14" t="str">
        <x:v>Interprétation ATB à confronter aux animations et comportements de ME1.</x:v>
      </x:c>
    </x:row>
    <x:row r="34" ht="36" customHeight="1">
      <x:c r="A34" s="12" t="str">
        <x:v>EMV-colosse-geth-reorientation</x:v>
      </x:c>
      <x:c r="B34" s="7" t="str">
        <x:v>Colosse geth — Réorientation</x:v>
      </x:c>
      <x:c r="C34" s="10" t="str">
        <x:v>Défini</x:v>
      </x:c>
      <x:c r="D34" s="11" t="str">
        <x:v>À produire</x:v>
      </x:c>
      <x:c r="E34" s="9" t="str">
        <x:v>P1</x:v>
      </x:c>
      <x:c r="F34" s="9" t="str">
        <x:v>ME1</x:v>
      </x:c>
      <x:c r="G34" s="9" t="str">
        <x:v>Adaptation</x:v>
      </x:c>
      <x:c r="H34" s="7" t="str">
        <x:v>Prépare une nouvelle ligne de tir</x:v>
      </x:c>
      <x:c r="I34" s="7" t="str">
        <x:v>Télégraphe, cible, contre-mesure, résolution et retour à l’attente testés.</x:v>
      </x:c>
      <x:c r="J34" s="7" t="str">
        <x:v>ENM-colosse-geth</x:v>
      </x:c>
      <x:c r="K34" s="7" t="str">
        <x:v>content/enemy_moves/EMV-colosse-geth-reorientation.json</x:v>
      </x:c>
      <x:c r="L34" s="7" t="str"/>
      <x:c r="M34" s="7" t="str"/>
      <x:c r="N34" s="7" t="str">
        <x:v>Décisions du fan game ; aucune prétention de canon officiel</x:v>
      </x:c>
      <x:c r="O34" s="7" t="str"/>
      <x:c r="P34" s="7" t="str">
        <x:v>Production ME1</x:v>
      </x:c>
      <x:c r="Q34" s="7" t="str">
        <x:v>Interprétation ATB à confronter aux animations et comportements de ME1.</x:v>
      </x:c>
    </x:row>
    <x:row r="35" ht="36" customHeight="1">
      <x:c r="A35" s="13" t="str">
        <x:v>EMV-husk-ruee</x:v>
      </x:c>
      <x:c r="B35" s="14" t="str">
        <x:v>Husk — Ruée</x:v>
      </x:c>
      <x:c r="C35" s="10" t="str">
        <x:v>Défini</x:v>
      </x:c>
      <x:c r="D35" s="11" t="str">
        <x:v>À produire</x:v>
      </x:c>
      <x:c r="E35" s="15" t="str">
        <x:v>P1</x:v>
      </x:c>
      <x:c r="F35" s="15" t="str">
        <x:v>ME1</x:v>
      </x:c>
      <x:c r="G35" s="15" t="str">
        <x:v>Adaptation</x:v>
      </x:c>
      <x:c r="H35" s="14" t="str">
        <x:v>Approche nerveuse</x:v>
      </x:c>
      <x:c r="I35" s="14" t="str">
        <x:v>Télégraphe, cible, contre-mesure, résolution et retour à l’attente testés.</x:v>
      </x:c>
      <x:c r="J35" s="14" t="str">
        <x:v>ENM-husk</x:v>
      </x:c>
      <x:c r="K35" s="14" t="str">
        <x:v>content/enemy_moves/EMV-husk-ruee.json</x:v>
      </x:c>
      <x:c r="L35" s="14" t="str"/>
      <x:c r="M35" s="14" t="str"/>
      <x:c r="N35" s="14" t="str">
        <x:v>Décisions du fan game ; aucune prétention de canon officiel</x:v>
      </x:c>
      <x:c r="O35" s="14" t="str"/>
      <x:c r="P35" s="14" t="str">
        <x:v>Production ME1</x:v>
      </x:c>
      <x:c r="Q35" s="14" t="str">
        <x:v>Interprétation ATB à confronter aux animations et comportements de ME1.</x:v>
      </x:c>
    </x:row>
    <x:row r="36" ht="36" customHeight="1">
      <x:c r="A36" s="12" t="str">
        <x:v>EMV-husk-decharge</x:v>
      </x:c>
      <x:c r="B36" s="7" t="str">
        <x:v>Husk — Décharge</x:v>
      </x:c>
      <x:c r="C36" s="10" t="str">
        <x:v>Défini</x:v>
      </x:c>
      <x:c r="D36" s="11" t="str">
        <x:v>À produire</x:v>
      </x:c>
      <x:c r="E36" s="9" t="str">
        <x:v>P1</x:v>
      </x:c>
      <x:c r="F36" s="9" t="str">
        <x:v>ME1</x:v>
      </x:c>
      <x:c r="G36" s="9" t="str">
        <x:v>Adaptation</x:v>
      </x:c>
      <x:c r="H36" s="7" t="str">
        <x:v>Attaque de proximité à référencer</x:v>
      </x:c>
      <x:c r="I36" s="7" t="str">
        <x:v>Télégraphe, cible, contre-mesure, résolution et retour à l’attente testés.</x:v>
      </x:c>
      <x:c r="J36" s="7" t="str">
        <x:v>ENM-husk</x:v>
      </x:c>
      <x:c r="K36" s="7" t="str">
        <x:v>content/enemy_moves/EMV-husk-decharge.json</x:v>
      </x:c>
      <x:c r="L36" s="7" t="str"/>
      <x:c r="M36" s="7" t="str"/>
      <x:c r="N36" s="7" t="str">
        <x:v>Décisions du fan game ; aucune prétention de canon officiel</x:v>
      </x:c>
      <x:c r="O36" s="7" t="str"/>
      <x:c r="P36" s="7" t="str">
        <x:v>Production ME1</x:v>
      </x:c>
      <x:c r="Q36" s="7" t="str">
        <x:v>Interprétation ATB à confronter aux animations et comportements de ME1.</x:v>
      </x:c>
    </x:row>
    <x:row r="37" ht="36" customHeight="1">
      <x:c r="A37" s="13" t="str">
        <x:v>EMV-creeper-du-thorian-approche-rampante</x:v>
      </x:c>
      <x:c r="B37" s="14" t="str">
        <x:v>Creeper du Thorian — Approche rampante</x:v>
      </x:c>
      <x:c r="C37" s="10" t="str">
        <x:v>Défini</x:v>
      </x:c>
      <x:c r="D37" s="11" t="str">
        <x:v>À produire</x:v>
      </x:c>
      <x:c r="E37" s="15" t="str">
        <x:v>P1</x:v>
      </x:c>
      <x:c r="F37" s="15" t="str">
        <x:v>ME1</x:v>
      </x:c>
      <x:c r="G37" s="15" t="str">
        <x:v>Adaptation</x:v>
      </x:c>
      <x:c r="H37" s="14" t="str">
        <x:v>Progression depuis le sol</x:v>
      </x:c>
      <x:c r="I37" s="14" t="str">
        <x:v>Télégraphe, cible, contre-mesure, résolution et retour à l’attente testés.</x:v>
      </x:c>
      <x:c r="J37" s="14" t="str">
        <x:v>ENM-creeper-du-thorian</x:v>
      </x:c>
      <x:c r="K37" s="14" t="str">
        <x:v>content/enemy_moves/EMV-creeper-du-thorian-approche-rampante.json</x:v>
      </x:c>
      <x:c r="L37" s="14" t="str"/>
      <x:c r="M37" s="14" t="str"/>
      <x:c r="N37" s="14" t="str">
        <x:v>Décisions du fan game ; aucune prétention de canon officiel</x:v>
      </x:c>
      <x:c r="O37" s="14" t="str"/>
      <x:c r="P37" s="14" t="str">
        <x:v>Production ME1</x:v>
      </x:c>
      <x:c r="Q37" s="14" t="str">
        <x:v>Interprétation ATB à confronter aux animations et comportements de ME1.</x:v>
      </x:c>
    </x:row>
    <x:row r="38" ht="36" customHeight="1">
      <x:c r="A38" s="12" t="str">
        <x:v>EMV-creeper-du-thorian-assaut-organique</x:v>
      </x:c>
      <x:c r="B38" s="7" t="str">
        <x:v>Creeper du Thorian — Assaut organique</x:v>
      </x:c>
      <x:c r="C38" s="10" t="str">
        <x:v>Défini</x:v>
      </x:c>
      <x:c r="D38" s="11" t="str">
        <x:v>À produire</x:v>
      </x:c>
      <x:c r="E38" s="9" t="str">
        <x:v>P1</x:v>
      </x:c>
      <x:c r="F38" s="9" t="str">
        <x:v>ME1</x:v>
      </x:c>
      <x:c r="G38" s="9" t="str">
        <x:v>Adaptation</x:v>
      </x:c>
      <x:c r="H38" s="7" t="str">
        <x:v>Attaque à courte distance</x:v>
      </x:c>
      <x:c r="I38" s="7" t="str">
        <x:v>Télégraphe, cible, contre-mesure, résolution et retour à l’attente testés.</x:v>
      </x:c>
      <x:c r="J38" s="7" t="str">
        <x:v>ENM-creeper-du-thorian</x:v>
      </x:c>
      <x:c r="K38" s="7" t="str">
        <x:v>content/enemy_moves/EMV-creeper-du-thorian-assaut-organique.json</x:v>
      </x:c>
      <x:c r="L38" s="7" t="str"/>
      <x:c r="M38" s="7" t="str"/>
      <x:c r="N38" s="7" t="str">
        <x:v>Décisions du fan game ; aucune prétention de canon officiel</x:v>
      </x:c>
      <x:c r="O38" s="7" t="str"/>
      <x:c r="P38" s="7" t="str">
        <x:v>Production ME1</x:v>
      </x:c>
      <x:c r="Q38" s="7" t="str">
        <x:v>Interprétation ATB à confronter aux animations et comportements de ME1.</x:v>
      </x:c>
    </x:row>
    <x:row r="39" ht="36" customHeight="1">
      <x:c r="A39" s="13" t="str">
        <x:v>EMV-clone-asari-du-thorian-apparition</x:v>
      </x:c>
      <x:c r="B39" s="14" t="str">
        <x:v>Clone asari du Thorian — Apparition</x:v>
      </x:c>
      <x:c r="C39" s="10" t="str">
        <x:v>Défini</x:v>
      </x:c>
      <x:c r="D39" s="11" t="str">
        <x:v>À produire</x:v>
      </x:c>
      <x:c r="E39" s="15" t="str">
        <x:v>P1</x:v>
      </x:c>
      <x:c r="F39" s="15" t="str">
        <x:v>ME1</x:v>
      </x:c>
      <x:c r="G39" s="15" t="str">
        <x:v>Adaptation</x:v>
      </x:c>
      <x:c r="H39" s="14" t="str">
        <x:v>Entrée liée au nœud actif</x:v>
      </x:c>
      <x:c r="I39" s="14" t="str">
        <x:v>Télégraphe, cible, contre-mesure, résolution et retour à l’attente testés.</x:v>
      </x:c>
      <x:c r="J39" s="14" t="str">
        <x:v>ENM-clone-asari-du-thorian</x:v>
      </x:c>
      <x:c r="K39" s="14" t="str">
        <x:v>content/enemy_moves/EMV-clone-asari-du-thorian-apparition.json</x:v>
      </x:c>
      <x:c r="L39" s="14" t="str"/>
      <x:c r="M39" s="14" t="str"/>
      <x:c r="N39" s="14" t="str">
        <x:v>Décisions du fan game ; aucune prétention de canon officiel</x:v>
      </x:c>
      <x:c r="O39" s="14" t="str"/>
      <x:c r="P39" s="14" t="str">
        <x:v>Production ME1</x:v>
      </x:c>
      <x:c r="Q39" s="14" t="str">
        <x:v>Interprétation ATB à confronter aux animations et comportements de ME1.</x:v>
      </x:c>
    </x:row>
    <x:row r="40" ht="36" customHeight="1">
      <x:c r="A40" s="12" t="str">
        <x:v>EMV-clone-asari-du-thorian-controle-biotique</x:v>
      </x:c>
      <x:c r="B40" s="7" t="str">
        <x:v>Clone asari du Thorian — Contrôle biotique</x:v>
      </x:c>
      <x:c r="C40" s="10" t="str">
        <x:v>Défini</x:v>
      </x:c>
      <x:c r="D40" s="11" t="str">
        <x:v>À produire</x:v>
      </x:c>
      <x:c r="E40" s="9" t="str">
        <x:v>P1</x:v>
      </x:c>
      <x:c r="F40" s="9" t="str">
        <x:v>ME1</x:v>
      </x:c>
      <x:c r="G40" s="9" t="str">
        <x:v>Adaptation</x:v>
      </x:c>
      <x:c r="H40" s="7" t="str">
        <x:v>Pouvoir à relever sur référence</x:v>
      </x:c>
      <x:c r="I40" s="7" t="str">
        <x:v>Télégraphe, cible, contre-mesure, résolution et retour à l’attente testés.</x:v>
      </x:c>
      <x:c r="J40" s="7" t="str">
        <x:v>ENM-clone-asari-du-thorian</x:v>
      </x:c>
      <x:c r="K40" s="7" t="str">
        <x:v>content/enemy_moves/EMV-clone-asari-du-thorian-controle-biotique.json</x:v>
      </x:c>
      <x:c r="L40" s="7" t="str"/>
      <x:c r="M40" s="7" t="str"/>
      <x:c r="N40" s="7" t="str">
        <x:v>Décisions du fan game ; aucune prétention de canon officiel</x:v>
      </x:c>
      <x:c r="O40" s="7" t="str"/>
      <x:c r="P40" s="7" t="str">
        <x:v>Production ME1</x:v>
      </x:c>
      <x:c r="Q40" s="7" t="str">
        <x:v>Interprétation ATB à confronter aux animations et comportements de ME1.</x:v>
      </x:c>
    </x:row>
    <x:row r="41" ht="36" customHeight="1">
      <x:c r="A41" s="13" t="str">
        <x:v>EMV-rachni-ouvrier-approche-rapide</x:v>
      </x:c>
      <x:c r="B41" s="14" t="str">
        <x:v>Rachni ouvrier — Approche rapide</x:v>
      </x:c>
      <x:c r="C41" s="10" t="str">
        <x:v>Défini</x:v>
      </x:c>
      <x:c r="D41" s="11" t="str">
        <x:v>À produire</x:v>
      </x:c>
      <x:c r="E41" s="15" t="str">
        <x:v>P1</x:v>
      </x:c>
      <x:c r="F41" s="15" t="str">
        <x:v>ME1</x:v>
      </x:c>
      <x:c r="G41" s="15" t="str">
        <x:v>Adaptation</x:v>
      </x:c>
      <x:c r="H41" s="14" t="str">
        <x:v>Petite silhouette en groupe</x:v>
      </x:c>
      <x:c r="I41" s="14" t="str">
        <x:v>Télégraphe, cible, contre-mesure, résolution et retour à l’attente testés.</x:v>
      </x:c>
      <x:c r="J41" s="14" t="str">
        <x:v>ENM-rachni-ouvrier</x:v>
      </x:c>
      <x:c r="K41" s="14" t="str">
        <x:v>content/enemy_moves/EMV-rachni-ouvrier-approche-rapide.json</x:v>
      </x:c>
      <x:c r="L41" s="14" t="str"/>
      <x:c r="M41" s="14" t="str"/>
      <x:c r="N41" s="14" t="str">
        <x:v>Décisions du fan game ; aucune prétention de canon officiel</x:v>
      </x:c>
      <x:c r="O41" s="14" t="str"/>
      <x:c r="P41" s="14" t="str">
        <x:v>Production ME1</x:v>
      </x:c>
      <x:c r="Q41" s="14" t="str">
        <x:v>Interprétation ATB à confronter aux animations et comportements de ME1.</x:v>
      </x:c>
    </x:row>
    <x:row r="42" ht="36" customHeight="1">
      <x:c r="A42" s="12" t="str">
        <x:v>EMV-rachni-ouvrier-attaque-de-contact</x:v>
      </x:c>
      <x:c r="B42" s="7" t="str">
        <x:v>Rachni ouvrier — Attaque de contact</x:v>
      </x:c>
      <x:c r="C42" s="10" t="str">
        <x:v>Défini</x:v>
      </x:c>
      <x:c r="D42" s="11" t="str">
        <x:v>À produire</x:v>
      </x:c>
      <x:c r="E42" s="9" t="str">
        <x:v>P1</x:v>
      </x:c>
      <x:c r="F42" s="9" t="str">
        <x:v>ME1</x:v>
      </x:c>
      <x:c r="G42" s="9" t="str">
        <x:v>Adaptation</x:v>
      </x:c>
      <x:c r="H42" s="7" t="str">
        <x:v>Risque proche à documenter</x:v>
      </x:c>
      <x:c r="I42" s="7" t="str">
        <x:v>Télégraphe, cible, contre-mesure, résolution et retour à l’attente testés.</x:v>
      </x:c>
      <x:c r="J42" s="7" t="str">
        <x:v>ENM-rachni-ouvrier</x:v>
      </x:c>
      <x:c r="K42" s="7" t="str">
        <x:v>content/enemy_moves/EMV-rachni-ouvrier-attaque-de-contact.json</x:v>
      </x:c>
      <x:c r="L42" s="7" t="str"/>
      <x:c r="M42" s="7" t="str"/>
      <x:c r="N42" s="7" t="str">
        <x:v>Décisions du fan game ; aucune prétention de canon officiel</x:v>
      </x:c>
      <x:c r="O42" s="7" t="str"/>
      <x:c r="P42" s="7" t="str">
        <x:v>Production ME1</x:v>
      </x:c>
      <x:c r="Q42" s="7" t="str">
        <x:v>Interprétation ATB à confronter aux animations et comportements de ME1.</x:v>
      </x:c>
    </x:row>
    <x:row r="43" ht="36" customHeight="1">
      <x:c r="A43" s="13" t="str">
        <x:v>EMV-rachni-soldat-projection-acide</x:v>
      </x:c>
      <x:c r="B43" s="14" t="str">
        <x:v>Rachni soldat — Projection acide</x:v>
      </x:c>
      <x:c r="C43" s="10" t="str">
        <x:v>Défini</x:v>
      </x:c>
      <x:c r="D43" s="11" t="str">
        <x:v>À produire</x:v>
      </x:c>
      <x:c r="E43" s="15" t="str">
        <x:v>P1</x:v>
      </x:c>
      <x:c r="F43" s="15" t="str">
        <x:v>ME1</x:v>
      </x:c>
      <x:c r="G43" s="15" t="str">
        <x:v>Adaptation</x:v>
      </x:c>
      <x:c r="H43" s="14" t="str">
        <x:v>Attaque à distance avec télégraphe</x:v>
      </x:c>
      <x:c r="I43" s="14" t="str">
        <x:v>Télégraphe, cible, contre-mesure, résolution et retour à l’attente testés.</x:v>
      </x:c>
      <x:c r="J43" s="14" t="str">
        <x:v>ENM-rachni-soldat</x:v>
      </x:c>
      <x:c r="K43" s="14" t="str">
        <x:v>content/enemy_moves/EMV-rachni-soldat-projection-acide.json</x:v>
      </x:c>
      <x:c r="L43" s="14" t="str"/>
      <x:c r="M43" s="14" t="str"/>
      <x:c r="N43" s="14" t="str">
        <x:v>Décisions du fan game ; aucune prétention de canon officiel</x:v>
      </x:c>
      <x:c r="O43" s="14" t="str"/>
      <x:c r="P43" s="14" t="str">
        <x:v>Production ME1</x:v>
      </x:c>
      <x:c r="Q43" s="14" t="str">
        <x:v>Interprétation ATB à confronter aux animations et comportements de ME1.</x:v>
      </x:c>
    </x:row>
    <x:row r="44" ht="36" customHeight="1">
      <x:c r="A44" s="12" t="str">
        <x:v>EMV-rachni-soldat-frappe-de-pattes</x:v>
      </x:c>
      <x:c r="B44" s="7" t="str">
        <x:v>Rachni soldat — Frappe de pattes</x:v>
      </x:c>
      <x:c r="C44" s="10" t="str">
        <x:v>Défini</x:v>
      </x:c>
      <x:c r="D44" s="11" t="str">
        <x:v>À produire</x:v>
      </x:c>
      <x:c r="E44" s="9" t="str">
        <x:v>P1</x:v>
      </x:c>
      <x:c r="F44" s="9" t="str">
        <x:v>ME1</x:v>
      </x:c>
      <x:c r="G44" s="9" t="str">
        <x:v>Adaptation</x:v>
      </x:c>
      <x:c r="H44" s="7" t="str">
        <x:v>Réponse de proximité</x:v>
      </x:c>
      <x:c r="I44" s="7" t="str">
        <x:v>Télégraphe, cible, contre-mesure, résolution et retour à l’attente testés.</x:v>
      </x:c>
      <x:c r="J44" s="7" t="str">
        <x:v>ENM-rachni-soldat</x:v>
      </x:c>
      <x:c r="K44" s="7" t="str">
        <x:v>content/enemy_moves/EMV-rachni-soldat-frappe-de-pattes.json</x:v>
      </x:c>
      <x:c r="L44" s="7" t="str"/>
      <x:c r="M44" s="7" t="str"/>
      <x:c r="N44" s="7" t="str">
        <x:v>Décisions du fan game ; aucune prétention de canon officiel</x:v>
      </x:c>
      <x:c r="O44" s="7" t="str"/>
      <x:c r="P44" s="7" t="str">
        <x:v>Production ME1</x:v>
      </x:c>
      <x:c r="Q44" s="7" t="str">
        <x:v>Interprétation ATB à confronter aux animations et comportements de ME1.</x:v>
      </x:c>
    </x:row>
    <x:row r="45" ht="36" customHeight="1">
      <x:c r="A45" s="13" t="str">
        <x:v>EMV-guerrier-krogan-avance-armee</x:v>
      </x:c>
      <x:c r="B45" s="14" t="str">
        <x:v>Guerrier krogan — Avance armée</x:v>
      </x:c>
      <x:c r="C45" s="10" t="str">
        <x:v>Défini</x:v>
      </x:c>
      <x:c r="D45" s="11" t="str">
        <x:v>À produire</x:v>
      </x:c>
      <x:c r="E45" s="15" t="str">
        <x:v>P1</x:v>
      </x:c>
      <x:c r="F45" s="15" t="str">
        <x:v>ME1</x:v>
      </x:c>
      <x:c r="G45" s="15" t="str">
        <x:v>Adaptation</x:v>
      </x:c>
      <x:c r="H45" s="14" t="str">
        <x:v>Tir pendant la progression</x:v>
      </x:c>
      <x:c r="I45" s="14" t="str">
        <x:v>Télégraphe, cible, contre-mesure, résolution et retour à l’attente testés.</x:v>
      </x:c>
      <x:c r="J45" s="14" t="str">
        <x:v>ENM-guerrier-krogan</x:v>
      </x:c>
      <x:c r="K45" s="14" t="str">
        <x:v>content/enemy_moves/EMV-guerrier-krogan-avance-armee.json</x:v>
      </x:c>
      <x:c r="L45" s="14" t="str"/>
      <x:c r="M45" s="14" t="str"/>
      <x:c r="N45" s="14" t="str">
        <x:v>Décisions du fan game ; aucune prétention de canon officiel</x:v>
      </x:c>
      <x:c r="O45" s="14" t="str"/>
      <x:c r="P45" s="14" t="str">
        <x:v>Production ME1</x:v>
      </x:c>
      <x:c r="Q45" s="14" t="str">
        <x:v>Interprétation ATB à confronter aux animations et comportements de ME1.</x:v>
      </x:c>
    </x:row>
    <x:row r="46" ht="36" customHeight="1">
      <x:c r="A46" s="12" t="str">
        <x:v>EMV-guerrier-krogan-frappe-lourde</x:v>
      </x:c>
      <x:c r="B46" s="7" t="str">
        <x:v>Guerrier krogan — Frappe lourde</x:v>
      </x:c>
      <x:c r="C46" s="10" t="str">
        <x:v>Défini</x:v>
      </x:c>
      <x:c r="D46" s="11" t="str">
        <x:v>À produire</x:v>
      </x:c>
      <x:c r="E46" s="9" t="str">
        <x:v>P1</x:v>
      </x:c>
      <x:c r="F46" s="9" t="str">
        <x:v>ME1</x:v>
      </x:c>
      <x:c r="G46" s="9" t="str">
        <x:v>Adaptation</x:v>
      </x:c>
      <x:c r="H46" s="7" t="str">
        <x:v>Punition d’une cible proche</x:v>
      </x:c>
      <x:c r="I46" s="7" t="str">
        <x:v>Télégraphe, cible, contre-mesure, résolution et retour à l’attente testés.</x:v>
      </x:c>
      <x:c r="J46" s="7" t="str">
        <x:v>ENM-guerrier-krogan</x:v>
      </x:c>
      <x:c r="K46" s="7" t="str">
        <x:v>content/enemy_moves/EMV-guerrier-krogan-frappe-lourde.json</x:v>
      </x:c>
      <x:c r="L46" s="7" t="str"/>
      <x:c r="M46" s="7" t="str"/>
      <x:c r="N46" s="7" t="str">
        <x:v>Décisions du fan game ; aucune prétention de canon officiel</x:v>
      </x:c>
      <x:c r="O46" s="7" t="str"/>
      <x:c r="P46" s="7" t="str">
        <x:v>Production ME1</x:v>
      </x:c>
      <x:c r="Q46" s="7" t="str">
        <x:v>Interprétation ATB à confronter aux animations et comportements de ME1.</x:v>
      </x:c>
    </x:row>
    <x:row r="47" ht="36" customHeight="1">
      <x:c r="A47" s="13" t="str">
        <x:v>EMV-maitre-de-guerre-krogan-barriere</x:v>
      </x:c>
      <x:c r="B47" s="14" t="str">
        <x:v>Maître de guerre krogan — Barrière</x:v>
      </x:c>
      <x:c r="C47" s="10" t="str">
        <x:v>Défini</x:v>
      </x:c>
      <x:c r="D47" s="11" t="str">
        <x:v>À produire</x:v>
      </x:c>
      <x:c r="E47" s="15" t="str">
        <x:v>P1</x:v>
      </x:c>
      <x:c r="F47" s="15" t="str">
        <x:v>ME1</x:v>
      </x:c>
      <x:c r="G47" s="15" t="str">
        <x:v>Adaptation</x:v>
      </x:c>
      <x:c r="H47" s="14" t="str">
        <x:v>Défense avant assaut</x:v>
      </x:c>
      <x:c r="I47" s="14" t="str">
        <x:v>Télégraphe, cible, contre-mesure, résolution et retour à l’attente testés.</x:v>
      </x:c>
      <x:c r="J47" s="14" t="str">
        <x:v>ENM-maitre-de-guerre-krogan</x:v>
      </x:c>
      <x:c r="K47" s="14" t="str">
        <x:v>content/enemy_moves/EMV-maitre-de-guerre-krogan-barriere.json</x:v>
      </x:c>
      <x:c r="L47" s="14" t="str"/>
      <x:c r="M47" s="14" t="str"/>
      <x:c r="N47" s="14" t="str">
        <x:v>Décisions du fan game ; aucune prétention de canon officiel</x:v>
      </x:c>
      <x:c r="O47" s="14" t="str"/>
      <x:c r="P47" s="14" t="str">
        <x:v>Production ME1</x:v>
      </x:c>
      <x:c r="Q47" s="14" t="str">
        <x:v>Interprétation ATB à confronter aux animations et comportements de ME1.</x:v>
      </x:c>
    </x:row>
    <x:row r="48" ht="36" customHeight="1">
      <x:c r="A48" s="12" t="str">
        <x:v>EMV-maitre-de-guerre-krogan-controle-biotique</x:v>
      </x:c>
      <x:c r="B48" s="7" t="str">
        <x:v>Maître de guerre krogan — Contrôle biotique</x:v>
      </x:c>
      <x:c r="C48" s="10" t="str">
        <x:v>Défini</x:v>
      </x:c>
      <x:c r="D48" s="11" t="str">
        <x:v>À produire</x:v>
      </x:c>
      <x:c r="E48" s="9" t="str">
        <x:v>P1</x:v>
      </x:c>
      <x:c r="F48" s="9" t="str">
        <x:v>ME1</x:v>
      </x:c>
      <x:c r="G48" s="9" t="str">
        <x:v>Adaptation</x:v>
      </x:c>
      <x:c r="H48" s="7" t="str">
        <x:v>Interruption à contre-mesure</x:v>
      </x:c>
      <x:c r="I48" s="7" t="str">
        <x:v>Télégraphe, cible, contre-mesure, résolution et retour à l’attente testés.</x:v>
      </x:c>
      <x:c r="J48" s="7" t="str">
        <x:v>ENM-maitre-de-guerre-krogan</x:v>
      </x:c>
      <x:c r="K48" s="7" t="str">
        <x:v>content/enemy_moves/EMV-maitre-de-guerre-krogan-controle-biotique.json</x:v>
      </x:c>
      <x:c r="L48" s="7" t="str"/>
      <x:c r="M48" s="7" t="str"/>
      <x:c r="N48" s="7" t="str">
        <x:v>Décisions du fan game ; aucune prétention de canon officiel</x:v>
      </x:c>
      <x:c r="O48" s="7" t="str"/>
      <x:c r="P48" s="7" t="str">
        <x:v>Production ME1</x:v>
      </x:c>
      <x:c r="Q48" s="7" t="str">
        <x:v>Interprétation ATB à confronter aux animations et comportements de ME1.</x:v>
      </x:c>
    </x:row>
    <x:row r="49" ht="36" customHeight="1">
      <x:c r="A49" s="13" t="str">
        <x:v>EMV-mercenaire-humain-tir-depuis-couvert</x:v>
      </x:c>
      <x:c r="B49" s="14" t="str">
        <x:v>Mercenaire humain — Tir depuis couvert</x:v>
      </x:c>
      <x:c r="C49" s="10" t="str">
        <x:v>Défini</x:v>
      </x:c>
      <x:c r="D49" s="11" t="str">
        <x:v>À produire</x:v>
      </x:c>
      <x:c r="E49" s="15" t="str">
        <x:v>P1</x:v>
      </x:c>
      <x:c r="F49" s="15" t="str">
        <x:v>ME1</x:v>
      </x:c>
      <x:c r="G49" s="15" t="str">
        <x:v>Adaptation</x:v>
      </x:c>
      <x:c r="H49" s="14" t="str">
        <x:v>Infanterie standard</x:v>
      </x:c>
      <x:c r="I49" s="14" t="str">
        <x:v>Télégraphe, cible, contre-mesure, résolution et retour à l’attente testés.</x:v>
      </x:c>
      <x:c r="J49" s="14" t="str">
        <x:v>ENM-mercenaire-humain</x:v>
      </x:c>
      <x:c r="K49" s="14" t="str">
        <x:v>content/enemy_moves/EMV-mercenaire-humain-tir-depuis-couvert.json</x:v>
      </x:c>
      <x:c r="L49" s="14" t="str"/>
      <x:c r="M49" s="14" t="str"/>
      <x:c r="N49" s="14" t="str">
        <x:v>Décisions du fan game ; aucune prétention de canon officiel</x:v>
      </x:c>
      <x:c r="O49" s="14" t="str"/>
      <x:c r="P49" s="14" t="str">
        <x:v>Production ME1</x:v>
      </x:c>
      <x:c r="Q49" s="14" t="str">
        <x:v>Interprétation ATB à confronter aux animations et comportements de ME1.</x:v>
      </x:c>
    </x:row>
    <x:row r="50" ht="36" customHeight="1">
      <x:c r="A50" s="12" t="str">
        <x:v>EMV-mercenaire-humain-grenade-eventuelle</x:v>
      </x:c>
      <x:c r="B50" s="7" t="str">
        <x:v>Mercenaire humain — Grenade éventuelle</x:v>
      </x:c>
      <x:c r="C50" s="10" t="str">
        <x:v>Défini</x:v>
      </x:c>
      <x:c r="D50" s="11" t="str">
        <x:v>À produire</x:v>
      </x:c>
      <x:c r="E50" s="9" t="str">
        <x:v>P1</x:v>
      </x:c>
      <x:c r="F50" s="9" t="str">
        <x:v>ME1</x:v>
      </x:c>
      <x:c r="G50" s="9" t="str">
        <x:v>Adaptation</x:v>
      </x:c>
      <x:c r="H50" s="7" t="str">
        <x:v>Arsenal à vérifier par rencontre</x:v>
      </x:c>
      <x:c r="I50" s="7" t="str">
        <x:v>Télégraphe, cible, contre-mesure, résolution et retour à l’attente testés.</x:v>
      </x:c>
      <x:c r="J50" s="7" t="str">
        <x:v>ENM-mercenaire-humain</x:v>
      </x:c>
      <x:c r="K50" s="7" t="str">
        <x:v>content/enemy_moves/EMV-mercenaire-humain-grenade-eventuelle.json</x:v>
      </x:c>
      <x:c r="L50" s="7" t="str"/>
      <x:c r="M50" s="7" t="str"/>
      <x:c r="N50" s="7" t="str">
        <x:v>Décisions du fan game ; aucune prétention de canon officiel</x:v>
      </x:c>
      <x:c r="O50" s="7" t="str"/>
      <x:c r="P50" s="7" t="str">
        <x:v>Production ME1</x:v>
      </x:c>
      <x:c r="Q50" s="7" t="str">
        <x:v>Interprétation ATB à confronter aux animations et comportements de ME1.</x:v>
      </x:c>
    </x:row>
    <x:row r="51" ht="36" customHeight="1">
      <x:c r="A51" s="13" t="str">
        <x:v>EMV-mercenaire-turien-tir-precis</x:v>
      </x:c>
      <x:c r="B51" s="14" t="str">
        <x:v>Mercenaire turien — Tir précis</x:v>
      </x:c>
      <x:c r="C51" s="10" t="str">
        <x:v>Défini</x:v>
      </x:c>
      <x:c r="D51" s="11" t="str">
        <x:v>À produire</x:v>
      </x:c>
      <x:c r="E51" s="15" t="str">
        <x:v>P1</x:v>
      </x:c>
      <x:c r="F51" s="15" t="str">
        <x:v>ME1</x:v>
      </x:c>
      <x:c r="G51" s="15" t="str">
        <x:v>Adaptation</x:v>
      </x:c>
      <x:c r="H51" s="14" t="str">
        <x:v>Arme de la rencontre</x:v>
      </x:c>
      <x:c r="I51" s="14" t="str">
        <x:v>Télégraphe, cible, contre-mesure, résolution et retour à l’attente testés.</x:v>
      </x:c>
      <x:c r="J51" s="14" t="str">
        <x:v>ENM-mercenaire-turien</x:v>
      </x:c>
      <x:c r="K51" s="14" t="str">
        <x:v>content/enemy_moves/EMV-mercenaire-turien-tir-precis.json</x:v>
      </x:c>
      <x:c r="L51" s="14" t="str"/>
      <x:c r="M51" s="14" t="str"/>
      <x:c r="N51" s="14" t="str">
        <x:v>Décisions du fan game ; aucune prétention de canon officiel</x:v>
      </x:c>
      <x:c r="O51" s="14" t="str"/>
      <x:c r="P51" s="14" t="str">
        <x:v>Production ME1</x:v>
      </x:c>
      <x:c r="Q51" s="14" t="str">
        <x:v>Interprétation ATB à confronter aux animations et comportements de ME1.</x:v>
      </x:c>
    </x:row>
    <x:row r="52" ht="36" customHeight="1">
      <x:c r="A52" s="12" t="str">
        <x:v>EMV-mercenaire-turien-flanc</x:v>
      </x:c>
      <x:c r="B52" s="7" t="str">
        <x:v>Mercenaire turien — Flanc</x:v>
      </x:c>
      <x:c r="C52" s="10" t="str">
        <x:v>Défini</x:v>
      </x:c>
      <x:c r="D52" s="11" t="str">
        <x:v>À produire</x:v>
      </x:c>
      <x:c r="E52" s="9" t="str">
        <x:v>P1</x:v>
      </x:c>
      <x:c r="F52" s="9" t="str">
        <x:v>ME1</x:v>
      </x:c>
      <x:c r="G52" s="9" t="str">
        <x:v>Adaptation</x:v>
      </x:c>
      <x:c r="H52" s="7" t="str">
        <x:v>Repositionnement de l’adaptation</x:v>
      </x:c>
      <x:c r="I52" s="7" t="str">
        <x:v>Télégraphe, cible, contre-mesure, résolution et retour à l’attente testés.</x:v>
      </x:c>
      <x:c r="J52" s="7" t="str">
        <x:v>ENM-mercenaire-turien</x:v>
      </x:c>
      <x:c r="K52" s="7" t="str">
        <x:v>content/enemy_moves/EMV-mercenaire-turien-flanc.json</x:v>
      </x:c>
      <x:c r="L52" s="7" t="str"/>
      <x:c r="M52" s="7" t="str"/>
      <x:c r="N52" s="7" t="str">
        <x:v>Décisions du fan game ; aucune prétention de canon officiel</x:v>
      </x:c>
      <x:c r="O52" s="7" t="str"/>
      <x:c r="P52" s="7" t="str">
        <x:v>Production ME1</x:v>
      </x:c>
      <x:c r="Q52" s="7" t="str">
        <x:v>Interprétation ATB à confronter aux animations et comportements de ME1.</x:v>
      </x:c>
    </x:row>
    <x:row r="53" ht="36" customHeight="1">
      <x:c r="A53" s="13" t="str">
        <x:v>EMV-mercenaire-galarien-attaque-technique</x:v>
      </x:c>
      <x:c r="B53" s="14" t="str">
        <x:v>Mercenaire galarien — Attaque technique</x:v>
      </x:c>
      <x:c r="C53" s="10" t="str">
        <x:v>Défini</x:v>
      </x:c>
      <x:c r="D53" s="11" t="str">
        <x:v>À produire</x:v>
      </x:c>
      <x:c r="E53" s="15" t="str">
        <x:v>P1</x:v>
      </x:c>
      <x:c r="F53" s="15" t="str">
        <x:v>ME1</x:v>
      </x:c>
      <x:c r="G53" s="15" t="str">
        <x:v>Adaptation</x:v>
      </x:c>
      <x:c r="H53" s="14" t="str">
        <x:v>Pouvoir à vérifier</x:v>
      </x:c>
      <x:c r="I53" s="14" t="str">
        <x:v>Télégraphe, cible, contre-mesure, résolution et retour à l’attente testés.</x:v>
      </x:c>
      <x:c r="J53" s="14" t="str">
        <x:v>ENM-mercenaire-galarien</x:v>
      </x:c>
      <x:c r="K53" s="14" t="str">
        <x:v>content/enemy_moves/EMV-mercenaire-galarien-attaque-technique.json</x:v>
      </x:c>
      <x:c r="L53" s="14" t="str"/>
      <x:c r="M53" s="14" t="str"/>
      <x:c r="N53" s="14" t="str">
        <x:v>Décisions du fan game ; aucune prétention de canon officiel</x:v>
      </x:c>
      <x:c r="O53" s="14" t="str"/>
      <x:c r="P53" s="14" t="str">
        <x:v>Production ME1</x:v>
      </x:c>
      <x:c r="Q53" s="14" t="str">
        <x:v>Interprétation ATB à confronter aux animations et comportements de ME1.</x:v>
      </x:c>
    </x:row>
    <x:row r="54" ht="36" customHeight="1">
      <x:c r="A54" s="12" t="str">
        <x:v>EMV-mercenaire-galarien-repli</x:v>
      </x:c>
      <x:c r="B54" s="7" t="str">
        <x:v>Mercenaire galarien — Repli</x:v>
      </x:c>
      <x:c r="C54" s="10" t="str">
        <x:v>Défini</x:v>
      </x:c>
      <x:c r="D54" s="11" t="str">
        <x:v>À produire</x:v>
      </x:c>
      <x:c r="E54" s="9" t="str">
        <x:v>P1</x:v>
      </x:c>
      <x:c r="F54" s="9" t="str">
        <x:v>ME1</x:v>
      </x:c>
      <x:c r="G54" s="9" t="str">
        <x:v>Adaptation</x:v>
      </x:c>
      <x:c r="H54" s="7" t="str">
        <x:v>Protection de sa position</x:v>
      </x:c>
      <x:c r="I54" s="7" t="str">
        <x:v>Télégraphe, cible, contre-mesure, résolution et retour à l’attente testés.</x:v>
      </x:c>
      <x:c r="J54" s="7" t="str">
        <x:v>ENM-mercenaire-galarien</x:v>
      </x:c>
      <x:c r="K54" s="7" t="str">
        <x:v>content/enemy_moves/EMV-mercenaire-galarien-repli.json</x:v>
      </x:c>
      <x:c r="L54" s="7" t="str"/>
      <x:c r="M54" s="7" t="str"/>
      <x:c r="N54" s="7" t="str">
        <x:v>Décisions du fan game ; aucune prétention de canon officiel</x:v>
      </x:c>
      <x:c r="O54" s="7" t="str"/>
      <x:c r="P54" s="7" t="str">
        <x:v>Production ME1</x:v>
      </x:c>
      <x:c r="Q54" s="7" t="str">
        <x:v>Interprétation ATB à confronter aux animations et comportements de ME1.</x:v>
      </x:c>
    </x:row>
    <x:row r="55" ht="36" customHeight="1">
      <x:c r="A55" s="13" t="str">
        <x:v>EMV-commando-asari-controle-biotique</x:v>
      </x:c>
      <x:c r="B55" s="14" t="str">
        <x:v>Commando asari — Contrôle biotique</x:v>
      </x:c>
      <x:c r="C55" s="10" t="str">
        <x:v>Défini</x:v>
      </x:c>
      <x:c r="D55" s="11" t="str">
        <x:v>À produire</x:v>
      </x:c>
      <x:c r="E55" s="15" t="str">
        <x:v>P1</x:v>
      </x:c>
      <x:c r="F55" s="15" t="str">
        <x:v>ME1</x:v>
      </x:c>
      <x:c r="G55" s="15" t="str">
        <x:v>Adaptation</x:v>
      </x:c>
      <x:c r="H55" s="14" t="str">
        <x:v>Immobilisation ou déplacement</x:v>
      </x:c>
      <x:c r="I55" s="14" t="str">
        <x:v>Télégraphe, cible, contre-mesure, résolution et retour à l’attente testés.</x:v>
      </x:c>
      <x:c r="J55" s="14" t="str">
        <x:v>ENM-commando-asari</x:v>
      </x:c>
      <x:c r="K55" s="14" t="str">
        <x:v>content/enemy_moves/EMV-commando-asari-controle-biotique.json</x:v>
      </x:c>
      <x:c r="L55" s="14" t="str"/>
      <x:c r="M55" s="14" t="str"/>
      <x:c r="N55" s="14" t="str">
        <x:v>Décisions du fan game ; aucune prétention de canon officiel</x:v>
      </x:c>
      <x:c r="O55" s="14" t="str"/>
      <x:c r="P55" s="14" t="str">
        <x:v>Production ME1</x:v>
      </x:c>
      <x:c r="Q55" s="14" t="str">
        <x:v>Interprétation ATB à confronter aux animations et comportements de ME1.</x:v>
      </x:c>
    </x:row>
    <x:row r="56" ht="36" customHeight="1">
      <x:c r="A56" s="12" t="str">
        <x:v>EMV-commando-asari-barriere</x:v>
      </x:c>
      <x:c r="B56" s="7" t="str">
        <x:v>Commando asari — Barrière</x:v>
      </x:c>
      <x:c r="C56" s="10" t="str">
        <x:v>Défini</x:v>
      </x:c>
      <x:c r="D56" s="11" t="str">
        <x:v>À produire</x:v>
      </x:c>
      <x:c r="E56" s="9" t="str">
        <x:v>P1</x:v>
      </x:c>
      <x:c r="F56" s="9" t="str">
        <x:v>ME1</x:v>
      </x:c>
      <x:c r="G56" s="9" t="str">
        <x:v>Adaptation</x:v>
      </x:c>
      <x:c r="H56" s="7" t="str">
        <x:v>Défense temporaire</x:v>
      </x:c>
      <x:c r="I56" s="7" t="str">
        <x:v>Télégraphe, cible, contre-mesure, résolution et retour à l’attente testés.</x:v>
      </x:c>
      <x:c r="J56" s="7" t="str">
        <x:v>ENM-commando-asari</x:v>
      </x:c>
      <x:c r="K56" s="7" t="str">
        <x:v>content/enemy_moves/EMV-commando-asari-barriere.json</x:v>
      </x:c>
      <x:c r="L56" s="7" t="str"/>
      <x:c r="M56" s="7" t="str"/>
      <x:c r="N56" s="7" t="str">
        <x:v>Décisions du fan game ; aucune prétention de canon officiel</x:v>
      </x:c>
      <x:c r="O56" s="7" t="str"/>
      <x:c r="P56" s="7" t="str">
        <x:v>Production ME1</x:v>
      </x:c>
      <x:c r="Q56" s="7" t="str">
        <x:v>Interprétation ATB à confronter aux animations et comportements de ME1.</x:v>
      </x:c>
    </x:row>
    <x:row r="57" ht="36" customHeight="1">
      <x:c r="A57" s="13" t="str">
        <x:v>EMV-fanatique-biotique-projection</x:v>
      </x:c>
      <x:c r="B57" s="14" t="str">
        <x:v>Fanatique biotique — Projection</x:v>
      </x:c>
      <x:c r="C57" s="10" t="str">
        <x:v>Défini</x:v>
      </x:c>
      <x:c r="D57" s="11" t="str">
        <x:v>À produire</x:v>
      </x:c>
      <x:c r="E57" s="15" t="str">
        <x:v>P1</x:v>
      </x:c>
      <x:c r="F57" s="15" t="str">
        <x:v>ME1</x:v>
      </x:c>
      <x:c r="G57" s="15" t="str">
        <x:v>Adaptation</x:v>
      </x:c>
      <x:c r="H57" s="14" t="str">
        <x:v>Repousse une cible</x:v>
      </x:c>
      <x:c r="I57" s="14" t="str">
        <x:v>Télégraphe, cible, contre-mesure, résolution et retour à l’attente testés.</x:v>
      </x:c>
      <x:c r="J57" s="14" t="str">
        <x:v>ENM-fanatique-biotique</x:v>
      </x:c>
      <x:c r="K57" s="14" t="str">
        <x:v>content/enemy_moves/EMV-fanatique-biotique-projection.json</x:v>
      </x:c>
      <x:c r="L57" s="14" t="str"/>
      <x:c r="M57" s="14" t="str"/>
      <x:c r="N57" s="14" t="str">
        <x:v>Décisions du fan game ; aucune prétention de canon officiel</x:v>
      </x:c>
      <x:c r="O57" s="14" t="str"/>
      <x:c r="P57" s="14" t="str">
        <x:v>Production ME1</x:v>
      </x:c>
      <x:c r="Q57" s="14" t="str">
        <x:v>Interprétation ATB à confronter aux animations et comportements de ME1.</x:v>
      </x:c>
    </x:row>
    <x:row r="58" ht="36" customHeight="1">
      <x:c r="A58" s="12" t="str">
        <x:v>EMV-fanatique-biotique-levitation</x:v>
      </x:c>
      <x:c r="B58" s="7" t="str">
        <x:v>Fanatique biotique — Lévitation</x:v>
      </x:c>
      <x:c r="C58" s="10" t="str">
        <x:v>Défini</x:v>
      </x:c>
      <x:c r="D58" s="11" t="str">
        <x:v>À produire</x:v>
      </x:c>
      <x:c r="E58" s="9" t="str">
        <x:v>P1</x:v>
      </x:c>
      <x:c r="F58" s="9" t="str">
        <x:v>ME1</x:v>
      </x:c>
      <x:c r="G58" s="9" t="str">
        <x:v>Adaptation</x:v>
      </x:c>
      <x:c r="H58" s="7" t="str">
        <x:v>Expose une cible</x:v>
      </x:c>
      <x:c r="I58" s="7" t="str">
        <x:v>Télégraphe, cible, contre-mesure, résolution et retour à l’attente testés.</x:v>
      </x:c>
      <x:c r="J58" s="7" t="str">
        <x:v>ENM-fanatique-biotique</x:v>
      </x:c>
      <x:c r="K58" s="7" t="str">
        <x:v>content/enemy_moves/EMV-fanatique-biotique-levitation.json</x:v>
      </x:c>
      <x:c r="L58" s="7" t="str"/>
      <x:c r="M58" s="7" t="str"/>
      <x:c r="N58" s="7" t="str">
        <x:v>Décisions du fan game ; aucune prétention de canon officiel</x:v>
      </x:c>
      <x:c r="O58" s="7" t="str"/>
      <x:c r="P58" s="7" t="str">
        <x:v>Production ME1</x:v>
      </x:c>
      <x:c r="Q58" s="7" t="str">
        <x:v>Interprétation ATB à confronter aux animations et comportements de ME1.</x:v>
      </x:c>
    </x:row>
    <x:row r="59" ht="36" customHeight="1">
      <x:c r="A59" s="13" t="str">
        <x:v>EMV-varren-course</x:v>
      </x:c>
      <x:c r="B59" s="14" t="str">
        <x:v>Varren — Course</x:v>
      </x:c>
      <x:c r="C59" s="10" t="str">
        <x:v>Défini</x:v>
      </x:c>
      <x:c r="D59" s="11" t="str">
        <x:v>À produire</x:v>
      </x:c>
      <x:c r="E59" s="15" t="str">
        <x:v>P1</x:v>
      </x:c>
      <x:c r="F59" s="15" t="str">
        <x:v>ME1</x:v>
      </x:c>
      <x:c r="G59" s="15" t="str">
        <x:v>Adaptation</x:v>
      </x:c>
      <x:c r="H59" s="14" t="str">
        <x:v>Ferme rapidement la distance</x:v>
      </x:c>
      <x:c r="I59" s="14" t="str">
        <x:v>Télégraphe, cible, contre-mesure, résolution et retour à l’attente testés.</x:v>
      </x:c>
      <x:c r="J59" s="14" t="str">
        <x:v>ENM-varren</x:v>
      </x:c>
      <x:c r="K59" s="14" t="str">
        <x:v>content/enemy_moves/EMV-varren-course.json</x:v>
      </x:c>
      <x:c r="L59" s="14" t="str"/>
      <x:c r="M59" s="14" t="str"/>
      <x:c r="N59" s="14" t="str">
        <x:v>Décisions du fan game ; aucune prétention de canon officiel</x:v>
      </x:c>
      <x:c r="O59" s="14" t="str"/>
      <x:c r="P59" s="14" t="str">
        <x:v>Production ME1</x:v>
      </x:c>
      <x:c r="Q59" s="14" t="str">
        <x:v>Interprétation ATB à confronter aux animations et comportements de ME1.</x:v>
      </x:c>
    </x:row>
    <x:row r="60" ht="36" customHeight="1">
      <x:c r="A60" s="12" t="str">
        <x:v>EMV-varren-morsure</x:v>
      </x:c>
      <x:c r="B60" s="7" t="str">
        <x:v>Varren — Morsure</x:v>
      </x:c>
      <x:c r="C60" s="10" t="str">
        <x:v>Défini</x:v>
      </x:c>
      <x:c r="D60" s="11" t="str">
        <x:v>À produire</x:v>
      </x:c>
      <x:c r="E60" s="9" t="str">
        <x:v>P1</x:v>
      </x:c>
      <x:c r="F60" s="9" t="str">
        <x:v>ME1</x:v>
      </x:c>
      <x:c r="G60" s="9" t="str">
        <x:v>Adaptation</x:v>
      </x:c>
      <x:c r="H60" s="7" t="str">
        <x:v>Attaque physique de proximité</x:v>
      </x:c>
      <x:c r="I60" s="7" t="str">
        <x:v>Télégraphe, cible, contre-mesure, résolution et retour à l’attente testés.</x:v>
      </x:c>
      <x:c r="J60" s="7" t="str">
        <x:v>ENM-varren</x:v>
      </x:c>
      <x:c r="K60" s="7" t="str">
        <x:v>content/enemy_moves/EMV-varren-morsure.json</x:v>
      </x:c>
      <x:c r="L60" s="7" t="str"/>
      <x:c r="M60" s="7" t="str"/>
      <x:c r="N60" s="7" t="str">
        <x:v>Décisions du fan game ; aucune prétention de canon officiel</x:v>
      </x:c>
      <x:c r="O60" s="7" t="str"/>
      <x:c r="P60" s="7" t="str">
        <x:v>Production ME1</x:v>
      </x:c>
      <x:c r="Q60" s="7" t="str">
        <x:v>Interprétation ATB à confronter aux animations et comportements de ME1.</x:v>
      </x:c>
    </x:row>
    <x:row r="61" ht="36" customHeight="1">
      <x:c r="A61" s="13" t="str">
        <x:v>EMV-devoreur-emergence</x:v>
      </x:c>
      <x:c r="B61" s="14" t="str">
        <x:v>Dévoreur — Émergence</x:v>
      </x:c>
      <x:c r="C61" s="10" t="str">
        <x:v>Défini</x:v>
      </x:c>
      <x:c r="D61" s="11" t="str">
        <x:v>À produire</x:v>
      </x:c>
      <x:c r="E61" s="15" t="str">
        <x:v>P1</x:v>
      </x:c>
      <x:c r="F61" s="15" t="str">
        <x:v>ME1</x:v>
      </x:c>
      <x:c r="G61" s="15" t="str">
        <x:v>Adaptation</x:v>
      </x:c>
      <x:c r="H61" s="14" t="str">
        <x:v>Annonce de la sortie du sol</x:v>
      </x:c>
      <x:c r="I61" s="14" t="str">
        <x:v>Télégraphe, cible, contre-mesure, résolution et retour à l’attente testés.</x:v>
      </x:c>
      <x:c r="J61" s="14" t="str">
        <x:v>ENM-devoreur</x:v>
      </x:c>
      <x:c r="K61" s="14" t="str">
        <x:v>content/enemy_moves/EMV-devoreur-emergence.json</x:v>
      </x:c>
      <x:c r="L61" s="14" t="str"/>
      <x:c r="M61" s="14" t="str"/>
      <x:c r="N61" s="14" t="str">
        <x:v>Décisions du fan game ; aucune prétention de canon officiel</x:v>
      </x:c>
      <x:c r="O61" s="14" t="str"/>
      <x:c r="P61" s="14" t="str">
        <x:v>Production ME1</x:v>
      </x:c>
      <x:c r="Q61" s="14" t="str">
        <x:v>Interprétation ATB à confronter aux animations et comportements de ME1.</x:v>
      </x:c>
    </x:row>
    <x:row r="62" ht="36" customHeight="1">
      <x:c r="A62" s="12" t="str">
        <x:v>EMV-devoreur-acide</x:v>
      </x:c>
      <x:c r="B62" s="7" t="str">
        <x:v>Dévoreur — Acide</x:v>
      </x:c>
      <x:c r="C62" s="10" t="str">
        <x:v>Défini</x:v>
      </x:c>
      <x:c r="D62" s="11" t="str">
        <x:v>À produire</x:v>
      </x:c>
      <x:c r="E62" s="9" t="str">
        <x:v>P1</x:v>
      </x:c>
      <x:c r="F62" s="9" t="str">
        <x:v>ME1</x:v>
      </x:c>
      <x:c r="G62" s="9" t="str">
        <x:v>Adaptation</x:v>
      </x:c>
      <x:c r="H62" s="7" t="str">
        <x:v>Zone de danger au sol</x:v>
      </x:c>
      <x:c r="I62" s="7" t="str">
        <x:v>Télégraphe, cible, contre-mesure, résolution et retour à l’attente testés.</x:v>
      </x:c>
      <x:c r="J62" s="7" t="str">
        <x:v>ENM-devoreur</x:v>
      </x:c>
      <x:c r="K62" s="7" t="str">
        <x:v>content/enemy_moves/EMV-devoreur-acide.json</x:v>
      </x:c>
      <x:c r="L62" s="7" t="str"/>
      <x:c r="M62" s="7" t="str"/>
      <x:c r="N62" s="7" t="str">
        <x:v>Décisions du fan game ; aucune prétention de canon officiel</x:v>
      </x:c>
      <x:c r="O62" s="7" t="str"/>
      <x:c r="P62" s="7" t="str">
        <x:v>Production ME1</x:v>
      </x:c>
      <x:c r="Q62" s="7" t="str">
        <x:v>Interprétation ATB à confronter aux animations et comportements de ME1.</x:v>
      </x:c>
    </x:row>
    <x:row r="63" ht="36" customHeight="1">
      <x:c r="A63" s="13" t="str">
        <x:v>EMV-devoreur-enfouissement</x:v>
      </x:c>
      <x:c r="B63" s="14" t="str">
        <x:v>Dévoreur — Enfouissement</x:v>
      </x:c>
      <x:c r="C63" s="10" t="str">
        <x:v>Défini</x:v>
      </x:c>
      <x:c r="D63" s="11" t="str">
        <x:v>À produire</x:v>
      </x:c>
      <x:c r="E63" s="15" t="str">
        <x:v>P1</x:v>
      </x:c>
      <x:c r="F63" s="15" t="str">
        <x:v>ME1</x:v>
      </x:c>
      <x:c r="G63" s="15" t="str">
        <x:v>Adaptation</x:v>
      </x:c>
      <x:c r="H63" s="14" t="str">
        <x:v>Changement de position</x:v>
      </x:c>
      <x:c r="I63" s="14" t="str">
        <x:v>Télégraphe, cible, contre-mesure, résolution et retour à l’attente testés.</x:v>
      </x:c>
      <x:c r="J63" s="14" t="str">
        <x:v>ENM-devoreur</x:v>
      </x:c>
      <x:c r="K63" s="14" t="str">
        <x:v>content/enemy_moves/EMV-devoreur-enfouissement.json</x:v>
      </x:c>
      <x:c r="L63" s="14" t="str"/>
      <x:c r="M63" s="14" t="str"/>
      <x:c r="N63" s="14" t="str">
        <x:v>Décisions du fan game ; aucune prétention de canon officiel</x:v>
      </x:c>
      <x:c r="O63" s="14" t="str"/>
      <x:c r="P63" s="14" t="str">
        <x:v>Production ME1</x:v>
      </x:c>
      <x:c r="Q63" s="14" t="str">
        <x:v>Interprétation ATB à confronter aux animations et comportements de ME1.</x:v>
      </x:c>
    </x:row>
    <x:row r="64" ht="36" customHeight="1">
      <x:c r="A64" s="12" t="str">
        <x:v>EMV-tourelle-automatisee-balayage</x:v>
      </x:c>
      <x:c r="B64" s="7" t="str">
        <x:v>Tourelle automatisée — Balayage</x:v>
      </x:c>
      <x:c r="C64" s="10" t="str">
        <x:v>Défini</x:v>
      </x:c>
      <x:c r="D64" s="11" t="str">
        <x:v>À produire</x:v>
      </x:c>
      <x:c r="E64" s="9" t="str">
        <x:v>P1</x:v>
      </x:c>
      <x:c r="F64" s="9" t="str">
        <x:v>ME1</x:v>
      </x:c>
      <x:c r="G64" s="9" t="str">
        <x:v>Adaptation</x:v>
      </x:c>
      <x:c r="H64" s="7" t="str">
        <x:v>Rotation dans son arc</x:v>
      </x:c>
      <x:c r="I64" s="7" t="str">
        <x:v>Télégraphe, cible, contre-mesure, résolution et retour à l’attente testés.</x:v>
      </x:c>
      <x:c r="J64" s="7" t="str">
        <x:v>ENM-tourelle-automatisee</x:v>
      </x:c>
      <x:c r="K64" s="7" t="str">
        <x:v>content/enemy_moves/EMV-tourelle-automatisee-balayage.json</x:v>
      </x:c>
      <x:c r="L64" s="7" t="str"/>
      <x:c r="M64" s="7" t="str"/>
      <x:c r="N64" s="7" t="str">
        <x:v>Décisions du fan game ; aucune prétention de canon officiel</x:v>
      </x:c>
      <x:c r="O64" s="7" t="str"/>
      <x:c r="P64" s="7" t="str">
        <x:v>Production ME1</x:v>
      </x:c>
      <x:c r="Q64" s="7" t="str">
        <x:v>Interprétation ATB à confronter aux animations et comportements de ME1.</x:v>
      </x:c>
    </x:row>
    <x:row r="65" ht="36" customHeight="1">
      <x:c r="A65" s="13" t="str">
        <x:v>EMV-tourelle-automatisee-rafale-fixe</x:v>
      </x:c>
      <x:c r="B65" s="14" t="str">
        <x:v>Tourelle automatisée — Rafale fixe</x:v>
      </x:c>
      <x:c r="C65" s="10" t="str">
        <x:v>Défini</x:v>
      </x:c>
      <x:c r="D65" s="11" t="str">
        <x:v>À produire</x:v>
      </x:c>
      <x:c r="E65" s="15" t="str">
        <x:v>P1</x:v>
      </x:c>
      <x:c r="F65" s="15" t="str">
        <x:v>ME1</x:v>
      </x:c>
      <x:c r="G65" s="15" t="str">
        <x:v>Adaptation</x:v>
      </x:c>
      <x:c r="H65" s="14" t="str">
        <x:v>Tir depuis un point immobile</x:v>
      </x:c>
      <x:c r="I65" s="14" t="str">
        <x:v>Télégraphe, cible, contre-mesure, résolution et retour à l’attente testés.</x:v>
      </x:c>
      <x:c r="J65" s="14" t="str">
        <x:v>ENM-tourelle-automatisee</x:v>
      </x:c>
      <x:c r="K65" s="14" t="str">
        <x:v>content/enemy_moves/EMV-tourelle-automatisee-rafale-fixe.json</x:v>
      </x:c>
      <x:c r="L65" s="14" t="str"/>
      <x:c r="M65" s="14" t="str"/>
      <x:c r="N65" s="14" t="str">
        <x:v>Décisions du fan game ; aucune prétention de canon officiel</x:v>
      </x:c>
      <x:c r="O65" s="14" t="str"/>
      <x:c r="P65" s="14" t="str">
        <x:v>Production ME1</x:v>
      </x:c>
      <x:c r="Q65" s="14" t="str">
        <x:v>Interprétation ATB à confronter aux animations et comportements de ME1.</x:v>
      </x:c>
    </x:row>
    <x:row r="66" ht="36" customHeight="1">
      <x:c r="A66" s="12" t="str">
        <x:v>EMV-fist-tir-de-defense</x:v>
      </x:c>
      <x:c r="B66" s="7" t="str">
        <x:v>Fist — Tir de défense</x:v>
      </x:c>
      <x:c r="C66" s="10" t="str">
        <x:v>Défini</x:v>
      </x:c>
      <x:c r="D66" s="11" t="str">
        <x:v>À produire</x:v>
      </x:c>
      <x:c r="E66" s="9" t="str">
        <x:v>P1</x:v>
      </x:c>
      <x:c r="F66" s="9" t="str">
        <x:v>ME1</x:v>
      </x:c>
      <x:c r="G66" s="9" t="str">
        <x:v>Adaptation</x:v>
      </x:c>
      <x:c r="H66" s="7" t="str">
        <x:v>Arme de la rencontre</x:v>
      </x:c>
      <x:c r="I66" s="7" t="str">
        <x:v>Télégraphe, cible, contre-mesure, résolution et retour à l’attente testés.</x:v>
      </x:c>
      <x:c r="J66" s="7" t="str">
        <x:v>ENM-fist</x:v>
      </x:c>
      <x:c r="K66" s="7" t="str">
        <x:v>content/enemy_moves/EMV-fist-tir-de-defense.json</x:v>
      </x:c>
      <x:c r="L66" s="7" t="str"/>
      <x:c r="M66" s="7" t="str"/>
      <x:c r="N66" s="7" t="str">
        <x:v>Décisions du fan game ; aucune prétention de canon officiel</x:v>
      </x:c>
      <x:c r="O66" s="7" t="str"/>
      <x:c r="P66" s="7" t="str">
        <x:v>Production ME1</x:v>
      </x:c>
      <x:c r="Q66" s="7" t="str">
        <x:v>Interprétation ATB à confronter aux animations et comportements de ME1.</x:v>
      </x:c>
    </x:row>
    <x:row r="67" ht="36" customHeight="1">
      <x:c r="A67" s="13" t="str">
        <x:v>EMV-fist-appel-aux-defenses</x:v>
      </x:c>
      <x:c r="B67" s="14" t="str">
        <x:v>Fist — Appel aux défenses</x:v>
      </x:c>
      <x:c r="C67" s="10" t="str">
        <x:v>Défini</x:v>
      </x:c>
      <x:c r="D67" s="11" t="str">
        <x:v>À produire</x:v>
      </x:c>
      <x:c r="E67" s="15" t="str">
        <x:v>P1</x:v>
      </x:c>
      <x:c r="F67" s="15" t="str">
        <x:v>ME1</x:v>
      </x:c>
      <x:c r="G67" s="15" t="str">
        <x:v>Adaptation</x:v>
      </x:c>
      <x:c r="H67" s="14" t="str">
        <x:v>Interaction avec la salle à vérifier</x:v>
      </x:c>
      <x:c r="I67" s="14" t="str">
        <x:v>Télégraphe, cible, contre-mesure, résolution et retour à l’attente testés.</x:v>
      </x:c>
      <x:c r="J67" s="14" t="str">
        <x:v>ENM-fist</x:v>
      </x:c>
      <x:c r="K67" s="14" t="str">
        <x:v>content/enemy_moves/EMV-fist-appel-aux-defenses.json</x:v>
      </x:c>
      <x:c r="L67" s="14" t="str"/>
      <x:c r="M67" s="14" t="str"/>
      <x:c r="N67" s="14" t="str">
        <x:v>Décisions du fan game ; aucune prétention de canon officiel</x:v>
      </x:c>
      <x:c r="O67" s="14" t="str"/>
      <x:c r="P67" s="14" t="str">
        <x:v>Production ME1</x:v>
      </x:c>
      <x:c r="Q67" s="14" t="str">
        <x:v>Interprétation ATB à confronter aux animations et comportements de ME1.</x:v>
      </x:c>
    </x:row>
    <x:row r="68" ht="36" customHeight="1">
      <x:c r="A68" s="12" t="str">
        <x:v>EMV-matriarche-benezia-vague-de-soutien</x:v>
      </x:c>
      <x:c r="B68" s="7" t="str">
        <x:v>Matriarche Benezia — Vague de soutien</x:v>
      </x:c>
      <x:c r="C68" s="10" t="str">
        <x:v>Défini</x:v>
      </x:c>
      <x:c r="D68" s="11" t="str">
        <x:v>À produire</x:v>
      </x:c>
      <x:c r="E68" s="9" t="str">
        <x:v>P1</x:v>
      </x:c>
      <x:c r="F68" s="9" t="str">
        <x:v>ME1</x:v>
      </x:c>
      <x:c r="G68" s="9" t="str">
        <x:v>Adaptation</x:v>
      </x:c>
      <x:c r="H68" s="7" t="str">
        <x:v>Renforts selon la phase</x:v>
      </x:c>
      <x:c r="I68" s="7" t="str">
        <x:v>Télégraphe, cible, contre-mesure, résolution et retour à l’attente testés.</x:v>
      </x:c>
      <x:c r="J68" s="7" t="str">
        <x:v>ENM-matriarche-benezia</x:v>
      </x:c>
      <x:c r="K68" s="7" t="str">
        <x:v>content/enemy_moves/EMV-matriarche-benezia-vague-de-soutien.json</x:v>
      </x:c>
      <x:c r="L68" s="7" t="str"/>
      <x:c r="M68" s="7" t="str"/>
      <x:c r="N68" s="7" t="str">
        <x:v>Décisions du fan game ; aucune prétention de canon officiel</x:v>
      </x:c>
      <x:c r="O68" s="7" t="str"/>
      <x:c r="P68" s="7" t="str">
        <x:v>Production ME1</x:v>
      </x:c>
      <x:c r="Q68" s="7" t="str">
        <x:v>Interprétation ATB à confronter aux animations et comportements de ME1.</x:v>
      </x:c>
    </x:row>
    <x:row r="69" ht="36" customHeight="1">
      <x:c r="A69" s="13" t="str">
        <x:v>EMV-matriarche-benezia-pouvoir-biotique</x:v>
      </x:c>
      <x:c r="B69" s="14" t="str">
        <x:v>Matriarche Benezia — Pouvoir biotique</x:v>
      </x:c>
      <x:c r="C69" s="10" t="str">
        <x:v>Défini</x:v>
      </x:c>
      <x:c r="D69" s="11" t="str">
        <x:v>À produire</x:v>
      </x:c>
      <x:c r="E69" s="15" t="str">
        <x:v>P1</x:v>
      </x:c>
      <x:c r="F69" s="15" t="str">
        <x:v>ME1</x:v>
      </x:c>
      <x:c r="G69" s="15" t="str">
        <x:v>Adaptation</x:v>
      </x:c>
      <x:c r="H69" s="14" t="str">
        <x:v>Cible et effet à relever</x:v>
      </x:c>
      <x:c r="I69" s="14" t="str">
        <x:v>Télégraphe, cible, contre-mesure, résolution et retour à l’attente testés.</x:v>
      </x:c>
      <x:c r="J69" s="14" t="str">
        <x:v>ENM-matriarche-benezia</x:v>
      </x:c>
      <x:c r="K69" s="14" t="str">
        <x:v>content/enemy_moves/EMV-matriarche-benezia-pouvoir-biotique.json</x:v>
      </x:c>
      <x:c r="L69" s="14" t="str"/>
      <x:c r="M69" s="14" t="str"/>
      <x:c r="N69" s="14" t="str">
        <x:v>Décisions du fan game ; aucune prétention de canon officiel</x:v>
      </x:c>
      <x:c r="O69" s="14" t="str"/>
      <x:c r="P69" s="14" t="str">
        <x:v>Production ME1</x:v>
      </x:c>
      <x:c r="Q69" s="14" t="str">
        <x:v>Interprétation ATB à confronter aux animations et comportements de ME1.</x:v>
      </x:c>
    </x:row>
    <x:row r="70" ht="36" customHeight="1">
      <x:c r="A70" s="12" t="str">
        <x:v>EMV-matriarche-benezia-phase-de-dialogue</x:v>
      </x:c>
      <x:c r="B70" s="7" t="str">
        <x:v>Matriarche Benezia — Phase de dialogue</x:v>
      </x:c>
      <x:c r="C70" s="10" t="str">
        <x:v>Défini</x:v>
      </x:c>
      <x:c r="D70" s="11" t="str">
        <x:v>À produire</x:v>
      </x:c>
      <x:c r="E70" s="9" t="str">
        <x:v>P1</x:v>
      </x:c>
      <x:c r="F70" s="9" t="str">
        <x:v>ME1</x:v>
      </x:c>
      <x:c r="G70" s="9" t="str">
        <x:v>Adaptation</x:v>
      </x:c>
      <x:c r="H70" s="7" t="str">
        <x:v>Transition narrative après seuil</x:v>
      </x:c>
      <x:c r="I70" s="7" t="str">
        <x:v>Télégraphe, cible, contre-mesure, résolution et retour à l’attente testés.</x:v>
      </x:c>
      <x:c r="J70" s="7" t="str">
        <x:v>ENM-matriarche-benezia</x:v>
      </x:c>
      <x:c r="K70" s="7" t="str">
        <x:v>content/enemy_moves/EMV-matriarche-benezia-phase-de-dialogue.json</x:v>
      </x:c>
      <x:c r="L70" s="7" t="str"/>
      <x:c r="M70" s="7" t="str"/>
      <x:c r="N70" s="7" t="str">
        <x:v>Décisions du fan game ; aucune prétention de canon officiel</x:v>
      </x:c>
      <x:c r="O70" s="7" t="str"/>
      <x:c r="P70" s="7" t="str">
        <x:v>Production ME1</x:v>
      </x:c>
      <x:c r="Q70" s="7" t="str">
        <x:v>Interprétation ATB à confronter aux animations et comportements de ME1.</x:v>
      </x:c>
    </x:row>
    <x:row r="71" ht="36" customHeight="1">
      <x:c r="A71" s="13" t="str">
        <x:v>EMV-thorian-n-ud-expose</x:v>
      </x:c>
      <x:c r="B71" s="14" t="str">
        <x:v>Thorian — Nœud exposé</x:v>
      </x:c>
      <x:c r="C71" s="10" t="str">
        <x:v>Défini</x:v>
      </x:c>
      <x:c r="D71" s="11" t="str">
        <x:v>À produire</x:v>
      </x:c>
      <x:c r="E71" s="15" t="str">
        <x:v>P1</x:v>
      </x:c>
      <x:c r="F71" s="15" t="str">
        <x:v>ME1</x:v>
      </x:c>
      <x:c r="G71" s="15" t="str">
        <x:v>Adaptation</x:v>
      </x:c>
      <x:c r="H71" s="14" t="str">
        <x:v>Objectif destructible de phase</x:v>
      </x:c>
      <x:c r="I71" s="14" t="str">
        <x:v>Télégraphe, cible, contre-mesure, résolution et retour à l’attente testés.</x:v>
      </x:c>
      <x:c r="J71" s="14" t="str">
        <x:v>ENM-thorian</x:v>
      </x:c>
      <x:c r="K71" s="14" t="str">
        <x:v>content/enemy_moves/EMV-thorian-n-ud-expose.json</x:v>
      </x:c>
      <x:c r="L71" s="14" t="str"/>
      <x:c r="M71" s="14" t="str"/>
      <x:c r="N71" s="14" t="str">
        <x:v>Décisions du fan game ; aucune prétention de canon officiel</x:v>
      </x:c>
      <x:c r="O71" s="14" t="str"/>
      <x:c r="P71" s="14" t="str">
        <x:v>Production ME1</x:v>
      </x:c>
      <x:c r="Q71" s="14" t="str">
        <x:v>Interprétation ATB à confronter aux animations et comportements de ME1.</x:v>
      </x:c>
    </x:row>
    <x:row r="72" ht="36" customHeight="1">
      <x:c r="A72" s="12" t="str">
        <x:v>EMV-thorian-appel-de-creatures</x:v>
      </x:c>
      <x:c r="B72" s="7" t="str">
        <x:v>Thorian — Appel de créatures</x:v>
      </x:c>
      <x:c r="C72" s="10" t="str">
        <x:v>Défini</x:v>
      </x:c>
      <x:c r="D72" s="11" t="str">
        <x:v>À produire</x:v>
      </x:c>
      <x:c r="E72" s="9" t="str">
        <x:v>P1</x:v>
      </x:c>
      <x:c r="F72" s="9" t="str">
        <x:v>ME1</x:v>
      </x:c>
      <x:c r="G72" s="9" t="str">
        <x:v>Adaptation</x:v>
      </x:c>
      <x:c r="H72" s="7" t="str">
        <x:v>Renforts organiques</x:v>
      </x:c>
      <x:c r="I72" s="7" t="str">
        <x:v>Télégraphe, cible, contre-mesure, résolution et retour à l’attente testés.</x:v>
      </x:c>
      <x:c r="J72" s="7" t="str">
        <x:v>ENM-thorian</x:v>
      </x:c>
      <x:c r="K72" s="7" t="str">
        <x:v>content/enemy_moves/EMV-thorian-appel-de-creatures.json</x:v>
      </x:c>
      <x:c r="L72" s="7" t="str"/>
      <x:c r="M72" s="7" t="str"/>
      <x:c r="N72" s="7" t="str">
        <x:v>Décisions du fan game ; aucune prétention de canon officiel</x:v>
      </x:c>
      <x:c r="O72" s="7" t="str"/>
      <x:c r="P72" s="7" t="str">
        <x:v>Production ME1</x:v>
      </x:c>
      <x:c r="Q72" s="7" t="str">
        <x:v>Interprétation ATB à confronter aux animations et comportements de ME1.</x:v>
      </x:c>
    </x:row>
    <x:row r="73" ht="36" customHeight="1">
      <x:c r="A73" s="13" t="str">
        <x:v>EMV-thorian-clone-asari</x:v>
      </x:c>
      <x:c r="B73" s="14" t="str">
        <x:v>Thorian — Clone asari</x:v>
      </x:c>
      <x:c r="C73" s="10" t="str">
        <x:v>Défini</x:v>
      </x:c>
      <x:c r="D73" s="11" t="str">
        <x:v>À produire</x:v>
      </x:c>
      <x:c r="E73" s="15" t="str">
        <x:v>P1</x:v>
      </x:c>
      <x:c r="F73" s="15" t="str">
        <x:v>ME1</x:v>
      </x:c>
      <x:c r="G73" s="15" t="str">
        <x:v>Adaptation</x:v>
      </x:c>
      <x:c r="H73" s="14" t="str">
        <x:v>Rencontre liée à la progression</x:v>
      </x:c>
      <x:c r="I73" s="14" t="str">
        <x:v>Télégraphe, cible, contre-mesure, résolution et retour à l’attente testés.</x:v>
      </x:c>
      <x:c r="J73" s="14" t="str">
        <x:v>ENM-thorian</x:v>
      </x:c>
      <x:c r="K73" s="14" t="str">
        <x:v>content/enemy_moves/EMV-thorian-clone-asari.json</x:v>
      </x:c>
      <x:c r="L73" s="14" t="str"/>
      <x:c r="M73" s="14" t="str"/>
      <x:c r="N73" s="14" t="str">
        <x:v>Décisions du fan game ; aucune prétention de canon officiel</x:v>
      </x:c>
      <x:c r="O73" s="14" t="str"/>
      <x:c r="P73" s="14" t="str">
        <x:v>Production ME1</x:v>
      </x:c>
      <x:c r="Q73" s="14" t="str">
        <x:v>Interprétation ATB à confronter aux animations et comportements de ME1.</x:v>
      </x:c>
    </x:row>
    <x:row r="74" ht="36" customHeight="1">
      <x:c r="A74" s="12" t="str">
        <x:v>EMV-saren-sur-virmire-mobilite-aerienne</x:v>
      </x:c>
      <x:c r="B74" s="7" t="str">
        <x:v>Saren sur Virmire — Mobilité aérienne</x:v>
      </x:c>
      <x:c r="C74" s="10" t="str">
        <x:v>Défini</x:v>
      </x:c>
      <x:c r="D74" s="11" t="str">
        <x:v>À produire</x:v>
      </x:c>
      <x:c r="E74" s="9" t="str">
        <x:v>P1</x:v>
      </x:c>
      <x:c r="F74" s="9" t="str">
        <x:v>ME1</x:v>
      </x:c>
      <x:c r="G74" s="9" t="str">
        <x:v>Adaptation</x:v>
      </x:c>
      <x:c r="H74" s="7" t="str">
        <x:v>Changement de position scénarisé</x:v>
      </x:c>
      <x:c r="I74" s="7" t="str">
        <x:v>Télégraphe, cible, contre-mesure, résolution et retour à l’attente testés.</x:v>
      </x:c>
      <x:c r="J74" s="7" t="str">
        <x:v>ENM-saren-sur-virmire</x:v>
      </x:c>
      <x:c r="K74" s="7" t="str">
        <x:v>content/enemy_moves/EMV-saren-sur-virmire-mobilite-aerienne.json</x:v>
      </x:c>
      <x:c r="L74" s="7" t="str"/>
      <x:c r="M74" s="7" t="str"/>
      <x:c r="N74" s="7" t="str">
        <x:v>Décisions du fan game ; aucune prétention de canon officiel</x:v>
      </x:c>
      <x:c r="O74" s="7" t="str"/>
      <x:c r="P74" s="7" t="str">
        <x:v>Production ME1</x:v>
      </x:c>
      <x:c r="Q74" s="7" t="str">
        <x:v>Interprétation ATB à confronter aux animations et comportements de ME1.</x:v>
      </x:c>
    </x:row>
    <x:row r="75" ht="36" customHeight="1">
      <x:c r="A75" s="13" t="str">
        <x:v>EMV-saren-sur-virmire-attaque-armee</x:v>
      </x:c>
      <x:c r="B75" s="14" t="str">
        <x:v>Saren sur Virmire — Attaque armée</x:v>
      </x:c>
      <x:c r="C75" s="10" t="str">
        <x:v>Défini</x:v>
      </x:c>
      <x:c r="D75" s="11" t="str">
        <x:v>À produire</x:v>
      </x:c>
      <x:c r="E75" s="15" t="str">
        <x:v>P1</x:v>
      </x:c>
      <x:c r="F75" s="15" t="str">
        <x:v>ME1</x:v>
      </x:c>
      <x:c r="G75" s="15" t="str">
        <x:v>Adaptation</x:v>
      </x:c>
      <x:c r="H75" s="14" t="str">
        <x:v>Pression à distance</x:v>
      </x:c>
      <x:c r="I75" s="14" t="str">
        <x:v>Télégraphe, cible, contre-mesure, résolution et retour à l’attente testés.</x:v>
      </x:c>
      <x:c r="J75" s="14" t="str">
        <x:v>ENM-saren-sur-virmire</x:v>
      </x:c>
      <x:c r="K75" s="14" t="str">
        <x:v>content/enemy_moves/EMV-saren-sur-virmire-attaque-armee.json</x:v>
      </x:c>
      <x:c r="L75" s="14" t="str"/>
      <x:c r="M75" s="14" t="str"/>
      <x:c r="N75" s="14" t="str">
        <x:v>Décisions du fan game ; aucune prétention de canon officiel</x:v>
      </x:c>
      <x:c r="O75" s="14" t="str"/>
      <x:c r="P75" s="14" t="str">
        <x:v>Production ME1</x:v>
      </x:c>
      <x:c r="Q75" s="14" t="str">
        <x:v>Interprétation ATB à confronter aux animations et comportements de ME1.</x:v>
      </x:c>
    </x:row>
    <x:row r="76" ht="36" customHeight="1">
      <x:c r="A76" s="12" t="str">
        <x:v>EMV-saren-sur-virmire-fin-de-confrontation</x:v>
      </x:c>
      <x:c r="B76" s="7" t="str">
        <x:v>Saren sur Virmire — Fin de confrontation</x:v>
      </x:c>
      <x:c r="C76" s="10" t="str">
        <x:v>Défini</x:v>
      </x:c>
      <x:c r="D76" s="11" t="str">
        <x:v>À produire</x:v>
      </x:c>
      <x:c r="E76" s="9" t="str">
        <x:v>P1</x:v>
      </x:c>
      <x:c r="F76" s="9" t="str">
        <x:v>ME1</x:v>
      </x:c>
      <x:c r="G76" s="9" t="str">
        <x:v>Adaptation</x:v>
      </x:c>
      <x:c r="H76" s="7" t="str">
        <x:v>Sortie narrative sans mort prématurée</x:v>
      </x:c>
      <x:c r="I76" s="7" t="str">
        <x:v>Télégraphe, cible, contre-mesure, résolution et retour à l’attente testés.</x:v>
      </x:c>
      <x:c r="J76" s="7" t="str">
        <x:v>ENM-saren-sur-virmire</x:v>
      </x:c>
      <x:c r="K76" s="7" t="str">
        <x:v>content/enemy_moves/EMV-saren-sur-virmire-fin-de-confrontation.json</x:v>
      </x:c>
      <x:c r="L76" s="7" t="str"/>
      <x:c r="M76" s="7" t="str"/>
      <x:c r="N76" s="7" t="str">
        <x:v>Décisions du fan game ; aucune prétention de canon officiel</x:v>
      </x:c>
      <x:c r="O76" s="7" t="str"/>
      <x:c r="P76" s="7" t="str">
        <x:v>Production ME1</x:v>
      </x:c>
      <x:c r="Q76" s="7" t="str">
        <x:v>Interprétation ATB à confronter aux animations et comportements de ME1.</x:v>
      </x:c>
    </x:row>
    <x:row r="77" ht="36" customHeight="1">
      <x:c r="A77" s="13" t="str">
        <x:v>EMV-saren-a-la-citadelle-confrontation-verbale</x:v>
      </x:c>
      <x:c r="B77" s="14" t="str">
        <x:v>Saren à la Citadelle — Confrontation verbale</x:v>
      </x:c>
      <x:c r="C77" s="10" t="str">
        <x:v>Défini</x:v>
      </x:c>
      <x:c r="D77" s="11" t="str">
        <x:v>À produire</x:v>
      </x:c>
      <x:c r="E77" s="15" t="str">
        <x:v>P1</x:v>
      </x:c>
      <x:c r="F77" s="15" t="str">
        <x:v>ME1</x:v>
      </x:c>
      <x:c r="G77" s="15" t="str">
        <x:v>Adaptation</x:v>
      </x:c>
      <x:c r="H77" s="14" t="str">
        <x:v>Possibilité de persuasion</x:v>
      </x:c>
      <x:c r="I77" s="14" t="str">
        <x:v>Télégraphe, cible, contre-mesure, résolution et retour à l’attente testés.</x:v>
      </x:c>
      <x:c r="J77" s="14" t="str">
        <x:v>ENM-saren-a-la-citadelle</x:v>
      </x:c>
      <x:c r="K77" s="14" t="str">
        <x:v>content/enemy_moves/EMV-saren-a-la-citadelle-confrontation-verbale.json</x:v>
      </x:c>
      <x:c r="L77" s="14" t="str"/>
      <x:c r="M77" s="14" t="str"/>
      <x:c r="N77" s="14" t="str">
        <x:v>Décisions du fan game ; aucune prétention de canon officiel</x:v>
      </x:c>
      <x:c r="O77" s="14" t="str"/>
      <x:c r="P77" s="14" t="str">
        <x:v>Production ME1</x:v>
      </x:c>
      <x:c r="Q77" s="14" t="str">
        <x:v>Interprétation ATB à confronter aux animations et comportements de ME1.</x:v>
      </x:c>
    </x:row>
    <x:row r="78" ht="36" customHeight="1">
      <x:c r="A78" s="12" t="str">
        <x:v>EMV-saren-a-la-citadelle-phase-de-combat</x:v>
      </x:c>
      <x:c r="B78" s="7" t="str">
        <x:v>Saren à la Citadelle — Phase de combat</x:v>
      </x:c>
      <x:c r="C78" s="10" t="str">
        <x:v>Défini</x:v>
      </x:c>
      <x:c r="D78" s="11" t="str">
        <x:v>À produire</x:v>
      </x:c>
      <x:c r="E78" s="9" t="str">
        <x:v>P1</x:v>
      </x:c>
      <x:c r="F78" s="9" t="str">
        <x:v>ME1</x:v>
      </x:c>
      <x:c r="G78" s="9" t="str">
        <x:v>Adaptation</x:v>
      </x:c>
      <x:c r="H78" s="7" t="str">
        <x:v>Arsenal exact à relever</x:v>
      </x:c>
      <x:c r="I78" s="7" t="str">
        <x:v>Télégraphe, cible, contre-mesure, résolution et retour à l’attente testés.</x:v>
      </x:c>
      <x:c r="J78" s="7" t="str">
        <x:v>ENM-saren-a-la-citadelle</x:v>
      </x:c>
      <x:c r="K78" s="7" t="str">
        <x:v>content/enemy_moves/EMV-saren-a-la-citadelle-phase-de-combat.json</x:v>
      </x:c>
      <x:c r="L78" s="7" t="str"/>
      <x:c r="M78" s="7" t="str"/>
      <x:c r="N78" s="7" t="str">
        <x:v>Décisions du fan game ; aucune prétention de canon officiel</x:v>
      </x:c>
      <x:c r="O78" s="7" t="str"/>
      <x:c r="P78" s="7" t="str">
        <x:v>Production ME1</x:v>
      </x:c>
      <x:c r="Q78" s="7" t="str">
        <x:v>Interprétation ATB à confronter aux animations et comportements de ME1.</x:v>
      </x:c>
    </x:row>
    <x:row r="79" ht="36" customHeight="1">
      <x:c r="A79" s="13" t="str">
        <x:v>EMV-saren-a-la-citadelle-phase-terminale</x:v>
      </x:c>
      <x:c r="B79" s="14" t="str">
        <x:v>Saren à la Citadelle — Phase terminale</x:v>
      </x:c>
      <x:c r="C79" s="10" t="str">
        <x:v>Défini</x:v>
      </x:c>
      <x:c r="D79" s="11" t="str">
        <x:v>À produire</x:v>
      </x:c>
      <x:c r="E79" s="15" t="str">
        <x:v>P1</x:v>
      </x:c>
      <x:c r="F79" s="15" t="str">
        <x:v>ME1</x:v>
      </x:c>
      <x:c r="G79" s="15" t="str">
        <x:v>Adaptation</x:v>
      </x:c>
      <x:c r="H79" s="14" t="str">
        <x:v>Transformation et mouvements à référencer</x:v>
      </x:c>
      <x:c r="I79" s="14" t="str">
        <x:v>Télégraphe, cible, contre-mesure, résolution et retour à l’attente testés.</x:v>
      </x:c>
      <x:c r="J79" s="14" t="str">
        <x:v>ENM-saren-a-la-citadelle</x:v>
      </x:c>
      <x:c r="K79" s="14" t="str">
        <x:v>content/enemy_moves/EMV-saren-a-la-citadelle-phase-terminale.json</x:v>
      </x:c>
      <x:c r="L79" s="14" t="str"/>
      <x:c r="M79" s="14" t="str"/>
      <x:c r="N79" s="14" t="str">
        <x:v>Décisions du fan game ; aucune prétention de canon officiel</x:v>
      </x:c>
      <x:c r="O79" s="14" t="str"/>
      <x:c r="P79" s="14" t="str">
        <x:v>Production ME1</x:v>
      </x:c>
      <x:c r="Q79" s="14" t="str">
        <x:v>Interprétation ATB à confronter aux animations et comportements de ME1.</x:v>
      </x:c>
    </x:row>
    <x:row r="80" ht="36" customHeight="1">
      <x:c r="A80" s="12" t="str">
        <x:v>EMV-balak-combat-rapproche</x:v>
      </x:c>
      <x:c r="B80" s="7" t="str">
        <x:v>Balak — Combat rapproché</x:v>
      </x:c>
      <x:c r="C80" s="10" t="str">
        <x:v>Défini</x:v>
      </x:c>
      <x:c r="D80" s="11" t="str">
        <x:v>À produire</x:v>
      </x:c>
      <x:c r="E80" s="9" t="str">
        <x:v>P1</x:v>
      </x:c>
      <x:c r="F80" s="9" t="str">
        <x:v>ME1</x:v>
      </x:c>
      <x:c r="G80" s="9" t="str">
        <x:v>Adaptation</x:v>
      </x:c>
      <x:c r="H80" s="7" t="str">
        <x:v>Menace en espace industriel</x:v>
      </x:c>
      <x:c r="I80" s="7" t="str">
        <x:v>Télégraphe, cible, contre-mesure, résolution et retour à l’attente testés.</x:v>
      </x:c>
      <x:c r="J80" s="7" t="str">
        <x:v>ENM-balak</x:v>
      </x:c>
      <x:c r="K80" s="7" t="str">
        <x:v>content/enemy_moves/EMV-balak-combat-rapproche.json</x:v>
      </x:c>
      <x:c r="L80" s="7" t="str"/>
      <x:c r="M80" s="7" t="str"/>
      <x:c r="N80" s="7" t="str">
        <x:v>Décisions du fan game ; aucune prétention de canon officiel</x:v>
      </x:c>
      <x:c r="O80" s="7" t="str"/>
      <x:c r="P80" s="7" t="str">
        <x:v>Production ME1</x:v>
      </x:c>
      <x:c r="Q80" s="7" t="str">
        <x:v>Interprétation ATB à confronter aux animations et comportements de ME1.</x:v>
      </x:c>
    </x:row>
    <x:row r="81" ht="36" customHeight="1">
      <x:c r="A81" s="13" t="str">
        <x:v>EMV-balak-decision-finale</x:v>
      </x:c>
      <x:c r="B81" s="14" t="str">
        <x:v>Balak — Décision finale</x:v>
      </x:c>
      <x:c r="C81" s="10" t="str">
        <x:v>Défini</x:v>
      </x:c>
      <x:c r="D81" s="11" t="str">
        <x:v>À produire</x:v>
      </x:c>
      <x:c r="E81" s="15" t="str">
        <x:v>P1</x:v>
      </x:c>
      <x:c r="F81" s="15" t="str">
        <x:v>ME1</x:v>
      </x:c>
      <x:c r="G81" s="15" t="str">
        <x:v>Adaptation</x:v>
      </x:c>
      <x:c r="H81" s="14" t="str">
        <x:v>Sépare poursuite et sauvetage</x:v>
      </x:c>
      <x:c r="I81" s="14" t="str">
        <x:v>Télégraphe, cible, contre-mesure, résolution et retour à l’attente testés.</x:v>
      </x:c>
      <x:c r="J81" s="14" t="str">
        <x:v>ENM-balak</x:v>
      </x:c>
      <x:c r="K81" s="14" t="str">
        <x:v>content/enemy_moves/EMV-balak-decision-finale.json</x:v>
      </x:c>
      <x:c r="L81" s="14" t="str"/>
      <x:c r="M81" s="14" t="str"/>
      <x:c r="N81" s="14" t="str">
        <x:v>Décisions du fan game ; aucune prétention de canon officiel</x:v>
      </x:c>
      <x:c r="O81" s="14" t="str"/>
      <x:c r="P81" s="14" t="str">
        <x:v>Production ME1</x:v>
      </x:c>
      <x:c r="Q81" s="14" t="str">
        <x:v>Interprétation ATB à confronter aux animations et comportements de ME1.</x:v>
      </x:c>
    </x:row>
  </x:sheetData>
  <x:conditionalFormatting sqref="C7:C81">
    <x:cfRule type="cellIs" dxfId="350" priority="1" operator="equal">
      <x:formula>"Prototype"</x:formula>
    </x:cfRule>
    <x:cfRule type="cellIs" dxfId="351" priority="2" operator="equal">
      <x:formula>"Intégré"</x:formula>
    </x:cfRule>
    <x:cfRule type="cellIs" dxfId="352" priority="3" operator="equal">
      <x:formula>"Validé"</x:formula>
    </x:cfRule>
  </x:conditionalFormatting>
  <x:conditionalFormatting sqref="G7:G81">
    <x:cfRule type="cellIs" dxfId="353" priority="4" operator="equal">
      <x:formula>"Référence à vérifier"</x:formula>
    </x:cfRule>
  </x:conditionalFormatting>
  <x:conditionalFormatting sqref="E7:E81">
    <x:cfRule type="cellIs" dxfId="354" priority="5" operator="equal">
      <x:formula>"P0"</x:formula>
    </x:cfRule>
  </x:conditionalFormatting>
  <x:dataValidations count="5">
    <x:dataValidation type="list" sqref="C7:C81">
      <x:formula1>"Défini,Prototype,Intégré,Validé"</x:formula1>
    </x:dataValidation>
    <x:dataValidation type="list" sqref="D7:D81">
      <x:formula1>"À produire,Prototype,Disponible,Validé,Sans objet,Non planifié"</x:formula1>
    </x:dataValidation>
    <x:dataValidation type="list" sqref="E7:E81">
      <x:formula1>"P0,P1,P2"</x:formula1>
    </x:dataValidation>
    <x:dataValidation type="list" sqref="F7:F81">
      <x:formula1>"ME1,ME2,ME3,TRANSVERSE"</x:formula1>
    </x:dataValidation>
    <x:dataValidation type="list" sqref="G7:G81">
      <x:formula1>"Confirmé,Référence à vérifier,Adaptation"</x:formula1>
    </x:dataValidation>
  </x:dataValidations>
  <x:pageMargins left="0.7" right="0.7" top="0.75" bottom="0.75" header="0.3" footer="0.3"/>
  <x:tableParts count="1">
    <x:tablePart xmlns:r="http://schemas.openxmlformats.org/officeDocument/2006/relationships" r:id="Rc77ffcb2553840c4"/>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Animations</x:v>
      </x:c>
      <x:c r="B2" s="2"/>
      <x:c r="C2" s="2"/>
      <x:c r="D2" s="2"/>
      <x:c r="E2" s="2"/>
      <x:c r="F2" s="2"/>
      <x:c r="G2" s="2"/>
      <x:c r="H2" s="2"/>
      <x:c r="I2" s="2"/>
      <x:c r="J2" s="2"/>
      <x:c r="K2" s="2"/>
      <x:c r="L2" s="2"/>
      <x:c r="M2" s="2"/>
      <x:c r="N2" s="2"/>
      <x:c r="O2" s="2"/>
      <x:c r="P2" s="2"/>
      <x:c r="Q2" s="2"/>
    </x:row>
    <x:row r="3" ht="22" customHeight="1">
      <x:c r="A3" s="4" t="str">
        <x:v>Bibliothèque d’animation pour sprites</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ANI-repos-humain-arme</x:v>
      </x:c>
      <x:c r="B7" s="14" t="str">
        <x:v>Repos humain armé</x:v>
      </x:c>
      <x:c r="C7" s="10" t="str">
        <x:v>Défini</x:v>
      </x:c>
      <x:c r="D7" s="11" t="str">
        <x:v>À produire</x:v>
      </x:c>
      <x:c r="E7" s="15" t="str">
        <x:v>P1</x:v>
      </x:c>
      <x:c r="F7" s="15" t="str">
        <x:v>ME1</x:v>
      </x:c>
      <x:c r="G7" s="15" t="str">
        <x:v>Adaptation</x:v>
      </x:c>
      <x:c r="H7" s="14" t="str">
        <x:v>Respiration et poids du corps avec arme basse.</x:v>
      </x:c>
      <x:c r="I7" s="14" t="str">
        <x:v>Boucle sans saut de pied ni changement de taille.</x:v>
      </x:c>
      <x:c r="J7" s="14" t="str"/>
      <x:c r="K7" s="14" t="str">
        <x:v>assets/animations/ANI-repos-humain-arme.json</x:v>
      </x:c>
      <x:c r="L7" s="14" t="str"/>
      <x:c r="M7" s="14" t="str"/>
      <x:c r="N7" s="14" t="str">
        <x:v>Décisions du fan game ; aucune prétention de canon officiel</x:v>
      </x:c>
      <x:c r="O7" s="14" t="str"/>
      <x:c r="P7" s="14" t="str">
        <x:v>Production ME1</x:v>
      </x:c>
      <x:c r="Q7" s="14" t="str"/>
    </x:row>
    <x:row r="8" ht="36" customHeight="1">
      <x:c r="A8" s="12" t="str">
        <x:v>ANI-repos-humain-civil</x:v>
      </x:c>
      <x:c r="B8" s="7" t="str">
        <x:v>Repos humain civil</x:v>
      </x:c>
      <x:c r="C8" s="10" t="str">
        <x:v>Défini</x:v>
      </x:c>
      <x:c r="D8" s="11" t="str">
        <x:v>À produire</x:v>
      </x:c>
      <x:c r="E8" s="9" t="str">
        <x:v>P1</x:v>
      </x:c>
      <x:c r="F8" s="9" t="str">
        <x:v>ME1</x:v>
      </x:c>
      <x:c r="G8" s="9" t="str">
        <x:v>Adaptation</x:v>
      </x:c>
      <x:c r="H8" s="7" t="str">
        <x:v>Posture relâchée et mouvement discret.</x:v>
      </x:c>
      <x:c r="I8" s="7" t="str">
        <x:v>Gestuelle adaptée au rôle social.</x:v>
      </x:c>
      <x:c r="J8" s="7" t="str"/>
      <x:c r="K8" s="7" t="str">
        <x:v>assets/animations/ANI-repos-humain-civil.json</x:v>
      </x:c>
      <x:c r="L8" s="7" t="str"/>
      <x:c r="M8" s="7" t="str"/>
      <x:c r="N8" s="7" t="str">
        <x:v>Décisions du fan game ; aucune prétention de canon officiel</x:v>
      </x:c>
      <x:c r="O8" s="7" t="str"/>
      <x:c r="P8" s="7" t="str">
        <x:v>Production ME1</x:v>
      </x:c>
      <x:c r="Q8" s="7" t="str"/>
    </x:row>
    <x:row r="9" ht="75" customHeight="1">
      <x:c r="A9" s="13" t="str">
        <x:v>ANI-marche-humaine</x:v>
      </x:c>
      <x:c r="B9" s="14" t="str">
        <x:v>Marche humaine</x:v>
      </x:c>
      <x:c r="C9" s="10" t="str">
        <x:v>Prototype</x:v>
      </x:c>
      <x:c r="D9" s="11" t="str">
        <x:v>Prototype</x:v>
      </x:c>
      <x:c r="E9" s="15" t="str">
        <x:v>P1</x:v>
      </x:c>
      <x:c r="F9" s="15" t="str">
        <x:v>ME1</x:v>
      </x:c>
      <x:c r="G9" s="15" t="str">
        <x:v>Adaptation</x:v>
      </x:c>
      <x:c r="H9" s="14" t="str">
        <x:v>Cycle de déplacement en huit directions.</x:v>
      </x:c>
      <x:c r="I9" s="14" t="str">
        <x:v>Vitesse des pieds raccordée à la vitesse dans le monde.</x:v>
      </x:c>
      <x:c r="J9" s="14" t="str"/>
      <x:c r="K9" s="14" t="str">
        <x:v>assets/animations/ANI-marche-humaine.json</x:v>
      </x:c>
      <x:c r="L9" s="14" t="str">
        <x:v>public/assets/shepard-walk-atlas.png</x:v>
      </x:c>
      <x:c r="M9" s="14" t="str">
        <x:v>enableWalkAtlas</x:v>
      </x:c>
      <x:c r="N9" s="14" t="str">
        <x:v>Décisions du fan game ; aucune prétention de canon officiel</x:v>
      </x:c>
      <x:c r="O9" s="14" t="str"/>
      <x:c r="P9" s="14" t="str">
        <x:v>Production ME1</x:v>
      </x:c>
      <x:c r="Q9" s="14" t="str">
        <x:v>Shepard masculin et féminin : 16 images par apparence, quatre directions. Les deux cycles sont actifs dans le prototype. Les contacts féminins 0 et 2 restent similaires dans certaines orientations. Huit directions, raccords définitifs et marche des autres humains restent à produire.</x:v>
      </x:c>
    </x:row>
    <x:row r="10" ht="36" customHeight="1">
      <x:c r="A10" s="12" t="str">
        <x:v>ANI-course-humaine</x:v>
      </x:c>
      <x:c r="B10" s="7" t="str">
        <x:v>Course humaine</x:v>
      </x:c>
      <x:c r="C10" s="10" t="str">
        <x:v>Défini</x:v>
      </x:c>
      <x:c r="D10" s="11" t="str">
        <x:v>À produire</x:v>
      </x:c>
      <x:c r="E10" s="9" t="str">
        <x:v>P1</x:v>
      </x:c>
      <x:c r="F10" s="9" t="str">
        <x:v>ME1</x:v>
      </x:c>
      <x:c r="G10" s="9" t="str">
        <x:v>Adaptation</x:v>
      </x:c>
      <x:c r="H10" s="7" t="str">
        <x:v>Cycle rapide avec tenue d’arme.</x:v>
      </x:c>
      <x:c r="I10" s="7" t="str">
        <x:v>Aucune glissade ni chevauchement de l’arme.</x:v>
      </x:c>
      <x:c r="J10" s="7" t="str"/>
      <x:c r="K10" s="7" t="str">
        <x:v>assets/animations/ANI-course-humaine.json</x:v>
      </x:c>
      <x:c r="L10" s="7" t="str"/>
      <x:c r="M10" s="7" t="str"/>
      <x:c r="N10" s="7" t="str">
        <x:v>Décisions du fan game ; aucune prétention de canon officiel</x:v>
      </x:c>
      <x:c r="O10" s="7" t="str"/>
      <x:c r="P10" s="7" t="str">
        <x:v>Production ME1</x:v>
      </x:c>
      <x:c r="Q10" s="7" t="str"/>
    </x:row>
    <x:row r="11" ht="36" customHeight="1">
      <x:c r="A11" s="13" t="str">
        <x:v>ANI-pivot-sur-place</x:v>
      </x:c>
      <x:c r="B11" s="14" t="str">
        <x:v>Pivot sur place</x:v>
      </x:c>
      <x:c r="C11" s="10" t="str">
        <x:v>Défini</x:v>
      </x:c>
      <x:c r="D11" s="11" t="str">
        <x:v>À produire</x:v>
      </x:c>
      <x:c r="E11" s="15" t="str">
        <x:v>P1</x:v>
      </x:c>
      <x:c r="F11" s="15" t="str">
        <x:v>ME1</x:v>
      </x:c>
      <x:c r="G11" s="15" t="str">
        <x:v>Adaptation</x:v>
      </x:c>
      <x:c r="H11" s="14" t="str">
        <x:v>Orientation sans déplacement.</x:v>
      </x:c>
      <x:c r="I11" s="14" t="str">
        <x:v>Transitions entre directions lisibles.</x:v>
      </x:c>
      <x:c r="J11" s="14" t="str"/>
      <x:c r="K11" s="14" t="str">
        <x:v>assets/animations/ANI-pivot-sur-place.json</x:v>
      </x:c>
      <x:c r="L11" s="14" t="str"/>
      <x:c r="M11" s="14" t="str"/>
      <x:c r="N11" s="14" t="str">
        <x:v>Décisions du fan game ; aucune prétention de canon officiel</x:v>
      </x:c>
      <x:c r="O11" s="14" t="str"/>
      <x:c r="P11" s="14" t="str">
        <x:v>Production ME1</x:v>
      </x:c>
      <x:c r="Q11" s="14" t="str"/>
    </x:row>
    <x:row r="12" ht="36" customHeight="1">
      <x:c r="A12" s="12" t="str">
        <x:v>ANI-arret-de-course</x:v>
      </x:c>
      <x:c r="B12" s="7" t="str">
        <x:v>Arrêt de course</x:v>
      </x:c>
      <x:c r="C12" s="10" t="str">
        <x:v>Défini</x:v>
      </x:c>
      <x:c r="D12" s="11" t="str">
        <x:v>À produire</x:v>
      </x:c>
      <x:c r="E12" s="9" t="str">
        <x:v>P1</x:v>
      </x:c>
      <x:c r="F12" s="9" t="str">
        <x:v>ME1</x:v>
      </x:c>
      <x:c r="G12" s="9" t="str">
        <x:v>Adaptation</x:v>
      </x:c>
      <x:c r="H12" s="7" t="str">
        <x:v>Ralentissement et pose finale.</x:v>
      </x:c>
      <x:c r="I12" s="7" t="str">
        <x:v>Durée de freinage cohérente avec collision.</x:v>
      </x:c>
      <x:c r="J12" s="7" t="str"/>
      <x:c r="K12" s="7" t="str">
        <x:v>assets/animations/ANI-arret-de-course.json</x:v>
      </x:c>
      <x:c r="L12" s="7" t="str"/>
      <x:c r="M12" s="7" t="str"/>
      <x:c r="N12" s="7" t="str">
        <x:v>Décisions du fan game ; aucune prétention de canon officiel</x:v>
      </x:c>
      <x:c r="O12" s="7" t="str"/>
      <x:c r="P12" s="7" t="str">
        <x:v>Production ME1</x:v>
      </x:c>
      <x:c r="Q12" s="7" t="str"/>
    </x:row>
    <x:row r="13" ht="36" customHeight="1">
      <x:c r="A13" s="13" t="str">
        <x:v>ANI-accroupissement</x:v>
      </x:c>
      <x:c r="B13" s="14" t="str">
        <x:v>Accroupissement</x:v>
      </x:c>
      <x:c r="C13" s="10" t="str">
        <x:v>Défini</x:v>
      </x:c>
      <x:c r="D13" s="11" t="str">
        <x:v>À produire</x:v>
      </x:c>
      <x:c r="E13" s="15" t="str">
        <x:v>P1</x:v>
      </x:c>
      <x:c r="F13" s="15" t="str">
        <x:v>ME1</x:v>
      </x:c>
      <x:c r="G13" s="15" t="str">
        <x:v>Adaptation</x:v>
      </x:c>
      <x:c r="H13" s="14" t="str">
        <x:v>Passage debout vers couvert bas.</x:v>
      </x:c>
      <x:c r="I13" s="14" t="str">
        <x:v>Hauteur du sprite et collision synchronisées.</x:v>
      </x:c>
      <x:c r="J13" s="14" t="str"/>
      <x:c r="K13" s="14" t="str">
        <x:v>assets/animations/ANI-accroupissement.json</x:v>
      </x:c>
      <x:c r="L13" s="14" t="str"/>
      <x:c r="M13" s="14" t="str"/>
      <x:c r="N13" s="14" t="str">
        <x:v>Décisions du fan game ; aucune prétention de canon officiel</x:v>
      </x:c>
      <x:c r="O13" s="14" t="str"/>
      <x:c r="P13" s="14" t="str">
        <x:v>Production ME1</x:v>
      </x:c>
      <x:c r="Q13" s="14" t="str"/>
    </x:row>
    <x:row r="14" ht="36" customHeight="1">
      <x:c r="A14" s="12" t="str">
        <x:v>ANI-entree-en-couvert</x:v>
      </x:c>
      <x:c r="B14" s="7" t="str">
        <x:v>Entrée en couvert</x:v>
      </x:c>
      <x:c r="C14" s="10" t="str">
        <x:v>Défini</x:v>
      </x:c>
      <x:c r="D14" s="11" t="str">
        <x:v>À produire</x:v>
      </x:c>
      <x:c r="E14" s="9" t="str">
        <x:v>P1</x:v>
      </x:c>
      <x:c r="F14" s="9" t="str">
        <x:v>ME1</x:v>
      </x:c>
      <x:c r="G14" s="9" t="str">
        <x:v>Adaptation</x:v>
      </x:c>
      <x:c r="H14" s="7" t="str">
        <x:v>Déplacement vers le point de protection.</x:v>
      </x:c>
      <x:c r="I14" s="7" t="str">
        <x:v>Position finale ancrée au décor.</x:v>
      </x:c>
      <x:c r="J14" s="7" t="str"/>
      <x:c r="K14" s="7" t="str">
        <x:v>assets/animations/ANI-entree-en-couvert.json</x:v>
      </x:c>
      <x:c r="L14" s="7" t="str"/>
      <x:c r="M14" s="7" t="str"/>
      <x:c r="N14" s="7" t="str">
        <x:v>Décisions du fan game ; aucune prétention de canon officiel</x:v>
      </x:c>
      <x:c r="O14" s="7" t="str"/>
      <x:c r="P14" s="7" t="str">
        <x:v>Production ME1</x:v>
      </x:c>
      <x:c r="Q14" s="7" t="str"/>
    </x:row>
    <x:row r="15" ht="36" customHeight="1">
      <x:c r="A15" s="13" t="str">
        <x:v>ANI-sortie-de-couvert</x:v>
      </x:c>
      <x:c r="B15" s="14" t="str">
        <x:v>Sortie de couvert</x:v>
      </x:c>
      <x:c r="C15" s="10" t="str">
        <x:v>Défini</x:v>
      </x:c>
      <x:c r="D15" s="11" t="str">
        <x:v>À produire</x:v>
      </x:c>
      <x:c r="E15" s="15" t="str">
        <x:v>P1</x:v>
      </x:c>
      <x:c r="F15" s="15" t="str">
        <x:v>ME1</x:v>
      </x:c>
      <x:c r="G15" s="15" t="str">
        <x:v>Adaptation</x:v>
      </x:c>
      <x:c r="H15" s="14" t="str">
        <x:v>Retour à une posture de tir.</x:v>
      </x:c>
      <x:c r="I15" s="14" t="str">
        <x:v>Pas de téléportation latérale.</x:v>
      </x:c>
      <x:c r="J15" s="14" t="str"/>
      <x:c r="K15" s="14" t="str">
        <x:v>assets/animations/ANI-sortie-de-couvert.json</x:v>
      </x:c>
      <x:c r="L15" s="14" t="str"/>
      <x:c r="M15" s="14" t="str"/>
      <x:c r="N15" s="14" t="str">
        <x:v>Décisions du fan game ; aucune prétention de canon officiel</x:v>
      </x:c>
      <x:c r="O15" s="14" t="str"/>
      <x:c r="P15" s="14" t="str">
        <x:v>Production ME1</x:v>
      </x:c>
      <x:c r="Q15" s="14" t="str"/>
    </x:row>
    <x:row r="16" ht="36" customHeight="1">
      <x:c r="A16" s="12" t="str">
        <x:v>ANI-tir-pistolet</x:v>
      </x:c>
      <x:c r="B16" s="7" t="str">
        <x:v>Tir pistolet</x:v>
      </x:c>
      <x:c r="C16" s="10" t="str">
        <x:v>Défini</x:v>
      </x:c>
      <x:c r="D16" s="11" t="str">
        <x:v>À produire</x:v>
      </x:c>
      <x:c r="E16" s="9" t="str">
        <x:v>P1</x:v>
      </x:c>
      <x:c r="F16" s="9" t="str">
        <x:v>ME1</x:v>
      </x:c>
      <x:c r="G16" s="9" t="str">
        <x:v>Adaptation</x:v>
      </x:c>
      <x:c r="H16" s="7" t="str">
        <x:v>Visée, recul et retour.</x:v>
      </x:c>
      <x:c r="I16" s="7" t="str">
        <x:v>Origine du flash alignée sur le canon.</x:v>
      </x:c>
      <x:c r="J16" s="7" t="str"/>
      <x:c r="K16" s="7" t="str">
        <x:v>assets/animations/ANI-tir-pistolet.json</x:v>
      </x:c>
      <x:c r="L16" s="7" t="str"/>
      <x:c r="M16" s="7" t="str"/>
      <x:c r="N16" s="7" t="str">
        <x:v>Décisions du fan game ; aucune prétention de canon officiel</x:v>
      </x:c>
      <x:c r="O16" s="7" t="str"/>
      <x:c r="P16" s="7" t="str">
        <x:v>Production ME1</x:v>
      </x:c>
      <x:c r="Q16" s="7" t="str"/>
    </x:row>
    <x:row r="17" ht="36" customHeight="1">
      <x:c r="A17" s="13" t="str">
        <x:v>ANI-tir-fusil-d-assaut</x:v>
      </x:c>
      <x:c r="B17" s="14" t="str">
        <x:v>Tir fusil d’assaut</x:v>
      </x:c>
      <x:c r="C17" s="10" t="str">
        <x:v>Défini</x:v>
      </x:c>
      <x:c r="D17" s="11" t="str">
        <x:v>À produire</x:v>
      </x:c>
      <x:c r="E17" s="15" t="str">
        <x:v>P1</x:v>
      </x:c>
      <x:c r="F17" s="15" t="str">
        <x:v>ME1</x:v>
      </x:c>
      <x:c r="G17" s="15" t="str">
        <x:v>Adaptation</x:v>
      </x:c>
      <x:c r="H17" s="14" t="str">
        <x:v>Rafale et contrôle du recul.</x:v>
      </x:c>
      <x:c r="I17" s="14" t="str">
        <x:v>Pas de rechargement thermique emprunté aux suites.</x:v>
      </x:c>
      <x:c r="J17" s="14" t="str"/>
      <x:c r="K17" s="14" t="str">
        <x:v>assets/animations/ANI-tir-fusil-d-assaut.json</x:v>
      </x:c>
      <x:c r="L17" s="14" t="str"/>
      <x:c r="M17" s="14" t="str"/>
      <x:c r="N17" s="14" t="str">
        <x:v>Décisions du fan game ; aucune prétention de canon officiel</x:v>
      </x:c>
      <x:c r="O17" s="14" t="str"/>
      <x:c r="P17" s="14" t="str">
        <x:v>Production ME1</x:v>
      </x:c>
      <x:c r="Q17" s="14" t="str"/>
    </x:row>
    <x:row r="18" ht="36" customHeight="1">
      <x:c r="A18" s="12" t="str">
        <x:v>ANI-tir-fusil-a-pompe</x:v>
      </x:c>
      <x:c r="B18" s="7" t="str">
        <x:v>Tir fusil à pompe</x:v>
      </x:c>
      <x:c r="C18" s="10" t="str">
        <x:v>Défini</x:v>
      </x:c>
      <x:c r="D18" s="11" t="str">
        <x:v>À produire</x:v>
      </x:c>
      <x:c r="E18" s="9" t="str">
        <x:v>P1</x:v>
      </x:c>
      <x:c r="F18" s="9" t="str">
        <x:v>ME1</x:v>
      </x:c>
      <x:c r="G18" s="9" t="str">
        <x:v>Adaptation</x:v>
      </x:c>
      <x:c r="H18" s="7" t="str">
        <x:v>Décharge et remise en position.</x:v>
      </x:c>
      <x:c r="I18" s="7" t="str">
        <x:v>Distance des mains cohérente avec le modèle.</x:v>
      </x:c>
      <x:c r="J18" s="7" t="str"/>
      <x:c r="K18" s="7" t="str">
        <x:v>assets/animations/ANI-tir-fusil-a-pompe.json</x:v>
      </x:c>
      <x:c r="L18" s="7" t="str"/>
      <x:c r="M18" s="7" t="str"/>
      <x:c r="N18" s="7" t="str">
        <x:v>Décisions du fan game ; aucune prétention de canon officiel</x:v>
      </x:c>
      <x:c r="O18" s="7" t="str"/>
      <x:c r="P18" s="7" t="str">
        <x:v>Production ME1</x:v>
      </x:c>
      <x:c r="Q18" s="7" t="str"/>
    </x:row>
    <x:row r="19" ht="36" customHeight="1">
      <x:c r="A19" s="13" t="str">
        <x:v>ANI-tir-de-precision</x:v>
      </x:c>
      <x:c r="B19" s="14" t="str">
        <x:v>Tir de précision</x:v>
      </x:c>
      <x:c r="C19" s="10" t="str">
        <x:v>Défini</x:v>
      </x:c>
      <x:c r="D19" s="11" t="str">
        <x:v>À produire</x:v>
      </x:c>
      <x:c r="E19" s="15" t="str">
        <x:v>P1</x:v>
      </x:c>
      <x:c r="F19" s="15" t="str">
        <x:v>ME1</x:v>
      </x:c>
      <x:c r="G19" s="15" t="str">
        <x:v>Adaptation</x:v>
      </x:c>
      <x:c r="H19" s="14" t="str">
        <x:v>Visée posée et recul unique.</x:v>
      </x:c>
      <x:c r="I19" s="14" t="str">
        <x:v>Point d’impact synchronisé avec le départ du coup.</x:v>
      </x:c>
      <x:c r="J19" s="14" t="str"/>
      <x:c r="K19" s="14" t="str">
        <x:v>assets/animations/ANI-tir-de-precision.json</x:v>
      </x:c>
      <x:c r="L19" s="14" t="str"/>
      <x:c r="M19" s="14" t="str"/>
      <x:c r="N19" s="14" t="str">
        <x:v>Décisions du fan game ; aucune prétention de canon officiel</x:v>
      </x:c>
      <x:c r="O19" s="14" t="str"/>
      <x:c r="P19" s="14" t="str">
        <x:v>Production ME1</x:v>
      </x:c>
      <x:c r="Q19" s="14" t="str"/>
    </x:row>
    <x:row r="20" ht="36" customHeight="1">
      <x:c r="A20" s="12" t="str">
        <x:v>ANI-arme-surchauffee</x:v>
      </x:c>
      <x:c r="B20" s="7" t="str">
        <x:v>Arme surchauffée</x:v>
      </x:c>
      <x:c r="C20" s="10" t="str">
        <x:v>Défini</x:v>
      </x:c>
      <x:c r="D20" s="11" t="str">
        <x:v>À produire</x:v>
      </x:c>
      <x:c r="E20" s="9" t="str">
        <x:v>P1</x:v>
      </x:c>
      <x:c r="F20" s="9" t="str">
        <x:v>ME1</x:v>
      </x:c>
      <x:c r="G20" s="9" t="str">
        <x:v>Adaptation</x:v>
      </x:c>
      <x:c r="H20" s="7" t="str">
        <x:v>Réaction à la chaleur et attente.</x:v>
      </x:c>
      <x:c r="I20" s="7" t="str">
        <x:v>Jauge et effet visuel entrent ensemble en surchauffe.</x:v>
      </x:c>
      <x:c r="J20" s="7" t="str"/>
      <x:c r="K20" s="7" t="str">
        <x:v>assets/animations/ANI-arme-surchauffee.json</x:v>
      </x:c>
      <x:c r="L20" s="7" t="str"/>
      <x:c r="M20" s="7" t="str"/>
      <x:c r="N20" s="7" t="str">
        <x:v>Décisions du fan game ; aucune prétention de canon officiel</x:v>
      </x:c>
      <x:c r="O20" s="7" t="str"/>
      <x:c r="P20" s="7" t="str">
        <x:v>Production ME1</x:v>
      </x:c>
      <x:c r="Q20" s="7" t="str"/>
    </x:row>
    <x:row r="21" ht="36" customHeight="1">
      <x:c r="A21" s="13" t="str">
        <x:v>ANI-lancer-de-grenade</x:v>
      </x:c>
      <x:c r="B21" s="14" t="str">
        <x:v>Lancer de grenade</x:v>
      </x:c>
      <x:c r="C21" s="10" t="str">
        <x:v>Défini</x:v>
      </x:c>
      <x:c r="D21" s="11" t="str">
        <x:v>À produire</x:v>
      </x:c>
      <x:c r="E21" s="15" t="str">
        <x:v>P1</x:v>
      </x:c>
      <x:c r="F21" s="15" t="str">
        <x:v>ME1</x:v>
      </x:c>
      <x:c r="G21" s="15" t="str">
        <x:v>Adaptation</x:v>
      </x:c>
      <x:c r="H21" s="14" t="str">
        <x:v>Armement, lancer et suivi du geste.</x:v>
      </x:c>
      <x:c r="I21" s="14" t="str">
        <x:v>Projectile créé à la main au bon frame.</x:v>
      </x:c>
      <x:c r="J21" s="14" t="str"/>
      <x:c r="K21" s="14" t="str">
        <x:v>assets/animations/ANI-lancer-de-grenade.json</x:v>
      </x:c>
      <x:c r="L21" s="14" t="str"/>
      <x:c r="M21" s="14" t="str"/>
      <x:c r="N21" s="14" t="str">
        <x:v>Décisions du fan game ; aucune prétention de canon officiel</x:v>
      </x:c>
      <x:c r="O21" s="14" t="str"/>
      <x:c r="P21" s="14" t="str">
        <x:v>Production ME1</x:v>
      </x:c>
      <x:c r="Q21" s="14" t="str"/>
    </x:row>
    <x:row r="22" ht="36" customHeight="1">
      <x:c r="A22" s="12" t="str">
        <x:v>ANI-frappe-de-crosse</x:v>
      </x:c>
      <x:c r="B22" s="7" t="str">
        <x:v>Frappe de crosse</x:v>
      </x:c>
      <x:c r="C22" s="10" t="str">
        <x:v>Défini</x:v>
      </x:c>
      <x:c r="D22" s="11" t="str">
        <x:v>À produire</x:v>
      </x:c>
      <x:c r="E22" s="9" t="str">
        <x:v>P1</x:v>
      </x:c>
      <x:c r="F22" s="9" t="str">
        <x:v>ME1</x:v>
      </x:c>
      <x:c r="G22" s="9" t="str">
        <x:v>Adaptation</x:v>
      </x:c>
      <x:c r="H22" s="7" t="str">
        <x:v>Action physique courte.</x:v>
      </x:c>
      <x:c r="I22" s="7" t="str">
        <x:v>Zone d’impact présente uniquement pendant la frappe.</x:v>
      </x:c>
      <x:c r="J22" s="7" t="str"/>
      <x:c r="K22" s="7" t="str">
        <x:v>assets/animations/ANI-frappe-de-crosse.json</x:v>
      </x:c>
      <x:c r="L22" s="7" t="str"/>
      <x:c r="M22" s="7" t="str"/>
      <x:c r="N22" s="7" t="str">
        <x:v>Décisions du fan game ; aucune prétention de canon officiel</x:v>
      </x:c>
      <x:c r="O22" s="7" t="str"/>
      <x:c r="P22" s="7" t="str">
        <x:v>Production ME1</x:v>
      </x:c>
      <x:c r="Q22" s="7" t="str"/>
    </x:row>
    <x:row r="23" ht="36" customHeight="1">
      <x:c r="A23" s="13" t="str">
        <x:v>ANI-activation-omni-outil</x:v>
      </x:c>
      <x:c r="B23" s="14" t="str">
        <x:v>Activation omni-outil</x:v>
      </x:c>
      <x:c r="C23" s="10" t="str">
        <x:v>Défini</x:v>
      </x:c>
      <x:c r="D23" s="11" t="str">
        <x:v>À produire</x:v>
      </x:c>
      <x:c r="E23" s="15" t="str">
        <x:v>P1</x:v>
      </x:c>
      <x:c r="F23" s="15" t="str">
        <x:v>ME1</x:v>
      </x:c>
      <x:c r="G23" s="15" t="str">
        <x:v>Adaptation</x:v>
      </x:c>
      <x:c r="H23" s="14" t="str">
        <x:v>Bras levé et interface holographique.</x:v>
      </x:c>
      <x:c r="I23" s="14" t="str">
        <x:v>Interface suit l’avant-bras à toutes les directions.</x:v>
      </x:c>
      <x:c r="J23" s="14" t="str"/>
      <x:c r="K23" s="14" t="str">
        <x:v>assets/animations/ANI-activation-omni-outil.json</x:v>
      </x:c>
      <x:c r="L23" s="14" t="str"/>
      <x:c r="M23" s="14" t="str"/>
      <x:c r="N23" s="14" t="str">
        <x:v>Décisions du fan game ; aucune prétention de canon officiel</x:v>
      </x:c>
      <x:c r="O23" s="14" t="str"/>
      <x:c r="P23" s="14" t="str">
        <x:v>Production ME1</x:v>
      </x:c>
      <x:c r="Q23" s="14" t="str"/>
    </x:row>
    <x:row r="24" ht="36" customHeight="1">
      <x:c r="A24" s="12" t="str">
        <x:v>ANI-projection-biotique</x:v>
      </x:c>
      <x:c r="B24" s="7" t="str">
        <x:v>Projection biotique</x:v>
      </x:c>
      <x:c r="C24" s="10" t="str">
        <x:v>Défini</x:v>
      </x:c>
      <x:c r="D24" s="11" t="str">
        <x:v>À produire</x:v>
      </x:c>
      <x:c r="E24" s="9" t="str">
        <x:v>P1</x:v>
      </x:c>
      <x:c r="F24" s="9" t="str">
        <x:v>ME1</x:v>
      </x:c>
      <x:c r="G24" s="9" t="str">
        <x:v>Adaptation</x:v>
      </x:c>
      <x:c r="H24" s="7" t="str">
        <x:v>Préparation, impulsion et récupération.</x:v>
      </x:c>
      <x:c r="I24" s="7" t="str">
        <x:v>Main et onde synchronisées.</x:v>
      </x:c>
      <x:c r="J24" s="7" t="str"/>
      <x:c r="K24" s="7" t="str">
        <x:v>assets/animations/ANI-projection-biotique.json</x:v>
      </x:c>
      <x:c r="L24" s="7" t="str"/>
      <x:c r="M24" s="7" t="str"/>
      <x:c r="N24" s="7" t="str">
        <x:v>Décisions du fan game ; aucune prétention de canon officiel</x:v>
      </x:c>
      <x:c r="O24" s="7" t="str"/>
      <x:c r="P24" s="7" t="str">
        <x:v>Production ME1</x:v>
      </x:c>
      <x:c r="Q24" s="7" t="str"/>
    </x:row>
    <x:row r="25" ht="36" customHeight="1">
      <x:c r="A25" s="13" t="str">
        <x:v>ANI-levitation-biotique</x:v>
      </x:c>
      <x:c r="B25" s="14" t="str">
        <x:v>Lévitation biotique</x:v>
      </x:c>
      <x:c r="C25" s="10" t="str">
        <x:v>Défini</x:v>
      </x:c>
      <x:c r="D25" s="11" t="str">
        <x:v>À produire</x:v>
      </x:c>
      <x:c r="E25" s="15" t="str">
        <x:v>P1</x:v>
      </x:c>
      <x:c r="F25" s="15" t="str">
        <x:v>ME1</x:v>
      </x:c>
      <x:c r="G25" s="15" t="str">
        <x:v>Adaptation</x:v>
      </x:c>
      <x:c r="H25" s="14" t="str">
        <x:v>Geste soutenu vers une cible.</x:v>
      </x:c>
      <x:c r="I25" s="14" t="str">
        <x:v>Cible, VFX et durée d’action concordants.</x:v>
      </x:c>
      <x:c r="J25" s="14" t="str"/>
      <x:c r="K25" s="14" t="str">
        <x:v>assets/animations/ANI-levitation-biotique.json</x:v>
      </x:c>
      <x:c r="L25" s="14" t="str"/>
      <x:c r="M25" s="14" t="str"/>
      <x:c r="N25" s="14" t="str">
        <x:v>Décisions du fan game ; aucune prétention de canon officiel</x:v>
      </x:c>
      <x:c r="O25" s="14" t="str"/>
      <x:c r="P25" s="14" t="str">
        <x:v>Production ME1</x:v>
      </x:c>
      <x:c r="Q25" s="14" t="str"/>
    </x:row>
    <x:row r="26" ht="36" customHeight="1">
      <x:c r="A26" s="12" t="str">
        <x:v>ANI-singularite-biotique</x:v>
      </x:c>
      <x:c r="B26" s="7" t="str">
        <x:v>Singularité biotique</x:v>
      </x:c>
      <x:c r="C26" s="10" t="str">
        <x:v>Défini</x:v>
      </x:c>
      <x:c r="D26" s="11" t="str">
        <x:v>À produire</x:v>
      </x:c>
      <x:c r="E26" s="9" t="str">
        <x:v>P1</x:v>
      </x:c>
      <x:c r="F26" s="9" t="str">
        <x:v>ME1</x:v>
      </x:c>
      <x:c r="G26" s="9" t="str">
        <x:v>Adaptation</x:v>
      </x:c>
      <x:c r="H26" s="7" t="str">
        <x:v>Concentration et libération du champ.</x:v>
      </x:c>
      <x:c r="I26" s="7" t="str">
        <x:v>Origine et destination de l’effet cohérentes.</x:v>
      </x:c>
      <x:c r="J26" s="7" t="str"/>
      <x:c r="K26" s="7" t="str">
        <x:v>assets/animations/ANI-singularite-biotique.json</x:v>
      </x:c>
      <x:c r="L26" s="7" t="str"/>
      <x:c r="M26" s="7" t="str"/>
      <x:c r="N26" s="7" t="str">
        <x:v>Décisions du fan game ; aucune prétention de canon officiel</x:v>
      </x:c>
      <x:c r="O26" s="7" t="str"/>
      <x:c r="P26" s="7" t="str">
        <x:v>Production ME1</x:v>
      </x:c>
      <x:c r="Q26" s="7" t="str"/>
    </x:row>
    <x:row r="27" ht="36" customHeight="1">
      <x:c r="A27" s="13" t="str">
        <x:v>ANI-barriere-biotique</x:v>
      </x:c>
      <x:c r="B27" s="14" t="str">
        <x:v>Barrière biotique</x:v>
      </x:c>
      <x:c r="C27" s="10" t="str">
        <x:v>Défini</x:v>
      </x:c>
      <x:c r="D27" s="11" t="str">
        <x:v>À produire</x:v>
      </x:c>
      <x:c r="E27" s="15" t="str">
        <x:v>P1</x:v>
      </x:c>
      <x:c r="F27" s="15" t="str">
        <x:v>ME1</x:v>
      </x:c>
      <x:c r="G27" s="15" t="str">
        <x:v>Adaptation</x:v>
      </x:c>
      <x:c r="H27" s="14" t="str">
        <x:v>Pose de protection.</x:v>
      </x:c>
      <x:c r="I27" s="14" t="str">
        <x:v>Effet n’occulte pas les silhouettes alliées.</x:v>
      </x:c>
      <x:c r="J27" s="14" t="str"/>
      <x:c r="K27" s="14" t="str">
        <x:v>assets/animations/ANI-barriere-biotique.json</x:v>
      </x:c>
      <x:c r="L27" s="14" t="str"/>
      <x:c r="M27" s="14" t="str"/>
      <x:c r="N27" s="14" t="str">
        <x:v>Décisions du fan game ; aucune prétention de canon officiel</x:v>
      </x:c>
      <x:c r="O27" s="14" t="str"/>
      <x:c r="P27" s="14" t="str">
        <x:v>Production ME1</x:v>
      </x:c>
      <x:c r="Q27" s="14" t="str"/>
    </x:row>
    <x:row r="28" ht="36" customHeight="1">
      <x:c r="A28" s="12" t="str">
        <x:v>ANI-utilisation-de-medi-gel</x:v>
      </x:c>
      <x:c r="B28" s="7" t="str">
        <x:v>Utilisation de médi-gel</x:v>
      </x:c>
      <x:c r="C28" s="10" t="str">
        <x:v>Défini</x:v>
      </x:c>
      <x:c r="D28" s="11" t="str">
        <x:v>À produire</x:v>
      </x:c>
      <x:c r="E28" s="9" t="str">
        <x:v>P1</x:v>
      </x:c>
      <x:c r="F28" s="9" t="str">
        <x:v>ME1</x:v>
      </x:c>
      <x:c r="G28" s="9" t="str">
        <x:v>Adaptation</x:v>
      </x:c>
      <x:c r="H28" s="7" t="str">
        <x:v>Application et réponse de soin.</x:v>
      </x:c>
      <x:c r="I28" s="7" t="str">
        <x:v>Quantité et santé changent à la résolution.</x:v>
      </x:c>
      <x:c r="J28" s="7" t="str"/>
      <x:c r="K28" s="7" t="str">
        <x:v>assets/animations/ANI-utilisation-de-medi-gel.json</x:v>
      </x:c>
      <x:c r="L28" s="7" t="str"/>
      <x:c r="M28" s="7" t="str"/>
      <x:c r="N28" s="7" t="str">
        <x:v>Décisions du fan game ; aucune prétention de canon officiel</x:v>
      </x:c>
      <x:c r="O28" s="7" t="str"/>
      <x:c r="P28" s="7" t="str">
        <x:v>Production ME1</x:v>
      </x:c>
      <x:c r="Q28" s="7" t="str"/>
    </x:row>
    <x:row r="29" ht="36" customHeight="1">
      <x:c r="A29" s="13" t="str">
        <x:v>ANI-blessure-legere</x:v>
      </x:c>
      <x:c r="B29" s="14" t="str">
        <x:v>Blessure légère</x:v>
      </x:c>
      <x:c r="C29" s="10" t="str">
        <x:v>Défini</x:v>
      </x:c>
      <x:c r="D29" s="11" t="str">
        <x:v>À produire</x:v>
      </x:c>
      <x:c r="E29" s="15" t="str">
        <x:v>P1</x:v>
      </x:c>
      <x:c r="F29" s="15" t="str">
        <x:v>ME1</x:v>
      </x:c>
      <x:c r="G29" s="15" t="str">
        <x:v>Adaptation</x:v>
      </x:c>
      <x:c r="H29" s="14" t="str">
        <x:v>Réaction rapide sans perdre l’ancrage.</x:v>
      </x:c>
      <x:c r="I29" s="14" t="str">
        <x:v>Interruption seulement quand la règle l’autorise.</x:v>
      </x:c>
      <x:c r="J29" s="14" t="str"/>
      <x:c r="K29" s="14" t="str">
        <x:v>assets/animations/ANI-blessure-legere.json</x:v>
      </x:c>
      <x:c r="L29" s="14" t="str"/>
      <x:c r="M29" s="14" t="str"/>
      <x:c r="N29" s="14" t="str">
        <x:v>Décisions du fan game ; aucune prétention de canon officiel</x:v>
      </x:c>
      <x:c r="O29" s="14" t="str"/>
      <x:c r="P29" s="14" t="str">
        <x:v>Production ME1</x:v>
      </x:c>
      <x:c r="Q29" s="14" t="str"/>
    </x:row>
    <x:row r="30" ht="36" customHeight="1">
      <x:c r="A30" s="12" t="str">
        <x:v>ANI-chute-au-sol</x:v>
      </x:c>
      <x:c r="B30" s="7" t="str">
        <x:v>Chute au sol</x:v>
      </x:c>
      <x:c r="C30" s="10" t="str">
        <x:v>Défini</x:v>
      </x:c>
      <x:c r="D30" s="11" t="str">
        <x:v>À produire</x:v>
      </x:c>
      <x:c r="E30" s="9" t="str">
        <x:v>P1</x:v>
      </x:c>
      <x:c r="F30" s="9" t="str">
        <x:v>ME1</x:v>
      </x:c>
      <x:c r="G30" s="9" t="str">
        <x:v>Adaptation</x:v>
      </x:c>
      <x:c r="H30" s="7" t="str">
        <x:v>Perte d’équilibre jusqu’à la pose KO.</x:v>
      </x:c>
      <x:c r="I30" s="7" t="str">
        <x:v>Collision et ombre restent cohérentes.</x:v>
      </x:c>
      <x:c r="J30" s="7" t="str"/>
      <x:c r="K30" s="7" t="str">
        <x:v>assets/animations/ANI-chute-au-sol.json</x:v>
      </x:c>
      <x:c r="L30" s="7" t="str"/>
      <x:c r="M30" s="7" t="str"/>
      <x:c r="N30" s="7" t="str">
        <x:v>Décisions du fan game ; aucune prétention de canon officiel</x:v>
      </x:c>
      <x:c r="O30" s="7" t="str"/>
      <x:c r="P30" s="7" t="str">
        <x:v>Production ME1</x:v>
      </x:c>
      <x:c r="Q30" s="7" t="str"/>
    </x:row>
    <x:row r="31" ht="36" customHeight="1">
      <x:c r="A31" s="13" t="str">
        <x:v>ANI-relevement</x:v>
      </x:c>
      <x:c r="B31" s="14" t="str">
        <x:v>Relèvement</x:v>
      </x:c>
      <x:c r="C31" s="10" t="str">
        <x:v>Défini</x:v>
      </x:c>
      <x:c r="D31" s="11" t="str">
        <x:v>À produire</x:v>
      </x:c>
      <x:c r="E31" s="15" t="str">
        <x:v>P1</x:v>
      </x:c>
      <x:c r="F31" s="15" t="str">
        <x:v>ME1</x:v>
      </x:c>
      <x:c r="G31" s="15" t="str">
        <x:v>Adaptation</x:v>
      </x:c>
      <x:c r="H31" s="14" t="str">
        <x:v>Retour au combat après Unité.</x:v>
      </x:c>
      <x:c r="I31" s="14" t="str">
        <x:v>Aucun déplacement à travers une couverture.</x:v>
      </x:c>
      <x:c r="J31" s="14" t="str"/>
      <x:c r="K31" s="14" t="str">
        <x:v>assets/animations/ANI-relevement.json</x:v>
      </x:c>
      <x:c r="L31" s="14" t="str"/>
      <x:c r="M31" s="14" t="str"/>
      <x:c r="N31" s="14" t="str">
        <x:v>Décisions du fan game ; aucune prétention de canon officiel</x:v>
      </x:c>
      <x:c r="O31" s="14" t="str"/>
      <x:c r="P31" s="14" t="str">
        <x:v>Production ME1</x:v>
      </x:c>
      <x:c r="Q31" s="14" t="str"/>
    </x:row>
    <x:row r="32" ht="36" customHeight="1">
      <x:c r="A32" s="12" t="str">
        <x:v>ANI-mort-narrative</x:v>
      </x:c>
      <x:c r="B32" s="7" t="str">
        <x:v>Mort narrative</x:v>
      </x:c>
      <x:c r="C32" s="10" t="str">
        <x:v>Défini</x:v>
      </x:c>
      <x:c r="D32" s="11" t="str">
        <x:v>À produire</x:v>
      </x:c>
      <x:c r="E32" s="9" t="str">
        <x:v>P1</x:v>
      </x:c>
      <x:c r="F32" s="9" t="str">
        <x:v>ME1</x:v>
      </x:c>
      <x:c r="G32" s="9" t="str">
        <x:v>Adaptation</x:v>
      </x:c>
      <x:c r="H32" s="7" t="str">
        <x:v>Pose scénarisée spécifique.</x:v>
      </x:c>
      <x:c r="I32" s="7" t="str">
        <x:v>Aucune boucle de réanimation après l’événement.</x:v>
      </x:c>
      <x:c r="J32" s="7" t="str"/>
      <x:c r="K32" s="7" t="str">
        <x:v>assets/animations/ANI-mort-narrative.json</x:v>
      </x:c>
      <x:c r="L32" s="7" t="str"/>
      <x:c r="M32" s="7" t="str"/>
      <x:c r="N32" s="7" t="str">
        <x:v>Décisions du fan game ; aucune prétention de canon officiel</x:v>
      </x:c>
      <x:c r="O32" s="7" t="str"/>
      <x:c r="P32" s="7" t="str">
        <x:v>Production ME1</x:v>
      </x:c>
      <x:c r="Q32" s="7" t="str"/>
    </x:row>
    <x:row r="33" ht="36" customHeight="1">
      <x:c r="A33" s="13" t="str">
        <x:v>ANI-dialogue-neutre</x:v>
      </x:c>
      <x:c r="B33" s="14" t="str">
        <x:v>Dialogue neutre</x:v>
      </x:c>
      <x:c r="C33" s="10" t="str">
        <x:v>Défini</x:v>
      </x:c>
      <x:c r="D33" s="11" t="str">
        <x:v>À produire</x:v>
      </x:c>
      <x:c r="E33" s="15" t="str">
        <x:v>P1</x:v>
      </x:c>
      <x:c r="F33" s="15" t="str">
        <x:v>ME1</x:v>
      </x:c>
      <x:c r="G33" s="15" t="str">
        <x:v>Adaptation</x:v>
      </x:c>
      <x:c r="H33" s="14" t="str">
        <x:v>Mouvements du buste et des mains.</x:v>
      </x:c>
      <x:c r="I33" s="14" t="str">
        <x:v>Bouche et portrait n’affichent pas d’émotion contradictoire.</x:v>
      </x:c>
      <x:c r="J33" s="14" t="str"/>
      <x:c r="K33" s="14" t="str">
        <x:v>assets/animations/ANI-dialogue-neutre.json</x:v>
      </x:c>
      <x:c r="L33" s="14" t="str"/>
      <x:c r="M33" s="14" t="str"/>
      <x:c r="N33" s="14" t="str">
        <x:v>Décisions du fan game ; aucune prétention de canon officiel</x:v>
      </x:c>
      <x:c r="O33" s="14" t="str"/>
      <x:c r="P33" s="14" t="str">
        <x:v>Production ME1</x:v>
      </x:c>
      <x:c r="Q33" s="14" t="str"/>
    </x:row>
    <x:row r="34" ht="36" customHeight="1">
      <x:c r="A34" s="12" t="str">
        <x:v>ANI-dialogue-tendu</x:v>
      </x:c>
      <x:c r="B34" s="7" t="str">
        <x:v>Dialogue tendu</x:v>
      </x:c>
      <x:c r="C34" s="10" t="str">
        <x:v>Défini</x:v>
      </x:c>
      <x:c r="D34" s="11" t="str">
        <x:v>À produire</x:v>
      </x:c>
      <x:c r="E34" s="9" t="str">
        <x:v>P1</x:v>
      </x:c>
      <x:c r="F34" s="9" t="str">
        <x:v>ME1</x:v>
      </x:c>
      <x:c r="G34" s="9" t="str">
        <x:v>Adaptation</x:v>
      </x:c>
      <x:c r="H34" s="7" t="str">
        <x:v>Geste contrôlé et posture défensive.</x:v>
      </x:c>
      <x:c r="I34" s="7" t="str">
        <x:v>Utilisé selon le sens de la réplique.</x:v>
      </x:c>
      <x:c r="J34" s="7" t="str"/>
      <x:c r="K34" s="7" t="str">
        <x:v>assets/animations/ANI-dialogue-tendu.json</x:v>
      </x:c>
      <x:c r="L34" s="7" t="str"/>
      <x:c r="M34" s="7" t="str"/>
      <x:c r="N34" s="7" t="str">
        <x:v>Décisions du fan game ; aucune prétention de canon officiel</x:v>
      </x:c>
      <x:c r="O34" s="7" t="str"/>
      <x:c r="P34" s="7" t="str">
        <x:v>Production ME1</x:v>
      </x:c>
      <x:c r="Q34" s="7" t="str"/>
    </x:row>
    <x:row r="35" ht="36" customHeight="1">
      <x:c r="A35" s="13" t="str">
        <x:v>ANI-interaction-console</x:v>
      </x:c>
      <x:c r="B35" s="14" t="str">
        <x:v>Interaction console</x:v>
      </x:c>
      <x:c r="C35" s="10" t="str">
        <x:v>Défini</x:v>
      </x:c>
      <x:c r="D35" s="11" t="str">
        <x:v>À produire</x:v>
      </x:c>
      <x:c r="E35" s="15" t="str">
        <x:v>P1</x:v>
      </x:c>
      <x:c r="F35" s="15" t="str">
        <x:v>ME1</x:v>
      </x:c>
      <x:c r="G35" s="15" t="str">
        <x:v>Adaptation</x:v>
      </x:c>
      <x:c r="H35" s="14" t="str">
        <x:v>Saisie ou omni-outil face au terminal.</x:v>
      </x:c>
      <x:c r="I35" s="14" t="str">
        <x:v>Distance et orientation vérifiées.</x:v>
      </x:c>
      <x:c r="J35" s="14" t="str"/>
      <x:c r="K35" s="14" t="str">
        <x:v>assets/animations/ANI-interaction-console.json</x:v>
      </x:c>
      <x:c r="L35" s="14" t="str"/>
      <x:c r="M35" s="14" t="str"/>
      <x:c r="N35" s="14" t="str">
        <x:v>Décisions du fan game ; aucune prétention de canon officiel</x:v>
      </x:c>
      <x:c r="O35" s="14" t="str"/>
      <x:c r="P35" s="14" t="str">
        <x:v>Production ME1</x:v>
      </x:c>
      <x:c r="Q35" s="14" t="str"/>
    </x:row>
    <x:row r="36" ht="36" customHeight="1">
      <x:c r="A36" s="12" t="str">
        <x:v>ANI-ouverture-de-casier</x:v>
      </x:c>
      <x:c r="B36" s="7" t="str">
        <x:v>Ouverture de casier</x:v>
      </x:c>
      <x:c r="C36" s="10" t="str">
        <x:v>Défini</x:v>
      </x:c>
      <x:c r="D36" s="11" t="str">
        <x:v>À produire</x:v>
      </x:c>
      <x:c r="E36" s="9" t="str">
        <x:v>P1</x:v>
      </x:c>
      <x:c r="F36" s="9" t="str">
        <x:v>ME1</x:v>
      </x:c>
      <x:c r="G36" s="9" t="str">
        <x:v>Adaptation</x:v>
      </x:c>
      <x:c r="H36" s="7" t="str">
        <x:v>Interaction puis retour au contrôle.</x:v>
      </x:c>
      <x:c r="I36" s="7" t="str">
        <x:v>État ouvert persistent.</x:v>
      </x:c>
      <x:c r="J36" s="7" t="str"/>
      <x:c r="K36" s="7" t="str">
        <x:v>assets/animations/ANI-ouverture-de-casier.json</x:v>
      </x:c>
      <x:c r="L36" s="7" t="str"/>
      <x:c r="M36" s="7" t="str"/>
      <x:c r="N36" s="7" t="str">
        <x:v>Décisions du fan game ; aucune prétention de canon officiel</x:v>
      </x:c>
      <x:c r="O36" s="7" t="str"/>
      <x:c r="P36" s="7" t="str">
        <x:v>Production ME1</x:v>
      </x:c>
      <x:c r="Q36" s="7" t="str"/>
    </x:row>
    <x:row r="37" ht="36" customHeight="1">
      <x:c r="A37" s="13" t="str">
        <x:v>ANI-assise</x:v>
      </x:c>
      <x:c r="B37" s="14" t="str">
        <x:v>Assise</x:v>
      </x:c>
      <x:c r="C37" s="10" t="str">
        <x:v>Défini</x:v>
      </x:c>
      <x:c r="D37" s="11" t="str">
        <x:v>À produire</x:v>
      </x:c>
      <x:c r="E37" s="15" t="str">
        <x:v>P1</x:v>
      </x:c>
      <x:c r="F37" s="15" t="str">
        <x:v>ME1</x:v>
      </x:c>
      <x:c r="G37" s="15" t="str">
        <x:v>Adaptation</x:v>
      </x:c>
      <x:c r="H37" s="14" t="str">
        <x:v>Entrée, boucle et sortie d’un siège.</x:v>
      </x:c>
      <x:c r="I37" s="14" t="str">
        <x:v>Position raccordée au mobilier.</x:v>
      </x:c>
      <x:c r="J37" s="14" t="str"/>
      <x:c r="K37" s="14" t="str">
        <x:v>assets/animations/ANI-assise.json</x:v>
      </x:c>
      <x:c r="L37" s="14" t="str"/>
      <x:c r="M37" s="14" t="str"/>
      <x:c r="N37" s="14" t="str">
        <x:v>Décisions du fan game ; aucune prétention de canon officiel</x:v>
      </x:c>
      <x:c r="O37" s="14" t="str"/>
      <x:c r="P37" s="14" t="str">
        <x:v>Production ME1</x:v>
      </x:c>
      <x:c r="Q37" s="14" t="str"/>
    </x:row>
    <x:row r="38" ht="36" customHeight="1">
      <x:c r="A38" s="12" t="str">
        <x:v>ANI-marche-turienne</x:v>
      </x:c>
      <x:c r="B38" s="7" t="str">
        <x:v>Marche turienne</x:v>
      </x:c>
      <x:c r="C38" s="10" t="str">
        <x:v>Défini</x:v>
      </x:c>
      <x:c r="D38" s="11" t="str">
        <x:v>À produire</x:v>
      </x:c>
      <x:c r="E38" s="9" t="str">
        <x:v>P1</x:v>
      </x:c>
      <x:c r="F38" s="9" t="str">
        <x:v>ME1</x:v>
      </x:c>
      <x:c r="G38" s="9" t="str">
        <x:v>Adaptation</x:v>
      </x:c>
      <x:c r="H38" s="7" t="str">
        <x:v>Cycle respectant les proportions turiennes.</x:v>
      </x:c>
      <x:c r="I38" s="7" t="str">
        <x:v>Pieds, genoux et centre de masse distincts du modèle humain.</x:v>
      </x:c>
      <x:c r="J38" s="7" t="str"/>
      <x:c r="K38" s="7" t="str">
        <x:v>assets/animations/ANI-marche-turienne.json</x:v>
      </x:c>
      <x:c r="L38" s="7" t="str"/>
      <x:c r="M38" s="7" t="str"/>
      <x:c r="N38" s="7" t="str">
        <x:v>Décisions du fan game ; aucune prétention de canon officiel</x:v>
      </x:c>
      <x:c r="O38" s="7" t="str"/>
      <x:c r="P38" s="7" t="str">
        <x:v>Production ME1</x:v>
      </x:c>
      <x:c r="Q38" s="7" t="str"/>
    </x:row>
    <x:row r="39" ht="36" customHeight="1">
      <x:c r="A39" s="13" t="str">
        <x:v>ANI-marche-krogan</x:v>
      </x:c>
      <x:c r="B39" s="14" t="str">
        <x:v>Marche krogan</x:v>
      </x:c>
      <x:c r="C39" s="10" t="str">
        <x:v>Défini</x:v>
      </x:c>
      <x:c r="D39" s="11" t="str">
        <x:v>À produire</x:v>
      </x:c>
      <x:c r="E39" s="15" t="str">
        <x:v>P1</x:v>
      </x:c>
      <x:c r="F39" s="15" t="str">
        <x:v>ME1</x:v>
      </x:c>
      <x:c r="G39" s="15" t="str">
        <x:v>Adaptation</x:v>
      </x:c>
      <x:c r="H39" s="14" t="str">
        <x:v>Cycle lourd adapté au volume.</x:v>
      </x:c>
      <x:c r="I39" s="14" t="str">
        <x:v>Pas de simple étirement d’un humain.</x:v>
      </x:c>
      <x:c r="J39" s="14" t="str"/>
      <x:c r="K39" s="14" t="str">
        <x:v>assets/animations/ANI-marche-krogan.json</x:v>
      </x:c>
      <x:c r="L39" s="14" t="str"/>
      <x:c r="M39" s="14" t="str"/>
      <x:c r="N39" s="14" t="str">
        <x:v>Décisions du fan game ; aucune prétention de canon officiel</x:v>
      </x:c>
      <x:c r="O39" s="14" t="str"/>
      <x:c r="P39" s="14" t="str">
        <x:v>Production ME1</x:v>
      </x:c>
      <x:c r="Q39" s="14" t="str"/>
    </x:row>
    <x:row r="40" ht="36" customHeight="1">
      <x:c r="A40" s="12" t="str">
        <x:v>ANI-marche-quarienne</x:v>
      </x:c>
      <x:c r="B40" s="7" t="str">
        <x:v>Marche quarienne</x:v>
      </x:c>
      <x:c r="C40" s="10" t="str">
        <x:v>Défini</x:v>
      </x:c>
      <x:c r="D40" s="11" t="str">
        <x:v>À produire</x:v>
      </x:c>
      <x:c r="E40" s="9" t="str">
        <x:v>P1</x:v>
      </x:c>
      <x:c r="F40" s="9" t="str">
        <x:v>ME1</x:v>
      </x:c>
      <x:c r="G40" s="9" t="str">
        <x:v>Adaptation</x:v>
      </x:c>
      <x:c r="H40" s="7" t="str">
        <x:v>Cycle adapté aux jambes et à la combinaison.</x:v>
      </x:c>
      <x:c r="I40" s="7" t="str">
        <x:v>Tissus et tuyaux ne flottent pas hors silhouette.</x:v>
      </x:c>
      <x:c r="J40" s="7" t="str"/>
      <x:c r="K40" s="7" t="str">
        <x:v>assets/animations/ANI-marche-quarienne.json</x:v>
      </x:c>
      <x:c r="L40" s="7" t="str"/>
      <x:c r="M40" s="7" t="str"/>
      <x:c r="N40" s="7" t="str">
        <x:v>Décisions du fan game ; aucune prétention de canon officiel</x:v>
      </x:c>
      <x:c r="O40" s="7" t="str"/>
      <x:c r="P40" s="7" t="str">
        <x:v>Production ME1</x:v>
      </x:c>
      <x:c r="Q40" s="7" t="str"/>
    </x:row>
    <x:row r="41" ht="36" customHeight="1">
      <x:c r="A41" s="13" t="str">
        <x:v>ANI-marche-galarienne</x:v>
      </x:c>
      <x:c r="B41" s="14" t="str">
        <x:v>Marche galarienne</x:v>
      </x:c>
      <x:c r="C41" s="10" t="str">
        <x:v>Défini</x:v>
      </x:c>
      <x:c r="D41" s="11" t="str">
        <x:v>À produire</x:v>
      </x:c>
      <x:c r="E41" s="15" t="str">
        <x:v>P1</x:v>
      </x:c>
      <x:c r="F41" s="15" t="str">
        <x:v>ME1</x:v>
      </x:c>
      <x:c r="G41" s="15" t="str">
        <x:v>Adaptation</x:v>
      </x:c>
      <x:c r="H41" s="14" t="str">
        <x:v>Cycle fin et rapide.</x:v>
      </x:c>
      <x:c r="I41" s="14" t="str">
        <x:v>Taille et longueur des membres conservées.</x:v>
      </x:c>
      <x:c r="J41" s="14" t="str"/>
      <x:c r="K41" s="14" t="str">
        <x:v>assets/animations/ANI-marche-galarienne.json</x:v>
      </x:c>
      <x:c r="L41" s="14" t="str"/>
      <x:c r="M41" s="14" t="str"/>
      <x:c r="N41" s="14" t="str">
        <x:v>Décisions du fan game ; aucune prétention de canon officiel</x:v>
      </x:c>
      <x:c r="O41" s="14" t="str"/>
      <x:c r="P41" s="14" t="str">
        <x:v>Production ME1</x:v>
      </x:c>
      <x:c r="Q41" s="14" t="str"/>
    </x:row>
    <x:row r="42" ht="36" customHeight="1">
      <x:c r="A42" s="12" t="str">
        <x:v>ANI-deplacement-elcor</x:v>
      </x:c>
      <x:c r="B42" s="7" t="str">
        <x:v>Déplacement elcor</x:v>
      </x:c>
      <x:c r="C42" s="10" t="str">
        <x:v>Défini</x:v>
      </x:c>
      <x:c r="D42" s="11" t="str">
        <x:v>À produire</x:v>
      </x:c>
      <x:c r="E42" s="9" t="str">
        <x:v>P1</x:v>
      </x:c>
      <x:c r="F42" s="9" t="str">
        <x:v>ME1</x:v>
      </x:c>
      <x:c r="G42" s="9" t="str">
        <x:v>Adaptation</x:v>
      </x:c>
      <x:c r="H42" s="7" t="str">
        <x:v>Cycle quadrupède lourd.</x:v>
      </x:c>
      <x:c r="I42" s="7" t="str">
        <x:v>Les quatre appuis sont contrôlés.</x:v>
      </x:c>
      <x:c r="J42" s="7" t="str"/>
      <x:c r="K42" s="7" t="str">
        <x:v>assets/animations/ANI-deplacement-elcor.json</x:v>
      </x:c>
      <x:c r="L42" s="7" t="str"/>
      <x:c r="M42" s="7" t="str"/>
      <x:c r="N42" s="7" t="str">
        <x:v>Décisions du fan game ; aucune prétention de canon officiel</x:v>
      </x:c>
      <x:c r="O42" s="7" t="str"/>
      <x:c r="P42" s="7" t="str">
        <x:v>Production ME1</x:v>
      </x:c>
      <x:c r="Q42" s="7" t="str"/>
    </x:row>
    <x:row r="43" ht="36" customHeight="1">
      <x:c r="A43" s="13" t="str">
        <x:v>ANI-deplacement-hanari</x:v>
      </x:c>
      <x:c r="B43" s="14" t="str">
        <x:v>Déplacement hanari</x:v>
      </x:c>
      <x:c r="C43" s="10" t="str">
        <x:v>Défini</x:v>
      </x:c>
      <x:c r="D43" s="11" t="str">
        <x:v>À produire</x:v>
      </x:c>
      <x:c r="E43" s="15" t="str">
        <x:v>P1</x:v>
      </x:c>
      <x:c r="F43" s="15" t="str">
        <x:v>ME1</x:v>
      </x:c>
      <x:c r="G43" s="15" t="str">
        <x:v>Adaptation</x:v>
      </x:c>
      <x:c r="H43" s="14" t="str">
        <x:v>Flottement et ondulation des tentacules.</x:v>
      </x:c>
      <x:c r="I43" s="14" t="str">
        <x:v>Absence de marche ou de pied humain.</x:v>
      </x:c>
      <x:c r="J43" s="14" t="str"/>
      <x:c r="K43" s="14" t="str">
        <x:v>assets/animations/ANI-deplacement-hanari.json</x:v>
      </x:c>
      <x:c r="L43" s="14" t="str"/>
      <x:c r="M43" s="14" t="str"/>
      <x:c r="N43" s="14" t="str">
        <x:v>Décisions du fan game ; aucune prétention de canon officiel</x:v>
      </x:c>
      <x:c r="O43" s="14" t="str"/>
      <x:c r="P43" s="14" t="str">
        <x:v>Production ME1</x:v>
      </x:c>
      <x:c r="Q43" s="14" t="str"/>
    </x:row>
    <x:row r="44" ht="36" customHeight="1">
      <x:c r="A44" s="12" t="str">
        <x:v>ANI-bond-geth-mobile</x:v>
      </x:c>
      <x:c r="B44" s="7" t="str">
        <x:v>Bond geth mobile</x:v>
      </x:c>
      <x:c r="C44" s="10" t="str">
        <x:v>Défini</x:v>
      </x:c>
      <x:c r="D44" s="11" t="str">
        <x:v>À produire</x:v>
      </x:c>
      <x:c r="E44" s="9" t="str">
        <x:v>P1</x:v>
      </x:c>
      <x:c r="F44" s="9" t="str">
        <x:v>ME1</x:v>
      </x:c>
      <x:c r="G44" s="9" t="str">
        <x:v>Adaptation</x:v>
      </x:c>
      <x:c r="H44" s="7" t="str">
        <x:v>Transition mur-sol-plafond.</x:v>
      </x:c>
      <x:c r="I44" s="7" t="str">
        <x:v>Points d’ancrage et orientation compatibles avec la géométrie.</x:v>
      </x:c>
      <x:c r="J44" s="7" t="str"/>
      <x:c r="K44" s="7" t="str">
        <x:v>assets/animations/ANI-bond-geth-mobile.json</x:v>
      </x:c>
      <x:c r="L44" s="7" t="str"/>
      <x:c r="M44" s="7" t="str"/>
      <x:c r="N44" s="7" t="str">
        <x:v>Décisions du fan game ; aucune prétention de canon officiel</x:v>
      </x:c>
      <x:c r="O44" s="7" t="str"/>
      <x:c r="P44" s="7" t="str">
        <x:v>Production ME1</x:v>
      </x:c>
      <x:c r="Q44" s="7" t="str"/>
    </x:row>
    <x:row r="45" ht="36" customHeight="1">
      <x:c r="A45" s="13" t="str">
        <x:v>ANI-marche-geth-lourd</x:v>
      </x:c>
      <x:c r="B45" s="14" t="str">
        <x:v>Marche geth lourd</x:v>
      </x:c>
      <x:c r="C45" s="10" t="str">
        <x:v>Défini</x:v>
      </x:c>
      <x:c r="D45" s="11" t="str">
        <x:v>À produire</x:v>
      </x:c>
      <x:c r="E45" s="15" t="str">
        <x:v>P1</x:v>
      </x:c>
      <x:c r="F45" s="15" t="str">
        <x:v>ME1</x:v>
      </x:c>
      <x:c r="G45" s="15" t="str">
        <x:v>Adaptation</x:v>
      </x:c>
      <x:c r="H45" s="14" t="str">
        <x:v>Cycle mécanique d’armature.</x:v>
      </x:c>
      <x:c r="I45" s="14" t="str">
        <x:v>Pattes et masse répondent au terrain.</x:v>
      </x:c>
      <x:c r="J45" s="14" t="str"/>
      <x:c r="K45" s="14" t="str">
        <x:v>assets/animations/ANI-marche-geth-lourd.json</x:v>
      </x:c>
      <x:c r="L45" s="14" t="str"/>
      <x:c r="M45" s="14" t="str"/>
      <x:c r="N45" s="14" t="str">
        <x:v>Décisions du fan game ; aucune prétention de canon officiel</x:v>
      </x:c>
      <x:c r="O45" s="14" t="str"/>
      <x:c r="P45" s="14" t="str">
        <x:v>Production ME1</x:v>
      </x:c>
      <x:c r="Q45" s="14" t="str"/>
    </x:row>
    <x:row r="46" ht="36" customHeight="1">
      <x:c r="A46" s="12" t="str">
        <x:v>ANI-course-varren</x:v>
      </x:c>
      <x:c r="B46" s="7" t="str">
        <x:v>Course varren</x:v>
      </x:c>
      <x:c r="C46" s="10" t="str">
        <x:v>Défini</x:v>
      </x:c>
      <x:c r="D46" s="11" t="str">
        <x:v>À produire</x:v>
      </x:c>
      <x:c r="E46" s="9" t="str">
        <x:v>P1</x:v>
      </x:c>
      <x:c r="F46" s="9" t="str">
        <x:v>ME1</x:v>
      </x:c>
      <x:c r="G46" s="9" t="str">
        <x:v>Adaptation</x:v>
      </x:c>
      <x:c r="H46" s="7" t="str">
        <x:v>Cycle quadrupède agressif.</x:v>
      </x:c>
      <x:c r="I46" s="7" t="str">
        <x:v>Vitesse et distance de morsure cohérentes.</x:v>
      </x:c>
      <x:c r="J46" s="7" t="str"/>
      <x:c r="K46" s="7" t="str">
        <x:v>assets/animations/ANI-course-varren.json</x:v>
      </x:c>
      <x:c r="L46" s="7" t="str"/>
      <x:c r="M46" s="7" t="str"/>
      <x:c r="N46" s="7" t="str">
        <x:v>Décisions du fan game ; aucune prétention de canon officiel</x:v>
      </x:c>
      <x:c r="O46" s="7" t="str"/>
      <x:c r="P46" s="7" t="str">
        <x:v>Production ME1</x:v>
      </x:c>
      <x:c r="Q46" s="7" t="str"/>
    </x:row>
    <x:row r="47" ht="75" customHeight="1">
      <x:c r="A47" s="13" t="str">
        <x:v>FRAME-femshep-walk-front-0</x:v>
      </x:c>
      <x:c r="B47" s="14" t="str">
        <x:v>Shepard femme — marche avant trois-quarts 1/4</x:v>
      </x:c>
      <x:c r="C47" s="10" t="str">
        <x:v>Prototype</x:v>
      </x:c>
      <x:c r="D47" s="11" t="str">
        <x:v>Prototype</x:v>
      </x:c>
      <x:c r="E47" s="15" t="str">
        <x:v>P1</x:v>
      </x:c>
      <x:c r="F47" s="15" t="str">
        <x:v>ME1</x:v>
      </x:c>
      <x:c r="G47" s="15" t="str">
        <x:v>Adaptation</x:v>
      </x:c>
      <x:c r="H47" s="14" t="str">
        <x:v>Frame native 1254×1254, rectangle [183, 42, 156, 290], pivot [82, 286]. Cycle 7 images/seconde, orientation front.</x:v>
      </x:c>
      <x:c r="I47" s="14" t="str">
        <x:v>Afficher la totalité du corps, exclure les cellules voisines et ancrer les pieds au sol. Vérifier changement de direction, arrêt, course et retour après combat. Nettoyer les raccords et comparer visage/armure aux références avant validation artistique.</x:v>
      </x:c>
      <x:c r="J47" s="14" t="str">
        <x:v>CHR-shepard, ANI-marche-humaine</x:v>
      </x:c>
      <x:c r="K47" s="14" t="str">
        <x:v>public/assets/shepard-female-walk-atlas.png</x:v>
      </x:c>
      <x:c r="L47" s="14" t="str">
        <x:v>public/assets/shepard-female-walk-atlas.png</x:v>
      </x:c>
      <x:c r="M47" s="14" t="str">
        <x:v>femshep-walk-front-0</x:v>
      </x:c>
      <x:c r="N47" s="14" t="str">
        <x:v>Objectifs et noms ME1 référencés ; chiffres, découpage et interface propres à cette adaptation ATB.</x:v>
      </x:c>
      <x:c r="O47" s="14" t="str">
        <x:v>https://news.ea.com/press-releases/press-releases-details/2021/Relive-the-Award-Winning-Space-Opera-in-Mass-Effect-Legendary-Edition-on-May-14/</x:v>
      </x:c>
      <x:c r="P47" s="14" t="str">
        <x:v>Production ME1</x:v>
      </x:c>
      <x:c r="Q47" s="14" t="str">
        <x:v>Pose générée, transparence native conservée. Les contacts 0 et 2 restent similaires selon l’orientation. Quatre directions ; huit directions et cycle final non produits.</x:v>
      </x:c>
    </x:row>
    <x:row r="48" ht="75" customHeight="1">
      <x:c r="A48" s="12" t="str">
        <x:v>FRAME-femshep-walk-front-1</x:v>
      </x:c>
      <x:c r="B48" s="7" t="str">
        <x:v>Shepard femme — marche avant trois-quarts 2/4</x:v>
      </x:c>
      <x:c r="C48" s="10" t="str">
        <x:v>Prototype</x:v>
      </x:c>
      <x:c r="D48" s="11" t="str">
        <x:v>Prototype</x:v>
      </x:c>
      <x:c r="E48" s="9" t="str">
        <x:v>P1</x:v>
      </x:c>
      <x:c r="F48" s="9" t="str">
        <x:v>ME1</x:v>
      </x:c>
      <x:c r="G48" s="9" t="str">
        <x:v>Adaptation</x:v>
      </x:c>
      <x:c r="H48" s="7" t="str">
        <x:v>Frame native 1254×1254, rectangle [462, 41, 112, 287], pivot [57, 283]. Cycle 7 images/seconde, orientation front.</x:v>
      </x:c>
      <x:c r="I48" s="7" t="str">
        <x:v>Afficher la totalité du corps, exclure les cellules voisines et ancrer les pieds au sol. Vérifier changement de direction, arrêt, course et retour après combat. Nettoyer les raccords et comparer visage/armure aux références avant validation artistique.</x:v>
      </x:c>
      <x:c r="J48" s="7" t="str">
        <x:v>CHR-shepard, ANI-marche-humaine</x:v>
      </x:c>
      <x:c r="K48" s="7" t="str">
        <x:v>public/assets/shepard-female-walk-atlas.png</x:v>
      </x:c>
      <x:c r="L48" s="7" t="str">
        <x:v>public/assets/shepard-female-walk-atlas.png</x:v>
      </x:c>
      <x:c r="M48" s="7" t="str">
        <x:v>femshep-walk-front-1</x:v>
      </x:c>
      <x:c r="N48" s="7" t="str">
        <x:v>Objectifs et noms ME1 référencés ; chiffres, découpage et interface propres à cette adaptation ATB.</x:v>
      </x:c>
      <x:c r="O48" s="7" t="str">
        <x:v>https://news.ea.com/press-releases/press-releases-details/2021/Relive-the-Award-Winning-Space-Opera-in-Mass-Effect-Legendary-Edition-on-May-14/</x:v>
      </x:c>
      <x:c r="P48" s="7" t="str">
        <x:v>Production ME1</x:v>
      </x:c>
      <x:c r="Q48" s="7" t="str">
        <x:v>Pose générée, transparence native conservée. Les contacts 0 et 2 restent similaires selon l’orientation. Quatre directions ; huit directions et cycle final non produits.</x:v>
      </x:c>
    </x:row>
    <x:row r="49" ht="75" customHeight="1">
      <x:c r="A49" s="13" t="str">
        <x:v>FRAME-femshep-walk-front-2</x:v>
      </x:c>
      <x:c r="B49" s="14" t="str">
        <x:v>Shepard femme — marche avant trois-quarts 3/4</x:v>
      </x:c>
      <x:c r="C49" s="10" t="str">
        <x:v>Prototype</x:v>
      </x:c>
      <x:c r="D49" s="11" t="str">
        <x:v>Prototype</x:v>
      </x:c>
      <x:c r="E49" s="15" t="str">
        <x:v>P1</x:v>
      </x:c>
      <x:c r="F49" s="15" t="str">
        <x:v>ME1</x:v>
      </x:c>
      <x:c r="G49" s="15" t="str">
        <x:v>Adaptation</x:v>
      </x:c>
      <x:c r="H49" s="14" t="str">
        <x:v>Frame native 1254×1254, rectangle [688, 42, 163, 290], pivot [83, 286]. Cycle 7 images/seconde, orientation front.</x:v>
      </x:c>
      <x:c r="I49" s="14" t="str">
        <x:v>Afficher la totalité du corps, exclure les cellules voisines et ancrer les pieds au sol. Vérifier changement de direction, arrêt, course et retour après combat. Nettoyer les raccords et comparer visage/armure aux références avant validation artistique.</x:v>
      </x:c>
      <x:c r="J49" s="14" t="str">
        <x:v>CHR-shepard, ANI-marche-humaine</x:v>
      </x:c>
      <x:c r="K49" s="14" t="str">
        <x:v>public/assets/shepard-female-walk-atlas.png</x:v>
      </x:c>
      <x:c r="L49" s="14" t="str">
        <x:v>public/assets/shepard-female-walk-atlas.png</x:v>
      </x:c>
      <x:c r="M49" s="14" t="str">
        <x:v>femshep-walk-front-2</x:v>
      </x:c>
      <x:c r="N49" s="14" t="str">
        <x:v>Objectifs et noms ME1 référencés ; chiffres, découpage et interface propres à cette adaptation ATB.</x:v>
      </x:c>
      <x:c r="O49" s="14" t="str">
        <x:v>https://news.ea.com/press-releases/press-releases-details/2021/Relive-the-Award-Winning-Space-Opera-in-Mass-Effect-Legendary-Edition-on-May-14/</x:v>
      </x:c>
      <x:c r="P49" s="14" t="str">
        <x:v>Production ME1</x:v>
      </x:c>
      <x:c r="Q49" s="14" t="str">
        <x:v>Pose générée, transparence native conservée. Les contacts 0 et 2 restent similaires selon l’orientation. Quatre directions ; huit directions et cycle final non produits.</x:v>
      </x:c>
    </x:row>
    <x:row r="50" ht="75" customHeight="1">
      <x:c r="A50" s="12" t="str">
        <x:v>FRAME-femshep-walk-front-3</x:v>
      </x:c>
      <x:c r="B50" s="7" t="str">
        <x:v>Shepard femme — marche avant trois-quarts 4/4</x:v>
      </x:c>
      <x:c r="C50" s="10" t="str">
        <x:v>Prototype</x:v>
      </x:c>
      <x:c r="D50" s="11" t="str">
        <x:v>Prototype</x:v>
      </x:c>
      <x:c r="E50" s="9" t="str">
        <x:v>P1</x:v>
      </x:c>
      <x:c r="F50" s="9" t="str">
        <x:v>ME1</x:v>
      </x:c>
      <x:c r="G50" s="9" t="str">
        <x:v>Adaptation</x:v>
      </x:c>
      <x:c r="H50" s="7" t="str">
        <x:v>Frame native 1254×1254, rectangle [973, 41, 113, 290], pivot [57, 286]. Cycle 7 images/seconde, orientation front.</x:v>
      </x:c>
      <x:c r="I50" s="7" t="str">
        <x:v>Afficher la totalité du corps, exclure les cellules voisines et ancrer les pieds au sol. Vérifier changement de direction, arrêt, course et retour après combat. Nettoyer les raccords et comparer visage/armure aux références avant validation artistique.</x:v>
      </x:c>
      <x:c r="J50" s="7" t="str">
        <x:v>CHR-shepard, ANI-marche-humaine</x:v>
      </x:c>
      <x:c r="K50" s="7" t="str">
        <x:v>public/assets/shepard-female-walk-atlas.png</x:v>
      </x:c>
      <x:c r="L50" s="7" t="str">
        <x:v>public/assets/shepard-female-walk-atlas.png</x:v>
      </x:c>
      <x:c r="M50" s="7" t="str">
        <x:v>femshep-walk-front-3</x:v>
      </x:c>
      <x:c r="N50" s="7" t="str">
        <x:v>Objectifs et noms ME1 référencés ; chiffres, découpage et interface propres à cette adaptation ATB.</x:v>
      </x:c>
      <x:c r="O50" s="7" t="str">
        <x:v>https://news.ea.com/press-releases/press-releases-details/2021/Relive-the-Award-Winning-Space-Opera-in-Mass-Effect-Legendary-Edition-on-May-14/</x:v>
      </x:c>
      <x:c r="P50" s="7" t="str">
        <x:v>Production ME1</x:v>
      </x:c>
      <x:c r="Q50" s="7" t="str">
        <x:v>Pose générée, transparence native conservée. Les contacts 0 et 2 restent similaires selon l’orientation. Quatre directions ; huit directions et cycle final non produits.</x:v>
      </x:c>
    </x:row>
    <x:row r="51" ht="75" customHeight="1">
      <x:c r="A51" s="13" t="str">
        <x:v>FRAME-femshep-walk-back-0</x:v>
      </x:c>
      <x:c r="B51" s="14" t="str">
        <x:v>Shepard femme — marche arrière trois-quarts 1/4</x:v>
      </x:c>
      <x:c r="C51" s="10" t="str">
        <x:v>Prototype</x:v>
      </x:c>
      <x:c r="D51" s="11" t="str">
        <x:v>Prototype</x:v>
      </x:c>
      <x:c r="E51" s="15" t="str">
        <x:v>P1</x:v>
      </x:c>
      <x:c r="F51" s="15" t="str">
        <x:v>ME1</x:v>
      </x:c>
      <x:c r="G51" s="15" t="str">
        <x:v>Adaptation</x:v>
      </x:c>
      <x:c r="H51" s="14" t="str">
        <x:v>Frame native 1254×1254, rectangle [192, 346, 161, 292], pivot [79, 288]. Cycle 7 images/seconde, orientation back.</x:v>
      </x:c>
      <x:c r="I51" s="14" t="str">
        <x:v>Afficher la totalité du corps, exclure les cellules voisines et ancrer les pieds au sol. Vérifier changement de direction, arrêt, course et retour après combat. Nettoyer les raccords et comparer visage/armure aux références avant validation artistique.</x:v>
      </x:c>
      <x:c r="J51" s="14" t="str">
        <x:v>CHR-shepard, ANI-marche-humaine</x:v>
      </x:c>
      <x:c r="K51" s="14" t="str">
        <x:v>public/assets/shepard-female-walk-atlas.png</x:v>
      </x:c>
      <x:c r="L51" s="14" t="str">
        <x:v>public/assets/shepard-female-walk-atlas.png</x:v>
      </x:c>
      <x:c r="M51" s="14" t="str">
        <x:v>femshep-walk-back-0</x:v>
      </x:c>
      <x:c r="N51" s="14" t="str">
        <x:v>Objectifs et noms ME1 référencés ; chiffres, découpage et interface propres à cette adaptation ATB.</x:v>
      </x:c>
      <x:c r="O51" s="14" t="str">
        <x:v>https://news.ea.com/press-releases/press-releases-details/2021/Relive-the-Award-Winning-Space-Opera-in-Mass-Effect-Legendary-Edition-on-May-14/</x:v>
      </x:c>
      <x:c r="P51" s="14" t="str">
        <x:v>Production ME1</x:v>
      </x:c>
      <x:c r="Q51" s="14" t="str">
        <x:v>Pose générée, transparence native conservée. Les contacts 0 et 2 restent similaires selon l’orientation. Quatre directions ; huit directions et cycle final non produits.</x:v>
      </x:c>
    </x:row>
    <x:row r="52" ht="75" customHeight="1">
      <x:c r="A52" s="12" t="str">
        <x:v>FRAME-femshep-walk-back-1</x:v>
      </x:c>
      <x:c r="B52" s="7" t="str">
        <x:v>Shepard femme — marche arrière trois-quarts 2/4</x:v>
      </x:c>
      <x:c r="C52" s="10" t="str">
        <x:v>Prototype</x:v>
      </x:c>
      <x:c r="D52" s="11" t="str">
        <x:v>Prototype</x:v>
      </x:c>
      <x:c r="E52" s="9" t="str">
        <x:v>P1</x:v>
      </x:c>
      <x:c r="F52" s="9" t="str">
        <x:v>ME1</x:v>
      </x:c>
      <x:c r="G52" s="9" t="str">
        <x:v>Adaptation</x:v>
      </x:c>
      <x:c r="H52" s="7" t="str">
        <x:v>Frame native 1254×1254, rectangle [455, 343, 123, 288], pivot [62, 284]. Cycle 7 images/seconde, orientation back.</x:v>
      </x:c>
      <x:c r="I52" s="7" t="str">
        <x:v>Afficher la totalité du corps, exclure les cellules voisines et ancrer les pieds au sol. Vérifier changement de direction, arrêt, course et retour après combat. Nettoyer les raccords et comparer visage/armure aux références avant validation artistique.</x:v>
      </x:c>
      <x:c r="J52" s="7" t="str">
        <x:v>CHR-shepard, ANI-marche-humaine</x:v>
      </x:c>
      <x:c r="K52" s="7" t="str">
        <x:v>public/assets/shepard-female-walk-atlas.png</x:v>
      </x:c>
      <x:c r="L52" s="7" t="str">
        <x:v>public/assets/shepard-female-walk-atlas.png</x:v>
      </x:c>
      <x:c r="M52" s="7" t="str">
        <x:v>femshep-walk-back-1</x:v>
      </x:c>
      <x:c r="N52" s="7" t="str">
        <x:v>Objectifs et noms ME1 référencés ; chiffres, découpage et interface propres à cette adaptation ATB.</x:v>
      </x:c>
      <x:c r="O52" s="7" t="str">
        <x:v>https://news.ea.com/press-releases/press-releases-details/2021/Relive-the-Award-Winning-Space-Opera-in-Mass-Effect-Legendary-Edition-on-May-14/</x:v>
      </x:c>
      <x:c r="P52" s="7" t="str">
        <x:v>Production ME1</x:v>
      </x:c>
      <x:c r="Q52" s="7" t="str">
        <x:v>Pose générée, transparence native conservée. Les contacts 0 et 2 restent similaires selon l’orientation. Quatre directions ; huit directions et cycle final non produits.</x:v>
      </x:c>
    </x:row>
    <x:row r="53" ht="75" customHeight="1">
      <x:c r="A53" s="13" t="str">
        <x:v>FRAME-femshep-walk-back-2</x:v>
      </x:c>
      <x:c r="B53" s="14" t="str">
        <x:v>Shepard femme — marche arrière trois-quarts 3/4</x:v>
      </x:c>
      <x:c r="C53" s="10" t="str">
        <x:v>Prototype</x:v>
      </x:c>
      <x:c r="D53" s="11" t="str">
        <x:v>Prototype</x:v>
      </x:c>
      <x:c r="E53" s="15" t="str">
        <x:v>P1</x:v>
      </x:c>
      <x:c r="F53" s="15" t="str">
        <x:v>ME1</x:v>
      </x:c>
      <x:c r="G53" s="15" t="str">
        <x:v>Adaptation</x:v>
      </x:c>
      <x:c r="H53" s="14" t="str">
        <x:v>Frame native 1254×1254, rectangle [697, 344, 154, 295], pivot [78, 291]. Cycle 7 images/seconde, orientation back.</x:v>
      </x:c>
      <x:c r="I53" s="14" t="str">
        <x:v>Afficher la totalité du corps, exclure les cellules voisines et ancrer les pieds au sol. Vérifier changement de direction, arrêt, course et retour après combat. Nettoyer les raccords et comparer visage/armure aux références avant validation artistique.</x:v>
      </x:c>
      <x:c r="J53" s="14" t="str">
        <x:v>CHR-shepard, ANI-marche-humaine</x:v>
      </x:c>
      <x:c r="K53" s="14" t="str">
        <x:v>public/assets/shepard-female-walk-atlas.png</x:v>
      </x:c>
      <x:c r="L53" s="14" t="str">
        <x:v>public/assets/shepard-female-walk-atlas.png</x:v>
      </x:c>
      <x:c r="M53" s="14" t="str">
        <x:v>femshep-walk-back-2</x:v>
      </x:c>
      <x:c r="N53" s="14" t="str">
        <x:v>Objectifs et noms ME1 référencés ; chiffres, découpage et interface propres à cette adaptation ATB.</x:v>
      </x:c>
      <x:c r="O53" s="14" t="str">
        <x:v>https://news.ea.com/press-releases/press-releases-details/2021/Relive-the-Award-Winning-Space-Opera-in-Mass-Effect-Legendary-Edition-on-May-14/</x:v>
      </x:c>
      <x:c r="P53" s="14" t="str">
        <x:v>Production ME1</x:v>
      </x:c>
      <x:c r="Q53" s="14" t="str">
        <x:v>Pose générée, transparence native conservée. Les contacts 0 et 2 restent similaires selon l’orientation. Quatre directions ; huit directions et cycle final non produits.</x:v>
      </x:c>
    </x:row>
    <x:row r="54" ht="75" customHeight="1">
      <x:c r="A54" s="12" t="str">
        <x:v>FRAME-femshep-walk-back-3</x:v>
      </x:c>
      <x:c r="B54" s="7" t="str">
        <x:v>Shepard femme — marche arrière trois-quarts 4/4</x:v>
      </x:c>
      <x:c r="C54" s="10" t="str">
        <x:v>Prototype</x:v>
      </x:c>
      <x:c r="D54" s="11" t="str">
        <x:v>Prototype</x:v>
      </x:c>
      <x:c r="E54" s="9" t="str">
        <x:v>P1</x:v>
      </x:c>
      <x:c r="F54" s="9" t="str">
        <x:v>ME1</x:v>
      </x:c>
      <x:c r="G54" s="9" t="str">
        <x:v>Adaptation</x:v>
      </x:c>
      <x:c r="H54" s="7" t="str">
        <x:v>Frame native 1254×1254, rectangle [964, 344, 127, 283], pivot [64, 279]. Cycle 7 images/seconde, orientation back.</x:v>
      </x:c>
      <x:c r="I54" s="7" t="str">
        <x:v>Afficher la totalité du corps, exclure les cellules voisines et ancrer les pieds au sol. Vérifier changement de direction, arrêt, course et retour après combat. Nettoyer les raccords et comparer visage/armure aux références avant validation artistique.</x:v>
      </x:c>
      <x:c r="J54" s="7" t="str">
        <x:v>CHR-shepard, ANI-marche-humaine</x:v>
      </x:c>
      <x:c r="K54" s="7" t="str">
        <x:v>public/assets/shepard-female-walk-atlas.png</x:v>
      </x:c>
      <x:c r="L54" s="7" t="str">
        <x:v>public/assets/shepard-female-walk-atlas.png</x:v>
      </x:c>
      <x:c r="M54" s="7" t="str">
        <x:v>femshep-walk-back-3</x:v>
      </x:c>
      <x:c r="N54" s="7" t="str">
        <x:v>Objectifs et noms ME1 référencés ; chiffres, découpage et interface propres à cette adaptation ATB.</x:v>
      </x:c>
      <x:c r="O54" s="7" t="str">
        <x:v>https://news.ea.com/press-releases/press-releases-details/2021/Relive-the-Award-Winning-Space-Opera-in-Mass-Effect-Legendary-Edition-on-May-14/</x:v>
      </x:c>
      <x:c r="P54" s="7" t="str">
        <x:v>Production ME1</x:v>
      </x:c>
      <x:c r="Q54" s="7" t="str">
        <x:v>Pose générée, transparence native conservée. Les contacts 0 et 2 restent similaires selon l’orientation. Quatre directions ; huit directions et cycle final non produits.</x:v>
      </x:c>
    </x:row>
    <x:row r="55" ht="75" customHeight="1">
      <x:c r="A55" s="13" t="str">
        <x:v>FRAME-femshep-walk-right-0</x:v>
      </x:c>
      <x:c r="B55" s="14" t="str">
        <x:v>Shepard femme — marche profil droit 1/4</x:v>
      </x:c>
      <x:c r="C55" s="10" t="str">
        <x:v>Prototype</x:v>
      </x:c>
      <x:c r="D55" s="11" t="str">
        <x:v>Prototype</x:v>
      </x:c>
      <x:c r="E55" s="15" t="str">
        <x:v>P1</x:v>
      </x:c>
      <x:c r="F55" s="15" t="str">
        <x:v>ME1</x:v>
      </x:c>
      <x:c r="G55" s="15" t="str">
        <x:v>Adaptation</x:v>
      </x:c>
      <x:c r="H55" s="14" t="str">
        <x:v>Frame native 1254×1254, rectangle [168, 651, 196, 281], pivot [95, 277]. Cycle 7 images/seconde, orientation right.</x:v>
      </x:c>
      <x:c r="I55" s="14" t="str">
        <x:v>Afficher la totalité du corps, exclure les cellules voisines et ancrer les pieds au sol. Vérifier changement de direction, arrêt, course et retour après combat. Nettoyer les raccords et comparer visage/armure aux références avant validation artistique.</x:v>
      </x:c>
      <x:c r="J55" s="14" t="str">
        <x:v>CHR-shepard, ANI-marche-humaine</x:v>
      </x:c>
      <x:c r="K55" s="14" t="str">
        <x:v>public/assets/shepard-female-walk-atlas.png</x:v>
      </x:c>
      <x:c r="L55" s="14" t="str">
        <x:v>public/assets/shepard-female-walk-atlas.png</x:v>
      </x:c>
      <x:c r="M55" s="14" t="str">
        <x:v>femshep-walk-right-0</x:v>
      </x:c>
      <x:c r="N55" s="14" t="str">
        <x:v>Objectifs et noms ME1 référencés ; chiffres, découpage et interface propres à cette adaptation ATB.</x:v>
      </x:c>
      <x:c r="O55" s="14" t="str">
        <x:v>https://news.ea.com/press-releases/press-releases-details/2021/Relive-the-Award-Winning-Space-Opera-in-Mass-Effect-Legendary-Edition-on-May-14/</x:v>
      </x:c>
      <x:c r="P55" s="14" t="str">
        <x:v>Production ME1</x:v>
      </x:c>
      <x:c r="Q55" s="14" t="str">
        <x:v>Pose générée, transparence native conservée. Les contacts 0 et 2 restent similaires selon l’orientation. Quatre directions ; huit directions et cycle final non produits.</x:v>
      </x:c>
    </x:row>
    <x:row r="56" ht="75" customHeight="1">
      <x:c r="A56" s="12" t="str">
        <x:v>FRAME-femshep-walk-right-1</x:v>
      </x:c>
      <x:c r="B56" s="7" t="str">
        <x:v>Shepard femme — marche profil droit 2/4</x:v>
      </x:c>
      <x:c r="C56" s="10" t="str">
        <x:v>Prototype</x:v>
      </x:c>
      <x:c r="D56" s="11" t="str">
        <x:v>Prototype</x:v>
      </x:c>
      <x:c r="E56" s="9" t="str">
        <x:v>P1</x:v>
      </x:c>
      <x:c r="F56" s="9" t="str">
        <x:v>ME1</x:v>
      </x:c>
      <x:c r="G56" s="9" t="str">
        <x:v>Adaptation</x:v>
      </x:c>
      <x:c r="H56" s="7" t="str">
        <x:v>Frame native 1254×1254, rectangle [467, 652, 98, 281], pivot [50, 277]. Cycle 7 images/seconde, orientation right.</x:v>
      </x:c>
      <x:c r="I56" s="7" t="str">
        <x:v>Afficher la totalité du corps, exclure les cellules voisines et ancrer les pieds au sol. Vérifier changement de direction, arrêt, course et retour après combat. Nettoyer les raccords et comparer visage/armure aux références avant validation artistique.</x:v>
      </x:c>
      <x:c r="J56" s="7" t="str">
        <x:v>CHR-shepard, ANI-marche-humaine</x:v>
      </x:c>
      <x:c r="K56" s="7" t="str">
        <x:v>public/assets/shepard-female-walk-atlas.png</x:v>
      </x:c>
      <x:c r="L56" s="7" t="str">
        <x:v>public/assets/shepard-female-walk-atlas.png</x:v>
      </x:c>
      <x:c r="M56" s="7" t="str">
        <x:v>femshep-walk-right-1</x:v>
      </x:c>
      <x:c r="N56" s="7" t="str">
        <x:v>Objectifs et noms ME1 référencés ; chiffres, découpage et interface propres à cette adaptation ATB.</x:v>
      </x:c>
      <x:c r="O56" s="7" t="str">
        <x:v>https://news.ea.com/press-releases/press-releases-details/2021/Relive-the-Award-Winning-Space-Opera-in-Mass-Effect-Legendary-Edition-on-May-14/</x:v>
      </x:c>
      <x:c r="P56" s="7" t="str">
        <x:v>Production ME1</x:v>
      </x:c>
      <x:c r="Q56" s="7" t="str">
        <x:v>Pose générée, transparence native conservée. Les contacts 0 et 2 restent similaires selon l’orientation. Quatre directions ; huit directions et cycle final non produits.</x:v>
      </x:c>
    </x:row>
    <x:row r="57" ht="75" customHeight="1">
      <x:c r="A57" s="13" t="str">
        <x:v>FRAME-femshep-walk-right-2</x:v>
      </x:c>
      <x:c r="B57" s="14" t="str">
        <x:v>Shepard femme — marche profil droit 3/4</x:v>
      </x:c>
      <x:c r="C57" s="10" t="str">
        <x:v>Prototype</x:v>
      </x:c>
      <x:c r="D57" s="11" t="str">
        <x:v>Prototype</x:v>
      </x:c>
      <x:c r="E57" s="15" t="str">
        <x:v>P1</x:v>
      </x:c>
      <x:c r="F57" s="15" t="str">
        <x:v>ME1</x:v>
      </x:c>
      <x:c r="G57" s="15" t="str">
        <x:v>Adaptation</x:v>
      </x:c>
      <x:c r="H57" s="14" t="str">
        <x:v>Frame native 1254×1254, rectangle [672, 653, 209, 279], pivot [102, 275]. Cycle 7 images/seconde, orientation right.</x:v>
      </x:c>
      <x:c r="I57" s="14" t="str">
        <x:v>Afficher la totalité du corps, exclure les cellules voisines et ancrer les pieds au sol. Vérifier changement de direction, arrêt, course et retour après combat. Nettoyer les raccords et comparer visage/armure aux références avant validation artistique.</x:v>
      </x:c>
      <x:c r="J57" s="14" t="str">
        <x:v>CHR-shepard, ANI-marche-humaine</x:v>
      </x:c>
      <x:c r="K57" s="14" t="str">
        <x:v>public/assets/shepard-female-walk-atlas.png</x:v>
      </x:c>
      <x:c r="L57" s="14" t="str">
        <x:v>public/assets/shepard-female-walk-atlas.png</x:v>
      </x:c>
      <x:c r="M57" s="14" t="str">
        <x:v>femshep-walk-right-2</x:v>
      </x:c>
      <x:c r="N57" s="14" t="str">
        <x:v>Objectifs et noms ME1 référencés ; chiffres, découpage et interface propres à cette adaptation ATB.</x:v>
      </x:c>
      <x:c r="O57" s="14" t="str">
        <x:v>https://news.ea.com/press-releases/press-releases-details/2021/Relive-the-Award-Winning-Space-Opera-in-Mass-Effect-Legendary-Edition-on-May-14/</x:v>
      </x:c>
      <x:c r="P57" s="14" t="str">
        <x:v>Production ME1</x:v>
      </x:c>
      <x:c r="Q57" s="14" t="str">
        <x:v>Pose générée, transparence native conservée. Les contacts 0 et 2 restent similaires selon l’orientation. Quatre directions ; huit directions et cycle final non produits.</x:v>
      </x:c>
    </x:row>
    <x:row r="58" ht="75" customHeight="1">
      <x:c r="A58" s="12" t="str">
        <x:v>FRAME-femshep-walk-right-3</x:v>
      </x:c>
      <x:c r="B58" s="7" t="str">
        <x:v>Shepard femme — marche profil droit 4/4</x:v>
      </x:c>
      <x:c r="C58" s="10" t="str">
        <x:v>Prototype</x:v>
      </x:c>
      <x:c r="D58" s="11" t="str">
        <x:v>Prototype</x:v>
      </x:c>
      <x:c r="E58" s="9" t="str">
        <x:v>P1</x:v>
      </x:c>
      <x:c r="F58" s="9" t="str">
        <x:v>ME1</x:v>
      </x:c>
      <x:c r="G58" s="9" t="str">
        <x:v>Adaptation</x:v>
      </x:c>
      <x:c r="H58" s="7" t="str">
        <x:v>Frame native 1254×1254, rectangle [994, 650, 92, 282], pivot [43, 278]. Cycle 7 images/seconde, orientation right.</x:v>
      </x:c>
      <x:c r="I58" s="7" t="str">
        <x:v>Afficher la totalité du corps, exclure les cellules voisines et ancrer les pieds au sol. Vérifier changement de direction, arrêt, course et retour après combat. Nettoyer les raccords et comparer visage/armure aux références avant validation artistique.</x:v>
      </x:c>
      <x:c r="J58" s="7" t="str">
        <x:v>CHR-shepard, ANI-marche-humaine</x:v>
      </x:c>
      <x:c r="K58" s="7" t="str">
        <x:v>public/assets/shepard-female-walk-atlas.png</x:v>
      </x:c>
      <x:c r="L58" s="7" t="str">
        <x:v>public/assets/shepard-female-walk-atlas.png</x:v>
      </x:c>
      <x:c r="M58" s="7" t="str">
        <x:v>femshep-walk-right-3</x:v>
      </x:c>
      <x:c r="N58" s="7" t="str">
        <x:v>Objectifs et noms ME1 référencés ; chiffres, découpage et interface propres à cette adaptation ATB.</x:v>
      </x:c>
      <x:c r="O58" s="7" t="str">
        <x:v>https://news.ea.com/press-releases/press-releases-details/2021/Relive-the-Award-Winning-Space-Opera-in-Mass-Effect-Legendary-Edition-on-May-14/</x:v>
      </x:c>
      <x:c r="P58" s="7" t="str">
        <x:v>Production ME1</x:v>
      </x:c>
      <x:c r="Q58" s="7" t="str">
        <x:v>Pose générée, transparence native conservée. Les contacts 0 et 2 restent similaires selon l’orientation. Quatre directions ; huit directions et cycle final non produits.</x:v>
      </x:c>
    </x:row>
    <x:row r="59" ht="75" customHeight="1">
      <x:c r="A59" s="13" t="str">
        <x:v>FRAME-femshep-walk-left-0</x:v>
      </x:c>
      <x:c r="B59" s="14" t="str">
        <x:v>Shepard femme — marche profil gauche 1/4</x:v>
      </x:c>
      <x:c r="C59" s="10" t="str">
        <x:v>Prototype</x:v>
      </x:c>
      <x:c r="D59" s="11" t="str">
        <x:v>Prototype</x:v>
      </x:c>
      <x:c r="E59" s="15" t="str">
        <x:v>P1</x:v>
      </x:c>
      <x:c r="F59" s="15" t="str">
        <x:v>ME1</x:v>
      </x:c>
      <x:c r="G59" s="15" t="str">
        <x:v>Adaptation</x:v>
      </x:c>
      <x:c r="H59" s="14" t="str">
        <x:v>Frame native 1254×1254, rectangle [166, 947, 203, 269], pivot [99, 265]. Cycle 7 images/seconde, orientation left.</x:v>
      </x:c>
      <x:c r="I59" s="14" t="str">
        <x:v>Afficher la totalité du corps, exclure les cellules voisines et ancrer les pieds au sol. Vérifier changement de direction, arrêt, course et retour après combat. Nettoyer les raccords et comparer visage/armure aux références avant validation artistique.</x:v>
      </x:c>
      <x:c r="J59" s="14" t="str">
        <x:v>CHR-shepard, ANI-marche-humaine</x:v>
      </x:c>
      <x:c r="K59" s="14" t="str">
        <x:v>public/assets/shepard-female-walk-atlas.png</x:v>
      </x:c>
      <x:c r="L59" s="14" t="str">
        <x:v>public/assets/shepard-female-walk-atlas.png</x:v>
      </x:c>
      <x:c r="M59" s="14" t="str">
        <x:v>femshep-walk-left-0</x:v>
      </x:c>
      <x:c r="N59" s="14" t="str">
        <x:v>Objectifs et noms ME1 référencés ; chiffres, découpage et interface propres à cette adaptation ATB.</x:v>
      </x:c>
      <x:c r="O59" s="14" t="str">
        <x:v>https://news.ea.com/press-releases/press-releases-details/2021/Relive-the-Award-Winning-Space-Opera-in-Mass-Effect-Legendary-Edition-on-May-14/</x:v>
      </x:c>
      <x:c r="P59" s="14" t="str">
        <x:v>Production ME1</x:v>
      </x:c>
      <x:c r="Q59" s="14" t="str">
        <x:v>Pose générée, transparence native conservée. Les contacts 0 et 2 restent similaires selon l’orientation. Quatre directions ; huit directions et cycle final non produits.</x:v>
      </x:c>
    </x:row>
    <x:row r="60" ht="75" customHeight="1">
      <x:c r="A60" s="12" t="str">
        <x:v>FRAME-femshep-walk-left-1</x:v>
      </x:c>
      <x:c r="B60" s="7" t="str">
        <x:v>Shepard femme — marche profil gauche 2/4</x:v>
      </x:c>
      <x:c r="C60" s="10" t="str">
        <x:v>Prototype</x:v>
      </x:c>
      <x:c r="D60" s="11" t="str">
        <x:v>Prototype</x:v>
      </x:c>
      <x:c r="E60" s="9" t="str">
        <x:v>P1</x:v>
      </x:c>
      <x:c r="F60" s="9" t="str">
        <x:v>ME1</x:v>
      </x:c>
      <x:c r="G60" s="9" t="str">
        <x:v>Adaptation</x:v>
      </x:c>
      <x:c r="H60" s="7" t="str">
        <x:v>Frame native 1254×1254, rectangle [460, 946, 92, 272], pivot [52, 268]. Cycle 7 images/seconde, orientation left.</x:v>
      </x:c>
      <x:c r="I60" s="7" t="str">
        <x:v>Afficher la totalité du corps, exclure les cellules voisines et ancrer les pieds au sol. Vérifier changement de direction, arrêt, course et retour après combat. Nettoyer les raccords et comparer visage/armure aux références avant validation artistique.</x:v>
      </x:c>
      <x:c r="J60" s="7" t="str">
        <x:v>CHR-shepard, ANI-marche-humaine</x:v>
      </x:c>
      <x:c r="K60" s="7" t="str">
        <x:v>public/assets/shepard-female-walk-atlas.png</x:v>
      </x:c>
      <x:c r="L60" s="7" t="str">
        <x:v>public/assets/shepard-female-walk-atlas.png</x:v>
      </x:c>
      <x:c r="M60" s="7" t="str">
        <x:v>femshep-walk-left-1</x:v>
      </x:c>
      <x:c r="N60" s="7" t="str">
        <x:v>Objectifs et noms ME1 référencés ; chiffres, découpage et interface propres à cette adaptation ATB.</x:v>
      </x:c>
      <x:c r="O60" s="7" t="str">
        <x:v>https://news.ea.com/press-releases/press-releases-details/2021/Relive-the-Award-Winning-Space-Opera-in-Mass-Effect-Legendary-Edition-on-May-14/</x:v>
      </x:c>
      <x:c r="P60" s="7" t="str">
        <x:v>Production ME1</x:v>
      </x:c>
      <x:c r="Q60" s="7" t="str">
        <x:v>Pose générée, transparence native conservée. Les contacts 0 et 2 restent similaires selon l’orientation. Quatre directions ; huit directions et cycle final non produits.</x:v>
      </x:c>
    </x:row>
    <x:row r="61" ht="75" customHeight="1">
      <x:c r="A61" s="13" t="str">
        <x:v>FRAME-femshep-walk-left-2</x:v>
      </x:c>
      <x:c r="B61" s="14" t="str">
        <x:v>Shepard femme — marche profil gauche 3/4</x:v>
      </x:c>
      <x:c r="C61" s="10" t="str">
        <x:v>Prototype</x:v>
      </x:c>
      <x:c r="D61" s="11" t="str">
        <x:v>Prototype</x:v>
      </x:c>
      <x:c r="E61" s="15" t="str">
        <x:v>P1</x:v>
      </x:c>
      <x:c r="F61" s="15" t="str">
        <x:v>ME1</x:v>
      </x:c>
      <x:c r="G61" s="15" t="str">
        <x:v>Adaptation</x:v>
      </x:c>
      <x:c r="H61" s="14" t="str">
        <x:v>Frame native 1254×1254, rectangle [672, 946, 206, 271], pivot [102, 267]. Cycle 7 images/seconde, orientation left.</x:v>
      </x:c>
      <x:c r="I61" s="14" t="str">
        <x:v>Afficher la totalité du corps, exclure les cellules voisines et ancrer les pieds au sol. Vérifier changement de direction, arrêt, course et retour après combat. Nettoyer les raccords et comparer visage/armure aux références avant validation artistique.</x:v>
      </x:c>
      <x:c r="J61" s="14" t="str">
        <x:v>CHR-shepard, ANI-marche-humaine</x:v>
      </x:c>
      <x:c r="K61" s="14" t="str">
        <x:v>public/assets/shepard-female-walk-atlas.png</x:v>
      </x:c>
      <x:c r="L61" s="14" t="str">
        <x:v>public/assets/shepard-female-walk-atlas.png</x:v>
      </x:c>
      <x:c r="M61" s="14" t="str">
        <x:v>femshep-walk-left-2</x:v>
      </x:c>
      <x:c r="N61" s="14" t="str">
        <x:v>Objectifs et noms ME1 référencés ; chiffres, découpage et interface propres à cette adaptation ATB.</x:v>
      </x:c>
      <x:c r="O61" s="14" t="str">
        <x:v>https://news.ea.com/press-releases/press-releases-details/2021/Relive-the-Award-Winning-Space-Opera-in-Mass-Effect-Legendary-Edition-on-May-14/</x:v>
      </x:c>
      <x:c r="P61" s="14" t="str">
        <x:v>Production ME1</x:v>
      </x:c>
      <x:c r="Q61" s="14" t="str">
        <x:v>Pose générée, transparence native conservée. Les contacts 0 et 2 restent similaires selon l’orientation. Quatre directions ; huit directions et cycle final non produits.</x:v>
      </x:c>
    </x:row>
    <x:row r="62" ht="75" customHeight="1">
      <x:c r="A62" s="12" t="str">
        <x:v>FRAME-femshep-walk-left-3</x:v>
      </x:c>
      <x:c r="B62" s="7" t="str">
        <x:v>Shepard femme — marche profil gauche 4/4</x:v>
      </x:c>
      <x:c r="C62" s="10" t="str">
        <x:v>Prototype</x:v>
      </x:c>
      <x:c r="D62" s="11" t="str">
        <x:v>Prototype</x:v>
      </x:c>
      <x:c r="E62" s="9" t="str">
        <x:v>P1</x:v>
      </x:c>
      <x:c r="F62" s="9" t="str">
        <x:v>ME1</x:v>
      </x:c>
      <x:c r="G62" s="9" t="str">
        <x:v>Adaptation</x:v>
      </x:c>
      <x:c r="H62" s="7" t="str">
        <x:v>Frame native 1254×1254, rectangle [982, 947, 97, 274], pivot [54, 270]. Cycle 7 images/seconde, orientation left.</x:v>
      </x:c>
      <x:c r="I62" s="7" t="str">
        <x:v>Afficher la totalité du corps, exclure les cellules voisines et ancrer les pieds au sol. Vérifier changement de direction, arrêt, course et retour après combat. Nettoyer les raccords et comparer visage/armure aux références avant validation artistique.</x:v>
      </x:c>
      <x:c r="J62" s="7" t="str">
        <x:v>CHR-shepard, ANI-marche-humaine</x:v>
      </x:c>
      <x:c r="K62" s="7" t="str">
        <x:v>public/assets/shepard-female-walk-atlas.png</x:v>
      </x:c>
      <x:c r="L62" s="7" t="str">
        <x:v>public/assets/shepard-female-walk-atlas.png</x:v>
      </x:c>
      <x:c r="M62" s="7" t="str">
        <x:v>femshep-walk-left-3</x:v>
      </x:c>
      <x:c r="N62" s="7" t="str">
        <x:v>Objectifs et noms ME1 référencés ; chiffres, découpage et interface propres à cette adaptation ATB.</x:v>
      </x:c>
      <x:c r="O62" s="7" t="str">
        <x:v>https://news.ea.com/press-releases/press-releases-details/2021/Relive-the-Award-Winning-Space-Opera-in-Mass-Effect-Legendary-Edition-on-May-14/</x:v>
      </x:c>
      <x:c r="P62" s="7" t="str">
        <x:v>Production ME1</x:v>
      </x:c>
      <x:c r="Q62" s="7" t="str">
        <x:v>Pose générée, transparence native conservée. Les contacts 0 et 2 restent similaires selon l’orientation. Quatre directions ; huit directions et cycle final non produits.</x:v>
      </x:c>
    </x:row>
    <x:row r="63" ht="49" customHeight="1">
      <x:c r="A63" s="13" t="str">
        <x:v>FRAME-femshep-combat-aim</x:v>
      </x:c>
      <x:c r="B63" s="14" t="str">
        <x:v>Shepard femme — combat aim</x:v>
      </x:c>
      <x:c r="C63" s="10" t="str">
        <x:v>Prototype</x:v>
      </x:c>
      <x:c r="D63" s="11" t="str">
        <x:v>Prototype</x:v>
      </x:c>
      <x:c r="E63" s="15" t="str">
        <x:v>P1</x:v>
      </x:c>
      <x:c r="F63" s="15" t="str">
        <x:v>ME1</x:v>
      </x:c>
      <x:c r="G63" s="15" t="str">
        <x:v>Adaptation</x:v>
      </x:c>
      <x:c r="H63" s="14" t="str">
        <x:v>Pose clé aim. Rectangle [214, 19, 436, 549], pivot [195, 549], hauteur relative 1. Image native 1536×1024.</x:v>
      </x:c>
      <x:c r="I63" s="14" t="str">
        <x:v>Déclencher la pose aim dans le moteur sans étirement, cellule voisine ou rupture d’ancrage. Vérifier retour à la pose normale et références artistiques.</x:v>
      </x:c>
      <x:c r="J63" s="14" t="str">
        <x:v>CHR-shepard, SPR-shepard-combat</x:v>
      </x:c>
      <x:c r="K63" s="14" t="str">
        <x:v>public/assets/shepard-female-combat-atlas.png</x:v>
      </x:c>
      <x:c r="L63" s="14" t="str">
        <x:v>public/assets/shepard-female-combat-atlas.png</x:v>
      </x:c>
      <x:c r="M63" s="14" t="str">
        <x:v>femshep-combat-aim</x:v>
      </x:c>
      <x:c r="N63" s="14" t="str">
        <x:v>Objectifs et noms ME1 référencés ; chiffres, découpage et interface propres à cette adaptation ATB.</x:v>
      </x:c>
      <x:c r="O63" s="14" t="str">
        <x:v>https://news.ea.com/press-releases/press-releases-details/2021/Relive-the-Award-Winning-Space-Opera-in-Mass-Effect-Legendary-Edition-on-May-14/</x:v>
      </x:c>
      <x:c r="P63" s="14" t="str">
        <x:v>Production ME1</x:v>
      </x:c>
      <x:c r="Q63" s="14" t="str">
        <x:v>Pose clé unique, sans séquence de transition dessinée. Arme et effet génériques ; ils ne changent pas selon chaque objet équipé ou pouvoir. Fidélité 1:1 non validée.</x:v>
      </x:c>
    </x:row>
    <x:row r="64" ht="49" customHeight="1">
      <x:c r="A64" s="12" t="str">
        <x:v>FRAME-femshep-combat-power</x:v>
      </x:c>
      <x:c r="B64" s="7" t="str">
        <x:v>Shepard femme — combat power</x:v>
      </x:c>
      <x:c r="C64" s="10" t="str">
        <x:v>Prototype</x:v>
      </x:c>
      <x:c r="D64" s="11" t="str">
        <x:v>Prototype</x:v>
      </x:c>
      <x:c r="E64" s="9" t="str">
        <x:v>P1</x:v>
      </x:c>
      <x:c r="F64" s="9" t="str">
        <x:v>ME1</x:v>
      </x:c>
      <x:c r="G64" s="9" t="str">
        <x:v>Adaptation</x:v>
      </x:c>
      <x:c r="H64" s="7" t="str">
        <x:v>Pose clé power. Rectangle [916, 28, 507, 550], pivot [188, 544], hauteur relative 1. Image native 1536×1024.</x:v>
      </x:c>
      <x:c r="I64" s="7" t="str">
        <x:v>Déclencher la pose power dans le moteur sans étirement, cellule voisine ou rupture d’ancrage. Vérifier retour à la pose normale et références artistiques.</x:v>
      </x:c>
      <x:c r="J64" s="7" t="str">
        <x:v>CHR-shepard, SPR-shepard-combat</x:v>
      </x:c>
      <x:c r="K64" s="7" t="str">
        <x:v>public/assets/shepard-female-combat-atlas.png</x:v>
      </x:c>
      <x:c r="L64" s="7" t="str">
        <x:v>public/assets/shepard-female-combat-atlas.png</x:v>
      </x:c>
      <x:c r="M64" s="7" t="str">
        <x:v>femshep-combat-power</x:v>
      </x:c>
      <x:c r="N64" s="7" t="str">
        <x:v>Objectifs et noms ME1 référencés ; chiffres, découpage et interface propres à cette adaptation ATB.</x:v>
      </x:c>
      <x:c r="O64" s="7" t="str">
        <x:v>https://news.ea.com/press-releases/press-releases-details/2021/Relive-the-Award-Winning-Space-Opera-in-Mass-Effect-Legendary-Edition-on-May-14/</x:v>
      </x:c>
      <x:c r="P64" s="7" t="str">
        <x:v>Production ME1</x:v>
      </x:c>
      <x:c r="Q64" s="7" t="str">
        <x:v>Pose clé unique, sans séquence de transition dessinée. Arme et effet génériques ; ils ne changent pas selon chaque objet équipé ou pouvoir. Fidélité 1:1 non validée.</x:v>
      </x:c>
    </x:row>
    <x:row r="65" ht="49" customHeight="1">
      <x:c r="A65" s="13" t="str">
        <x:v>FRAME-femshep-combat-hit</x:v>
      </x:c>
      <x:c r="B65" s="14" t="str">
        <x:v>Shepard femme — combat hit</x:v>
      </x:c>
      <x:c r="C65" s="10" t="str">
        <x:v>Prototype</x:v>
      </x:c>
      <x:c r="D65" s="11" t="str">
        <x:v>Prototype</x:v>
      </x:c>
      <x:c r="E65" s="15" t="str">
        <x:v>P1</x:v>
      </x:c>
      <x:c r="F65" s="15" t="str">
        <x:v>ME1</x:v>
      </x:c>
      <x:c r="G65" s="15" t="str">
        <x:v>Adaptation</x:v>
      </x:c>
      <x:c r="H65" s="14" t="str">
        <x:v>Pose clé hit. Rectangle [307, 568, 296, 437], pivot [153, 431], hauteur relative 0.8. Image native 1536×1024.</x:v>
      </x:c>
      <x:c r="I65" s="14" t="str">
        <x:v>Déclencher la pose hit dans le moteur sans étirement, cellule voisine ou rupture d’ancrage. Vérifier retour à la pose normale et références artistiques.</x:v>
      </x:c>
      <x:c r="J65" s="14" t="str">
        <x:v>CHR-shepard, SPR-shepard-combat</x:v>
      </x:c>
      <x:c r="K65" s="14" t="str">
        <x:v>public/assets/shepard-female-combat-atlas.png</x:v>
      </x:c>
      <x:c r="L65" s="14" t="str">
        <x:v>public/assets/shepard-female-combat-atlas.png</x:v>
      </x:c>
      <x:c r="M65" s="14" t="str">
        <x:v>femshep-combat-hit</x:v>
      </x:c>
      <x:c r="N65" s="14" t="str">
        <x:v>Objectifs et noms ME1 référencés ; chiffres, découpage et interface propres à cette adaptation ATB.</x:v>
      </x:c>
      <x:c r="O65" s="14" t="str">
        <x:v>https://news.ea.com/press-releases/press-releases-details/2021/Relive-the-Award-Winning-Space-Opera-in-Mass-Effect-Legendary-Edition-on-May-14/</x:v>
      </x:c>
      <x:c r="P65" s="14" t="str">
        <x:v>Production ME1</x:v>
      </x:c>
      <x:c r="Q65" s="14" t="str">
        <x:v>Pose clé unique, sans séquence de transition dessinée. Arme et effet génériques ; ils ne changent pas selon chaque objet équipé ou pouvoir. Fidélité 1:1 non validée.</x:v>
      </x:c>
    </x:row>
    <x:row r="66" ht="75" customHeight="1">
      <x:c r="A66" s="12" t="str">
        <x:v>FRAME-femshep-combat-down</x:v>
      </x:c>
      <x:c r="B66" s="7" t="str">
        <x:v>Shepard femme — combat down</x:v>
      </x:c>
      <x:c r="C66" s="10" t="str">
        <x:v>Prototype</x:v>
      </x:c>
      <x:c r="D66" s="11" t="str">
        <x:v>Prototype</x:v>
      </x:c>
      <x:c r="E66" s="9" t="str">
        <x:v>P1</x:v>
      </x:c>
      <x:c r="F66" s="9" t="str">
        <x:v>ME1</x:v>
      </x:c>
      <x:c r="G66" s="9" t="str">
        <x:v>Adaptation</x:v>
      </x:c>
      <x:c r="H66" s="7" t="str">
        <x:v>Pose clé down. Rectangle [734, 850, 698, 136], pivot [349, 130], hauteur relative 0.245. Image native 1536×1024.</x:v>
      </x:c>
      <x:c r="I66" s="7" t="str">
        <x:v>Déclencher la pose down dans le moteur sans étirement, cellule voisine ou rupture d’ancrage. Conserver son dessin couché et ne pas ajouter de rotation procédurale. Vérifier retour à la pose normale et références artistiques.</x:v>
      </x:c>
      <x:c r="J66" s="7" t="str">
        <x:v>CHR-shepard, SPR-shepard-combat</x:v>
      </x:c>
      <x:c r="K66" s="7" t="str">
        <x:v>public/assets/shepard-female-combat-atlas.png</x:v>
      </x:c>
      <x:c r="L66" s="7" t="str">
        <x:v>public/assets/shepard-female-combat-atlas.png</x:v>
      </x:c>
      <x:c r="M66" s="7" t="str">
        <x:v>femshep-combat-down</x:v>
      </x:c>
      <x:c r="N66" s="7" t="str">
        <x:v>Objectifs et noms ME1 référencés ; chiffres, découpage et interface propres à cette adaptation ATB.</x:v>
      </x:c>
      <x:c r="O66" s="7" t="str">
        <x:v>https://news.ea.com/press-releases/press-releases-details/2021/Relive-the-Award-Winning-Space-Opera-in-Mass-Effect-Legendary-Edition-on-May-14/</x:v>
      </x:c>
      <x:c r="P66" s="7" t="str">
        <x:v>Production ME1</x:v>
      </x:c>
      <x:c r="Q66" s="7" t="str">
        <x:v>Pose clé unique, sans séquence de transition dessinée. Arme et effet génériques ; ils ne changent pas selon chaque objet équipé ou pouvoir. Fidélité 1:1 non validée.</x:v>
      </x:c>
    </x:row>
    <x:row r="67" ht="49" customHeight="1">
      <x:c r="A67" s="13" t="str">
        <x:v>CUST-ANI-walk-colors</x:v>
      </x:c>
      <x:c r="B67" s="14" t="str">
        <x:v>Personnalisation et cycle de marche</x:v>
      </x:c>
      <x:c r="C67" s="10" t="str">
        <x:v>Prototype</x:v>
      </x:c>
      <x:c r="D67" s="11" t="str">
        <x:v>Prototype</x:v>
      </x:c>
      <x:c r="E67" s="15" t="str">
        <x:v>P0</x:v>
      </x:c>
      <x:c r="F67" s="15" t="str">
        <x:v>ME1</x:v>
      </x:c>
      <x:c r="G67" s="15" t="str">
        <x:v>Adaptation</x:v>
      </x:c>
      <x:c r="H67" s="14" t="str">
        <x:v>Conserver la configuration visuelle prise en charge lors du changement de direction, de l’arrêt et de la course de Shepard.</x:v>
      </x:c>
      <x:c r="I67" s="14" t="str">
        <x:v>Parcourir les quatre directions pour les deux apparences sans retour à la palette par défaut entre les frames.</x:v>
      </x:c>
      <x:c r="J67" s="14" t="str">
        <x:v>CUST-UI-workshop</x:v>
      </x:c>
      <x:c r="K67" s="14" t="str">
        <x:v>src/world.js</x:v>
      </x:c>
      <x:c r="L67" s="14" t="str">
        <x:v>src/world.js</x:v>
      </x:c>
      <x:c r="M67" s="14" t="str">
        <x:v>customization:ANI-walk-colors</x:v>
      </x:c>
      <x:c r="N67" s="14" t="str">
        <x:v>Atelier de Relay Chronicles. Interface et réglages propres au fan game ; contrôle de fidélité distinct.</x:v>
      </x:c>
      <x:c r="O67" s="14" t="str"/>
      <x:c r="P67" s="14" t="str">
        <x:v>Production ME1</x:v>
      </x:c>
      <x:c r="Q67" s="14" t="str">
        <x:v>Implémentation de prototype. Les valeurs de combat restent celles de l’adaptation ATB.</x:v>
      </x:c>
    </x:row>
    <x:row r="68" ht="49" customHeight="1">
      <x:c r="A68" s="12" t="str">
        <x:v>CUST-ANI-combat-colors</x:v>
      </x:c>
      <x:c r="B68" s="7" t="str">
        <x:v>Personnalisation et poses de combat</x:v>
      </x:c>
      <x:c r="C68" s="10" t="str">
        <x:v>Prototype</x:v>
      </x:c>
      <x:c r="D68" s="11" t="str">
        <x:v>Prototype</x:v>
      </x:c>
      <x:c r="E68" s="9" t="str">
        <x:v>P0</x:v>
      </x:c>
      <x:c r="F68" s="9" t="str">
        <x:v>ME1</x:v>
      </x:c>
      <x:c r="G68" s="9" t="str">
        <x:v>Adaptation</x:v>
      </x:c>
      <x:c r="H68" s="7" t="str">
        <x:v>Conserver palette, motif et casque dans les quatre poses clés aim/power/hit/down des deux apparences.</x:v>
      </x:c>
      <x:c r="I68" s="7" t="str">
        <x:v>Contrôler ancrage, proportions et couleurs à l’entrée en combat, pendant les poses et au retour terrain. La pose couchée utilise son cadrage et sa région de tête.</x:v>
      </x:c>
      <x:c r="J68" s="7" t="str">
        <x:v>CUST-UI-workshop</x:v>
      </x:c>
      <x:c r="K68" s="7" t="str">
        <x:v>src/world.js</x:v>
      </x:c>
      <x:c r="L68" s="7" t="str">
        <x:v>src/world.js</x:v>
      </x:c>
      <x:c r="M68" s="7" t="str">
        <x:v>customization:ANI-combat-colors</x:v>
      </x:c>
      <x:c r="N68" s="7" t="str">
        <x:v>Atelier de Relay Chronicles. Interface et réglages propres au fan game ; contrôle de fidélité distinct.</x:v>
      </x:c>
      <x:c r="O68" s="7" t="str"/>
      <x:c r="P68" s="7" t="str">
        <x:v>Production ME1</x:v>
      </x:c>
      <x:c r="Q68" s="7" t="str">
        <x:v>Poses clés en 3/4 fixe. Transitions et variantes propres aux armes à produire. Contrôles : docs/qa/shepard-combat-poses-report.json.</x:v>
      </x:c>
    </x:row>
    <x:row r="69" ht="49" customHeight="1">
      <x:c r="A69" s="13" t="str">
        <x:v>CUST-ANI-equipment-transitions</x:v>
      </x:c>
      <x:c r="B69" s="14" t="str">
        <x:v>Transitions animées propres à l’équipement</x:v>
      </x:c>
      <x:c r="C69" s="10" t="str">
        <x:v>Défini</x:v>
      </x:c>
      <x:c r="D69" s="11" t="str">
        <x:v>À produire</x:v>
      </x:c>
      <x:c r="E69" s="15" t="str">
        <x:v>P1</x:v>
      </x:c>
      <x:c r="F69" s="15" t="str">
        <x:v>ME1</x:v>
      </x:c>
      <x:c r="G69" s="15" t="str">
        <x:v>Adaptation</x:v>
      </x:c>
      <x:c r="H69" s="14" t="str">
        <x:v>Prévoir des poses de sélection, manipulation, mise en joue et rangement pour chaque famille d’arme et catégorie d’armure.</x:v>
      </x:c>
      <x:c r="I69" s="14" t="str">
        <x:v>Les mains suivent les prises de l’arme, les volumes de l’armure restent cohérents et les accessoires n’intersectent pas le corps.</x:v>
      </x:c>
      <x:c r="J69" s="14" t="str">
        <x:v>CUST-UI-workshop</x:v>
      </x:c>
      <x:c r="K69" s="14" t="str">
        <x:v>public/assets/customization/animations/</x:v>
      </x:c>
      <x:c r="L69" s="14" t="str"/>
      <x:c r="M69" s="14" t="str">
        <x:v>customization:ANI-equipment-transitions</x:v>
      </x:c>
      <x:c r="N69" s="14" t="str">
        <x:v>Atelier de Relay Chronicles. Interface et réglages propres au fan game ; contrôle de fidélité distinct.</x:v>
      </x:c>
      <x:c r="O69" s="14" t="str"/>
      <x:c r="P69" s="14" t="str">
        <x:v>Production ME1</x:v>
      </x:c>
      <x:c r="Q69" s="14" t="str">
        <x:v>Backlog. Aucun nouveau cycle dessiné par équipement n’est livré par l’atelier 0.3.0.</x:v>
      </x:c>
    </x:row>
  </x:sheetData>
  <x:conditionalFormatting sqref="C7:C69">
    <x:cfRule type="cellIs" dxfId="355" priority="1" operator="equal">
      <x:formula>"Prototype"</x:formula>
    </x:cfRule>
    <x:cfRule type="cellIs" dxfId="356" priority="2" operator="equal">
      <x:formula>"Intégré"</x:formula>
    </x:cfRule>
    <x:cfRule type="cellIs" dxfId="357" priority="3" operator="equal">
      <x:formula>"Validé"</x:formula>
    </x:cfRule>
  </x:conditionalFormatting>
  <x:conditionalFormatting sqref="G7:G69">
    <x:cfRule type="cellIs" dxfId="358" priority="4" operator="equal">
      <x:formula>"Référence à vérifier"</x:formula>
    </x:cfRule>
  </x:conditionalFormatting>
  <x:conditionalFormatting sqref="E7:E69">
    <x:cfRule type="cellIs" dxfId="359" priority="5" operator="equal">
      <x:formula>"P0"</x:formula>
    </x:cfRule>
  </x:conditionalFormatting>
  <x:dataValidations count="5">
    <x:dataValidation type="list" sqref="C7:C69">
      <x:formula1>"Défini,Prototype,Intégré,Validé"</x:formula1>
    </x:dataValidation>
    <x:dataValidation type="list" sqref="D7:D69">
      <x:formula1>"À produire,Prototype,Disponible,Validé,Sans objet,Non planifié"</x:formula1>
    </x:dataValidation>
    <x:dataValidation type="list" sqref="E7:E69">
      <x:formula1>"P0,P1,P2"</x:formula1>
    </x:dataValidation>
    <x:dataValidation type="list" sqref="F7:F69">
      <x:formula1>"ME1,ME2,ME3,TRANSVERSE"</x:formula1>
    </x:dataValidation>
    <x:dataValidation type="list" sqref="G7:G69">
      <x:formula1>"Confirmé,Référence à vérifier,Adaptation"</x:formula1>
    </x:dataValidation>
  </x:dataValidations>
  <x:pageMargins left="0.7" right="0.7" top="0.75" bottom="0.75" header="0.3" footer="0.3"/>
  <x:tableParts count="1">
    <x:tablePart xmlns:r="http://schemas.openxmlformats.org/officeDocument/2006/relationships" r:id="R38b77bb1d08048c9"/>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Sprites</x:v>
      </x:c>
      <x:c r="B2" s="2"/>
      <x:c r="C2" s="2"/>
      <x:c r="D2" s="2"/>
      <x:c r="E2" s="2"/>
      <x:c r="F2" s="2"/>
      <x:c r="G2" s="2"/>
      <x:c r="H2" s="2"/>
      <x:c r="I2" s="2"/>
      <x:c r="J2" s="2"/>
      <x:c r="K2" s="2"/>
      <x:c r="L2" s="2"/>
      <x:c r="M2" s="2"/>
      <x:c r="N2" s="2"/>
      <x:c r="O2" s="2"/>
      <x:c r="P2" s="2"/>
      <x:c r="Q2" s="2"/>
    </x:row>
    <x:row r="3" ht="22" customHeight="1">
      <x:c r="A3" s="4" t="str">
        <x:v>Livrables 2D, portraits et variantes</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62" customHeight="1">
      <x:c r="A7" s="13" t="str">
        <x:v>SPR-shepard-terrain</x:v>
      </x:c>
      <x:c r="B7" s="14" t="str">
        <x:v>Shepard — terrain</x:v>
      </x:c>
      <x:c r="C7" s="10" t="str">
        <x:v>Prototype</x:v>
      </x:c>
      <x:c r="D7" s="11" t="str">
        <x:v>Prototype</x:v>
      </x:c>
      <x:c r="E7" s="15" t="str">
        <x:v>P0</x:v>
      </x:c>
      <x:c r="F7" s="15" t="str">
        <x:v>ME1</x:v>
      </x:c>
      <x:c r="G7" s="15" t="str">
        <x:v>Adaptation</x:v>
      </x:c>
      <x:c r="H7" s="14" t="str">
        <x:v>Sprite d’exploration de Shepard, identité ME1 et silhouettes cohérentes.</x:v>
      </x:c>
      <x:c r="I7" s="14" t="str">
        <x:v>Huit directions, hauteur constante, pieds ancrés et comparaison aux références de l’épisode.</x:v>
      </x:c>
      <x:c r="J7" s="14" t="str">
        <x:v>CHR-shepard</x:v>
      </x:c>
      <x:c r="K7" s="14" t="str">
        <x:v>assets/sprites/characters/shepard/field.png</x:v>
      </x:c>
      <x:c r="L7" s="14" t="str">
        <x:v>public/assets/shepard-walk-atlas.png</x:v>
      </x:c>
      <x:c r="M7" s="14" t="str">
        <x:v>enableWalkAtlas</x:v>
      </x:c>
      <x:c r="N7" s="14" t="str">
        <x:v>Décisions du fan game ; aucune prétention de canon officiel</x:v>
      </x:c>
      <x:c r="O7" s="14" t="str"/>
      <x:c r="P7" s="14" t="str">
        <x:v>Production ME1</x:v>
      </x:c>
      <x:c r="Q7" s="14" t="str">
        <x:v>Deux cycles de marche : 16 images / quatre directions pour chaque apparence. Rectangles et pivots spécifiques pour Shepard femme. Poses de repli existantes ; huit directions et fidélité 1:1 non validées.</x:v>
      </x:c>
    </x:row>
    <x:row r="8" ht="62" customHeight="1">
      <x:c r="A8" s="12" t="str">
        <x:v>SPR-shepard-combat</x:v>
      </x:c>
      <x:c r="B8" s="7" t="str">
        <x:v>Shepard — combat</x:v>
      </x:c>
      <x:c r="C8" s="10" t="str">
        <x:v>Prototype</x:v>
      </x:c>
      <x:c r="D8" s="11" t="str">
        <x:v>Prototype</x:v>
      </x:c>
      <x:c r="E8" s="9" t="str">
        <x:v>P0</x:v>
      </x:c>
      <x:c r="F8" s="9" t="str">
        <x:v>ME1</x:v>
      </x:c>
      <x:c r="G8" s="9" t="str">
        <x:v>Adaptation</x:v>
      </x:c>
      <x:c r="H8" s="7" t="str">
        <x:v>Shepard masculin N7 rejoint l’atlas féminin avec quatre poses clés de combat : visée, pouvoir, impact et hors combat.</x:v>
      </x:c>
      <x:c r="I8" s="7" t="str">
        <x:v>Contrôler les poses aim/power/hit/down des deux apparences, sans découpe ni rotation supplémentaire de la pose couchée. Récupération animée à produire.</x:v>
      </x:c>
      <x:c r="J8" s="7" t="str">
        <x:v>CHR-shepard</x:v>
      </x:c>
      <x:c r="K8" s="7" t="str">
        <x:v>assets/sprites/characters/shepard/battle.png</x:v>
      </x:c>
      <x:c r="L8" s="7" t="str">
        <x:v>public/assets/shepard-male-combat-atlas.png</x:v>
      </x:c>
      <x:c r="M8" s="7" t="str">
        <x:v>shepard</x:v>
      </x:c>
      <x:c r="N8" s="7" t="str">
        <x:v>Décisions du fan game ; aucune prétention de canon officiel</x:v>
      </x:c>
      <x:c r="O8" s="7" t="str"/>
      <x:c r="P8" s="7" t="str">
        <x:v>Production ME1</x:v>
      </x:c>
      <x:c r="Q8" s="7" t="str">
        <x:v>Quatre poses clés en 3/4 fixe. Fusil illustré générique, transitions et variantes par arme à produire. Référence : docs/research/shepard-male-combat-art.md. QA : docs/qa/shepard-combat-poses-report.json.</x:v>
      </x:c>
    </x:row>
    <x:row r="9" ht="49" customHeight="1">
      <x:c r="A9" s="13" t="str">
        <x:v>SPR-shepard-portrait</x:v>
      </x:c>
      <x:c r="B9" s="14" t="str">
        <x:v>Shepard — portrait</x:v>
      </x:c>
      <x:c r="C9" s="10" t="str">
        <x:v>Prototype</x:v>
      </x:c>
      <x:c r="D9" s="11" t="str">
        <x:v>Prototype</x:v>
      </x:c>
      <x:c r="E9" s="15" t="str">
        <x:v>P1</x:v>
      </x:c>
      <x:c r="F9" s="15" t="str">
        <x:v>ME1</x:v>
      </x:c>
      <x:c r="G9" s="15" t="str">
        <x:v>Adaptation</x:v>
      </x:c>
      <x:c r="H9" s="14" t="str">
        <x:v>Portrait de dialogue en cohérence avec la tenue et l’identité terrain.</x:v>
      </x:c>
      <x:c r="I9" s="14" t="str">
        <x:v>Expressions neutre, déterminée, inquiète et blessée selon besoins narratifs.</x:v>
      </x:c>
      <x:c r="J9" s="14" t="str">
        <x:v>CHR-shepard</x:v>
      </x:c>
      <x:c r="K9" s="14" t="str">
        <x:v>assets/portraits/shepard.png</x:v>
      </x:c>
      <x:c r="L9" s="14" t="str">
        <x:v>public/assets/crew-atlas.png</x:v>
      </x:c>
      <x:c r="M9" s="14" t="str">
        <x:v>shepard</x:v>
      </x:c>
      <x:c r="N9" s="14" t="str">
        <x:v>Décisions du fan game ; aucune prétention de canon officiel</x:v>
      </x:c>
      <x:c r="O9" s="14" t="str"/>
      <x:c r="P9" s="14" t="str">
        <x:v>Production ME1</x:v>
      </x:c>
      <x:c r="Q9" s="14" t="str">
        <x:v>Portraits liés à l’apparence sélectionnée ; la variante féminine utilise une découpe de sa nouvelle planche de marche. Les expressions et variantes de costume restent à produire.</x:v>
      </x:c>
    </x:row>
    <x:row r="10" ht="49" customHeight="1">
      <x:c r="A10" s="12" t="str">
        <x:v>SPR-ashley-williams-terrain</x:v>
      </x:c>
      <x:c r="B10" s="7" t="str">
        <x:v>Ashley Williams — terrain</x:v>
      </x:c>
      <x:c r="C10" s="10" t="str">
        <x:v>Prototype</x:v>
      </x:c>
      <x:c r="D10" s="11" t="str">
        <x:v>Prototype</x:v>
      </x:c>
      <x:c r="E10" s="9" t="str">
        <x:v>P0</x:v>
      </x:c>
      <x:c r="F10" s="9" t="str">
        <x:v>ME1</x:v>
      </x:c>
      <x:c r="G10" s="9" t="str">
        <x:v>Adaptation</x:v>
      </x:c>
      <x:c r="H10" s="7" t="str">
        <x:v>Sprite d’exploration de Ashley Williams, identité ME1 et silhouettes cohérentes.</x:v>
      </x:c>
      <x:c r="I10" s="7" t="str">
        <x:v>Huit directions, hauteur constante, pieds ancrés et comparaison aux références de l’épisode.</x:v>
      </x:c>
      <x:c r="J10" s="7" t="str">
        <x:v>CHR-ashley-williams</x:v>
      </x:c>
      <x:c r="K10" s="7" t="str">
        <x:v>assets/sprites/characters/ashley-williams/field.png</x:v>
      </x:c>
      <x:c r="L10" s="7" t="str">
        <x:v>public/assets/crew-atlas.png</x:v>
      </x:c>
      <x:c r="M10" s="7" t="str">
        <x:v>ashley</x:v>
      </x:c>
      <x:c r="N10" s="7" t="str">
        <x:v>Décisions du fan game ; aucune prétention de canon officiel</x:v>
      </x:c>
      <x:c r="O10" s="7" t="str"/>
      <x:c r="P10" s="7" t="str">
        <x:v>Production ME1</x:v>
      </x:c>
      <x:c r="Q10" s="7" t="str">
        <x:v>Atlas de poses uniques utilisé par le prototype. Les angles, mouvements, expressions et costumes complets ne sont pas produits.</x:v>
      </x:c>
    </x:row>
    <x:row r="11" ht="49" customHeight="1">
      <x:c r="A11" s="13" t="str">
        <x:v>SPR-ashley-williams-combat</x:v>
      </x:c>
      <x:c r="B11" s="14" t="str">
        <x:v>Ashley Williams — combat</x:v>
      </x:c>
      <x:c r="C11" s="10" t="str">
        <x:v>Prototype</x:v>
      </x:c>
      <x:c r="D11" s="11" t="str">
        <x:v>Prototype</x:v>
      </x:c>
      <x:c r="E11" s="15" t="str">
        <x:v>P0</x:v>
      </x:c>
      <x:c r="F11" s="15" t="str">
        <x:v>ME1</x:v>
      </x:c>
      <x:c r="G11" s="15" t="str">
        <x:v>Adaptation</x:v>
      </x:c>
      <x:c r="H11" s="14" t="str">
        <x:v>Planche de combat dédiée aux actions réellement disponibles pour Ashley Williams.</x:v>
      </x:c>
      <x:c r="I11" s="14" t="str">
        <x:v>Attente, action, impact, KO et récupération sans cadre coupé.</x:v>
      </x:c>
      <x:c r="J11" s="14" t="str">
        <x:v>CHR-ashley-williams</x:v>
      </x:c>
      <x:c r="K11" s="14" t="str">
        <x:v>assets/sprites/characters/ashley-williams/battle.png</x:v>
      </x:c>
      <x:c r="L11" s="14" t="str">
        <x:v>public/assets/crew-atlas.png</x:v>
      </x:c>
      <x:c r="M11" s="14" t="str">
        <x:v>ashley</x:v>
      </x:c>
      <x:c r="N11" s="14" t="str">
        <x:v>Décisions du fan game ; aucune prétention de canon officiel</x:v>
      </x:c>
      <x:c r="O11" s="14" t="str"/>
      <x:c r="P11" s="14" t="str">
        <x:v>Production ME1</x:v>
      </x:c>
      <x:c r="Q11" s="14" t="str">
        <x:v>Atlas de poses uniques utilisé par le prototype. Les angles, mouvements, expressions et costumes complets ne sont pas produits.</x:v>
      </x:c>
    </x:row>
    <x:row r="12" ht="49" customHeight="1">
      <x:c r="A12" s="12" t="str">
        <x:v>SPR-ashley-williams-portrait</x:v>
      </x:c>
      <x:c r="B12" s="7" t="str">
        <x:v>Ashley Williams — portrait</x:v>
      </x:c>
      <x:c r="C12" s="10" t="str">
        <x:v>Prototype</x:v>
      </x:c>
      <x:c r="D12" s="11" t="str">
        <x:v>Prototype</x:v>
      </x:c>
      <x:c r="E12" s="9" t="str">
        <x:v>P1</x:v>
      </x:c>
      <x:c r="F12" s="9" t="str">
        <x:v>ME1</x:v>
      </x:c>
      <x:c r="G12" s="9" t="str">
        <x:v>Adaptation</x:v>
      </x:c>
      <x:c r="H12" s="7" t="str">
        <x:v>Portrait de dialogue en cohérence avec la tenue et l’identité terrain.</x:v>
      </x:c>
      <x:c r="I12" s="7" t="str">
        <x:v>Expressions neutre, déterminée, inquiète et blessée selon besoins narratifs.</x:v>
      </x:c>
      <x:c r="J12" s="7" t="str">
        <x:v>CHR-ashley-williams</x:v>
      </x:c>
      <x:c r="K12" s="7" t="str">
        <x:v>assets/portraits/ashley-williams.png</x:v>
      </x:c>
      <x:c r="L12" s="7" t="str">
        <x:v>public/assets/crew-atlas.png</x:v>
      </x:c>
      <x:c r="M12" s="7" t="str">
        <x:v>ashley</x:v>
      </x:c>
      <x:c r="N12" s="7" t="str">
        <x:v>Décisions du fan game ; aucune prétention de canon officiel</x:v>
      </x:c>
      <x:c r="O12" s="7" t="str"/>
      <x:c r="P12" s="7" t="str">
        <x:v>Production ME1</x:v>
      </x:c>
      <x:c r="Q12" s="7" t="str">
        <x:v>Atlas de poses uniques utilisé par le prototype. Les angles, mouvements, expressions et costumes complets ne sont pas produits.</x:v>
      </x:c>
    </x:row>
    <x:row r="13" ht="49" customHeight="1">
      <x:c r="A13" s="13" t="str">
        <x:v>SPR-kaidan-alenko-terrain</x:v>
      </x:c>
      <x:c r="B13" s="14" t="str">
        <x:v>Kaidan Alenko — terrain</x:v>
      </x:c>
      <x:c r="C13" s="10" t="str">
        <x:v>Prototype</x:v>
      </x:c>
      <x:c r="D13" s="11" t="str">
        <x:v>Prototype</x:v>
      </x:c>
      <x:c r="E13" s="15" t="str">
        <x:v>P0</x:v>
      </x:c>
      <x:c r="F13" s="15" t="str">
        <x:v>ME1</x:v>
      </x:c>
      <x:c r="G13" s="15" t="str">
        <x:v>Adaptation</x:v>
      </x:c>
      <x:c r="H13" s="14" t="str">
        <x:v>Sprite d’exploration de Kaidan Alenko, identité ME1 et silhouettes cohérentes.</x:v>
      </x:c>
      <x:c r="I13" s="14" t="str">
        <x:v>Huit directions, hauteur constante, pieds ancrés et comparaison aux références de l’épisode.</x:v>
      </x:c>
      <x:c r="J13" s="14" t="str">
        <x:v>CHR-kaidan-alenko</x:v>
      </x:c>
      <x:c r="K13" s="14" t="str">
        <x:v>assets/sprites/characters/kaidan-alenko/field.png</x:v>
      </x:c>
      <x:c r="L13" s="14" t="str">
        <x:v>public/assets/crew-atlas.png</x:v>
      </x:c>
      <x:c r="M13" s="14" t="str">
        <x:v>kaidan</x:v>
      </x:c>
      <x:c r="N13" s="14" t="str">
        <x:v>Décisions du fan game ; aucune prétention de canon officiel</x:v>
      </x:c>
      <x:c r="O13" s="14" t="str"/>
      <x:c r="P13" s="14" t="str">
        <x:v>Production ME1</x:v>
      </x:c>
      <x:c r="Q13" s="14" t="str">
        <x:v>Atlas de poses uniques utilisé par le prototype. Les angles, mouvements, expressions et costumes complets ne sont pas produits.</x:v>
      </x:c>
    </x:row>
    <x:row r="14" ht="49" customHeight="1">
      <x:c r="A14" s="12" t="str">
        <x:v>SPR-kaidan-alenko-combat</x:v>
      </x:c>
      <x:c r="B14" s="7" t="str">
        <x:v>Kaidan Alenko — combat</x:v>
      </x:c>
      <x:c r="C14" s="10" t="str">
        <x:v>Prototype</x:v>
      </x:c>
      <x:c r="D14" s="11" t="str">
        <x:v>Prototype</x:v>
      </x:c>
      <x:c r="E14" s="9" t="str">
        <x:v>P0</x:v>
      </x:c>
      <x:c r="F14" s="9" t="str">
        <x:v>ME1</x:v>
      </x:c>
      <x:c r="G14" s="9" t="str">
        <x:v>Adaptation</x:v>
      </x:c>
      <x:c r="H14" s="7" t="str">
        <x:v>Planche de combat dédiée aux actions réellement disponibles pour Kaidan Alenko.</x:v>
      </x:c>
      <x:c r="I14" s="7" t="str">
        <x:v>Attente, action, impact, KO et récupération sans cadre coupé.</x:v>
      </x:c>
      <x:c r="J14" s="7" t="str">
        <x:v>CHR-kaidan-alenko</x:v>
      </x:c>
      <x:c r="K14" s="7" t="str">
        <x:v>assets/sprites/characters/kaidan-alenko/battle.png</x:v>
      </x:c>
      <x:c r="L14" s="7" t="str">
        <x:v>public/assets/crew-atlas.png</x:v>
      </x:c>
      <x:c r="M14" s="7" t="str">
        <x:v>kaidan</x:v>
      </x:c>
      <x:c r="N14" s="7" t="str">
        <x:v>Décisions du fan game ; aucune prétention de canon officiel</x:v>
      </x:c>
      <x:c r="O14" s="7" t="str"/>
      <x:c r="P14" s="7" t="str">
        <x:v>Production ME1</x:v>
      </x:c>
      <x:c r="Q14" s="7" t="str">
        <x:v>Atlas de poses uniques utilisé par le prototype. Les angles, mouvements, expressions et costumes complets ne sont pas produits.</x:v>
      </x:c>
    </x:row>
    <x:row r="15" ht="49" customHeight="1">
      <x:c r="A15" s="13" t="str">
        <x:v>SPR-kaidan-alenko-portrait</x:v>
      </x:c>
      <x:c r="B15" s="14" t="str">
        <x:v>Kaidan Alenko — portrait</x:v>
      </x:c>
      <x:c r="C15" s="10" t="str">
        <x:v>Prototype</x:v>
      </x:c>
      <x:c r="D15" s="11" t="str">
        <x:v>Prototype</x:v>
      </x:c>
      <x:c r="E15" s="15" t="str">
        <x:v>P1</x:v>
      </x:c>
      <x:c r="F15" s="15" t="str">
        <x:v>ME1</x:v>
      </x:c>
      <x:c r="G15" s="15" t="str">
        <x:v>Adaptation</x:v>
      </x:c>
      <x:c r="H15" s="14" t="str">
        <x:v>Portrait de dialogue en cohérence avec la tenue et l’identité terrain.</x:v>
      </x:c>
      <x:c r="I15" s="14" t="str">
        <x:v>Expressions neutre, déterminée, inquiète et blessée selon besoins narratifs.</x:v>
      </x:c>
      <x:c r="J15" s="14" t="str">
        <x:v>CHR-kaidan-alenko</x:v>
      </x:c>
      <x:c r="K15" s="14" t="str">
        <x:v>assets/portraits/kaidan-alenko.png</x:v>
      </x:c>
      <x:c r="L15" s="14" t="str">
        <x:v>public/assets/crew-atlas.png</x:v>
      </x:c>
      <x:c r="M15" s="14" t="str">
        <x:v>kaidan</x:v>
      </x:c>
      <x:c r="N15" s="14" t="str">
        <x:v>Décisions du fan game ; aucune prétention de canon officiel</x:v>
      </x:c>
      <x:c r="O15" s="14" t="str"/>
      <x:c r="P15" s="14" t="str">
        <x:v>Production ME1</x:v>
      </x:c>
      <x:c r="Q15" s="14" t="str">
        <x:v>Atlas de poses uniques utilisé par le prototype. Les angles, mouvements, expressions et costumes complets ne sont pas produits.</x:v>
      </x:c>
    </x:row>
    <x:row r="16" ht="49" customHeight="1">
      <x:c r="A16" s="12" t="str">
        <x:v>SPR-garrus-vakarian-terrain</x:v>
      </x:c>
      <x:c r="B16" s="7" t="str">
        <x:v>Garrus Vakarian — terrain</x:v>
      </x:c>
      <x:c r="C16" s="10" t="str">
        <x:v>Prototype</x:v>
      </x:c>
      <x:c r="D16" s="11" t="str">
        <x:v>Prototype</x:v>
      </x:c>
      <x:c r="E16" s="9" t="str">
        <x:v>P0</x:v>
      </x:c>
      <x:c r="F16" s="9" t="str">
        <x:v>ME1</x:v>
      </x:c>
      <x:c r="G16" s="9" t="str">
        <x:v>Adaptation</x:v>
      </x:c>
      <x:c r="H16" s="7" t="str">
        <x:v>Sprite d’exploration de Garrus Vakarian, identité ME1 et silhouettes cohérentes.</x:v>
      </x:c>
      <x:c r="I16" s="7" t="str">
        <x:v>Huit directions, hauteur constante, pieds ancrés et comparaison aux références de l’épisode.</x:v>
      </x:c>
      <x:c r="J16" s="7" t="str">
        <x:v>CHR-garrus-vakarian</x:v>
      </x:c>
      <x:c r="K16" s="7" t="str">
        <x:v>assets/sprites/characters/garrus-vakarian/field.png</x:v>
      </x:c>
      <x:c r="L16" s="7" t="str">
        <x:v>public/assets/crew-atlas.png</x:v>
      </x:c>
      <x:c r="M16" s="7" t="str">
        <x:v>garrus</x:v>
      </x:c>
      <x:c r="N16" s="7" t="str">
        <x:v>Décisions du fan game ; aucune prétention de canon officiel</x:v>
      </x:c>
      <x:c r="O16" s="7" t="str"/>
      <x:c r="P16" s="7" t="str">
        <x:v>Production ME1</x:v>
      </x:c>
      <x:c r="Q16" s="7" t="str">
        <x:v>Atlas de poses uniques utilisé par le prototype. Les angles, mouvements, expressions et costumes complets ne sont pas produits.</x:v>
      </x:c>
    </x:row>
    <x:row r="17" ht="49" customHeight="1">
      <x:c r="A17" s="13" t="str">
        <x:v>SPR-garrus-vakarian-combat</x:v>
      </x:c>
      <x:c r="B17" s="14" t="str">
        <x:v>Garrus Vakarian — combat</x:v>
      </x:c>
      <x:c r="C17" s="10" t="str">
        <x:v>Prototype</x:v>
      </x:c>
      <x:c r="D17" s="11" t="str">
        <x:v>Prototype</x:v>
      </x:c>
      <x:c r="E17" s="15" t="str">
        <x:v>P0</x:v>
      </x:c>
      <x:c r="F17" s="15" t="str">
        <x:v>ME1</x:v>
      </x:c>
      <x:c r="G17" s="15" t="str">
        <x:v>Adaptation</x:v>
      </x:c>
      <x:c r="H17" s="14" t="str">
        <x:v>Planche de combat dédiée aux actions réellement disponibles pour Garrus Vakarian.</x:v>
      </x:c>
      <x:c r="I17" s="14" t="str">
        <x:v>Attente, action, impact, KO et récupération sans cadre coupé.</x:v>
      </x:c>
      <x:c r="J17" s="14" t="str">
        <x:v>CHR-garrus-vakarian</x:v>
      </x:c>
      <x:c r="K17" s="14" t="str">
        <x:v>assets/sprites/characters/garrus-vakarian/battle.png</x:v>
      </x:c>
      <x:c r="L17" s="14" t="str">
        <x:v>public/assets/crew-atlas.png</x:v>
      </x:c>
      <x:c r="M17" s="14" t="str">
        <x:v>garrus</x:v>
      </x:c>
      <x:c r="N17" s="14" t="str">
        <x:v>Décisions du fan game ; aucune prétention de canon officiel</x:v>
      </x:c>
      <x:c r="O17" s="14" t="str"/>
      <x:c r="P17" s="14" t="str">
        <x:v>Production ME1</x:v>
      </x:c>
      <x:c r="Q17" s="14" t="str">
        <x:v>Atlas de poses uniques utilisé par le prototype. Les angles, mouvements, expressions et costumes complets ne sont pas produits.</x:v>
      </x:c>
    </x:row>
    <x:row r="18" ht="49" customHeight="1">
      <x:c r="A18" s="12" t="str">
        <x:v>SPR-garrus-vakarian-portrait</x:v>
      </x:c>
      <x:c r="B18" s="7" t="str">
        <x:v>Garrus Vakarian — portrait</x:v>
      </x:c>
      <x:c r="C18" s="10" t="str">
        <x:v>Prototype</x:v>
      </x:c>
      <x:c r="D18" s="11" t="str">
        <x:v>Prototype</x:v>
      </x:c>
      <x:c r="E18" s="9" t="str">
        <x:v>P1</x:v>
      </x:c>
      <x:c r="F18" s="9" t="str">
        <x:v>ME1</x:v>
      </x:c>
      <x:c r="G18" s="9" t="str">
        <x:v>Adaptation</x:v>
      </x:c>
      <x:c r="H18" s="7" t="str">
        <x:v>Portrait de dialogue en cohérence avec la tenue et l’identité terrain.</x:v>
      </x:c>
      <x:c r="I18" s="7" t="str">
        <x:v>Expressions neutre, déterminée, inquiète et blessée selon besoins narratifs.</x:v>
      </x:c>
      <x:c r="J18" s="7" t="str">
        <x:v>CHR-garrus-vakarian</x:v>
      </x:c>
      <x:c r="K18" s="7" t="str">
        <x:v>assets/portraits/garrus-vakarian.png</x:v>
      </x:c>
      <x:c r="L18" s="7" t="str">
        <x:v>public/assets/crew-atlas.png</x:v>
      </x:c>
      <x:c r="M18" s="7" t="str">
        <x:v>garrus</x:v>
      </x:c>
      <x:c r="N18" s="7" t="str">
        <x:v>Décisions du fan game ; aucune prétention de canon officiel</x:v>
      </x:c>
      <x:c r="O18" s="7" t="str"/>
      <x:c r="P18" s="7" t="str">
        <x:v>Production ME1</x:v>
      </x:c>
      <x:c r="Q18" s="7" t="str">
        <x:v>Atlas de poses uniques utilisé par le prototype. Les angles, mouvements, expressions et costumes complets ne sont pas produits.</x:v>
      </x:c>
    </x:row>
    <x:row r="19" ht="49" customHeight="1">
      <x:c r="A19" s="13" t="str">
        <x:v>SPR-urdnot-wrex-terrain</x:v>
      </x:c>
      <x:c r="B19" s="14" t="str">
        <x:v>Urdnot Wrex — terrain</x:v>
      </x:c>
      <x:c r="C19" s="10" t="str">
        <x:v>Prototype</x:v>
      </x:c>
      <x:c r="D19" s="11" t="str">
        <x:v>Prototype</x:v>
      </x:c>
      <x:c r="E19" s="15" t="str">
        <x:v>P0</x:v>
      </x:c>
      <x:c r="F19" s="15" t="str">
        <x:v>ME1</x:v>
      </x:c>
      <x:c r="G19" s="15" t="str">
        <x:v>Adaptation</x:v>
      </x:c>
      <x:c r="H19" s="14" t="str">
        <x:v>Sprite d’exploration de Urdnot Wrex, identité ME1 et silhouettes cohérentes.</x:v>
      </x:c>
      <x:c r="I19" s="14" t="str">
        <x:v>Huit directions, hauteur constante, pieds ancrés et comparaison aux références de l’épisode.</x:v>
      </x:c>
      <x:c r="J19" s="14" t="str">
        <x:v>CHR-urdnot-wrex</x:v>
      </x:c>
      <x:c r="K19" s="14" t="str">
        <x:v>assets/sprites/characters/urdnot-wrex/field.png</x:v>
      </x:c>
      <x:c r="L19" s="14" t="str">
        <x:v>public/assets/crew-atlas.png</x:v>
      </x:c>
      <x:c r="M19" s="14" t="str">
        <x:v>wrex</x:v>
      </x:c>
      <x:c r="N19" s="14" t="str">
        <x:v>Décisions du fan game ; aucune prétention de canon officiel</x:v>
      </x:c>
      <x:c r="O19" s="14" t="str"/>
      <x:c r="P19" s="14" t="str">
        <x:v>Production ME1</x:v>
      </x:c>
      <x:c r="Q19" s="14" t="str">
        <x:v>Atlas de poses uniques utilisé par le prototype. Les angles, mouvements, expressions et costumes complets ne sont pas produits.</x:v>
      </x:c>
    </x:row>
    <x:row r="20" ht="49" customHeight="1">
      <x:c r="A20" s="12" t="str">
        <x:v>SPR-urdnot-wrex-combat</x:v>
      </x:c>
      <x:c r="B20" s="7" t="str">
        <x:v>Urdnot Wrex — combat</x:v>
      </x:c>
      <x:c r="C20" s="10" t="str">
        <x:v>Prototype</x:v>
      </x:c>
      <x:c r="D20" s="11" t="str">
        <x:v>Prototype</x:v>
      </x:c>
      <x:c r="E20" s="9" t="str">
        <x:v>P0</x:v>
      </x:c>
      <x:c r="F20" s="9" t="str">
        <x:v>ME1</x:v>
      </x:c>
      <x:c r="G20" s="9" t="str">
        <x:v>Adaptation</x:v>
      </x:c>
      <x:c r="H20" s="7" t="str">
        <x:v>Planche de combat dédiée aux actions réellement disponibles pour Urdnot Wrex.</x:v>
      </x:c>
      <x:c r="I20" s="7" t="str">
        <x:v>Attente, action, impact, KO et récupération sans cadre coupé.</x:v>
      </x:c>
      <x:c r="J20" s="7" t="str">
        <x:v>CHR-urdnot-wrex</x:v>
      </x:c>
      <x:c r="K20" s="7" t="str">
        <x:v>assets/sprites/characters/urdnot-wrex/battle.png</x:v>
      </x:c>
      <x:c r="L20" s="7" t="str">
        <x:v>public/assets/crew-atlas.png</x:v>
      </x:c>
      <x:c r="M20" s="7" t="str">
        <x:v>wrex</x:v>
      </x:c>
      <x:c r="N20" s="7" t="str">
        <x:v>Décisions du fan game ; aucune prétention de canon officiel</x:v>
      </x:c>
      <x:c r="O20" s="7" t="str"/>
      <x:c r="P20" s="7" t="str">
        <x:v>Production ME1</x:v>
      </x:c>
      <x:c r="Q20" s="7" t="str">
        <x:v>Atlas de poses uniques utilisé par le prototype. Les angles, mouvements, expressions et costumes complets ne sont pas produits.</x:v>
      </x:c>
    </x:row>
    <x:row r="21" ht="49" customHeight="1">
      <x:c r="A21" s="13" t="str">
        <x:v>SPR-urdnot-wrex-portrait</x:v>
      </x:c>
      <x:c r="B21" s="14" t="str">
        <x:v>Urdnot Wrex — portrait</x:v>
      </x:c>
      <x:c r="C21" s="10" t="str">
        <x:v>Prototype</x:v>
      </x:c>
      <x:c r="D21" s="11" t="str">
        <x:v>Prototype</x:v>
      </x:c>
      <x:c r="E21" s="15" t="str">
        <x:v>P1</x:v>
      </x:c>
      <x:c r="F21" s="15" t="str">
        <x:v>ME1</x:v>
      </x:c>
      <x:c r="G21" s="15" t="str">
        <x:v>Adaptation</x:v>
      </x:c>
      <x:c r="H21" s="14" t="str">
        <x:v>Portrait de dialogue en cohérence avec la tenue et l’identité terrain.</x:v>
      </x:c>
      <x:c r="I21" s="14" t="str">
        <x:v>Expressions neutre, déterminée, inquiète et blessée selon besoins narratifs.</x:v>
      </x:c>
      <x:c r="J21" s="14" t="str">
        <x:v>CHR-urdnot-wrex</x:v>
      </x:c>
      <x:c r="K21" s="14" t="str">
        <x:v>assets/portraits/urdnot-wrex.png</x:v>
      </x:c>
      <x:c r="L21" s="14" t="str">
        <x:v>public/assets/crew-atlas.png</x:v>
      </x:c>
      <x:c r="M21" s="14" t="str">
        <x:v>wrex</x:v>
      </x:c>
      <x:c r="N21" s="14" t="str">
        <x:v>Décisions du fan game ; aucune prétention de canon officiel</x:v>
      </x:c>
      <x:c r="O21" s="14" t="str"/>
      <x:c r="P21" s="14" t="str">
        <x:v>Production ME1</x:v>
      </x:c>
      <x:c r="Q21" s="14" t="str">
        <x:v>Atlas de poses uniques utilisé par le prototype. Les angles, mouvements, expressions et costumes complets ne sont pas produits.</x:v>
      </x:c>
    </x:row>
    <x:row r="22" ht="49" customHeight="1">
      <x:c r="A22" s="12" t="str">
        <x:v>SPR-tali-zorah-nar-rayya-terrain</x:v>
      </x:c>
      <x:c r="B22" s="7" t="str">
        <x:v>Tali'Zorah nar Rayya — terrain</x:v>
      </x:c>
      <x:c r="C22" s="10" t="str">
        <x:v>Prototype</x:v>
      </x:c>
      <x:c r="D22" s="11" t="str">
        <x:v>Prototype</x:v>
      </x:c>
      <x:c r="E22" s="9" t="str">
        <x:v>P0</x:v>
      </x:c>
      <x:c r="F22" s="9" t="str">
        <x:v>ME1</x:v>
      </x:c>
      <x:c r="G22" s="9" t="str">
        <x:v>Adaptation</x:v>
      </x:c>
      <x:c r="H22" s="7" t="str">
        <x:v>Sprite d’exploration de Tali'Zorah nar Rayya, identité ME1 et silhouettes cohérentes.</x:v>
      </x:c>
      <x:c r="I22" s="7" t="str">
        <x:v>Huit directions, hauteur constante, pieds ancrés et comparaison aux références de l’épisode.</x:v>
      </x:c>
      <x:c r="J22" s="7" t="str">
        <x:v>CHR-tali-zorah-nar-rayya</x:v>
      </x:c>
      <x:c r="K22" s="7" t="str">
        <x:v>assets/sprites/characters/tali-zorah-nar-rayya/field.png</x:v>
      </x:c>
      <x:c r="L22" s="7" t="str">
        <x:v>public/assets/crew-atlas.png</x:v>
      </x:c>
      <x:c r="M22" s="7" t="str">
        <x:v>tali</x:v>
      </x:c>
      <x:c r="N22" s="7" t="str">
        <x:v>Décisions du fan game ; aucune prétention de canon officiel</x:v>
      </x:c>
      <x:c r="O22" s="7" t="str"/>
      <x:c r="P22" s="7" t="str">
        <x:v>Production ME1</x:v>
      </x:c>
      <x:c r="Q22" s="7" t="str">
        <x:v>Atlas de poses uniques utilisé par le prototype. Les angles, mouvements, expressions et costumes complets ne sont pas produits.</x:v>
      </x:c>
    </x:row>
    <x:row r="23" ht="49" customHeight="1">
      <x:c r="A23" s="13" t="str">
        <x:v>SPR-tali-zorah-nar-rayya-combat</x:v>
      </x:c>
      <x:c r="B23" s="14" t="str">
        <x:v>Tali'Zorah nar Rayya — combat</x:v>
      </x:c>
      <x:c r="C23" s="10" t="str">
        <x:v>Prototype</x:v>
      </x:c>
      <x:c r="D23" s="11" t="str">
        <x:v>Prototype</x:v>
      </x:c>
      <x:c r="E23" s="15" t="str">
        <x:v>P0</x:v>
      </x:c>
      <x:c r="F23" s="15" t="str">
        <x:v>ME1</x:v>
      </x:c>
      <x:c r="G23" s="15" t="str">
        <x:v>Adaptation</x:v>
      </x:c>
      <x:c r="H23" s="14" t="str">
        <x:v>Planche de combat dédiée aux actions réellement disponibles pour Tali'Zorah nar Rayya.</x:v>
      </x:c>
      <x:c r="I23" s="14" t="str">
        <x:v>Attente, action, impact, KO et récupération sans cadre coupé.</x:v>
      </x:c>
      <x:c r="J23" s="14" t="str">
        <x:v>CHR-tali-zorah-nar-rayya</x:v>
      </x:c>
      <x:c r="K23" s="14" t="str">
        <x:v>assets/sprites/characters/tali-zorah-nar-rayya/battle.png</x:v>
      </x:c>
      <x:c r="L23" s="14" t="str">
        <x:v>public/assets/crew-atlas.png</x:v>
      </x:c>
      <x:c r="M23" s="14" t="str">
        <x:v>tali</x:v>
      </x:c>
      <x:c r="N23" s="14" t="str">
        <x:v>Décisions du fan game ; aucune prétention de canon officiel</x:v>
      </x:c>
      <x:c r="O23" s="14" t="str"/>
      <x:c r="P23" s="14" t="str">
        <x:v>Production ME1</x:v>
      </x:c>
      <x:c r="Q23" s="14" t="str">
        <x:v>Atlas de poses uniques utilisé par le prototype. Les angles, mouvements, expressions et costumes complets ne sont pas produits.</x:v>
      </x:c>
    </x:row>
    <x:row r="24" ht="49" customHeight="1">
      <x:c r="A24" s="12" t="str">
        <x:v>SPR-tali-zorah-nar-rayya-portrait</x:v>
      </x:c>
      <x:c r="B24" s="7" t="str">
        <x:v>Tali'Zorah nar Rayya — portrait</x:v>
      </x:c>
      <x:c r="C24" s="10" t="str">
        <x:v>Prototype</x:v>
      </x:c>
      <x:c r="D24" s="11" t="str">
        <x:v>Prototype</x:v>
      </x:c>
      <x:c r="E24" s="9" t="str">
        <x:v>P1</x:v>
      </x:c>
      <x:c r="F24" s="9" t="str">
        <x:v>ME1</x:v>
      </x:c>
      <x:c r="G24" s="9" t="str">
        <x:v>Adaptation</x:v>
      </x:c>
      <x:c r="H24" s="7" t="str">
        <x:v>Portrait de dialogue en cohérence avec la tenue et l’identité terrain.</x:v>
      </x:c>
      <x:c r="I24" s="7" t="str">
        <x:v>Expressions neutre, déterminée, inquiète et blessée selon besoins narratifs.</x:v>
      </x:c>
      <x:c r="J24" s="7" t="str">
        <x:v>CHR-tali-zorah-nar-rayya</x:v>
      </x:c>
      <x:c r="K24" s="7" t="str">
        <x:v>assets/portraits/tali-zorah-nar-rayya.png</x:v>
      </x:c>
      <x:c r="L24" s="7" t="str">
        <x:v>public/assets/crew-atlas.png</x:v>
      </x:c>
      <x:c r="M24" s="7" t="str">
        <x:v>tali</x:v>
      </x:c>
      <x:c r="N24" s="7" t="str">
        <x:v>Décisions du fan game ; aucune prétention de canon officiel</x:v>
      </x:c>
      <x:c r="O24" s="7" t="str"/>
      <x:c r="P24" s="7" t="str">
        <x:v>Production ME1</x:v>
      </x:c>
      <x:c r="Q24" s="7" t="str">
        <x:v>Atlas de poses uniques utilisé par le prototype. Les angles, mouvements, expressions et costumes complets ne sont pas produits.</x:v>
      </x:c>
    </x:row>
    <x:row r="25" ht="49" customHeight="1">
      <x:c r="A25" s="13" t="str">
        <x:v>SPR-liara-t-soni-terrain</x:v>
      </x:c>
      <x:c r="B25" s="14" t="str">
        <x:v>Liara T'Soni — terrain</x:v>
      </x:c>
      <x:c r="C25" s="10" t="str">
        <x:v>Prototype</x:v>
      </x:c>
      <x:c r="D25" s="11" t="str">
        <x:v>Prototype</x:v>
      </x:c>
      <x:c r="E25" s="15" t="str">
        <x:v>P0</x:v>
      </x:c>
      <x:c r="F25" s="15" t="str">
        <x:v>ME1</x:v>
      </x:c>
      <x:c r="G25" s="15" t="str">
        <x:v>Adaptation</x:v>
      </x:c>
      <x:c r="H25" s="14" t="str">
        <x:v>Sprite d’exploration de Liara T'Soni, identité ME1 et silhouettes cohérentes.</x:v>
      </x:c>
      <x:c r="I25" s="14" t="str">
        <x:v>Huit directions, hauteur constante, pieds ancrés et comparaison aux références de l’épisode.</x:v>
      </x:c>
      <x:c r="J25" s="14" t="str">
        <x:v>CHR-liara-t-soni</x:v>
      </x:c>
      <x:c r="K25" s="14" t="str">
        <x:v>assets/sprites/characters/liara-t-soni/field.png</x:v>
      </x:c>
      <x:c r="L25" s="14" t="str">
        <x:v>public/assets/crew-atlas.png</x:v>
      </x:c>
      <x:c r="M25" s="14" t="str">
        <x:v>liara</x:v>
      </x:c>
      <x:c r="N25" s="14" t="str">
        <x:v>Décisions du fan game ; aucune prétention de canon officiel</x:v>
      </x:c>
      <x:c r="O25" s="14" t="str"/>
      <x:c r="P25" s="14" t="str">
        <x:v>Production ME1</x:v>
      </x:c>
      <x:c r="Q25" s="14" t="str">
        <x:v>Atlas de poses uniques utilisé par le prototype. Les angles, mouvements, expressions et costumes complets ne sont pas produits.</x:v>
      </x:c>
    </x:row>
    <x:row r="26" ht="49" customHeight="1">
      <x:c r="A26" s="12" t="str">
        <x:v>SPR-liara-t-soni-combat</x:v>
      </x:c>
      <x:c r="B26" s="7" t="str">
        <x:v>Liara T'Soni — combat</x:v>
      </x:c>
      <x:c r="C26" s="10" t="str">
        <x:v>Prototype</x:v>
      </x:c>
      <x:c r="D26" s="11" t="str">
        <x:v>Prototype</x:v>
      </x:c>
      <x:c r="E26" s="9" t="str">
        <x:v>P0</x:v>
      </x:c>
      <x:c r="F26" s="9" t="str">
        <x:v>ME1</x:v>
      </x:c>
      <x:c r="G26" s="9" t="str">
        <x:v>Adaptation</x:v>
      </x:c>
      <x:c r="H26" s="7" t="str">
        <x:v>Planche de combat dédiée aux actions réellement disponibles pour Liara T'Soni.</x:v>
      </x:c>
      <x:c r="I26" s="7" t="str">
        <x:v>Attente, action, impact, KO et récupération sans cadre coupé.</x:v>
      </x:c>
      <x:c r="J26" s="7" t="str">
        <x:v>CHR-liara-t-soni</x:v>
      </x:c>
      <x:c r="K26" s="7" t="str">
        <x:v>assets/sprites/characters/liara-t-soni/battle.png</x:v>
      </x:c>
      <x:c r="L26" s="7" t="str">
        <x:v>public/assets/crew-atlas.png</x:v>
      </x:c>
      <x:c r="M26" s="7" t="str">
        <x:v>liara</x:v>
      </x:c>
      <x:c r="N26" s="7" t="str">
        <x:v>Décisions du fan game ; aucune prétention de canon officiel</x:v>
      </x:c>
      <x:c r="O26" s="7" t="str"/>
      <x:c r="P26" s="7" t="str">
        <x:v>Production ME1</x:v>
      </x:c>
      <x:c r="Q26" s="7" t="str">
        <x:v>Atlas de poses uniques utilisé par le prototype. Les angles, mouvements, expressions et costumes complets ne sont pas produits.</x:v>
      </x:c>
    </x:row>
    <x:row r="27" ht="49" customHeight="1">
      <x:c r="A27" s="13" t="str">
        <x:v>SPR-liara-t-soni-portrait</x:v>
      </x:c>
      <x:c r="B27" s="14" t="str">
        <x:v>Liara T'Soni — portrait</x:v>
      </x:c>
      <x:c r="C27" s="10" t="str">
        <x:v>Prototype</x:v>
      </x:c>
      <x:c r="D27" s="11" t="str">
        <x:v>Prototype</x:v>
      </x:c>
      <x:c r="E27" s="15" t="str">
        <x:v>P1</x:v>
      </x:c>
      <x:c r="F27" s="15" t="str">
        <x:v>ME1</x:v>
      </x:c>
      <x:c r="G27" s="15" t="str">
        <x:v>Adaptation</x:v>
      </x:c>
      <x:c r="H27" s="14" t="str">
        <x:v>Portrait de dialogue en cohérence avec la tenue et l’identité terrain.</x:v>
      </x:c>
      <x:c r="I27" s="14" t="str">
        <x:v>Expressions neutre, déterminée, inquiète et blessée selon besoins narratifs.</x:v>
      </x:c>
      <x:c r="J27" s="14" t="str">
        <x:v>CHR-liara-t-soni</x:v>
      </x:c>
      <x:c r="K27" s="14" t="str">
        <x:v>assets/portraits/liara-t-soni.png</x:v>
      </x:c>
      <x:c r="L27" s="14" t="str">
        <x:v>public/assets/crew-atlas.png</x:v>
      </x:c>
      <x:c r="M27" s="14" t="str">
        <x:v>liara</x:v>
      </x:c>
      <x:c r="N27" s="14" t="str">
        <x:v>Décisions du fan game ; aucune prétention de canon officiel</x:v>
      </x:c>
      <x:c r="O27" s="14" t="str"/>
      <x:c r="P27" s="14" t="str">
        <x:v>Production ME1</x:v>
      </x:c>
      <x:c r="Q27" s="14" t="str">
        <x:v>Atlas de poses uniques utilisé par le prototype. Les angles, mouvements, expressions et costumes complets ne sont pas produits.</x:v>
      </x:c>
    </x:row>
    <x:row r="28" ht="49" customHeight="1">
      <x:c r="A28" s="12" t="str">
        <x:v>SPR-jenkins-terrain</x:v>
      </x:c>
      <x:c r="B28" s="7" t="str">
        <x:v>Jenkins — terrain</x:v>
      </x:c>
      <x:c r="C28" s="10" t="str">
        <x:v>Prototype</x:v>
      </x:c>
      <x:c r="D28" s="11" t="str">
        <x:v>Prototype</x:v>
      </x:c>
      <x:c r="E28" s="9" t="str">
        <x:v>P0</x:v>
      </x:c>
      <x:c r="F28" s="9" t="str">
        <x:v>ME1</x:v>
      </x:c>
      <x:c r="G28" s="9" t="str">
        <x:v>Adaptation</x:v>
      </x:c>
      <x:c r="H28" s="7" t="str">
        <x:v>Sprite d’exploration de Jenkins, identité ME1 et silhouettes cohérentes.</x:v>
      </x:c>
      <x:c r="I28" s="7" t="str">
        <x:v>Huit directions, hauteur constante, pieds ancrés et comparaison aux références de l’épisode.</x:v>
      </x:c>
      <x:c r="J28" s="7" t="str">
        <x:v>CHR-jenkins</x:v>
      </x:c>
      <x:c r="K28" s="7" t="str">
        <x:v>assets/sprites/characters/jenkins/field.png</x:v>
      </x:c>
      <x:c r="L28" s="7" t="str">
        <x:v>public/assets/crew-atlas.png</x:v>
      </x:c>
      <x:c r="M28" s="7" t="str">
        <x:v>jenkins</x:v>
      </x:c>
      <x:c r="N28" s="7" t="str">
        <x:v>Décisions du fan game ; aucune prétention de canon officiel</x:v>
      </x:c>
      <x:c r="O28" s="7" t="str"/>
      <x:c r="P28" s="7" t="str">
        <x:v>Production ME1</x:v>
      </x:c>
      <x:c r="Q28" s="7" t="str">
        <x:v>Atlas de poses uniques utilisé par le prototype. Les angles, mouvements, expressions et costumes complets ne sont pas produits.</x:v>
      </x:c>
    </x:row>
    <x:row r="29" ht="49" customHeight="1">
      <x:c r="A29" s="13" t="str">
        <x:v>SPR-jenkins-combat</x:v>
      </x:c>
      <x:c r="B29" s="14" t="str">
        <x:v>Jenkins — combat</x:v>
      </x:c>
      <x:c r="C29" s="10" t="str">
        <x:v>Prototype</x:v>
      </x:c>
      <x:c r="D29" s="11" t="str">
        <x:v>Prototype</x:v>
      </x:c>
      <x:c r="E29" s="15" t="str">
        <x:v>P0</x:v>
      </x:c>
      <x:c r="F29" s="15" t="str">
        <x:v>ME1</x:v>
      </x:c>
      <x:c r="G29" s="15" t="str">
        <x:v>Adaptation</x:v>
      </x:c>
      <x:c r="H29" s="14" t="str">
        <x:v>Planche de combat dédiée aux actions réellement disponibles pour Jenkins.</x:v>
      </x:c>
      <x:c r="I29" s="14" t="str">
        <x:v>Attente, action, impact, KO et récupération sans cadre coupé.</x:v>
      </x:c>
      <x:c r="J29" s="14" t="str">
        <x:v>CHR-jenkins</x:v>
      </x:c>
      <x:c r="K29" s="14" t="str">
        <x:v>assets/sprites/characters/jenkins/battle.png</x:v>
      </x:c>
      <x:c r="L29" s="14" t="str">
        <x:v>public/assets/crew-atlas.png</x:v>
      </x:c>
      <x:c r="M29" s="14" t="str">
        <x:v>jenkins</x:v>
      </x:c>
      <x:c r="N29" s="14" t="str">
        <x:v>Décisions du fan game ; aucune prétention de canon officiel</x:v>
      </x:c>
      <x:c r="O29" s="14" t="str"/>
      <x:c r="P29" s="14" t="str">
        <x:v>Production ME1</x:v>
      </x:c>
      <x:c r="Q29" s="14" t="str">
        <x:v>Atlas de poses uniques utilisé par le prototype. Les angles, mouvements, expressions et costumes complets ne sont pas produits.</x:v>
      </x:c>
    </x:row>
    <x:row r="30" ht="49" customHeight="1">
      <x:c r="A30" s="12" t="str">
        <x:v>SPR-jenkins-portrait</x:v>
      </x:c>
      <x:c r="B30" s="7" t="str">
        <x:v>Jenkins — portrait</x:v>
      </x:c>
      <x:c r="C30" s="10" t="str">
        <x:v>Prototype</x:v>
      </x:c>
      <x:c r="D30" s="11" t="str">
        <x:v>Prototype</x:v>
      </x:c>
      <x:c r="E30" s="9" t="str">
        <x:v>P1</x:v>
      </x:c>
      <x:c r="F30" s="9" t="str">
        <x:v>ME1</x:v>
      </x:c>
      <x:c r="G30" s="9" t="str">
        <x:v>Adaptation</x:v>
      </x:c>
      <x:c r="H30" s="7" t="str">
        <x:v>Portrait de dialogue en cohérence avec la tenue et l’identité terrain.</x:v>
      </x:c>
      <x:c r="I30" s="7" t="str">
        <x:v>Expressions neutre, déterminée, inquiète et blessée selon besoins narratifs.</x:v>
      </x:c>
      <x:c r="J30" s="7" t="str">
        <x:v>CHR-jenkins</x:v>
      </x:c>
      <x:c r="K30" s="7" t="str">
        <x:v>assets/portraits/jenkins.png</x:v>
      </x:c>
      <x:c r="L30" s="7" t="str">
        <x:v>public/assets/crew-atlas.png</x:v>
      </x:c>
      <x:c r="M30" s="7" t="str">
        <x:v>jenkins</x:v>
      </x:c>
      <x:c r="N30" s="7" t="str">
        <x:v>Décisions du fan game ; aucune prétention de canon officiel</x:v>
      </x:c>
      <x:c r="O30" s="7" t="str"/>
      <x:c r="P30" s="7" t="str">
        <x:v>Production ME1</x:v>
      </x:c>
      <x:c r="Q30" s="7" t="str">
        <x:v>Atlas de poses uniques utilisé par le prototype. Les angles, mouvements, expressions et costumes complets ne sont pas produits.</x:v>
      </x:c>
    </x:row>
    <x:row r="31" ht="36" customHeight="1">
      <x:c r="A31" s="13" t="str">
        <x:v>SPR-drone-de-reconnaissance-geth-ennemi</x:v>
      </x:c>
      <x:c r="B31" s="14" t="str">
        <x:v>Drone de reconnaissance geth — planche ennemie</x:v>
      </x:c>
      <x:c r="C31" s="10" t="str">
        <x:v>Défini</x:v>
      </x:c>
      <x:c r="D31" s="11" t="str">
        <x:v>À produire</x:v>
      </x:c>
      <x:c r="E31" s="15" t="str">
        <x:v>P1</x:v>
      </x:c>
      <x:c r="F31" s="15" t="str">
        <x:v>ME1</x:v>
      </x:c>
      <x:c r="G31" s="15" t="str">
        <x:v>Adaptation</x:v>
      </x:c>
      <x:c r="H31" s="14" t="str">
        <x:v>Silhouette et actions principales de Drone de reconnaissance geth.</x:v>
      </x:c>
      <x:c r="I31" s="14" t="str">
        <x:v>Silhouette référencée, attaques lisibles, transparence propre et échelle relative contrôlée.</x:v>
      </x:c>
      <x:c r="J31" s="14" t="str">
        <x:v>ENM-drone-de-reconnaissance-geth</x:v>
      </x:c>
      <x:c r="K31" s="14" t="str">
        <x:v>assets/sprites/enemies/drone-de-reconnaissance-geth.png</x:v>
      </x:c>
      <x:c r="L31" s="14" t="str"/>
      <x:c r="M31" s="14" t="str"/>
      <x:c r="N31" s="14" t="str">
        <x:v>Décisions du fan game ; aucune prétention de canon officiel</x:v>
      </x:c>
      <x:c r="O31" s="14" t="str"/>
      <x:c r="P31" s="14" t="str">
        <x:v>Production ME1</x:v>
      </x:c>
      <x:c r="Q31" s="14" t="str"/>
    </x:row>
    <x:row r="32" ht="36" customHeight="1">
      <x:c r="A32" s="12" t="str">
        <x:v>SPR-drone-d-assaut-geth-ennemi</x:v>
      </x:c>
      <x:c r="B32" s="7" t="str">
        <x:v>Drone d’assaut geth — planche ennemie</x:v>
      </x:c>
      <x:c r="C32" s="10" t="str">
        <x:v>Défini</x:v>
      </x:c>
      <x:c r="D32" s="11" t="str">
        <x:v>À produire</x:v>
      </x:c>
      <x:c r="E32" s="9" t="str">
        <x:v>P1</x:v>
      </x:c>
      <x:c r="F32" s="9" t="str">
        <x:v>ME1</x:v>
      </x:c>
      <x:c r="G32" s="9" t="str">
        <x:v>Adaptation</x:v>
      </x:c>
      <x:c r="H32" s="7" t="str">
        <x:v>Silhouette et actions principales de Drone d’assaut geth.</x:v>
      </x:c>
      <x:c r="I32" s="7" t="str">
        <x:v>Silhouette référencée, attaques lisibles, transparence propre et échelle relative contrôlée.</x:v>
      </x:c>
      <x:c r="J32" s="7" t="str">
        <x:v>ENM-drone-d-assaut-geth</x:v>
      </x:c>
      <x:c r="K32" s="7" t="str">
        <x:v>assets/sprites/enemies/drone-d-assaut-geth.png</x:v>
      </x:c>
      <x:c r="L32" s="7" t="str"/>
      <x:c r="M32" s="7" t="str"/>
      <x:c r="N32" s="7" t="str">
        <x:v>Décisions du fan game ; aucune prétention de canon officiel</x:v>
      </x:c>
      <x:c r="O32" s="7" t="str"/>
      <x:c r="P32" s="7" t="str">
        <x:v>Production ME1</x:v>
      </x:c>
      <x:c r="Q32" s="7" t="str"/>
    </x:row>
    <x:row r="33" ht="36" customHeight="1">
      <x:c r="A33" s="13" t="str">
        <x:v>SPR-drone-lance-roquettes-ennemi</x:v>
      </x:c>
      <x:c r="B33" s="14" t="str">
        <x:v>Drone lance-roquettes — planche ennemie</x:v>
      </x:c>
      <x:c r="C33" s="10" t="str">
        <x:v>Défini</x:v>
      </x:c>
      <x:c r="D33" s="11" t="str">
        <x:v>À produire</x:v>
      </x:c>
      <x:c r="E33" s="15" t="str">
        <x:v>P1</x:v>
      </x:c>
      <x:c r="F33" s="15" t="str">
        <x:v>ME1</x:v>
      </x:c>
      <x:c r="G33" s="15" t="str">
        <x:v>Adaptation</x:v>
      </x:c>
      <x:c r="H33" s="14" t="str">
        <x:v>Silhouette et actions principales de Drone lance-roquettes.</x:v>
      </x:c>
      <x:c r="I33" s="14" t="str">
        <x:v>Silhouette référencée, attaques lisibles, transparence propre et échelle relative contrôlée.</x:v>
      </x:c>
      <x:c r="J33" s="14" t="str">
        <x:v>ENM-drone-lance-roquettes</x:v>
      </x:c>
      <x:c r="K33" s="14" t="str">
        <x:v>assets/sprites/enemies/drone-lance-roquettes.png</x:v>
      </x:c>
      <x:c r="L33" s="14" t="str"/>
      <x:c r="M33" s="14" t="str"/>
      <x:c r="N33" s="14" t="str">
        <x:v>Décisions du fan game ; aucune prétention de canon officiel</x:v>
      </x:c>
      <x:c r="O33" s="14" t="str"/>
      <x:c r="P33" s="14" t="str">
        <x:v>Production ME1</x:v>
      </x:c>
      <x:c r="Q33" s="14" t="str"/>
    </x:row>
    <x:row r="34" ht="36" customHeight="1">
      <x:c r="A34" s="12" t="str">
        <x:v>SPR-soldat-geth-ennemi</x:v>
      </x:c>
      <x:c r="B34" s="7" t="str">
        <x:v>Soldat geth — planche ennemie</x:v>
      </x:c>
      <x:c r="C34" s="10" t="str">
        <x:v>Défini</x:v>
      </x:c>
      <x:c r="D34" s="11" t="str">
        <x:v>À produire</x:v>
      </x:c>
      <x:c r="E34" s="9" t="str">
        <x:v>P1</x:v>
      </x:c>
      <x:c r="F34" s="9" t="str">
        <x:v>ME1</x:v>
      </x:c>
      <x:c r="G34" s="9" t="str">
        <x:v>Adaptation</x:v>
      </x:c>
      <x:c r="H34" s="7" t="str">
        <x:v>Silhouette et actions principales de Soldat geth.</x:v>
      </x:c>
      <x:c r="I34" s="7" t="str">
        <x:v>Silhouette référencée, attaques lisibles, transparence propre et échelle relative contrôlée.</x:v>
      </x:c>
      <x:c r="J34" s="7" t="str">
        <x:v>ENM-soldat-geth</x:v>
      </x:c>
      <x:c r="K34" s="7" t="str">
        <x:v>assets/sprites/enemies/soldat-geth.png</x:v>
      </x:c>
      <x:c r="L34" s="7" t="str"/>
      <x:c r="M34" s="7" t="str"/>
      <x:c r="N34" s="7" t="str">
        <x:v>Décisions du fan game ; aucune prétention de canon officiel</x:v>
      </x:c>
      <x:c r="O34" s="7" t="str"/>
      <x:c r="P34" s="7" t="str">
        <x:v>Production ME1</x:v>
      </x:c>
      <x:c r="Q34" s="7" t="str"/>
    </x:row>
    <x:row r="35" ht="36" customHeight="1">
      <x:c r="A35" s="13" t="str">
        <x:v>SPR-sniper-geth-ennemi</x:v>
      </x:c>
      <x:c r="B35" s="14" t="str">
        <x:v>Sniper geth — planche ennemie</x:v>
      </x:c>
      <x:c r="C35" s="10" t="str">
        <x:v>Défini</x:v>
      </x:c>
      <x:c r="D35" s="11" t="str">
        <x:v>À produire</x:v>
      </x:c>
      <x:c r="E35" s="15" t="str">
        <x:v>P1</x:v>
      </x:c>
      <x:c r="F35" s="15" t="str">
        <x:v>ME1</x:v>
      </x:c>
      <x:c r="G35" s="15" t="str">
        <x:v>Adaptation</x:v>
      </x:c>
      <x:c r="H35" s="14" t="str">
        <x:v>Silhouette et actions principales de Sniper geth.</x:v>
      </x:c>
      <x:c r="I35" s="14" t="str">
        <x:v>Silhouette référencée, attaques lisibles, transparence propre et échelle relative contrôlée.</x:v>
      </x:c>
      <x:c r="J35" s="14" t="str">
        <x:v>ENM-sniper-geth</x:v>
      </x:c>
      <x:c r="K35" s="14" t="str">
        <x:v>assets/sprites/enemies/sniper-geth.png</x:v>
      </x:c>
      <x:c r="L35" s="14" t="str"/>
      <x:c r="M35" s="14" t="str"/>
      <x:c r="N35" s="14" t="str">
        <x:v>Décisions du fan game ; aucune prétention de canon officiel</x:v>
      </x:c>
      <x:c r="O35" s="14" t="str"/>
      <x:c r="P35" s="14" t="str">
        <x:v>Production ME1</x:v>
      </x:c>
      <x:c r="Q35" s="14" t="str"/>
    </x:row>
    <x:row r="36" ht="36" customHeight="1">
      <x:c r="A36" s="12" t="str">
        <x:v>SPR-lance-roquettes-geth-ennemi</x:v>
      </x:c>
      <x:c r="B36" s="7" t="str">
        <x:v>Lance-roquettes geth — planche ennemie</x:v>
      </x:c>
      <x:c r="C36" s="10" t="str">
        <x:v>Défini</x:v>
      </x:c>
      <x:c r="D36" s="11" t="str">
        <x:v>À produire</x:v>
      </x:c>
      <x:c r="E36" s="9" t="str">
        <x:v>P1</x:v>
      </x:c>
      <x:c r="F36" s="9" t="str">
        <x:v>ME1</x:v>
      </x:c>
      <x:c r="G36" s="9" t="str">
        <x:v>Adaptation</x:v>
      </x:c>
      <x:c r="H36" s="7" t="str">
        <x:v>Silhouette et actions principales de Lance-roquettes geth.</x:v>
      </x:c>
      <x:c r="I36" s="7" t="str">
        <x:v>Silhouette référencée, attaques lisibles, transparence propre et échelle relative contrôlée.</x:v>
      </x:c>
      <x:c r="J36" s="7" t="str">
        <x:v>ENM-lance-roquettes-geth</x:v>
      </x:c>
      <x:c r="K36" s="7" t="str">
        <x:v>assets/sprites/enemies/lance-roquettes-geth.png</x:v>
      </x:c>
      <x:c r="L36" s="7" t="str"/>
      <x:c r="M36" s="7" t="str"/>
      <x:c r="N36" s="7" t="str">
        <x:v>Décisions du fan game ; aucune prétention de canon officiel</x:v>
      </x:c>
      <x:c r="O36" s="7" t="str"/>
      <x:c r="P36" s="7" t="str">
        <x:v>Production ME1</x:v>
      </x:c>
      <x:c r="Q36" s="7" t="str"/>
    </x:row>
    <x:row r="37" ht="36" customHeight="1">
      <x:c r="A37" s="13" t="str">
        <x:v>SPR-soldat-de-choc-geth-ennemi</x:v>
      </x:c>
      <x:c r="B37" s="14" t="str">
        <x:v>Soldat de choc geth — planche ennemie</x:v>
      </x:c>
      <x:c r="C37" s="10" t="str">
        <x:v>Défini</x:v>
      </x:c>
      <x:c r="D37" s="11" t="str">
        <x:v>À produire</x:v>
      </x:c>
      <x:c r="E37" s="15" t="str">
        <x:v>P1</x:v>
      </x:c>
      <x:c r="F37" s="15" t="str">
        <x:v>ME1</x:v>
      </x:c>
      <x:c r="G37" s="15" t="str">
        <x:v>Adaptation</x:v>
      </x:c>
      <x:c r="H37" s="14" t="str">
        <x:v>Silhouette et actions principales de Soldat de choc geth.</x:v>
      </x:c>
      <x:c r="I37" s="14" t="str">
        <x:v>Silhouette référencée, attaques lisibles, transparence propre et échelle relative contrôlée.</x:v>
      </x:c>
      <x:c r="J37" s="14" t="str">
        <x:v>ENM-soldat-de-choc-geth</x:v>
      </x:c>
      <x:c r="K37" s="14" t="str">
        <x:v>assets/sprites/enemies/soldat-de-choc-geth.png</x:v>
      </x:c>
      <x:c r="L37" s="14" t="str"/>
      <x:c r="M37" s="14" t="str"/>
      <x:c r="N37" s="14" t="str">
        <x:v>Décisions du fan game ; aucune prétention de canon officiel</x:v>
      </x:c>
      <x:c r="O37" s="14" t="str"/>
      <x:c r="P37" s="14" t="str">
        <x:v>Production ME1</x:v>
      </x:c>
      <x:c r="Q37" s="14" t="str"/>
    </x:row>
    <x:row r="38" ht="36" customHeight="1">
      <x:c r="A38" s="12" t="str">
        <x:v>SPR-destructeur-geth-ennemi</x:v>
      </x:c>
      <x:c r="B38" s="7" t="str">
        <x:v>Destructeur geth — planche ennemie</x:v>
      </x:c>
      <x:c r="C38" s="10" t="str">
        <x:v>Défini</x:v>
      </x:c>
      <x:c r="D38" s="11" t="str">
        <x:v>À produire</x:v>
      </x:c>
      <x:c r="E38" s="9" t="str">
        <x:v>P1</x:v>
      </x:c>
      <x:c r="F38" s="9" t="str">
        <x:v>ME1</x:v>
      </x:c>
      <x:c r="G38" s="9" t="str">
        <x:v>Adaptation</x:v>
      </x:c>
      <x:c r="H38" s="7" t="str">
        <x:v>Silhouette et actions principales de Destructeur geth.</x:v>
      </x:c>
      <x:c r="I38" s="7" t="str">
        <x:v>Silhouette référencée, attaques lisibles, transparence propre et échelle relative contrôlée.</x:v>
      </x:c>
      <x:c r="J38" s="7" t="str">
        <x:v>ENM-destructeur-geth</x:v>
      </x:c>
      <x:c r="K38" s="7" t="str">
        <x:v>assets/sprites/enemies/destructeur-geth.png</x:v>
      </x:c>
      <x:c r="L38" s="7" t="str"/>
      <x:c r="M38" s="7" t="str"/>
      <x:c r="N38" s="7" t="str">
        <x:v>Décisions du fan game ; aucune prétention de canon officiel</x:v>
      </x:c>
      <x:c r="O38" s="7" t="str"/>
      <x:c r="P38" s="7" t="str">
        <x:v>Production ME1</x:v>
      </x:c>
      <x:c r="Q38" s="7" t="str"/>
    </x:row>
    <x:row r="39" ht="36" customHeight="1">
      <x:c r="A39" s="13" t="str">
        <x:v>SPR-juggernaut-geth-ennemi</x:v>
      </x:c>
      <x:c r="B39" s="14" t="str">
        <x:v>Juggernaut geth — planche ennemie</x:v>
      </x:c>
      <x:c r="C39" s="10" t="str">
        <x:v>Défini</x:v>
      </x:c>
      <x:c r="D39" s="11" t="str">
        <x:v>À produire</x:v>
      </x:c>
      <x:c r="E39" s="15" t="str">
        <x:v>P1</x:v>
      </x:c>
      <x:c r="F39" s="15" t="str">
        <x:v>ME1</x:v>
      </x:c>
      <x:c r="G39" s="15" t="str">
        <x:v>Adaptation</x:v>
      </x:c>
      <x:c r="H39" s="14" t="str">
        <x:v>Silhouette et actions principales de Juggernaut geth.</x:v>
      </x:c>
      <x:c r="I39" s="14" t="str">
        <x:v>Silhouette référencée, attaques lisibles, transparence propre et échelle relative contrôlée.</x:v>
      </x:c>
      <x:c r="J39" s="14" t="str">
        <x:v>ENM-juggernaut-geth</x:v>
      </x:c>
      <x:c r="K39" s="14" t="str">
        <x:v>assets/sprites/enemies/juggernaut-geth.png</x:v>
      </x:c>
      <x:c r="L39" s="14" t="str"/>
      <x:c r="M39" s="14" t="str"/>
      <x:c r="N39" s="14" t="str">
        <x:v>Décisions du fan game ; aucune prétention de canon officiel</x:v>
      </x:c>
      <x:c r="O39" s="14" t="str"/>
      <x:c r="P39" s="14" t="str">
        <x:v>Production ME1</x:v>
      </x:c>
      <x:c r="Q39" s="14" t="str"/>
    </x:row>
    <x:row r="40" ht="36" customHeight="1">
      <x:c r="A40" s="12" t="str">
        <x:v>SPR-traqueur-geth-ennemi</x:v>
      </x:c>
      <x:c r="B40" s="7" t="str">
        <x:v>Traqueur geth — planche ennemie</x:v>
      </x:c>
      <x:c r="C40" s="10" t="str">
        <x:v>Défini</x:v>
      </x:c>
      <x:c r="D40" s="11" t="str">
        <x:v>À produire</x:v>
      </x:c>
      <x:c r="E40" s="9" t="str">
        <x:v>P1</x:v>
      </x:c>
      <x:c r="F40" s="9" t="str">
        <x:v>ME1</x:v>
      </x:c>
      <x:c r="G40" s="9" t="str">
        <x:v>Adaptation</x:v>
      </x:c>
      <x:c r="H40" s="7" t="str">
        <x:v>Silhouette et actions principales de Traqueur geth.</x:v>
      </x:c>
      <x:c r="I40" s="7" t="str">
        <x:v>Silhouette référencée, attaques lisibles, transparence propre et échelle relative contrôlée.</x:v>
      </x:c>
      <x:c r="J40" s="7" t="str">
        <x:v>ENM-traqueur-geth</x:v>
      </x:c>
      <x:c r="K40" s="7" t="str">
        <x:v>assets/sprites/enemies/traqueur-geth.png</x:v>
      </x:c>
      <x:c r="L40" s="7" t="str"/>
      <x:c r="M40" s="7" t="str"/>
      <x:c r="N40" s="7" t="str">
        <x:v>Décisions du fan game ; aucune prétention de canon officiel</x:v>
      </x:c>
      <x:c r="O40" s="7" t="str"/>
      <x:c r="P40" s="7" t="str">
        <x:v>Production ME1</x:v>
      </x:c>
      <x:c r="Q40" s="7" t="str"/>
    </x:row>
    <x:row r="41" ht="36" customHeight="1">
      <x:c r="A41" s="13" t="str">
        <x:v>SPR-sapeur-geth-ennemi</x:v>
      </x:c>
      <x:c r="B41" s="14" t="str">
        <x:v>Sapeur geth — planche ennemie</x:v>
      </x:c>
      <x:c r="C41" s="10" t="str">
        <x:v>Défini</x:v>
      </x:c>
      <x:c r="D41" s="11" t="str">
        <x:v>À produire</x:v>
      </x:c>
      <x:c r="E41" s="15" t="str">
        <x:v>P1</x:v>
      </x:c>
      <x:c r="F41" s="15" t="str">
        <x:v>ME1</x:v>
      </x:c>
      <x:c r="G41" s="15" t="str">
        <x:v>Adaptation</x:v>
      </x:c>
      <x:c r="H41" s="14" t="str">
        <x:v>Silhouette et actions principales de Sapeur geth.</x:v>
      </x:c>
      <x:c r="I41" s="14" t="str">
        <x:v>Silhouette référencée, attaques lisibles, transparence propre et échelle relative contrôlée.</x:v>
      </x:c>
      <x:c r="J41" s="14" t="str">
        <x:v>ENM-sapeur-geth</x:v>
      </x:c>
      <x:c r="K41" s="14" t="str">
        <x:v>assets/sprites/enemies/sapeur-geth.png</x:v>
      </x:c>
      <x:c r="L41" s="14" t="str"/>
      <x:c r="M41" s="14" t="str"/>
      <x:c r="N41" s="14" t="str">
        <x:v>Décisions du fan game ; aucune prétention de canon officiel</x:v>
      </x:c>
      <x:c r="O41" s="14" t="str"/>
      <x:c r="P41" s="14" t="str">
        <x:v>Production ME1</x:v>
      </x:c>
      <x:c r="Q41" s="14" t="str"/>
    </x:row>
    <x:row r="42" ht="36" customHeight="1">
      <x:c r="A42" s="12" t="str">
        <x:v>SPR-fantome-geth-ennemi</x:v>
      </x:c>
      <x:c r="B42" s="7" t="str">
        <x:v>Fantôme geth — planche ennemie</x:v>
      </x:c>
      <x:c r="C42" s="10" t="str">
        <x:v>Défini</x:v>
      </x:c>
      <x:c r="D42" s="11" t="str">
        <x:v>À produire</x:v>
      </x:c>
      <x:c r="E42" s="9" t="str">
        <x:v>P1</x:v>
      </x:c>
      <x:c r="F42" s="9" t="str">
        <x:v>ME1</x:v>
      </x:c>
      <x:c r="G42" s="9" t="str">
        <x:v>Adaptation</x:v>
      </x:c>
      <x:c r="H42" s="7" t="str">
        <x:v>Silhouette et actions principales de Fantôme geth.</x:v>
      </x:c>
      <x:c r="I42" s="7" t="str">
        <x:v>Silhouette référencée, attaques lisibles, transparence propre et échelle relative contrôlée.</x:v>
      </x:c>
      <x:c r="J42" s="7" t="str">
        <x:v>ENM-fantome-geth</x:v>
      </x:c>
      <x:c r="K42" s="7" t="str">
        <x:v>assets/sprites/enemies/fantome-geth.png</x:v>
      </x:c>
      <x:c r="L42" s="7" t="str"/>
      <x:c r="M42" s="7" t="str"/>
      <x:c r="N42" s="7" t="str">
        <x:v>Décisions du fan game ; aucune prétention de canon officiel</x:v>
      </x:c>
      <x:c r="O42" s="7" t="str"/>
      <x:c r="P42" s="7" t="str">
        <x:v>Production ME1</x:v>
      </x:c>
      <x:c r="Q42" s="7" t="str"/>
    </x:row>
    <x:row r="43" ht="49" customHeight="1">
      <x:c r="A43" s="13" t="str">
        <x:v>SPR-armature-geth-ennemi</x:v>
      </x:c>
      <x:c r="B43" s="14" t="str">
        <x:v>Armature geth — planche ennemie</x:v>
      </x:c>
      <x:c r="C43" s="10" t="str">
        <x:v>Prototype</x:v>
      </x:c>
      <x:c r="D43" s="11" t="str">
        <x:v>Prototype</x:v>
      </x:c>
      <x:c r="E43" s="15" t="str">
        <x:v>P1</x:v>
      </x:c>
      <x:c r="F43" s="15" t="str">
        <x:v>ME1</x:v>
      </x:c>
      <x:c r="G43" s="15" t="str">
        <x:v>Adaptation</x:v>
      </x:c>
      <x:c r="H43" s="14" t="str">
        <x:v>Silhouette et actions principales de Armature geth.</x:v>
      </x:c>
      <x:c r="I43" s="14" t="str">
        <x:v>Silhouette référencée, attaques lisibles, transparence propre et échelle relative contrôlée.</x:v>
      </x:c>
      <x:c r="J43" s="14" t="str">
        <x:v>ENM-armature-geth</x:v>
      </x:c>
      <x:c r="K43" s="14" t="str">
        <x:v>assets/sprites/enemies/armature-geth.png</x:v>
      </x:c>
      <x:c r="L43" s="14" t="str">
        <x:v>public/assets/vehicle-atlas.png</x:v>
      </x:c>
      <x:c r="M43" s="14" t="str"/>
      <x:c r="N43" s="14" t="str">
        <x:v>Décisions du fan game ; aucune prétention de canon officiel</x:v>
      </x:c>
      <x:c r="O43" s="14" t="str"/>
      <x:c r="P43" s="14" t="str">
        <x:v>Production ME1</x:v>
      </x:c>
      <x:c r="Q43" s="14" t="str">
        <x:v>Illustration statique dans le quadrant inférieur gauche, non placée par le renderer actuel. Détourage, proportions et planches animées à reprendre.</x:v>
      </x:c>
    </x:row>
    <x:row r="44" ht="36" customHeight="1">
      <x:c r="A44" s="12" t="str">
        <x:v>SPR-colosse-geth-ennemi</x:v>
      </x:c>
      <x:c r="B44" s="7" t="str">
        <x:v>Colosse geth — planche ennemie</x:v>
      </x:c>
      <x:c r="C44" s="10" t="str">
        <x:v>Défini</x:v>
      </x:c>
      <x:c r="D44" s="11" t="str">
        <x:v>À produire</x:v>
      </x:c>
      <x:c r="E44" s="9" t="str">
        <x:v>P1</x:v>
      </x:c>
      <x:c r="F44" s="9" t="str">
        <x:v>ME1</x:v>
      </x:c>
      <x:c r="G44" s="9" t="str">
        <x:v>Adaptation</x:v>
      </x:c>
      <x:c r="H44" s="7" t="str">
        <x:v>Silhouette et actions principales de Colosse geth.</x:v>
      </x:c>
      <x:c r="I44" s="7" t="str">
        <x:v>Silhouette référencée, attaques lisibles, transparence propre et échelle relative contrôlée.</x:v>
      </x:c>
      <x:c r="J44" s="7" t="str">
        <x:v>ENM-colosse-geth</x:v>
      </x:c>
      <x:c r="K44" s="7" t="str">
        <x:v>assets/sprites/enemies/colosse-geth.png</x:v>
      </x:c>
      <x:c r="L44" s="7" t="str"/>
      <x:c r="M44" s="7" t="str"/>
      <x:c r="N44" s="7" t="str">
        <x:v>Décisions du fan game ; aucune prétention de canon officiel</x:v>
      </x:c>
      <x:c r="O44" s="7" t="str"/>
      <x:c r="P44" s="7" t="str">
        <x:v>Production ME1</x:v>
      </x:c>
      <x:c r="Q44" s="7" t="str"/>
    </x:row>
    <x:row r="45" ht="36" customHeight="1">
      <x:c r="A45" s="13" t="str">
        <x:v>SPR-husk-ennemi</x:v>
      </x:c>
      <x:c r="B45" s="14" t="str">
        <x:v>Husk — planche ennemie</x:v>
      </x:c>
      <x:c r="C45" s="10" t="str">
        <x:v>Défini</x:v>
      </x:c>
      <x:c r="D45" s="11" t="str">
        <x:v>À produire</x:v>
      </x:c>
      <x:c r="E45" s="15" t="str">
        <x:v>P1</x:v>
      </x:c>
      <x:c r="F45" s="15" t="str">
        <x:v>ME1</x:v>
      </x:c>
      <x:c r="G45" s="15" t="str">
        <x:v>Adaptation</x:v>
      </x:c>
      <x:c r="H45" s="14" t="str">
        <x:v>Silhouette et actions principales de Husk.</x:v>
      </x:c>
      <x:c r="I45" s="14" t="str">
        <x:v>Silhouette référencée, attaques lisibles, transparence propre et échelle relative contrôlée.</x:v>
      </x:c>
      <x:c r="J45" s="14" t="str">
        <x:v>ENM-husk</x:v>
      </x:c>
      <x:c r="K45" s="14" t="str">
        <x:v>assets/sprites/enemies/husk.png</x:v>
      </x:c>
      <x:c r="L45" s="14" t="str"/>
      <x:c r="M45" s="14" t="str"/>
      <x:c r="N45" s="14" t="str">
        <x:v>Décisions du fan game ; aucune prétention de canon officiel</x:v>
      </x:c>
      <x:c r="O45" s="14" t="str"/>
      <x:c r="P45" s="14" t="str">
        <x:v>Production ME1</x:v>
      </x:c>
      <x:c r="Q45" s="14" t="str"/>
    </x:row>
    <x:row r="46" ht="36" customHeight="1">
      <x:c r="A46" s="12" t="str">
        <x:v>SPR-creeper-du-thorian-ennemi</x:v>
      </x:c>
      <x:c r="B46" s="7" t="str">
        <x:v>Creeper du Thorian — planche ennemie</x:v>
      </x:c>
      <x:c r="C46" s="10" t="str">
        <x:v>Défini</x:v>
      </x:c>
      <x:c r="D46" s="11" t="str">
        <x:v>À produire</x:v>
      </x:c>
      <x:c r="E46" s="9" t="str">
        <x:v>P1</x:v>
      </x:c>
      <x:c r="F46" s="9" t="str">
        <x:v>ME1</x:v>
      </x:c>
      <x:c r="G46" s="9" t="str">
        <x:v>Adaptation</x:v>
      </x:c>
      <x:c r="H46" s="7" t="str">
        <x:v>Silhouette et actions principales de Creeper du Thorian.</x:v>
      </x:c>
      <x:c r="I46" s="7" t="str">
        <x:v>Silhouette référencée, attaques lisibles, transparence propre et échelle relative contrôlée.</x:v>
      </x:c>
      <x:c r="J46" s="7" t="str">
        <x:v>ENM-creeper-du-thorian</x:v>
      </x:c>
      <x:c r="K46" s="7" t="str">
        <x:v>assets/sprites/enemies/creeper-du-thorian.png</x:v>
      </x:c>
      <x:c r="L46" s="7" t="str"/>
      <x:c r="M46" s="7" t="str"/>
      <x:c r="N46" s="7" t="str">
        <x:v>Décisions du fan game ; aucune prétention de canon officiel</x:v>
      </x:c>
      <x:c r="O46" s="7" t="str"/>
      <x:c r="P46" s="7" t="str">
        <x:v>Production ME1</x:v>
      </x:c>
      <x:c r="Q46" s="7" t="str"/>
    </x:row>
    <x:row r="47" ht="36" customHeight="1">
      <x:c r="A47" s="13" t="str">
        <x:v>SPR-clone-asari-du-thorian-ennemi</x:v>
      </x:c>
      <x:c r="B47" s="14" t="str">
        <x:v>Clone asari du Thorian — planche ennemie</x:v>
      </x:c>
      <x:c r="C47" s="10" t="str">
        <x:v>Défini</x:v>
      </x:c>
      <x:c r="D47" s="11" t="str">
        <x:v>À produire</x:v>
      </x:c>
      <x:c r="E47" s="15" t="str">
        <x:v>P1</x:v>
      </x:c>
      <x:c r="F47" s="15" t="str">
        <x:v>ME1</x:v>
      </x:c>
      <x:c r="G47" s="15" t="str">
        <x:v>Adaptation</x:v>
      </x:c>
      <x:c r="H47" s="14" t="str">
        <x:v>Silhouette et actions principales de Clone asari du Thorian.</x:v>
      </x:c>
      <x:c r="I47" s="14" t="str">
        <x:v>Silhouette référencée, attaques lisibles, transparence propre et échelle relative contrôlée.</x:v>
      </x:c>
      <x:c r="J47" s="14" t="str">
        <x:v>ENM-clone-asari-du-thorian</x:v>
      </x:c>
      <x:c r="K47" s="14" t="str">
        <x:v>assets/sprites/enemies/clone-asari-du-thorian.png</x:v>
      </x:c>
      <x:c r="L47" s="14" t="str"/>
      <x:c r="M47" s="14" t="str"/>
      <x:c r="N47" s="14" t="str">
        <x:v>Décisions du fan game ; aucune prétention de canon officiel</x:v>
      </x:c>
      <x:c r="O47" s="14" t="str"/>
      <x:c r="P47" s="14" t="str">
        <x:v>Production ME1</x:v>
      </x:c>
      <x:c r="Q47" s="14" t="str"/>
    </x:row>
    <x:row r="48" ht="36" customHeight="1">
      <x:c r="A48" s="12" t="str">
        <x:v>SPR-rachni-ouvrier-ennemi</x:v>
      </x:c>
      <x:c r="B48" s="7" t="str">
        <x:v>Rachni ouvrier — planche ennemie</x:v>
      </x:c>
      <x:c r="C48" s="10" t="str">
        <x:v>Défini</x:v>
      </x:c>
      <x:c r="D48" s="11" t="str">
        <x:v>À produire</x:v>
      </x:c>
      <x:c r="E48" s="9" t="str">
        <x:v>P1</x:v>
      </x:c>
      <x:c r="F48" s="9" t="str">
        <x:v>ME1</x:v>
      </x:c>
      <x:c r="G48" s="9" t="str">
        <x:v>Adaptation</x:v>
      </x:c>
      <x:c r="H48" s="7" t="str">
        <x:v>Silhouette et actions principales de Rachni ouvrier.</x:v>
      </x:c>
      <x:c r="I48" s="7" t="str">
        <x:v>Silhouette référencée, attaques lisibles, transparence propre et échelle relative contrôlée.</x:v>
      </x:c>
      <x:c r="J48" s="7" t="str">
        <x:v>ENM-rachni-ouvrier</x:v>
      </x:c>
      <x:c r="K48" s="7" t="str">
        <x:v>assets/sprites/enemies/rachni-ouvrier.png</x:v>
      </x:c>
      <x:c r="L48" s="7" t="str"/>
      <x:c r="M48" s="7" t="str"/>
      <x:c r="N48" s="7" t="str">
        <x:v>Décisions du fan game ; aucune prétention de canon officiel</x:v>
      </x:c>
      <x:c r="O48" s="7" t="str"/>
      <x:c r="P48" s="7" t="str">
        <x:v>Production ME1</x:v>
      </x:c>
      <x:c r="Q48" s="7" t="str"/>
    </x:row>
    <x:row r="49" ht="36" customHeight="1">
      <x:c r="A49" s="13" t="str">
        <x:v>SPR-rachni-soldat-ennemi</x:v>
      </x:c>
      <x:c r="B49" s="14" t="str">
        <x:v>Rachni soldat — planche ennemie</x:v>
      </x:c>
      <x:c r="C49" s="10" t="str">
        <x:v>Défini</x:v>
      </x:c>
      <x:c r="D49" s="11" t="str">
        <x:v>À produire</x:v>
      </x:c>
      <x:c r="E49" s="15" t="str">
        <x:v>P1</x:v>
      </x:c>
      <x:c r="F49" s="15" t="str">
        <x:v>ME1</x:v>
      </x:c>
      <x:c r="G49" s="15" t="str">
        <x:v>Adaptation</x:v>
      </x:c>
      <x:c r="H49" s="14" t="str">
        <x:v>Silhouette et actions principales de Rachni soldat.</x:v>
      </x:c>
      <x:c r="I49" s="14" t="str">
        <x:v>Silhouette référencée, attaques lisibles, transparence propre et échelle relative contrôlée.</x:v>
      </x:c>
      <x:c r="J49" s="14" t="str">
        <x:v>ENM-rachni-soldat</x:v>
      </x:c>
      <x:c r="K49" s="14" t="str">
        <x:v>assets/sprites/enemies/rachni-soldat.png</x:v>
      </x:c>
      <x:c r="L49" s="14" t="str"/>
      <x:c r="M49" s="14" t="str"/>
      <x:c r="N49" s="14" t="str">
        <x:v>Décisions du fan game ; aucune prétention de canon officiel</x:v>
      </x:c>
      <x:c r="O49" s="14" t="str"/>
      <x:c r="P49" s="14" t="str">
        <x:v>Production ME1</x:v>
      </x:c>
      <x:c r="Q49" s="14" t="str"/>
    </x:row>
    <x:row r="50" ht="36" customHeight="1">
      <x:c r="A50" s="12" t="str">
        <x:v>SPR-guerrier-krogan-ennemi</x:v>
      </x:c>
      <x:c r="B50" s="7" t="str">
        <x:v>Guerrier krogan — planche ennemie</x:v>
      </x:c>
      <x:c r="C50" s="10" t="str">
        <x:v>Défini</x:v>
      </x:c>
      <x:c r="D50" s="11" t="str">
        <x:v>À produire</x:v>
      </x:c>
      <x:c r="E50" s="9" t="str">
        <x:v>P1</x:v>
      </x:c>
      <x:c r="F50" s="9" t="str">
        <x:v>ME1</x:v>
      </x:c>
      <x:c r="G50" s="9" t="str">
        <x:v>Adaptation</x:v>
      </x:c>
      <x:c r="H50" s="7" t="str">
        <x:v>Silhouette et actions principales de Guerrier krogan.</x:v>
      </x:c>
      <x:c r="I50" s="7" t="str">
        <x:v>Silhouette référencée, attaques lisibles, transparence propre et échelle relative contrôlée.</x:v>
      </x:c>
      <x:c r="J50" s="7" t="str">
        <x:v>ENM-guerrier-krogan</x:v>
      </x:c>
      <x:c r="K50" s="7" t="str">
        <x:v>assets/sprites/enemies/guerrier-krogan.png</x:v>
      </x:c>
      <x:c r="L50" s="7" t="str"/>
      <x:c r="M50" s="7" t="str"/>
      <x:c r="N50" s="7" t="str">
        <x:v>Décisions du fan game ; aucune prétention de canon officiel</x:v>
      </x:c>
      <x:c r="O50" s="7" t="str"/>
      <x:c r="P50" s="7" t="str">
        <x:v>Production ME1</x:v>
      </x:c>
      <x:c r="Q50" s="7" t="str"/>
    </x:row>
    <x:row r="51" ht="36" customHeight="1">
      <x:c r="A51" s="13" t="str">
        <x:v>SPR-maitre-de-guerre-krogan-ennemi</x:v>
      </x:c>
      <x:c r="B51" s="14" t="str">
        <x:v>Maître de guerre krogan — planche ennemie</x:v>
      </x:c>
      <x:c r="C51" s="10" t="str">
        <x:v>Défini</x:v>
      </x:c>
      <x:c r="D51" s="11" t="str">
        <x:v>À produire</x:v>
      </x:c>
      <x:c r="E51" s="15" t="str">
        <x:v>P1</x:v>
      </x:c>
      <x:c r="F51" s="15" t="str">
        <x:v>ME1</x:v>
      </x:c>
      <x:c r="G51" s="15" t="str">
        <x:v>Adaptation</x:v>
      </x:c>
      <x:c r="H51" s="14" t="str">
        <x:v>Silhouette et actions principales de Maître de guerre krogan.</x:v>
      </x:c>
      <x:c r="I51" s="14" t="str">
        <x:v>Silhouette référencée, attaques lisibles, transparence propre et échelle relative contrôlée.</x:v>
      </x:c>
      <x:c r="J51" s="14" t="str">
        <x:v>ENM-maitre-de-guerre-krogan</x:v>
      </x:c>
      <x:c r="K51" s="14" t="str">
        <x:v>assets/sprites/enemies/maitre-de-guerre-krogan.png</x:v>
      </x:c>
      <x:c r="L51" s="14" t="str"/>
      <x:c r="M51" s="14" t="str"/>
      <x:c r="N51" s="14" t="str">
        <x:v>Décisions du fan game ; aucune prétention de canon officiel</x:v>
      </x:c>
      <x:c r="O51" s="14" t="str"/>
      <x:c r="P51" s="14" t="str">
        <x:v>Production ME1</x:v>
      </x:c>
      <x:c r="Q51" s="14" t="str"/>
    </x:row>
    <x:row r="52" ht="36" customHeight="1">
      <x:c r="A52" s="12" t="str">
        <x:v>SPR-mercenaire-humain-ennemi</x:v>
      </x:c>
      <x:c r="B52" s="7" t="str">
        <x:v>Mercenaire humain — planche ennemie</x:v>
      </x:c>
      <x:c r="C52" s="10" t="str">
        <x:v>Défini</x:v>
      </x:c>
      <x:c r="D52" s="11" t="str">
        <x:v>À produire</x:v>
      </x:c>
      <x:c r="E52" s="9" t="str">
        <x:v>P1</x:v>
      </x:c>
      <x:c r="F52" s="9" t="str">
        <x:v>ME1</x:v>
      </x:c>
      <x:c r="G52" s="9" t="str">
        <x:v>Adaptation</x:v>
      </x:c>
      <x:c r="H52" s="7" t="str">
        <x:v>Silhouette et actions principales de Mercenaire humain.</x:v>
      </x:c>
      <x:c r="I52" s="7" t="str">
        <x:v>Silhouette référencée, attaques lisibles, transparence propre et échelle relative contrôlée.</x:v>
      </x:c>
      <x:c r="J52" s="7" t="str">
        <x:v>ENM-mercenaire-humain</x:v>
      </x:c>
      <x:c r="K52" s="7" t="str">
        <x:v>assets/sprites/enemies/mercenaire-humain.png</x:v>
      </x:c>
      <x:c r="L52" s="7" t="str"/>
      <x:c r="M52" s="7" t="str"/>
      <x:c r="N52" s="7" t="str">
        <x:v>Décisions du fan game ; aucune prétention de canon officiel</x:v>
      </x:c>
      <x:c r="O52" s="7" t="str"/>
      <x:c r="P52" s="7" t="str">
        <x:v>Production ME1</x:v>
      </x:c>
      <x:c r="Q52" s="7" t="str"/>
    </x:row>
    <x:row r="53" ht="36" customHeight="1">
      <x:c r="A53" s="13" t="str">
        <x:v>SPR-mercenaire-turien-ennemi</x:v>
      </x:c>
      <x:c r="B53" s="14" t="str">
        <x:v>Mercenaire turien — planche ennemie</x:v>
      </x:c>
      <x:c r="C53" s="10" t="str">
        <x:v>Défini</x:v>
      </x:c>
      <x:c r="D53" s="11" t="str">
        <x:v>À produire</x:v>
      </x:c>
      <x:c r="E53" s="15" t="str">
        <x:v>P1</x:v>
      </x:c>
      <x:c r="F53" s="15" t="str">
        <x:v>ME1</x:v>
      </x:c>
      <x:c r="G53" s="15" t="str">
        <x:v>Adaptation</x:v>
      </x:c>
      <x:c r="H53" s="14" t="str">
        <x:v>Silhouette et actions principales de Mercenaire turien.</x:v>
      </x:c>
      <x:c r="I53" s="14" t="str">
        <x:v>Silhouette référencée, attaques lisibles, transparence propre et échelle relative contrôlée.</x:v>
      </x:c>
      <x:c r="J53" s="14" t="str">
        <x:v>ENM-mercenaire-turien</x:v>
      </x:c>
      <x:c r="K53" s="14" t="str">
        <x:v>assets/sprites/enemies/mercenaire-turien.png</x:v>
      </x:c>
      <x:c r="L53" s="14" t="str"/>
      <x:c r="M53" s="14" t="str"/>
      <x:c r="N53" s="14" t="str">
        <x:v>Décisions du fan game ; aucune prétention de canon officiel</x:v>
      </x:c>
      <x:c r="O53" s="14" t="str"/>
      <x:c r="P53" s="14" t="str">
        <x:v>Production ME1</x:v>
      </x:c>
      <x:c r="Q53" s="14" t="str"/>
    </x:row>
    <x:row r="54" ht="36" customHeight="1">
      <x:c r="A54" s="12" t="str">
        <x:v>SPR-mercenaire-galarien-ennemi</x:v>
      </x:c>
      <x:c r="B54" s="7" t="str">
        <x:v>Mercenaire galarien — planche ennemie</x:v>
      </x:c>
      <x:c r="C54" s="10" t="str">
        <x:v>Défini</x:v>
      </x:c>
      <x:c r="D54" s="11" t="str">
        <x:v>À produire</x:v>
      </x:c>
      <x:c r="E54" s="9" t="str">
        <x:v>P1</x:v>
      </x:c>
      <x:c r="F54" s="9" t="str">
        <x:v>ME1</x:v>
      </x:c>
      <x:c r="G54" s="9" t="str">
        <x:v>Adaptation</x:v>
      </x:c>
      <x:c r="H54" s="7" t="str">
        <x:v>Silhouette et actions principales de Mercenaire galarien.</x:v>
      </x:c>
      <x:c r="I54" s="7" t="str">
        <x:v>Silhouette référencée, attaques lisibles, transparence propre et échelle relative contrôlée.</x:v>
      </x:c>
      <x:c r="J54" s="7" t="str">
        <x:v>ENM-mercenaire-galarien</x:v>
      </x:c>
      <x:c r="K54" s="7" t="str">
        <x:v>assets/sprites/enemies/mercenaire-galarien.png</x:v>
      </x:c>
      <x:c r="L54" s="7" t="str"/>
      <x:c r="M54" s="7" t="str"/>
      <x:c r="N54" s="7" t="str">
        <x:v>Décisions du fan game ; aucune prétention de canon officiel</x:v>
      </x:c>
      <x:c r="O54" s="7" t="str"/>
      <x:c r="P54" s="7" t="str">
        <x:v>Production ME1</x:v>
      </x:c>
      <x:c r="Q54" s="7" t="str"/>
    </x:row>
    <x:row r="55" ht="36" customHeight="1">
      <x:c r="A55" s="13" t="str">
        <x:v>SPR-commando-asari-ennemi</x:v>
      </x:c>
      <x:c r="B55" s="14" t="str">
        <x:v>Commando asari — planche ennemie</x:v>
      </x:c>
      <x:c r="C55" s="10" t="str">
        <x:v>Défini</x:v>
      </x:c>
      <x:c r="D55" s="11" t="str">
        <x:v>À produire</x:v>
      </x:c>
      <x:c r="E55" s="15" t="str">
        <x:v>P1</x:v>
      </x:c>
      <x:c r="F55" s="15" t="str">
        <x:v>ME1</x:v>
      </x:c>
      <x:c r="G55" s="15" t="str">
        <x:v>Adaptation</x:v>
      </x:c>
      <x:c r="H55" s="14" t="str">
        <x:v>Silhouette et actions principales de Commando asari.</x:v>
      </x:c>
      <x:c r="I55" s="14" t="str">
        <x:v>Silhouette référencée, attaques lisibles, transparence propre et échelle relative contrôlée.</x:v>
      </x:c>
      <x:c r="J55" s="14" t="str">
        <x:v>ENM-commando-asari</x:v>
      </x:c>
      <x:c r="K55" s="14" t="str">
        <x:v>assets/sprites/enemies/commando-asari.png</x:v>
      </x:c>
      <x:c r="L55" s="14" t="str"/>
      <x:c r="M55" s="14" t="str"/>
      <x:c r="N55" s="14" t="str">
        <x:v>Décisions du fan game ; aucune prétention de canon officiel</x:v>
      </x:c>
      <x:c r="O55" s="14" t="str"/>
      <x:c r="P55" s="14" t="str">
        <x:v>Production ME1</x:v>
      </x:c>
      <x:c r="Q55" s="14" t="str"/>
    </x:row>
    <x:row r="56" ht="36" customHeight="1">
      <x:c r="A56" s="12" t="str">
        <x:v>SPR-fanatique-biotique-ennemi</x:v>
      </x:c>
      <x:c r="B56" s="7" t="str">
        <x:v>Fanatique biotique — planche ennemie</x:v>
      </x:c>
      <x:c r="C56" s="10" t="str">
        <x:v>Défini</x:v>
      </x:c>
      <x:c r="D56" s="11" t="str">
        <x:v>À produire</x:v>
      </x:c>
      <x:c r="E56" s="9" t="str">
        <x:v>P1</x:v>
      </x:c>
      <x:c r="F56" s="9" t="str">
        <x:v>ME1</x:v>
      </x:c>
      <x:c r="G56" s="9" t="str">
        <x:v>Adaptation</x:v>
      </x:c>
      <x:c r="H56" s="7" t="str">
        <x:v>Silhouette et actions principales de Fanatique biotique.</x:v>
      </x:c>
      <x:c r="I56" s="7" t="str">
        <x:v>Silhouette référencée, attaques lisibles, transparence propre et échelle relative contrôlée.</x:v>
      </x:c>
      <x:c r="J56" s="7" t="str">
        <x:v>ENM-fanatique-biotique</x:v>
      </x:c>
      <x:c r="K56" s="7" t="str">
        <x:v>assets/sprites/enemies/fanatique-biotique.png</x:v>
      </x:c>
      <x:c r="L56" s="7" t="str"/>
      <x:c r="M56" s="7" t="str"/>
      <x:c r="N56" s="7" t="str">
        <x:v>Décisions du fan game ; aucune prétention de canon officiel</x:v>
      </x:c>
      <x:c r="O56" s="7" t="str"/>
      <x:c r="P56" s="7" t="str">
        <x:v>Production ME1</x:v>
      </x:c>
      <x:c r="Q56" s="7" t="str"/>
    </x:row>
    <x:row r="57" ht="36" customHeight="1">
      <x:c r="A57" s="13" t="str">
        <x:v>SPR-varren-ennemi</x:v>
      </x:c>
      <x:c r="B57" s="14" t="str">
        <x:v>Varren — planche ennemie</x:v>
      </x:c>
      <x:c r="C57" s="10" t="str">
        <x:v>Défini</x:v>
      </x:c>
      <x:c r="D57" s="11" t="str">
        <x:v>À produire</x:v>
      </x:c>
      <x:c r="E57" s="15" t="str">
        <x:v>P1</x:v>
      </x:c>
      <x:c r="F57" s="15" t="str">
        <x:v>ME1</x:v>
      </x:c>
      <x:c r="G57" s="15" t="str">
        <x:v>Adaptation</x:v>
      </x:c>
      <x:c r="H57" s="14" t="str">
        <x:v>Silhouette et actions principales de Varren.</x:v>
      </x:c>
      <x:c r="I57" s="14" t="str">
        <x:v>Silhouette référencée, attaques lisibles, transparence propre et échelle relative contrôlée.</x:v>
      </x:c>
      <x:c r="J57" s="14" t="str">
        <x:v>ENM-varren</x:v>
      </x:c>
      <x:c r="K57" s="14" t="str">
        <x:v>assets/sprites/enemies/varren.png</x:v>
      </x:c>
      <x:c r="L57" s="14" t="str"/>
      <x:c r="M57" s="14" t="str"/>
      <x:c r="N57" s="14" t="str">
        <x:v>Décisions du fan game ; aucune prétention de canon officiel</x:v>
      </x:c>
      <x:c r="O57" s="14" t="str"/>
      <x:c r="P57" s="14" t="str">
        <x:v>Production ME1</x:v>
      </x:c>
      <x:c r="Q57" s="14" t="str"/>
    </x:row>
    <x:row r="58" ht="36" customHeight="1">
      <x:c r="A58" s="12" t="str">
        <x:v>SPR-devoreur-ennemi</x:v>
      </x:c>
      <x:c r="B58" s="7" t="str">
        <x:v>Dévoreur — planche ennemie</x:v>
      </x:c>
      <x:c r="C58" s="10" t="str">
        <x:v>Défini</x:v>
      </x:c>
      <x:c r="D58" s="11" t="str">
        <x:v>À produire</x:v>
      </x:c>
      <x:c r="E58" s="9" t="str">
        <x:v>P1</x:v>
      </x:c>
      <x:c r="F58" s="9" t="str">
        <x:v>ME1</x:v>
      </x:c>
      <x:c r="G58" s="9" t="str">
        <x:v>Adaptation</x:v>
      </x:c>
      <x:c r="H58" s="7" t="str">
        <x:v>Silhouette et actions principales de Dévoreur.</x:v>
      </x:c>
      <x:c r="I58" s="7" t="str">
        <x:v>Silhouette référencée, attaques lisibles, transparence propre et échelle relative contrôlée.</x:v>
      </x:c>
      <x:c r="J58" s="7" t="str">
        <x:v>ENM-devoreur</x:v>
      </x:c>
      <x:c r="K58" s="7" t="str">
        <x:v>assets/sprites/enemies/devoreur.png</x:v>
      </x:c>
      <x:c r="L58" s="7" t="str"/>
      <x:c r="M58" s="7" t="str"/>
      <x:c r="N58" s="7" t="str">
        <x:v>Décisions du fan game ; aucune prétention de canon officiel</x:v>
      </x:c>
      <x:c r="O58" s="7" t="str"/>
      <x:c r="P58" s="7" t="str">
        <x:v>Production ME1</x:v>
      </x:c>
      <x:c r="Q58" s="7" t="str"/>
    </x:row>
    <x:row r="59" ht="36" customHeight="1">
      <x:c r="A59" s="13" t="str">
        <x:v>SPR-tourelle-automatisee-ennemi</x:v>
      </x:c>
      <x:c r="B59" s="14" t="str">
        <x:v>Tourelle automatisée — planche ennemie</x:v>
      </x:c>
      <x:c r="C59" s="10" t="str">
        <x:v>Défini</x:v>
      </x:c>
      <x:c r="D59" s="11" t="str">
        <x:v>À produire</x:v>
      </x:c>
      <x:c r="E59" s="15" t="str">
        <x:v>P1</x:v>
      </x:c>
      <x:c r="F59" s="15" t="str">
        <x:v>ME1</x:v>
      </x:c>
      <x:c r="G59" s="15" t="str">
        <x:v>Adaptation</x:v>
      </x:c>
      <x:c r="H59" s="14" t="str">
        <x:v>Silhouette et actions principales de Tourelle automatisée.</x:v>
      </x:c>
      <x:c r="I59" s="14" t="str">
        <x:v>Silhouette référencée, attaques lisibles, transparence propre et échelle relative contrôlée.</x:v>
      </x:c>
      <x:c r="J59" s="14" t="str">
        <x:v>ENM-tourelle-automatisee</x:v>
      </x:c>
      <x:c r="K59" s="14" t="str">
        <x:v>assets/sprites/enemies/tourelle-automatisee.png</x:v>
      </x:c>
      <x:c r="L59" s="14" t="str"/>
      <x:c r="M59" s="14" t="str"/>
      <x:c r="N59" s="14" t="str">
        <x:v>Décisions du fan game ; aucune prétention de canon officiel</x:v>
      </x:c>
      <x:c r="O59" s="14" t="str"/>
      <x:c r="P59" s="14" t="str">
        <x:v>Production ME1</x:v>
      </x:c>
      <x:c r="Q59" s="14" t="str"/>
    </x:row>
    <x:row r="60" ht="36" customHeight="1">
      <x:c r="A60" s="12" t="str">
        <x:v>SPR-fist-ennemi</x:v>
      </x:c>
      <x:c r="B60" s="7" t="str">
        <x:v>Fist — planche ennemie</x:v>
      </x:c>
      <x:c r="C60" s="10" t="str">
        <x:v>Défini</x:v>
      </x:c>
      <x:c r="D60" s="11" t="str">
        <x:v>À produire</x:v>
      </x:c>
      <x:c r="E60" s="9" t="str">
        <x:v>P1</x:v>
      </x:c>
      <x:c r="F60" s="9" t="str">
        <x:v>ME1</x:v>
      </x:c>
      <x:c r="G60" s="9" t="str">
        <x:v>Adaptation</x:v>
      </x:c>
      <x:c r="H60" s="7" t="str">
        <x:v>Silhouette et actions principales de Fist.</x:v>
      </x:c>
      <x:c r="I60" s="7" t="str">
        <x:v>Silhouette référencée, attaques lisibles, transparence propre et échelle relative contrôlée.</x:v>
      </x:c>
      <x:c r="J60" s="7" t="str">
        <x:v>ENM-fist</x:v>
      </x:c>
      <x:c r="K60" s="7" t="str">
        <x:v>assets/sprites/enemies/fist.png</x:v>
      </x:c>
      <x:c r="L60" s="7" t="str"/>
      <x:c r="M60" s="7" t="str"/>
      <x:c r="N60" s="7" t="str">
        <x:v>Décisions du fan game ; aucune prétention de canon officiel</x:v>
      </x:c>
      <x:c r="O60" s="7" t="str"/>
      <x:c r="P60" s="7" t="str">
        <x:v>Production ME1</x:v>
      </x:c>
      <x:c r="Q60" s="7" t="str"/>
    </x:row>
    <x:row r="61" ht="62" customHeight="1">
      <x:c r="A61" s="13" t="str">
        <x:v>SPR-matriarche-benezia-ennemi</x:v>
      </x:c>
      <x:c r="B61" s="14" t="str">
        <x:v>Matriarche Benezia — planche ennemie</x:v>
      </x:c>
      <x:c r="C61" s="10" t="str">
        <x:v>Prototype</x:v>
      </x:c>
      <x:c r="D61" s="11" t="str">
        <x:v>Prototype</x:v>
      </x:c>
      <x:c r="E61" s="15" t="str">
        <x:v>P1</x:v>
      </x:c>
      <x:c r="F61" s="15" t="str">
        <x:v>ME1</x:v>
      </x:c>
      <x:c r="G61" s="15" t="str">
        <x:v>Adaptation</x:v>
      </x:c>
      <x:c r="H61" s="14" t="str">
        <x:v>Silhouette et actions principales de Matriarche Benezia.</x:v>
      </x:c>
      <x:c r="I61" s="14" t="str">
        <x:v>Silhouette référencée, attaques lisibles, transparence propre et échelle relative contrôlée.</x:v>
      </x:c>
      <x:c r="J61" s="14" t="str">
        <x:v>ENM-matriarche-benezia</x:v>
      </x:c>
      <x:c r="K61" s="14" t="str">
        <x:v>assets/sprites/enemies/matriarche-benezia.png</x:v>
      </x:c>
      <x:c r="L61" s="14" t="str">
        <x:v>public/assets/boss-atlas.png</x:v>
      </x:c>
      <x:c r="M61" s="14" t="str">
        <x:v>BOSS_KEYS.benezia</x:v>
      </x:c>
      <x:c r="N61" s="14" t="str">
        <x:v>Décisions du fan game ; aucune prétention de canon officiel</x:v>
      </x:c>
      <x:c r="O61" s="14" t="str"/>
      <x:c r="P61" s="14" t="str">
        <x:v>Production ME1</x:v>
      </x:c>
      <x:c r="Q61" s="14" t="str">
        <x:v>Atlas 2 × 2, case haut droite. Pose statique employée par src/world.js et rencontre condensée dans src/game-data.js. Apparence et actions à recouper avec ME1 ; aucune animation complète ni fidélité 1:1 validée.</x:v>
      </x:c>
    </x:row>
    <x:row r="62" ht="62" customHeight="1">
      <x:c r="A62" s="12" t="str">
        <x:v>SPR-thorian-ennemi</x:v>
      </x:c>
      <x:c r="B62" s="7" t="str">
        <x:v>Thorian — planche ennemie</x:v>
      </x:c>
      <x:c r="C62" s="10" t="str">
        <x:v>Prototype</x:v>
      </x:c>
      <x:c r="D62" s="11" t="str">
        <x:v>Prototype</x:v>
      </x:c>
      <x:c r="E62" s="9" t="str">
        <x:v>P1</x:v>
      </x:c>
      <x:c r="F62" s="9" t="str">
        <x:v>ME1</x:v>
      </x:c>
      <x:c r="G62" s="9" t="str">
        <x:v>Adaptation</x:v>
      </x:c>
      <x:c r="H62" s="7" t="str">
        <x:v>Silhouette et actions principales de Thorian.</x:v>
      </x:c>
      <x:c r="I62" s="7" t="str">
        <x:v>Silhouette référencée, attaques lisibles, transparence propre et échelle relative contrôlée.</x:v>
      </x:c>
      <x:c r="J62" s="7" t="str">
        <x:v>ENM-thorian</x:v>
      </x:c>
      <x:c r="K62" s="7" t="str">
        <x:v>assets/sprites/enemies/thorian.png</x:v>
      </x:c>
      <x:c r="L62" s="7" t="str">
        <x:v>public/assets/boss-atlas.png</x:v>
      </x:c>
      <x:c r="M62" s="7" t="str">
        <x:v>BOSS_KEYS.thorian</x:v>
      </x:c>
      <x:c r="N62" s="7" t="str">
        <x:v>Décisions du fan game ; aucune prétention de canon officiel</x:v>
      </x:c>
      <x:c r="O62" s="7" t="str"/>
      <x:c r="P62" s="7" t="str">
        <x:v>Production ME1</x:v>
      </x:c>
      <x:c r="Q62" s="7" t="str">
        <x:v>Atlas 2 × 2, case bas gauche. Pose statique employée par src/world.js et rencontre condensée dans src/game-data.js. Apparence et actions à recouper avec ME1 ; aucune animation complète ni fidélité 1:1 validée.</x:v>
      </x:c>
    </x:row>
    <x:row r="63" ht="62" customHeight="1">
      <x:c r="A63" s="13" t="str">
        <x:v>SPR-saren-sur-virmire-ennemi</x:v>
      </x:c>
      <x:c r="B63" s="14" t="str">
        <x:v>Saren sur Virmire — planche ennemie</x:v>
      </x:c>
      <x:c r="C63" s="10" t="str">
        <x:v>Prototype</x:v>
      </x:c>
      <x:c r="D63" s="11" t="str">
        <x:v>Prototype</x:v>
      </x:c>
      <x:c r="E63" s="15" t="str">
        <x:v>P1</x:v>
      </x:c>
      <x:c r="F63" s="15" t="str">
        <x:v>ME1</x:v>
      </x:c>
      <x:c r="G63" s="15" t="str">
        <x:v>Adaptation</x:v>
      </x:c>
      <x:c r="H63" s="14" t="str">
        <x:v>Silhouette et actions principales de Saren sur Virmire.</x:v>
      </x:c>
      <x:c r="I63" s="14" t="str">
        <x:v>Silhouette référencée, attaques lisibles, transparence propre et échelle relative contrôlée.</x:v>
      </x:c>
      <x:c r="J63" s="14" t="str">
        <x:v>ENM-saren-sur-virmire</x:v>
      </x:c>
      <x:c r="K63" s="14" t="str">
        <x:v>assets/sprites/enemies/saren-sur-virmire.png</x:v>
      </x:c>
      <x:c r="L63" s="14" t="str">
        <x:v>public/assets/boss-atlas.png</x:v>
      </x:c>
      <x:c r="M63" s="14" t="str">
        <x:v>BOSS_KEYS.saren</x:v>
      </x:c>
      <x:c r="N63" s="14" t="str">
        <x:v>Décisions du fan game ; aucune prétention de canon officiel</x:v>
      </x:c>
      <x:c r="O63" s="14" t="str"/>
      <x:c r="P63" s="14" t="str">
        <x:v>Production ME1</x:v>
      </x:c>
      <x:c r="Q63" s="14" t="str">
        <x:v>Atlas 2 × 2, case haut gauche. Pose statique employée par src/world.js et rencontre condensée dans src/game-data.js. Apparence et actions à recouper avec ME1 ; aucune animation complète ni fidélité 1:1 validée.</x:v>
      </x:c>
    </x:row>
    <x:row r="64" ht="62" customHeight="1">
      <x:c r="A64" s="12" t="str">
        <x:v>SPR-saren-a-la-citadelle-ennemi</x:v>
      </x:c>
      <x:c r="B64" s="7" t="str">
        <x:v>Saren à la Citadelle — planche ennemie</x:v>
      </x:c>
      <x:c r="C64" s="10" t="str">
        <x:v>Prototype</x:v>
      </x:c>
      <x:c r="D64" s="11" t="str">
        <x:v>Prototype</x:v>
      </x:c>
      <x:c r="E64" s="9" t="str">
        <x:v>P1</x:v>
      </x:c>
      <x:c r="F64" s="9" t="str">
        <x:v>ME1</x:v>
      </x:c>
      <x:c r="G64" s="9" t="str">
        <x:v>Adaptation</x:v>
      </x:c>
      <x:c r="H64" s="7" t="str">
        <x:v>Silhouette et actions principales de Saren à la Citadelle.</x:v>
      </x:c>
      <x:c r="I64" s="7" t="str">
        <x:v>Silhouette référencée, attaques lisibles, transparence propre et échelle relative contrôlée.</x:v>
      </x:c>
      <x:c r="J64" s="7" t="str">
        <x:v>ENM-saren-a-la-citadelle</x:v>
      </x:c>
      <x:c r="K64" s="7" t="str">
        <x:v>assets/sprites/enemies/saren-a-la-citadelle.png</x:v>
      </x:c>
      <x:c r="L64" s="7" t="str">
        <x:v>public/assets/boss-atlas.png</x:v>
      </x:c>
      <x:c r="M64" s="7" t="str">
        <x:v>BOSS_KEYS.saren-final</x:v>
      </x:c>
      <x:c r="N64" s="7" t="str">
        <x:v>Décisions du fan game ; aucune prétention de canon officiel</x:v>
      </x:c>
      <x:c r="O64" s="7" t="str"/>
      <x:c r="P64" s="7" t="str">
        <x:v>Production ME1</x:v>
      </x:c>
      <x:c r="Q64" s="7" t="str">
        <x:v>Atlas 2 × 2, case bas droite. Pose statique employée par src/world.js et rencontre condensée dans src/game-data.js. Apparence et actions à recouper avec ME1 ; aucune animation complète ni fidélité 1:1 validée.</x:v>
      </x:c>
    </x:row>
    <x:row r="65" ht="36" customHeight="1">
      <x:c r="A65" s="13" t="str">
        <x:v>SPR-balak-ennemi</x:v>
      </x:c>
      <x:c r="B65" s="14" t="str">
        <x:v>Balak — planche ennemie</x:v>
      </x:c>
      <x:c r="C65" s="10" t="str">
        <x:v>Défini</x:v>
      </x:c>
      <x:c r="D65" s="11" t="str">
        <x:v>À produire</x:v>
      </x:c>
      <x:c r="E65" s="15" t="str">
        <x:v>P1</x:v>
      </x:c>
      <x:c r="F65" s="15" t="str">
        <x:v>ME1</x:v>
      </x:c>
      <x:c r="G65" s="15" t="str">
        <x:v>Adaptation</x:v>
      </x:c>
      <x:c r="H65" s="14" t="str">
        <x:v>Silhouette et actions principales de Balak.</x:v>
      </x:c>
      <x:c r="I65" s="14" t="str">
        <x:v>Silhouette référencée, attaques lisibles, transparence propre et échelle relative contrôlée.</x:v>
      </x:c>
      <x:c r="J65" s="14" t="str">
        <x:v>ENM-balak</x:v>
      </x:c>
      <x:c r="K65" s="14" t="str">
        <x:v>assets/sprites/enemies/balak.png</x:v>
      </x:c>
      <x:c r="L65" s="14" t="str"/>
      <x:c r="M65" s="14" t="str"/>
      <x:c r="N65" s="14" t="str">
        <x:v>Décisions du fan game ; aucune prétention de canon officiel</x:v>
      </x:c>
      <x:c r="O65" s="14" t="str"/>
      <x:c r="P65" s="14" t="str">
        <x:v>Production ME1</x:v>
      </x:c>
      <x:c r="Q65" s="14" t="str"/>
    </x:row>
    <x:row r="66" ht="49" customHeight="1">
      <x:c r="A66" s="12" t="str">
        <x:v>SPR-NPC-joker-assis</x:v>
      </x:c>
      <x:c r="B66" s="7" t="str">
        <x:v>Joker assis</x:v>
      </x:c>
      <x:c r="C66" s="10" t="str">
        <x:v>Défini</x:v>
      </x:c>
      <x:c r="D66" s="11" t="str">
        <x:v>Prototype</x:v>
      </x:c>
      <x:c r="E66" s="9" t="str">
        <x:v>P1</x:v>
      </x:c>
      <x:c r="F66" s="9" t="str">
        <x:v>ME1</x:v>
      </x:c>
      <x:c r="G66" s="9" t="str">
        <x:v>Adaptation</x:v>
      </x:c>
      <x:c r="H66" s="7" t="str">
        <x:v>Planche spécifique au poste de pilotage.</x:v>
      </x:c>
      <x:c r="I66" s="7" t="str">
        <x:v>Pose et mouvement adaptés au personnage.</x:v>
      </x:c>
      <x:c r="J66" s="7" t="str"/>
      <x:c r="K66" s="7" t="str">
        <x:v>assets/sprites/npcs/manifest.json</x:v>
      </x:c>
      <x:c r="L66" s="7" t="str">
        <x:v>public/assets/npc-atlas.png</x:v>
      </x:c>
      <x:c r="M66" s="7" t="str">
        <x:v>NPC_KEYS.joker</x:v>
      </x:c>
      <x:c r="N66" s="7" t="str">
        <x:v>Décisions du fan game ; aucune prétention de canon officiel</x:v>
      </x:c>
      <x:c r="O66" s="7" t="str"/>
      <x:c r="P66" s="7" t="str">
        <x:v>Production ME1</x:v>
      </x:c>
      <x:c r="Q66" s="7" t="str">
        <x:v>La case ligne 1, colonne 3 est debout. Elle sert de remplacement provisoire ; la pose assise au poste de pilotage reste à produire.</x:v>
      </x:c>
    </x:row>
    <x:row r="67" ht="36" customHeight="1">
      <x:c r="A67" s="13" t="str">
        <x:v>SPR-NPC-anderson-uniforme</x:v>
      </x:c>
      <x:c r="B67" s="14" t="str">
        <x:v>Anderson uniforme</x:v>
      </x:c>
      <x:c r="C67" s="10" t="str">
        <x:v>Prototype</x:v>
      </x:c>
      <x:c r="D67" s="11" t="str">
        <x:v>Prototype</x:v>
      </x:c>
      <x:c r="E67" s="15" t="str">
        <x:v>P1</x:v>
      </x:c>
      <x:c r="F67" s="15" t="str">
        <x:v>ME1</x:v>
      </x:c>
      <x:c r="G67" s="15" t="str">
        <x:v>Adaptation</x:v>
      </x:c>
      <x:c r="H67" s="14" t="str">
        <x:v>Portrait et silhouette du capitaine au début du récit.</x:v>
      </x:c>
      <x:c r="I67" s="14" t="str">
        <x:v>Rang et uniforme de ME1.</x:v>
      </x:c>
      <x:c r="J67" s="14" t="str"/>
      <x:c r="K67" s="14" t="str">
        <x:v>assets/sprites/npcs/manifest.json</x:v>
      </x:c>
      <x:c r="L67" s="14" t="str">
        <x:v>public/assets/npc-atlas.png</x:v>
      </x:c>
      <x:c r="M67" s="14" t="str">
        <x:v>NPC_KEYS.anderson</x:v>
      </x:c>
      <x:c r="N67" s="14" t="str">
        <x:v>Décisions du fan game ; aucune prétention de canon officiel</x:v>
      </x:c>
      <x:c r="O67" s="14" t="str"/>
      <x:c r="P67" s="14" t="str">
        <x:v>Production ME1</x:v>
      </x:c>
      <x:c r="Q67" s="14" t="str">
        <x:v>Atlas 4 × 2, ligne 1, colonne 2. Pose unique provisoire ; planche d’animation complète à produire.</x:v>
      </x:c>
    </x:row>
    <x:row r="68" ht="36" customHeight="1">
      <x:c r="A68" s="12" t="str">
        <x:v>SPR-NPC-chakwas-medicale</x:v>
      </x:c>
      <x:c r="B68" s="7" t="str">
        <x:v>Chakwas médicale</x:v>
      </x:c>
      <x:c r="C68" s="10" t="str">
        <x:v>Prototype</x:v>
      </x:c>
      <x:c r="D68" s="11" t="str">
        <x:v>Prototype</x:v>
      </x:c>
      <x:c r="E68" s="9" t="str">
        <x:v>P1</x:v>
      </x:c>
      <x:c r="F68" s="9" t="str">
        <x:v>ME1</x:v>
      </x:c>
      <x:c r="G68" s="9" t="str">
        <x:v>Adaptation</x:v>
      </x:c>
      <x:c r="H68" s="7" t="str">
        <x:v>Silhouette et portrait de la médecin.</x:v>
      </x:c>
      <x:c r="I68" s="7" t="str">
        <x:v>Référence d’âge et tenue cohérente.</x:v>
      </x:c>
      <x:c r="J68" s="7" t="str"/>
      <x:c r="K68" s="7" t="str">
        <x:v>assets/sprites/npcs/manifest.json</x:v>
      </x:c>
      <x:c r="L68" s="7" t="str">
        <x:v>public/assets/npc-atlas.png</x:v>
      </x:c>
      <x:c r="M68" s="7" t="str">
        <x:v>NPC_KEYS.chakwas</x:v>
      </x:c>
      <x:c r="N68" s="7" t="str">
        <x:v>Décisions du fan game ; aucune prétention de canon officiel</x:v>
      </x:c>
      <x:c r="O68" s="7" t="str"/>
      <x:c r="P68" s="7" t="str">
        <x:v>Production ME1</x:v>
      </x:c>
      <x:c r="Q68" s="7" t="str">
        <x:v>Atlas 4 × 2, ligne 1, colonne 4. Pose unique provisoire ; planche d’animation complète à produire.</x:v>
      </x:c>
    </x:row>
    <x:row r="69" ht="36" customHeight="1">
      <x:c r="A69" s="13" t="str">
        <x:v>SPR-NPC-udina-diplomate</x:v>
      </x:c>
      <x:c r="B69" s="14" t="str">
        <x:v>Udina diplomate</x:v>
      </x:c>
      <x:c r="C69" s="10" t="str">
        <x:v>Prototype</x:v>
      </x:c>
      <x:c r="D69" s="11" t="str">
        <x:v>Prototype</x:v>
      </x:c>
      <x:c r="E69" s="15" t="str">
        <x:v>P1</x:v>
      </x:c>
      <x:c r="F69" s="15" t="str">
        <x:v>ME1</x:v>
      </x:c>
      <x:c r="G69" s="15" t="str">
        <x:v>Adaptation</x:v>
      </x:c>
      <x:c r="H69" s="14" t="str">
        <x:v>Portrait et silhouette civile.</x:v>
      </x:c>
      <x:c r="I69" s="14" t="str">
        <x:v>Costume et posture de la période.</x:v>
      </x:c>
      <x:c r="J69" s="14" t="str"/>
      <x:c r="K69" s="14" t="str">
        <x:v>assets/sprites/npcs/manifest.json</x:v>
      </x:c>
      <x:c r="L69" s="14" t="str">
        <x:v>public/assets/npc-atlas.png</x:v>
      </x:c>
      <x:c r="M69" s="14" t="str">
        <x:v>NPC_KEYS.udina</x:v>
      </x:c>
      <x:c r="N69" s="14" t="str">
        <x:v>Décisions du fan game ; aucune prétention de canon officiel</x:v>
      </x:c>
      <x:c r="O69" s="14" t="str"/>
      <x:c r="P69" s="14" t="str">
        <x:v>Production ME1</x:v>
      </x:c>
      <x:c r="Q69" s="14" t="str">
        <x:v>Atlas 4 × 2, ligne 2, colonne 2. Pose unique provisoire ; planche d’animation complète à produire.</x:v>
      </x:c>
    </x:row>
    <x:row r="70" ht="36" customHeight="1">
      <x:c r="A70" s="12" t="str">
        <x:v>SPR-NPC-conseil-trio</x:v>
      </x:c>
      <x:c r="B70" s="7" t="str">
        <x:v>Conseil trio</x:v>
      </x:c>
      <x:c r="C70" s="10" t="str">
        <x:v>Défini</x:v>
      </x:c>
      <x:c r="D70" s="11" t="str">
        <x:v>À produire</x:v>
      </x:c>
      <x:c r="E70" s="9" t="str">
        <x:v>P1</x:v>
      </x:c>
      <x:c r="F70" s="9" t="str">
        <x:v>ME1</x:v>
      </x:c>
      <x:c r="G70" s="9" t="str">
        <x:v>Adaptation</x:v>
      </x:c>
      <x:c r="H70" s="7" t="str">
        <x:v>Trois silhouettes diplomatiques séparées.</x:v>
      </x:c>
      <x:c r="I70" s="7" t="str">
        <x:v>Aucun doublon générique entre espèces.</x:v>
      </x:c>
      <x:c r="J70" s="7" t="str"/>
      <x:c r="K70" s="7" t="str">
        <x:v>assets/sprites/npcs/manifest.json</x:v>
      </x:c>
      <x:c r="L70" s="7" t="str"/>
      <x:c r="M70" s="7" t="str"/>
      <x:c r="N70" s="7" t="str">
        <x:v>Décisions du fan game ; aucune prétention de canon officiel</x:v>
      </x:c>
      <x:c r="O70" s="7" t="str"/>
      <x:c r="P70" s="7" t="str">
        <x:v>Production ME1</x:v>
      </x:c>
      <x:c r="Q70" s="7" t="str"/>
    </x:row>
    <x:row r="71" ht="36" customHeight="1">
      <x:c r="A71" s="13" t="str">
        <x:v>SPR-NPC-veilleur-technique</x:v>
      </x:c>
      <x:c r="B71" s="14" t="str">
        <x:v>Veilleur technique</x:v>
      </x:c>
      <x:c r="C71" s="10" t="str">
        <x:v>Défini</x:v>
      </x:c>
      <x:c r="D71" s="11" t="str">
        <x:v>À produire</x:v>
      </x:c>
      <x:c r="E71" s="15" t="str">
        <x:v>P1</x:v>
      </x:c>
      <x:c r="F71" s="15" t="str">
        <x:v>ME1</x:v>
      </x:c>
      <x:c r="G71" s="15" t="str">
        <x:v>Adaptation</x:v>
      </x:c>
      <x:c r="H71" s="14" t="str">
        <x:v>Planche de maintenance non combattante.</x:v>
      </x:c>
      <x:c r="I71" s="14" t="str">
        <x:v>Pattes et outils propres à la créature.</x:v>
      </x:c>
      <x:c r="J71" s="14" t="str"/>
      <x:c r="K71" s="14" t="str">
        <x:v>assets/sprites/npcs/manifest.json</x:v>
      </x:c>
      <x:c r="L71" s="14" t="str"/>
      <x:c r="M71" s="14" t="str"/>
      <x:c r="N71" s="14" t="str">
        <x:v>Décisions du fan game ; aucune prétention de canon officiel</x:v>
      </x:c>
      <x:c r="O71" s="14" t="str"/>
      <x:c r="P71" s="14" t="str">
        <x:v>Production ME1</x:v>
      </x:c>
      <x:c r="Q71" s="14" t="str"/>
    </x:row>
    <x:row r="72" ht="36" customHeight="1">
      <x:c r="A72" s="12" t="str">
        <x:v>SPR-NPC-marchand-volus</x:v>
      </x:c>
      <x:c r="B72" s="7" t="str">
        <x:v>Marchand volus</x:v>
      </x:c>
      <x:c r="C72" s="10" t="str">
        <x:v>Défini</x:v>
      </x:c>
      <x:c r="D72" s="11" t="str">
        <x:v>À produire</x:v>
      </x:c>
      <x:c r="E72" s="9" t="str">
        <x:v>P1</x:v>
      </x:c>
      <x:c r="F72" s="9" t="str">
        <x:v>ME1</x:v>
      </x:c>
      <x:c r="G72" s="9" t="str">
        <x:v>Adaptation</x:v>
      </x:c>
      <x:c r="H72" s="7" t="str">
        <x:v>Silhouette de commerce avec équipement pressurisé.</x:v>
      </x:c>
      <x:c r="I72" s="7" t="str">
        <x:v>Respiration et gestes courts.</x:v>
      </x:c>
      <x:c r="J72" s="7" t="str"/>
      <x:c r="K72" s="7" t="str">
        <x:v>assets/sprites/npcs/manifest.json</x:v>
      </x:c>
      <x:c r="L72" s="7" t="str"/>
      <x:c r="M72" s="7" t="str"/>
      <x:c r="N72" s="7" t="str">
        <x:v>Décisions du fan game ; aucune prétention de canon officiel</x:v>
      </x:c>
      <x:c r="O72" s="7" t="str"/>
      <x:c r="P72" s="7" t="str">
        <x:v>Production ME1</x:v>
      </x:c>
      <x:c r="Q72" s="7" t="str"/>
    </x:row>
    <x:row r="73" ht="36" customHeight="1">
      <x:c r="A73" s="13" t="str">
        <x:v>SPR-NPC-diplomate-elcor</x:v>
      </x:c>
      <x:c r="B73" s="14" t="str">
        <x:v>Diplomate elcor</x:v>
      </x:c>
      <x:c r="C73" s="10" t="str">
        <x:v>Défini</x:v>
      </x:c>
      <x:c r="D73" s="11" t="str">
        <x:v>À produire</x:v>
      </x:c>
      <x:c r="E73" s="15" t="str">
        <x:v>P1</x:v>
      </x:c>
      <x:c r="F73" s="15" t="str">
        <x:v>ME1</x:v>
      </x:c>
      <x:c r="G73" s="15" t="str">
        <x:v>Adaptation</x:v>
      </x:c>
      <x:c r="H73" s="14" t="str">
        <x:v>Silhouette quadrupède et portrait adapté.</x:v>
      </x:c>
      <x:c r="I73" s="14" t="str">
        <x:v>Cadrage n’impose pas de buste humain.</x:v>
      </x:c>
      <x:c r="J73" s="14" t="str"/>
      <x:c r="K73" s="14" t="str">
        <x:v>assets/sprites/npcs/manifest.json</x:v>
      </x:c>
      <x:c r="L73" s="14" t="str"/>
      <x:c r="M73" s="14" t="str"/>
      <x:c r="N73" s="14" t="str">
        <x:v>Décisions du fan game ; aucune prétention de canon officiel</x:v>
      </x:c>
      <x:c r="O73" s="14" t="str"/>
      <x:c r="P73" s="14" t="str">
        <x:v>Production ME1</x:v>
      </x:c>
      <x:c r="Q73" s="14" t="str"/>
    </x:row>
    <x:row r="74" ht="36" customHeight="1">
      <x:c r="A74" s="12" t="str">
        <x:v>SPR-NPC-marchand-hanari</x:v>
      </x:c>
      <x:c r="B74" s="7" t="str">
        <x:v>Marchand hanari</x:v>
      </x:c>
      <x:c r="C74" s="10" t="str">
        <x:v>Défini</x:v>
      </x:c>
      <x:c r="D74" s="11" t="str">
        <x:v>À produire</x:v>
      </x:c>
      <x:c r="E74" s="9" t="str">
        <x:v>P1</x:v>
      </x:c>
      <x:c r="F74" s="9" t="str">
        <x:v>ME1</x:v>
      </x:c>
      <x:c r="G74" s="9" t="str">
        <x:v>Adaptation</x:v>
      </x:c>
      <x:c r="H74" s="7" t="str">
        <x:v>Silhouette flottante.</x:v>
      </x:c>
      <x:c r="I74" s="7" t="str">
        <x:v>Tentacules et support cohérents.</x:v>
      </x:c>
      <x:c r="J74" s="7" t="str"/>
      <x:c r="K74" s="7" t="str">
        <x:v>assets/sprites/npcs/manifest.json</x:v>
      </x:c>
      <x:c r="L74" s="7" t="str"/>
      <x:c r="M74" s="7" t="str"/>
      <x:c r="N74" s="7" t="str">
        <x:v>Décisions du fan game ; aucune prétention de canon officiel</x:v>
      </x:c>
      <x:c r="O74" s="7" t="str"/>
      <x:c r="P74" s="7" t="str">
        <x:v>Production ME1</x:v>
      </x:c>
      <x:c r="Q74" s="7" t="str"/>
    </x:row>
    <x:row r="75" ht="36" customHeight="1">
      <x:c r="A75" s="13" t="str">
        <x:v>SPR-NPC-civil-humain</x:v>
      </x:c>
      <x:c r="B75" s="14" t="str">
        <x:v>Civil humain</x:v>
      </x:c>
      <x:c r="C75" s="10" t="str">
        <x:v>Défini</x:v>
      </x:c>
      <x:c r="D75" s="11" t="str">
        <x:v>À produire</x:v>
      </x:c>
      <x:c r="E75" s="15" t="str">
        <x:v>P1</x:v>
      </x:c>
      <x:c r="F75" s="15" t="str">
        <x:v>ME1</x:v>
      </x:c>
      <x:c r="G75" s="15" t="str">
        <x:v>Adaptation</x:v>
      </x:c>
      <x:c r="H75" s="14" t="str">
        <x:v>Base de PNJ à variantes vestimentaires documentées.</x:v>
      </x:c>
      <x:c r="I75" s="14" t="str">
        <x:v>Variantes utiles liées au lieu et à la fonction.</x:v>
      </x:c>
      <x:c r="J75" s="14" t="str"/>
      <x:c r="K75" s="14" t="str">
        <x:v>assets/sprites/npcs/manifest.json</x:v>
      </x:c>
      <x:c r="L75" s="14" t="str"/>
      <x:c r="M75" s="14" t="str"/>
      <x:c r="N75" s="14" t="str">
        <x:v>Décisions du fan game ; aucune prétention de canon officiel</x:v>
      </x:c>
      <x:c r="O75" s="14" t="str"/>
      <x:c r="P75" s="14" t="str">
        <x:v>Production ME1</x:v>
      </x:c>
      <x:c r="Q75" s="14" t="str"/>
    </x:row>
    <x:row r="76" ht="36" customHeight="1">
      <x:c r="A76" s="12" t="str">
        <x:v>SPR-NPC-civil-turien</x:v>
      </x:c>
      <x:c r="B76" s="7" t="str">
        <x:v>Civil turien</x:v>
      </x:c>
      <x:c r="C76" s="10" t="str">
        <x:v>Défini</x:v>
      </x:c>
      <x:c r="D76" s="11" t="str">
        <x:v>À produire</x:v>
      </x:c>
      <x:c r="E76" s="9" t="str">
        <x:v>P1</x:v>
      </x:c>
      <x:c r="F76" s="9" t="str">
        <x:v>ME1</x:v>
      </x:c>
      <x:c r="G76" s="9" t="str">
        <x:v>Adaptation</x:v>
      </x:c>
      <x:c r="H76" s="7" t="str">
        <x:v>Base de PNJ hors combat.</x:v>
      </x:c>
      <x:c r="I76" s="7" t="str">
        <x:v>Taille et posture propre à l’espèce.</x:v>
      </x:c>
      <x:c r="J76" s="7" t="str"/>
      <x:c r="K76" s="7" t="str">
        <x:v>assets/sprites/npcs/manifest.json</x:v>
      </x:c>
      <x:c r="L76" s="7" t="str"/>
      <x:c r="M76" s="7" t="str"/>
      <x:c r="N76" s="7" t="str">
        <x:v>Décisions du fan game ; aucune prétention de canon officiel</x:v>
      </x:c>
      <x:c r="O76" s="7" t="str"/>
      <x:c r="P76" s="7" t="str">
        <x:v>Production ME1</x:v>
      </x:c>
      <x:c r="Q76" s="7" t="str"/>
    </x:row>
    <x:row r="77" ht="36" customHeight="1">
      <x:c r="A77" s="13" t="str">
        <x:v>SPR-NPC-scientifique-asari</x:v>
      </x:c>
      <x:c r="B77" s="14" t="str">
        <x:v>Scientifique asari</x:v>
      </x:c>
      <x:c r="C77" s="10" t="str">
        <x:v>Défini</x:v>
      </x:c>
      <x:c r="D77" s="11" t="str">
        <x:v>À produire</x:v>
      </x:c>
      <x:c r="E77" s="15" t="str">
        <x:v>P1</x:v>
      </x:c>
      <x:c r="F77" s="15" t="str">
        <x:v>ME1</x:v>
      </x:c>
      <x:c r="G77" s="15" t="str">
        <x:v>Adaptation</x:v>
      </x:c>
      <x:c r="H77" s="14" t="str">
        <x:v>Silhouette de laboratoire.</x:v>
      </x:c>
      <x:c r="I77" s="14" t="str">
        <x:v>Tenue correspondant à l’établissement.</x:v>
      </x:c>
      <x:c r="J77" s="14" t="str"/>
      <x:c r="K77" s="14" t="str">
        <x:v>assets/sprites/npcs/manifest.json</x:v>
      </x:c>
      <x:c r="L77" s="14" t="str"/>
      <x:c r="M77" s="14" t="str"/>
      <x:c r="N77" s="14" t="str">
        <x:v>Décisions du fan game ; aucune prétention de canon officiel</x:v>
      </x:c>
      <x:c r="O77" s="14" t="str"/>
      <x:c r="P77" s="14" t="str">
        <x:v>Production ME1</x:v>
      </x:c>
      <x:c r="Q77" s="14" t="str"/>
    </x:row>
    <x:row r="78" ht="36" customHeight="1">
      <x:c r="A78" s="12" t="str">
        <x:v>SPR-NPC-agent-du-ssc</x:v>
      </x:c>
      <x:c r="B78" s="7" t="str">
        <x:v>Agent du SSC</x:v>
      </x:c>
      <x:c r="C78" s="10" t="str">
        <x:v>Défini</x:v>
      </x:c>
      <x:c r="D78" s="11" t="str">
        <x:v>À produire</x:v>
      </x:c>
      <x:c r="E78" s="9" t="str">
        <x:v>P1</x:v>
      </x:c>
      <x:c r="F78" s="9" t="str">
        <x:v>ME1</x:v>
      </x:c>
      <x:c r="G78" s="9" t="str">
        <x:v>Adaptation</x:v>
      </x:c>
      <x:c r="H78" s="7" t="str">
        <x:v>Uniforme et équipement de sécurité.</x:v>
      </x:c>
      <x:c r="I78" s="7" t="str">
        <x:v>Insigne et rang cohérents.</x:v>
      </x:c>
      <x:c r="J78" s="7" t="str"/>
      <x:c r="K78" s="7" t="str">
        <x:v>assets/sprites/npcs/manifest.json</x:v>
      </x:c>
      <x:c r="L78" s="7" t="str"/>
      <x:c r="M78" s="7" t="str"/>
      <x:c r="N78" s="7" t="str">
        <x:v>Décisions du fan game ; aucune prétention de canon officiel</x:v>
      </x:c>
      <x:c r="O78" s="7" t="str"/>
      <x:c r="P78" s="7" t="str">
        <x:v>Production ME1</x:v>
      </x:c>
      <x:c r="Q78" s="7" t="str"/>
    </x:row>
    <x:row r="79" ht="36" customHeight="1">
      <x:c r="A79" s="13" t="str">
        <x:v>SPR-NPC-soldat-galarien-stg</x:v>
      </x:c>
      <x:c r="B79" s="14" t="str">
        <x:v>Soldat galarien STG</x:v>
      </x:c>
      <x:c r="C79" s="10" t="str">
        <x:v>Défini</x:v>
      </x:c>
      <x:c r="D79" s="11" t="str">
        <x:v>À produire</x:v>
      </x:c>
      <x:c r="E79" s="15" t="str">
        <x:v>P1</x:v>
      </x:c>
      <x:c r="F79" s="15" t="str">
        <x:v>ME1</x:v>
      </x:c>
      <x:c r="G79" s="15" t="str">
        <x:v>Adaptation</x:v>
      </x:c>
      <x:c r="H79" s="14" t="str">
        <x:v>Silhouette des partenaires de Virmire.</x:v>
      </x:c>
      <x:c r="I79" s="14" t="str">
        <x:v>Arme, armure et proportions vérifiées.</x:v>
      </x:c>
      <x:c r="J79" s="14" t="str"/>
      <x:c r="K79" s="14" t="str">
        <x:v>assets/sprites/npcs/manifest.json</x:v>
      </x:c>
      <x:c r="L79" s="14" t="str"/>
      <x:c r="M79" s="14" t="str"/>
      <x:c r="N79" s="14" t="str">
        <x:v>Décisions du fan game ; aucune prétention de canon officiel</x:v>
      </x:c>
      <x:c r="O79" s="14" t="str"/>
      <x:c r="P79" s="14" t="str">
        <x:v>Production ME1</x:v>
      </x:c>
      <x:c r="Q79" s="14" t="str"/>
    </x:row>
    <x:row r="80" ht="36" customHeight="1">
      <x:c r="A80" s="12" t="str">
        <x:v>SPR-NPC-hologramme-vigil</x:v>
      </x:c>
      <x:c r="B80" s="7" t="str">
        <x:v>Hologramme Vigil</x:v>
      </x:c>
      <x:c r="C80" s="10" t="str">
        <x:v>Défini</x:v>
      </x:c>
      <x:c r="D80" s="11" t="str">
        <x:v>À produire</x:v>
      </x:c>
      <x:c r="E80" s="9" t="str">
        <x:v>P1</x:v>
      </x:c>
      <x:c r="F80" s="9" t="str">
        <x:v>ME1</x:v>
      </x:c>
      <x:c r="G80" s="9" t="str">
        <x:v>Adaptation</x:v>
      </x:c>
      <x:c r="H80" s="7" t="str">
        <x:v>Texture animée de l’IV.</x:v>
      </x:c>
      <x:c r="I80" s="7" t="str">
        <x:v>Contours et émission compatibles avec l’arrière-plan.</x:v>
      </x:c>
      <x:c r="J80" s="7" t="str"/>
      <x:c r="K80" s="7" t="str">
        <x:v>assets/sprites/npcs/manifest.json</x:v>
      </x:c>
      <x:c r="L80" s="7" t="str"/>
      <x:c r="M80" s="7" t="str"/>
      <x:c r="N80" s="7" t="str">
        <x:v>Décisions du fan game ; aucune prétention de canon officiel</x:v>
      </x:c>
      <x:c r="O80" s="7" t="str"/>
      <x:c r="P80" s="7" t="str">
        <x:v>Production ME1</x:v>
      </x:c>
      <x:c r="Q80" s="7" t="str"/>
    </x:row>
    <x:row r="81" ht="49" customHeight="1">
      <x:c r="A81" s="13" t="str">
        <x:v>SPR-VEH-mako</x:v>
      </x:c>
      <x:c r="B81" s="14" t="str">
        <x:v>Mako — silhouette décorative</x:v>
      </x:c>
      <x:c r="C81" s="10" t="str">
        <x:v>Prototype</x:v>
      </x:c>
      <x:c r="D81" s="11" t="str">
        <x:v>Prototype</x:v>
      </x:c>
      <x:c r="E81" s="15" t="str">
        <x:v>P1</x:v>
      </x:c>
      <x:c r="F81" s="15" t="str">
        <x:v>ME1</x:v>
      </x:c>
      <x:c r="G81" s="15" t="str">
        <x:v>Adaptation</x:v>
      </x:c>
      <x:c r="H81" s="14" t="str">
        <x:v>Véhicule terrestre illustré, posé dans les scènes condensées de Thérum et Ilos.</x:v>
      </x:c>
      <x:c r="I81" s="14" t="str">
        <x:v>Silhouette, six roues, canon et échelle contrôlés sur références ME1 ; interaction de conduite suivie séparément.</x:v>
      </x:c>
      <x:c r="J81" s="14" t="str">
        <x:v>SYS-mako</x:v>
      </x:c>
      <x:c r="K81" s="14" t="str">
        <x:v>assets/sprites/vehicles/mako.png</x:v>
      </x:c>
      <x:c r="L81" s="14" t="str">
        <x:v>public/assets/vehicle-atlas.png</x:v>
      </x:c>
      <x:c r="M81" s="14" t="str">
        <x:v>vehicles:mako</x:v>
      </x:c>
      <x:c r="N81" s="14" t="str">
        <x:v>Illustration de prototype originale ; silhouette exacte et découpage à vérifier dans les captures du jeu source.</x:v>
      </x:c>
      <x:c r="O81" s="14" t="str">
        <x:v>https://eaassets-a.akamaihd.net/eahelp/manuals/mass-effect-manuals_PC_fr.pdf</x:v>
      </x:c>
      <x:c r="P81" s="14" t="str">
        <x:v>Prototype visuel ME1</x:v>
      </x:c>
      <x:c r="Q81" s="14" t="str">
        <x:v>Rectangle source du renderer : x 650, y 90, largeur 662, hauteur 400. Collision décorative ; aucune conduite, aucun saut ni tir de véhicule. Aucune fidélité 1:1 validée.</x:v>
      </x:c>
    </x:row>
    <x:row r="82" ht="49" customHeight="1">
      <x:c r="A82" s="12" t="str">
        <x:v>SPR-VEH-normandy-sr-1</x:v>
      </x:c>
      <x:c r="B82" s="7" t="str">
        <x:v>Normandy SR-1 — silhouette extérieure</x:v>
      </x:c>
      <x:c r="C82" s="10" t="str">
        <x:v>Prototype</x:v>
      </x:c>
      <x:c r="D82" s="11" t="str">
        <x:v>Prototype</x:v>
      </x:c>
      <x:c r="E82" s="9" t="str">
        <x:v>P1</x:v>
      </x:c>
      <x:c r="F82" s="9" t="str">
        <x:v>ME1</x:v>
      </x:c>
      <x:c r="G82" s="9" t="str">
        <x:v>Adaptation</x:v>
      </x:c>
      <x:c r="H82" s="7" t="str">
        <x:v>Illustration extérieure provisoire du vaisseau de ME1, distincte du décor intérieur jouable.</x:v>
      </x:c>
      <x:c r="I82" s="7" t="str">
        <x:v>Nacelles, proportions et marquages SR-1 recoupés ; ne pas substituer un SR-2.</x:v>
      </x:c>
      <x:c r="J82" s="7" t="str">
        <x:v>WRL-normandy-sr-1, SCN-normandy-coque-sr-1</x:v>
      </x:c>
      <x:c r="K82" s="7" t="str">
        <x:v>assets/sprites/vehicles/normandy-sr-1.png</x:v>
      </x:c>
      <x:c r="L82" s="7" t="str">
        <x:v>public/assets/vehicle-atlas.png</x:v>
      </x:c>
      <x:c r="M82" s="7" t="str"/>
      <x:c r="N82" s="7" t="str">
        <x:v>Illustration de prototype originale ; silhouette exacte et découpage à vérifier dans les captures du jeu source.</x:v>
      </x:c>
      <x:c r="O82" s="7" t="str">
        <x:v>https://gear.bioware.com/products/mass-effect-normandy-sr-1-pin-set</x:v>
      </x:c>
      <x:c r="P82" s="7" t="str">
        <x:v>Prototype visuel ME1</x:v>
      </x:c>
      <x:c r="Q82" s="7" t="str">
        <x:v>Quadrant supérieur gauche de l’atlas. Image existante, sans placement extérieur contrôlé dans le renderer actuel ; aucun pilotage. Aucune fidélité 1:1 validée.</x:v>
      </x:c>
    </x:row>
    <x:row r="83" ht="49" customHeight="1">
      <x:c r="A83" s="13" t="str">
        <x:v>SPR-VEH-sovereign</x:v>
      </x:c>
      <x:c r="B83" s="14" t="str">
        <x:v>Sovereign — silhouette monumentale</x:v>
      </x:c>
      <x:c r="C83" s="10" t="str">
        <x:v>Prototype</x:v>
      </x:c>
      <x:c r="D83" s="11" t="str">
        <x:v>Prototype</x:v>
      </x:c>
      <x:c r="E83" s="15" t="str">
        <x:v>P1</x:v>
      </x:c>
      <x:c r="F83" s="15" t="str">
        <x:v>ME1</x:v>
      </x:c>
      <x:c r="G83" s="15" t="str">
        <x:v>Adaptation</x:v>
      </x:c>
      <x:c r="H83" s="14" t="str">
        <x:v>Vaisseau menaçant illustré pour le fond de la Citadelle assiégée.</x:v>
      </x:c>
      <x:c r="I83" s="14" t="str">
        <x:v>Échelle et silhouette contrôlées sur captures ME1, découpage sans contamination du Mako ; aucun combat au sol contre un vaisseau réduit.</x:v>
      </x:c>
      <x:c r="J83" s="14" t="str">
        <x:v>CIN-silhouette-de-sovereign</x:v>
      </x:c>
      <x:c r="K83" s="14" t="str">
        <x:v>assets/sprites/vehicles/sovereign.png</x:v>
      </x:c>
      <x:c r="L83" s="14" t="str">
        <x:v>public/assets/vehicle-atlas.png</x:v>
      </x:c>
      <x:c r="M83" s="14" t="str">
        <x:v>vehicles:sovereign</x:v>
      </x:c>
      <x:c r="N83" s="14" t="str">
        <x:v>Illustration de prototype originale ; silhouette exacte et découpage à vérifier dans les captures du jeu source.</x:v>
      </x:c>
      <x:c r="O83" s="14" t="str">
        <x:v>https://na.llnet.bioware.cdn.ea.com/u/f/eagames/bioware/masseffect/prima/prima_guide_me_pc.pdf</x:v>
      </x:c>
      <x:c r="P83" s="14" t="str">
        <x:v>Prototype visuel ME1</x:v>
      </x:c>
      <x:c r="Q83" s="14" t="str">
        <x:v>Rectangle source du renderer : x 650, y 480, largeur 662, hauteur 719. Décor statique monumental ; aucun pilotage ni combat spatial. Aucune fidélité 1:1 validée.</x:v>
      </x:c>
    </x:row>
    <x:row r="84" ht="36" customHeight="1">
      <x:c r="A84" s="12" t="str">
        <x:v>CUST-ART-face-preview</x:v>
      </x:c>
      <x:c r="B84" s="7" t="str">
        <x:v>Portrait 2D personnalisable</x:v>
      </x:c>
      <x:c r="C84" s="10" t="str">
        <x:v>Prototype</x:v>
      </x:c>
      <x:c r="D84" s="11" t="str">
        <x:v>Prototype</x:v>
      </x:c>
      <x:c r="E84" s="9" t="str">
        <x:v>P0</x:v>
      </x:c>
      <x:c r="F84" s="9" t="str">
        <x:v>ME1</x:v>
      </x:c>
      <x:c r="G84" s="9" t="str">
        <x:v>Adaptation</x:v>
      </x:c>
      <x:c r="H84" s="7" t="str">
        <x:v>Portrait procédural de l’atelier affichant les choix de visage, teint, coiffure et yeux.</x:v>
      </x:c>
      <x:c r="I84" s="7" t="str">
        <x:v>L’aperçu permet de distinguer chaque option. Les libellés n’annoncent pas un modèle facial 3D officiel.</x:v>
      </x:c>
      <x:c r="J84" s="7" t="str">
        <x:v>CUST-UI-workshop</x:v>
      </x:c>
      <x:c r="K84" s="7" t="str">
        <x:v>src/customization-ui.js</x:v>
      </x:c>
      <x:c r="L84" s="7" t="str">
        <x:v>src/customization-ui.js</x:v>
      </x:c>
      <x:c r="M84" s="7" t="str">
        <x:v>customization:ART-face-preview</x:v>
      </x:c>
      <x:c r="N84" s="7" t="str">
        <x:v>Atelier de Relay Chronicles. Interface et réglages propres au fan game ; contrôle de fidélité distinct.</x:v>
      </x:c>
      <x:c r="O84" s="7" t="str">
        <x:v>https://www.ea.com/ea-play/news/gameplay-calibrations</x:v>
      </x:c>
      <x:c r="P84" s="7" t="str">
        <x:v>Production ME1</x:v>
      </x:c>
      <x:c r="Q84" s="7" t="str">
        <x:v>Représentation graphique de prototype. Fidélité des visages officiels à contrôler séparément.</x:v>
      </x:c>
    </x:row>
    <x:row r="85" ht="49" customHeight="1">
      <x:c r="A85" s="13" t="str">
        <x:v>CUST-ART-armor-preview</x:v>
      </x:c>
      <x:c r="B85" s="14" t="str">
        <x:v>Silhouette d’armure dans l’atelier</x:v>
      </x:c>
      <x:c r="C85" s="10" t="str">
        <x:v>Prototype</x:v>
      </x:c>
      <x:c r="D85" s="11" t="str">
        <x:v>Prototype</x:v>
      </x:c>
      <x:c r="E85" s="15" t="str">
        <x:v>P0</x:v>
      </x:c>
      <x:c r="F85" s="15" t="str">
        <x:v>ME1</x:v>
      </x:c>
      <x:c r="G85" s="15" t="str">
        <x:v>Adaptation</x:v>
      </x:c>
      <x:c r="H85" s="14" t="str">
        <x:v>Aperçus Terrain, Visée, Pouvoir, Impact et Hors combat pour les deux apparences, avec les couleurs, le motif et le casque choisis.</x:v>
      </x:c>
      <x:c r="I85" s="14" t="str">
        <x:v>Corps lisible et casque aligné, y compris couché, sans masquer les commandes. Combat en 3/4 fixe ; quatre directions disponibles en mode Terrain.</x:v>
      </x:c>
      <x:c r="J85" s="14" t="str">
        <x:v>CUST-UI-workshop</x:v>
      </x:c>
      <x:c r="K85" s="14" t="str">
        <x:v>src/customization-ui.js</x:v>
      </x:c>
      <x:c r="L85" s="14" t="str">
        <x:v>src/customization-ui.js</x:v>
      </x:c>
      <x:c r="M85" s="14" t="str">
        <x:v>customization:ART-armor-preview</x:v>
      </x:c>
      <x:c r="N85" s="14" t="str">
        <x:v>Atelier de Relay Chronicles. Interface et réglages propres au fan game ; contrôle de fidélité distinct.</x:v>
      </x:c>
      <x:c r="O85" s="14" t="str"/>
      <x:c r="P85" s="14" t="str">
        <x:v>Production ME1</x:v>
      </x:c>
      <x:c r="Q85" s="14" t="str">
        <x:v>La pose est un état temporaire d’aperçu : aucun effet sur les pouvoirs, les PV ou la sauvegarde. Contrôles : docs/qa/shepard-combat-poses-report.json. Modèles d’armures exacts à produire.</x:v>
      </x:c>
    </x:row>
    <x:row r="86" ht="49" customHeight="1">
      <x:c r="A86" s="12" t="str">
        <x:v>CUST-ART-weapon-preview</x:v>
      </x:c>
      <x:c r="B86" s="7" t="str">
        <x:v>Aperçu de la famille d’arme</x:v>
      </x:c>
      <x:c r="C86" s="10" t="str">
        <x:v>Prototype</x:v>
      </x:c>
      <x:c r="D86" s="11" t="str">
        <x:v>Prototype</x:v>
      </x:c>
      <x:c r="E86" s="9" t="str">
        <x:v>P0</x:v>
      </x:c>
      <x:c r="F86" s="9" t="str">
        <x:v>ME1</x:v>
      </x:c>
      <x:c r="G86" s="9" t="str">
        <x:v>Adaptation</x:v>
      </x:c>
      <x:c r="H86" s="7" t="str">
        <x:v>Représentation d’inspection et fiche du modèle sélectionné dans l’onglet Armes.</x:v>
      </x:c>
      <x:c r="I86" s="7" t="str">
        <x:v>La famille présentée correspond à l’objet choisi. Ne pas présenter une silhouette générique comme la géométrie exacte d’un modèle ME1.</x:v>
      </x:c>
      <x:c r="J86" s="7" t="str">
        <x:v>CUST-UI-workshop</x:v>
      </x:c>
      <x:c r="K86" s="7" t="str">
        <x:v>src/customization-ui.js</x:v>
      </x:c>
      <x:c r="L86" s="7" t="str">
        <x:v>src/customization-ui.js</x:v>
      </x:c>
      <x:c r="M86" s="7" t="str">
        <x:v>customization:ART-weapon-preview</x:v>
      </x:c>
      <x:c r="N86" s="7" t="str">
        <x:v>Atelier de Relay Chronicles. Interface et réglages propres au fan game ; contrôle de fidélité distinct.</x:v>
      </x:c>
      <x:c r="O86" s="7" t="str"/>
      <x:c r="P86" s="7" t="str">
        <x:v>Production ME1</x:v>
      </x:c>
      <x:c r="Q86" s="7" t="str">
        <x:v>La représentation des familles reste une adaptation. Les modèles détaillés propres à chaque fabricant restent à produire.</x:v>
      </x:c>
    </x:row>
    <x:row r="87" ht="49" customHeight="1">
      <x:c r="A87" s="13" t="str">
        <x:v>CUST-ART-world-palette</x:v>
      </x:c>
      <x:c r="B87" s="14" t="str">
        <x:v>Couleur personnalisée du sprite en jeu</x:v>
      </x:c>
      <x:c r="C87" s="10" t="str">
        <x:v>Prototype</x:v>
      </x:c>
      <x:c r="D87" s="11" t="str">
        <x:v>Prototype</x:v>
      </x:c>
      <x:c r="E87" s="15" t="str">
        <x:v>P0</x:v>
      </x:c>
      <x:c r="F87" s="15" t="str">
        <x:v>ME1</x:v>
      </x:c>
      <x:c r="G87" s="15" t="str">
        <x:v>Adaptation</x:v>
      </x:c>
      <x:c r="H87" s="14" t="str">
        <x:v>Transmettre couleurs, motif et casque aux sprites de Shepard sur le terrain et dans les poses de combat, pour les deux apparences.</x:v>
      </x:c>
      <x:c r="I87" s="14" t="str">
        <x:v>Vérifier les quatre directions de terrain et quatre poses de combat. Palette et casque suivent la tête, y compris couchée. Aucun autre équipier modifié.</x:v>
      </x:c>
      <x:c r="J87" s="14" t="str">
        <x:v>CUST-UI-workshop</x:v>
      </x:c>
      <x:c r="K87" s="14" t="str">
        <x:v>src/world.js</x:v>
      </x:c>
      <x:c r="L87" s="14" t="str">
        <x:v>src/world.js</x:v>
      </x:c>
      <x:c r="M87" s="14" t="str">
        <x:v>customization:ART-world-palette</x:v>
      </x:c>
      <x:c r="N87" s="14" t="str">
        <x:v>Atelier de Relay Chronicles. Interface et réglages propres au fan game ; contrôle de fidélité distinct.</x:v>
      </x:c>
      <x:c r="O87" s="14" t="str"/>
      <x:c r="P87" s="14" t="str">
        <x:v>Production ME1</x:v>
      </x:c>
      <x:c r="Q87" s="14" t="str">
        <x:v>La région de tête par pose guide la recoloration et le casque. Contrôles : docs/qa/shepard-combat-poses-report.json. Les silhouettes exactes d’armure restent à produire.</x:v>
      </x:c>
    </x:row>
    <x:row r="88" ht="49" customHeight="1">
      <x:c r="A88" s="12" t="str">
        <x:v>CUST-ART-faithful-variants</x:v>
      </x:c>
      <x:c r="B88" s="7" t="str">
        <x:v>Variantes artistiques exactes par armure et arme</x:v>
      </x:c>
      <x:c r="C88" s="10" t="str">
        <x:v>Défini</x:v>
      </x:c>
      <x:c r="D88" s="11" t="str">
        <x:v>À produire</x:v>
      </x:c>
      <x:c r="E88" s="9" t="str">
        <x:v>P1</x:v>
      </x:c>
      <x:c r="F88" s="9" t="str">
        <x:v>ME1</x:v>
      </x:c>
      <x:c r="G88" s="9" t="str">
        <x:v>Adaptation</x:v>
      </x:c>
      <x:c r="H88" s="7" t="str">
        <x:v>Produire des sprites, portraits et détails correspondant à chaque armure, arme, casque et coiffure réellement équipés.</x:v>
      </x:c>
      <x:c r="I88" s="7" t="str">
        <x:v>Comparer les volumes, panneaux, marquages et teintes au modèle de l’opus retenu dans toutes les vues et poses avant validation.</x:v>
      </x:c>
      <x:c r="J88" s="7" t="str">
        <x:v>CUST-UI-workshop</x:v>
      </x:c>
      <x:c r="K88" s="7" t="str">
        <x:v>public/assets/customization/</x:v>
      </x:c>
      <x:c r="L88" s="7" t="str"/>
      <x:c r="M88" s="7" t="str">
        <x:v>customization:ART-faithful-variants</x:v>
      </x:c>
      <x:c r="N88" s="7" t="str">
        <x:v>Atelier de Relay Chronicles. Interface et réglages propres au fan game ; contrôle de fidélité distinct.</x:v>
      </x:c>
      <x:c r="O88" s="7" t="str">
        <x:v>https://www.ea.com/games/mass-effect/community/cosplay-guides</x:v>
      </x:c>
      <x:c r="P88" s="7" t="str">
        <x:v>Production ME1</x:v>
      </x:c>
      <x:c r="Q88" s="7" t="str">
        <x:v>Backlog artistique. Les aperçus procéduraux et teintes d’atlas ne valident pas ces variantes 1:1.</x:v>
      </x:c>
    </x:row>
  </x:sheetData>
  <x:conditionalFormatting sqref="C7:C88">
    <x:cfRule type="cellIs" dxfId="360" priority="1" operator="equal">
      <x:formula>"Prototype"</x:formula>
    </x:cfRule>
    <x:cfRule type="cellIs" dxfId="361" priority="2" operator="equal">
      <x:formula>"Intégré"</x:formula>
    </x:cfRule>
    <x:cfRule type="cellIs" dxfId="362" priority="3" operator="equal">
      <x:formula>"Validé"</x:formula>
    </x:cfRule>
  </x:conditionalFormatting>
  <x:conditionalFormatting sqref="G7:G88">
    <x:cfRule type="cellIs" dxfId="363" priority="4" operator="equal">
      <x:formula>"Référence à vérifier"</x:formula>
    </x:cfRule>
  </x:conditionalFormatting>
  <x:conditionalFormatting sqref="E7:E88">
    <x:cfRule type="cellIs" dxfId="364" priority="5" operator="equal">
      <x:formula>"P0"</x:formula>
    </x:cfRule>
  </x:conditionalFormatting>
  <x:dataValidations count="5">
    <x:dataValidation type="list" sqref="C7:C88">
      <x:formula1>"Défini,Prototype,Intégré,Validé"</x:formula1>
    </x:dataValidation>
    <x:dataValidation type="list" sqref="D7:D88">
      <x:formula1>"À produire,Prototype,Disponible,Validé,Sans objet,Non planifié"</x:formula1>
    </x:dataValidation>
    <x:dataValidation type="list" sqref="E7:E88">
      <x:formula1>"P0,P1,P2"</x:formula1>
    </x:dataValidation>
    <x:dataValidation type="list" sqref="F7:F88">
      <x:formula1>"ME1,ME2,ME3,TRANSVERSE"</x:formula1>
    </x:dataValidation>
    <x:dataValidation type="list" sqref="G7:G88">
      <x:formula1>"Confirmé,Référence à vérifier,Adaptation"</x:formula1>
    </x:dataValidation>
  </x:dataValidations>
  <x:pageMargins left="0.7" right="0.7" top="0.75" bottom="0.75" header="0.3" footer="0.3"/>
  <x:tableParts count="1">
    <x:tablePart xmlns:r="http://schemas.openxmlformats.org/officeDocument/2006/relationships" r:id="Ra715c9fb80db449c"/>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VFX</x:v>
      </x:c>
      <x:c r="B2" s="2"/>
      <x:c r="C2" s="2"/>
      <x:c r="D2" s="2"/>
      <x:c r="E2" s="2"/>
      <x:c r="F2" s="2"/>
      <x:c r="G2" s="2"/>
      <x:c r="H2" s="2"/>
      <x:c r="I2" s="2"/>
      <x:c r="J2" s="2"/>
      <x:c r="K2" s="2"/>
      <x:c r="L2" s="2"/>
      <x:c r="M2" s="2"/>
      <x:c r="N2" s="2"/>
      <x:c r="O2" s="2"/>
      <x:c r="P2" s="2"/>
      <x:c r="Q2" s="2"/>
    </x:row>
    <x:row r="3" ht="22" customHeight="1">
      <x:c r="A3" s="4" t="str">
        <x:v>Effets visuels et lisibilité</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VFX-flash-pistolet</x:v>
      </x:c>
      <x:c r="B7" s="14" t="str">
        <x:v>Flash pistolet</x:v>
      </x:c>
      <x:c r="C7" s="10" t="str">
        <x:v>Défini</x:v>
      </x:c>
      <x:c r="D7" s="11" t="str">
        <x:v>À produire</x:v>
      </x:c>
      <x:c r="E7" s="15" t="str">
        <x:v>P1</x:v>
      </x:c>
      <x:c r="F7" s="15" t="str">
        <x:v>ME1</x:v>
      </x:c>
      <x:c r="G7" s="15" t="str">
        <x:v>Adaptation</x:v>
      </x:c>
      <x:c r="H7" s="14" t="str">
        <x:v>Départ de coup compact et orienté.</x:v>
      </x:c>
      <x:c r="I7" s="14" t="str">
        <x:v>Attaché au canon avec variante miroir contrôlée.</x:v>
      </x:c>
      <x:c r="J7" s="14" t="str"/>
      <x:c r="K7" s="14" t="str">
        <x:v>assets/vfx/VFX-flash-pistolet.json</x:v>
      </x:c>
      <x:c r="L7" s="14" t="str"/>
      <x:c r="M7" s="14" t="str"/>
      <x:c r="N7" s="14" t="str">
        <x:v>Décisions du fan game ; aucune prétention de canon officiel</x:v>
      </x:c>
      <x:c r="O7" s="14" t="str"/>
      <x:c r="P7" s="14" t="str">
        <x:v>Production ME1</x:v>
      </x:c>
      <x:c r="Q7" s="14" t="str"/>
    </x:row>
    <x:row r="8" ht="36" customHeight="1">
      <x:c r="A8" s="12" t="str">
        <x:v>VFX-flash-fusil-d-assaut</x:v>
      </x:c>
      <x:c r="B8" s="7" t="str">
        <x:v>Flash fusil d’assaut</x:v>
      </x:c>
      <x:c r="C8" s="10" t="str">
        <x:v>Défini</x:v>
      </x:c>
      <x:c r="D8" s="11" t="str">
        <x:v>À produire</x:v>
      </x:c>
      <x:c r="E8" s="9" t="str">
        <x:v>P1</x:v>
      </x:c>
      <x:c r="F8" s="9" t="str">
        <x:v>ME1</x:v>
      </x:c>
      <x:c r="G8" s="9" t="str">
        <x:v>Adaptation</x:v>
      </x:c>
      <x:c r="H8" s="7" t="str">
        <x:v>Pulsations pendant la rafale.</x:v>
      </x:c>
      <x:c r="I8" s="7" t="str">
        <x:v>Cadence synchronisée avec les impacts.</x:v>
      </x:c>
      <x:c r="J8" s="7" t="str"/>
      <x:c r="K8" s="7" t="str">
        <x:v>assets/vfx/VFX-flash-fusil-d-assaut.json</x:v>
      </x:c>
      <x:c r="L8" s="7" t="str"/>
      <x:c r="M8" s="7" t="str"/>
      <x:c r="N8" s="7" t="str">
        <x:v>Décisions du fan game ; aucune prétention de canon officiel</x:v>
      </x:c>
      <x:c r="O8" s="7" t="str"/>
      <x:c r="P8" s="7" t="str">
        <x:v>Production ME1</x:v>
      </x:c>
      <x:c r="Q8" s="7" t="str"/>
    </x:row>
    <x:row r="9" ht="36" customHeight="1">
      <x:c r="A9" s="13" t="str">
        <x:v>VFX-flash-pompe</x:v>
      </x:c>
      <x:c r="B9" s="14" t="str">
        <x:v>Flash pompe</x:v>
      </x:c>
      <x:c r="C9" s="10" t="str">
        <x:v>Défini</x:v>
      </x:c>
      <x:c r="D9" s="11" t="str">
        <x:v>À produire</x:v>
      </x:c>
      <x:c r="E9" s="15" t="str">
        <x:v>P1</x:v>
      </x:c>
      <x:c r="F9" s="15" t="str">
        <x:v>ME1</x:v>
      </x:c>
      <x:c r="G9" s="15" t="str">
        <x:v>Adaptation</x:v>
      </x:c>
      <x:c r="H9" s="14" t="str">
        <x:v>Départ de coup bref et ample.</x:v>
      </x:c>
      <x:c r="I9" s="14" t="str">
        <x:v>Pas de lumière saturant tout l’écran.</x:v>
      </x:c>
      <x:c r="J9" s="14" t="str"/>
      <x:c r="K9" s="14" t="str">
        <x:v>assets/vfx/VFX-flash-pompe.json</x:v>
      </x:c>
      <x:c r="L9" s="14" t="str"/>
      <x:c r="M9" s="14" t="str"/>
      <x:c r="N9" s="14" t="str">
        <x:v>Décisions du fan game ; aucune prétention de canon officiel</x:v>
      </x:c>
      <x:c r="O9" s="14" t="str"/>
      <x:c r="P9" s="14" t="str">
        <x:v>Production ME1</x:v>
      </x:c>
      <x:c r="Q9" s="14" t="str"/>
    </x:row>
    <x:row r="10" ht="36" customHeight="1">
      <x:c r="A10" s="12" t="str">
        <x:v>VFX-flash-precision</x:v>
      </x:c>
      <x:c r="B10" s="7" t="str">
        <x:v>Flash précision</x:v>
      </x:c>
      <x:c r="C10" s="10" t="str">
        <x:v>Défini</x:v>
      </x:c>
      <x:c r="D10" s="11" t="str">
        <x:v>À produire</x:v>
      </x:c>
      <x:c r="E10" s="9" t="str">
        <x:v>P1</x:v>
      </x:c>
      <x:c r="F10" s="9" t="str">
        <x:v>ME1</x:v>
      </x:c>
      <x:c r="G10" s="9" t="str">
        <x:v>Adaptation</x:v>
      </x:c>
      <x:c r="H10" s="7" t="str">
        <x:v>Départ unique et traînée discrète.</x:v>
      </x:c>
      <x:c r="I10" s="7" t="str">
        <x:v>Ligne de tir correcte en profondeur.</x:v>
      </x:c>
      <x:c r="J10" s="7" t="str"/>
      <x:c r="K10" s="7" t="str">
        <x:v>assets/vfx/VFX-flash-precision.json</x:v>
      </x:c>
      <x:c r="L10" s="7" t="str"/>
      <x:c r="M10" s="7" t="str"/>
      <x:c r="N10" s="7" t="str">
        <x:v>Décisions du fan game ; aucune prétention de canon officiel</x:v>
      </x:c>
      <x:c r="O10" s="7" t="str"/>
      <x:c r="P10" s="7" t="str">
        <x:v>Production ME1</x:v>
      </x:c>
      <x:c r="Q10" s="7" t="str"/>
    </x:row>
    <x:row r="11" ht="36" customHeight="1">
      <x:c r="A11" s="13" t="str">
        <x:v>VFX-impact-metal</x:v>
      </x:c>
      <x:c r="B11" s="14" t="str">
        <x:v>Impact métal</x:v>
      </x:c>
      <x:c r="C11" s="10" t="str">
        <x:v>Défini</x:v>
      </x:c>
      <x:c r="D11" s="11" t="str">
        <x:v>À produire</x:v>
      </x:c>
      <x:c r="E11" s="15" t="str">
        <x:v>P1</x:v>
      </x:c>
      <x:c r="F11" s="15" t="str">
        <x:v>ME1</x:v>
      </x:c>
      <x:c r="G11" s="15" t="str">
        <x:v>Adaptation</x:v>
      </x:c>
      <x:c r="H11" s="14" t="str">
        <x:v>Étincelles sur surface solide.</x:v>
      </x:c>
      <x:c r="I11" s="14" t="str">
        <x:v>Normale de la surface et point d’impact cohérents.</x:v>
      </x:c>
      <x:c r="J11" s="14" t="str"/>
      <x:c r="K11" s="14" t="str">
        <x:v>assets/vfx/VFX-impact-metal.json</x:v>
      </x:c>
      <x:c r="L11" s="14" t="str"/>
      <x:c r="M11" s="14" t="str"/>
      <x:c r="N11" s="14" t="str">
        <x:v>Décisions du fan game ; aucune prétention de canon officiel</x:v>
      </x:c>
      <x:c r="O11" s="14" t="str"/>
      <x:c r="P11" s="14" t="str">
        <x:v>Production ME1</x:v>
      </x:c>
      <x:c r="Q11" s="14" t="str"/>
    </x:row>
    <x:row r="12" ht="36" customHeight="1">
      <x:c r="A12" s="12" t="str">
        <x:v>VFX-impact-organique</x:v>
      </x:c>
      <x:c r="B12" s="7" t="str">
        <x:v>Impact organique</x:v>
      </x:c>
      <x:c r="C12" s="10" t="str">
        <x:v>Défini</x:v>
      </x:c>
      <x:c r="D12" s="11" t="str">
        <x:v>À produire</x:v>
      </x:c>
      <x:c r="E12" s="9" t="str">
        <x:v>P1</x:v>
      </x:c>
      <x:c r="F12" s="9" t="str">
        <x:v>ME1</x:v>
      </x:c>
      <x:c r="G12" s="9" t="str">
        <x:v>Adaptation</x:v>
      </x:c>
      <x:c r="H12" s="7" t="str">
        <x:v>Réaction sobre selon classification de cible.</x:v>
      </x:c>
      <x:c r="I12" s="7" t="str">
        <x:v>Aucune étincelle métallique sur chair par défaut.</x:v>
      </x:c>
      <x:c r="J12" s="7" t="str"/>
      <x:c r="K12" s="7" t="str">
        <x:v>assets/vfx/VFX-impact-organique.json</x:v>
      </x:c>
      <x:c r="L12" s="7" t="str"/>
      <x:c r="M12" s="7" t="str"/>
      <x:c r="N12" s="7" t="str">
        <x:v>Décisions du fan game ; aucune prétention de canon officiel</x:v>
      </x:c>
      <x:c r="O12" s="7" t="str"/>
      <x:c r="P12" s="7" t="str">
        <x:v>Production ME1</x:v>
      </x:c>
      <x:c r="Q12" s="7" t="str"/>
    </x:row>
    <x:row r="13" ht="36" customHeight="1">
      <x:c r="A13" s="13" t="str">
        <x:v>VFX-impact-bouclier</x:v>
      </x:c>
      <x:c r="B13" s="14" t="str">
        <x:v>Impact bouclier</x:v>
      </x:c>
      <x:c r="C13" s="10" t="str">
        <x:v>Défini</x:v>
      </x:c>
      <x:c r="D13" s="11" t="str">
        <x:v>À produire</x:v>
      </x:c>
      <x:c r="E13" s="15" t="str">
        <x:v>P1</x:v>
      </x:c>
      <x:c r="F13" s="15" t="str">
        <x:v>ME1</x:v>
      </x:c>
      <x:c r="G13" s="15" t="str">
        <x:v>Adaptation</x:v>
      </x:c>
      <x:c r="H13" s="14" t="str">
        <x:v>Ondulation protectrice autour de la cible.</x:v>
      </x:c>
      <x:c r="I13" s="14" t="str">
        <x:v>Distinction claire avec dégâts de santé.</x:v>
      </x:c>
      <x:c r="J13" s="14" t="str"/>
      <x:c r="K13" s="14" t="str">
        <x:v>assets/vfx/VFX-impact-bouclier.json</x:v>
      </x:c>
      <x:c r="L13" s="14" t="str"/>
      <x:c r="M13" s="14" t="str"/>
      <x:c r="N13" s="14" t="str">
        <x:v>Décisions du fan game ; aucune prétention de canon officiel</x:v>
      </x:c>
      <x:c r="O13" s="14" t="str"/>
      <x:c r="P13" s="14" t="str">
        <x:v>Production ME1</x:v>
      </x:c>
      <x:c r="Q13" s="14" t="str"/>
    </x:row>
    <x:row r="14" ht="36" customHeight="1">
      <x:c r="A14" s="12" t="str">
        <x:v>VFX-rupture-de-bouclier</x:v>
      </x:c>
      <x:c r="B14" s="7" t="str">
        <x:v>Rupture de bouclier</x:v>
      </x:c>
      <x:c r="C14" s="10" t="str">
        <x:v>Défini</x:v>
      </x:c>
      <x:c r="D14" s="11" t="str">
        <x:v>À produire</x:v>
      </x:c>
      <x:c r="E14" s="9" t="str">
        <x:v>P1</x:v>
      </x:c>
      <x:c r="F14" s="9" t="str">
        <x:v>ME1</x:v>
      </x:c>
      <x:c r="G14" s="9" t="str">
        <x:v>Adaptation</x:v>
      </x:c>
      <x:c r="H14" s="7" t="str">
        <x:v>Effet court signalant la vulnérabilité.</x:v>
      </x:c>
      <x:c r="I14" s="7" t="str">
        <x:v>Jauge et effet synchronisés.</x:v>
      </x:c>
      <x:c r="J14" s="7" t="str"/>
      <x:c r="K14" s="7" t="str">
        <x:v>assets/vfx/VFX-rupture-de-bouclier.json</x:v>
      </x:c>
      <x:c r="L14" s="7" t="str"/>
      <x:c r="M14" s="7" t="str"/>
      <x:c r="N14" s="7" t="str">
        <x:v>Décisions du fan game ; aucune prétention de canon officiel</x:v>
      </x:c>
      <x:c r="O14" s="7" t="str"/>
      <x:c r="P14" s="7" t="str">
        <x:v>Production ME1</x:v>
      </x:c>
      <x:c r="Q14" s="7" t="str"/>
    </x:row>
    <x:row r="15" ht="36" customHeight="1">
      <x:c r="A15" s="13" t="str">
        <x:v>VFX-chauffe-d-arme</x:v>
      </x:c>
      <x:c r="B15" s="14" t="str">
        <x:v>Chauffe d’arme</x:v>
      </x:c>
      <x:c r="C15" s="10" t="str">
        <x:v>Défini</x:v>
      </x:c>
      <x:c r="D15" s="11" t="str">
        <x:v>À produire</x:v>
      </x:c>
      <x:c r="E15" s="15" t="str">
        <x:v>P1</x:v>
      </x:c>
      <x:c r="F15" s="15" t="str">
        <x:v>ME1</x:v>
      </x:c>
      <x:c r="G15" s="15" t="str">
        <x:v>Adaptation</x:v>
      </x:c>
      <x:c r="H15" s="14" t="str">
        <x:v>Lueur ou vapeur légère en surchauffe.</x:v>
      </x:c>
      <x:c r="I15" s="14" t="str">
        <x:v>Visible sans confondre avec un rechargement.</x:v>
      </x:c>
      <x:c r="J15" s="14" t="str"/>
      <x:c r="K15" s="14" t="str">
        <x:v>assets/vfx/VFX-chauffe-d-arme.json</x:v>
      </x:c>
      <x:c r="L15" s="14" t="str"/>
      <x:c r="M15" s="14" t="str"/>
      <x:c r="N15" s="14" t="str">
        <x:v>Décisions du fan game ; aucune prétention de canon officiel</x:v>
      </x:c>
      <x:c r="O15" s="14" t="str"/>
      <x:c r="P15" s="14" t="str">
        <x:v>Production ME1</x:v>
      </x:c>
      <x:c r="Q15" s="14" t="str"/>
    </x:row>
    <x:row r="16" ht="36" customHeight="1">
      <x:c r="A16" s="12" t="str">
        <x:v>VFX-grenade</x:v>
      </x:c>
      <x:c r="B16" s="7" t="str">
        <x:v>Grenade</x:v>
      </x:c>
      <x:c r="C16" s="10" t="str">
        <x:v>Défini</x:v>
      </x:c>
      <x:c r="D16" s="11" t="str">
        <x:v>À produire</x:v>
      </x:c>
      <x:c r="E16" s="9" t="str">
        <x:v>P1</x:v>
      </x:c>
      <x:c r="F16" s="9" t="str">
        <x:v>ME1</x:v>
      </x:c>
      <x:c r="G16" s="9" t="str">
        <x:v>Adaptation</x:v>
      </x:c>
      <x:c r="H16" s="7" t="str">
        <x:v>Trajectoire, lueur et explosion.</x:v>
      </x:c>
      <x:c r="I16" s="7" t="str">
        <x:v>Zone effective identique à la zone annoncée.</x:v>
      </x:c>
      <x:c r="J16" s="7" t="str"/>
      <x:c r="K16" s="7" t="str">
        <x:v>assets/vfx/VFX-grenade.json</x:v>
      </x:c>
      <x:c r="L16" s="7" t="str"/>
      <x:c r="M16" s="7" t="str"/>
      <x:c r="N16" s="7" t="str">
        <x:v>Décisions du fan game ; aucune prétention de canon officiel</x:v>
      </x:c>
      <x:c r="O16" s="7" t="str"/>
      <x:c r="P16" s="7" t="str">
        <x:v>Production ME1</x:v>
      </x:c>
      <x:c r="Q16" s="7" t="str"/>
    </x:row>
    <x:row r="17" ht="36" customHeight="1">
      <x:c r="A17" s="13" t="str">
        <x:v>VFX-surcharge</x:v>
      </x:c>
      <x:c r="B17" s="14" t="str">
        <x:v>Surcharge</x:v>
      </x:c>
      <x:c r="C17" s="10" t="str">
        <x:v>Défini</x:v>
      </x:c>
      <x:c r="D17" s="11" t="str">
        <x:v>À produire</x:v>
      </x:c>
      <x:c r="E17" s="15" t="str">
        <x:v>P1</x:v>
      </x:c>
      <x:c r="F17" s="15" t="str">
        <x:v>ME1</x:v>
      </x:c>
      <x:c r="G17" s="15" t="str">
        <x:v>Adaptation</x:v>
      </x:c>
      <x:c r="H17" s="14" t="str">
        <x:v>Arc technologique bleu.</x:v>
      </x:c>
      <x:c r="I17" s="14" t="str">
        <x:v>Liens spatiaux propres et durée courte.</x:v>
      </x:c>
      <x:c r="J17" s="14" t="str"/>
      <x:c r="K17" s="14" t="str">
        <x:v>assets/vfx/VFX-surcharge.json</x:v>
      </x:c>
      <x:c r="L17" s="14" t="str"/>
      <x:c r="M17" s="14" t="str"/>
      <x:c r="N17" s="14" t="str">
        <x:v>Décisions du fan game ; aucune prétention de canon officiel</x:v>
      </x:c>
      <x:c r="O17" s="14" t="str"/>
      <x:c r="P17" s="14" t="str">
        <x:v>Production ME1</x:v>
      </x:c>
      <x:c r="Q17" s="14" t="str"/>
    </x:row>
    <x:row r="18" ht="36" customHeight="1">
      <x:c r="A18" s="12" t="str">
        <x:v>VFX-sabotage</x:v>
      </x:c>
      <x:c r="B18" s="7" t="str">
        <x:v>Sabotage</x:v>
      </x:c>
      <x:c r="C18" s="10" t="str">
        <x:v>Défini</x:v>
      </x:c>
      <x:c r="D18" s="11" t="str">
        <x:v>À produire</x:v>
      </x:c>
      <x:c r="E18" s="9" t="str">
        <x:v>P1</x:v>
      </x:c>
      <x:c r="F18" s="9" t="str">
        <x:v>ME1</x:v>
      </x:c>
      <x:c r="G18" s="9" t="str">
        <x:v>Adaptation</x:v>
      </x:c>
      <x:c r="H18" s="7" t="str">
        <x:v>Perturbation d’arme et signaux d’erreur.</x:v>
      </x:c>
      <x:c r="I18" s="7" t="str">
        <x:v>Cible et état de silence correctement associés.</x:v>
      </x:c>
      <x:c r="J18" s="7" t="str"/>
      <x:c r="K18" s="7" t="str">
        <x:v>assets/vfx/VFX-sabotage.json</x:v>
      </x:c>
      <x:c r="L18" s="7" t="str"/>
      <x:c r="M18" s="7" t="str"/>
      <x:c r="N18" s="7" t="str">
        <x:v>Décisions du fan game ; aucune prétention de canon officiel</x:v>
      </x:c>
      <x:c r="O18" s="7" t="str"/>
      <x:c r="P18" s="7" t="str">
        <x:v>Production ME1</x:v>
      </x:c>
      <x:c r="Q18" s="7" t="str"/>
    </x:row>
    <x:row r="19" ht="36" customHeight="1">
      <x:c r="A19" s="13" t="str">
        <x:v>VFX-piratage</x:v>
      </x:c>
      <x:c r="B19" s="14" t="str">
        <x:v>Piratage</x:v>
      </x:c>
      <x:c r="C19" s="10" t="str">
        <x:v>Défini</x:v>
      </x:c>
      <x:c r="D19" s="11" t="str">
        <x:v>À produire</x:v>
      </x:c>
      <x:c r="E19" s="15" t="str">
        <x:v>P1</x:v>
      </x:c>
      <x:c r="F19" s="15" t="str">
        <x:v>ME1</x:v>
      </x:c>
      <x:c r="G19" s="15" t="str">
        <x:v>Adaptation</x:v>
      </x:c>
      <x:c r="H19" s="14" t="str">
        <x:v>Surbrillance temporaire d’un synthétique.</x:v>
      </x:c>
      <x:c r="I19" s="14" t="str">
        <x:v>Camp temporaire lisible sans recoloration définitive.</x:v>
      </x:c>
      <x:c r="J19" s="14" t="str"/>
      <x:c r="K19" s="14" t="str">
        <x:v>assets/vfx/VFX-piratage.json</x:v>
      </x:c>
      <x:c r="L19" s="14" t="str"/>
      <x:c r="M19" s="14" t="str"/>
      <x:c r="N19" s="14" t="str">
        <x:v>Décisions du fan game ; aucune prétention de canon officiel</x:v>
      </x:c>
      <x:c r="O19" s="14" t="str"/>
      <x:c r="P19" s="14" t="str">
        <x:v>Production ME1</x:v>
      </x:c>
      <x:c r="Q19" s="14" t="str"/>
    </x:row>
    <x:row r="20" ht="36" customHeight="1">
      <x:c r="A20" s="12" t="str">
        <x:v>VFX-projection</x:v>
      </x:c>
      <x:c r="B20" s="7" t="str">
        <x:v>Projection</x:v>
      </x:c>
      <x:c r="C20" s="10" t="str">
        <x:v>Défini</x:v>
      </x:c>
      <x:c r="D20" s="11" t="str">
        <x:v>À produire</x:v>
      </x:c>
      <x:c r="E20" s="9" t="str">
        <x:v>P1</x:v>
      </x:c>
      <x:c r="F20" s="9" t="str">
        <x:v>ME1</x:v>
      </x:c>
      <x:c r="G20" s="9" t="str">
        <x:v>Adaptation</x:v>
      </x:c>
      <x:c r="H20" s="7" t="str">
        <x:v>Onde biotique et impulsion.</x:v>
      </x:c>
      <x:c r="I20" s="7" t="str">
        <x:v>Objet déplacé suit la même direction.</x:v>
      </x:c>
      <x:c r="J20" s="7" t="str"/>
      <x:c r="K20" s="7" t="str">
        <x:v>assets/vfx/VFX-projection.json</x:v>
      </x:c>
      <x:c r="L20" s="7" t="str"/>
      <x:c r="M20" s="7" t="str"/>
      <x:c r="N20" s="7" t="str">
        <x:v>Décisions du fan game ; aucune prétention de canon officiel</x:v>
      </x:c>
      <x:c r="O20" s="7" t="str"/>
      <x:c r="P20" s="7" t="str">
        <x:v>Production ME1</x:v>
      </x:c>
      <x:c r="Q20" s="7" t="str"/>
    </x:row>
    <x:row r="21" ht="36" customHeight="1">
      <x:c r="A21" s="13" t="str">
        <x:v>VFX-levitation</x:v>
      </x:c>
      <x:c r="B21" s="14" t="str">
        <x:v>Lévitation</x:v>
      </x:c>
      <x:c r="C21" s="10" t="str">
        <x:v>Défini</x:v>
      </x:c>
      <x:c r="D21" s="11" t="str">
        <x:v>À produire</x:v>
      </x:c>
      <x:c r="E21" s="15" t="str">
        <x:v>P1</x:v>
      </x:c>
      <x:c r="F21" s="15" t="str">
        <x:v>ME1</x:v>
      </x:c>
      <x:c r="G21" s="15" t="str">
        <x:v>Adaptation</x:v>
      </x:c>
      <x:c r="H21" s="14" t="str">
        <x:v>Aura et particules sous la cible.</x:v>
      </x:c>
      <x:c r="I21" s="14" t="str">
        <x:v>Ombre reste au sol pendant l’élévation.</x:v>
      </x:c>
      <x:c r="J21" s="14" t="str"/>
      <x:c r="K21" s="14" t="str">
        <x:v>assets/vfx/VFX-levitation.json</x:v>
      </x:c>
      <x:c r="L21" s="14" t="str"/>
      <x:c r="M21" s="14" t="str"/>
      <x:c r="N21" s="14" t="str">
        <x:v>Décisions du fan game ; aucune prétention de canon officiel</x:v>
      </x:c>
      <x:c r="O21" s="14" t="str"/>
      <x:c r="P21" s="14" t="str">
        <x:v>Production ME1</x:v>
      </x:c>
      <x:c r="Q21" s="14" t="str"/>
    </x:row>
    <x:row r="22" ht="36" customHeight="1">
      <x:c r="A22" s="12" t="str">
        <x:v>VFX-dechirure</x:v>
      </x:c>
      <x:c r="B22" s="7" t="str">
        <x:v>Déchirure</x:v>
      </x:c>
      <x:c r="C22" s="10" t="str">
        <x:v>Défini</x:v>
      </x:c>
      <x:c r="D22" s="11" t="str">
        <x:v>À produire</x:v>
      </x:c>
      <x:c r="E22" s="9" t="str">
        <x:v>P1</x:v>
      </x:c>
      <x:c r="F22" s="9" t="str">
        <x:v>ME1</x:v>
      </x:c>
      <x:c r="G22" s="9" t="str">
        <x:v>Adaptation</x:v>
      </x:c>
      <x:c r="H22" s="7" t="str">
        <x:v>Champ biotique persistant.</x:v>
      </x:c>
      <x:c r="I22" s="7" t="str">
        <x:v>Dégâts périodiques et durée concordants.</x:v>
      </x:c>
      <x:c r="J22" s="7" t="str"/>
      <x:c r="K22" s="7" t="str">
        <x:v>assets/vfx/VFX-dechirure.json</x:v>
      </x:c>
      <x:c r="L22" s="7" t="str"/>
      <x:c r="M22" s="7" t="str"/>
      <x:c r="N22" s="7" t="str">
        <x:v>Décisions du fan game ; aucune prétention de canon officiel</x:v>
      </x:c>
      <x:c r="O22" s="7" t="str"/>
      <x:c r="P22" s="7" t="str">
        <x:v>Production ME1</x:v>
      </x:c>
      <x:c r="Q22" s="7" t="str"/>
    </x:row>
    <x:row r="23" ht="36" customHeight="1">
      <x:c r="A23" s="13" t="str">
        <x:v>VFX-singularite</x:v>
      </x:c>
      <x:c r="B23" s="14" t="str">
        <x:v>Singularité</x:v>
      </x:c>
      <x:c r="C23" s="10" t="str">
        <x:v>Défini</x:v>
      </x:c>
      <x:c r="D23" s="11" t="str">
        <x:v>À produire</x:v>
      </x:c>
      <x:c r="E23" s="15" t="str">
        <x:v>P1</x:v>
      </x:c>
      <x:c r="F23" s="15" t="str">
        <x:v>ME1</x:v>
      </x:c>
      <x:c r="G23" s="15" t="str">
        <x:v>Adaptation</x:v>
      </x:c>
      <x:c r="H23" s="14" t="str">
        <x:v>Noyau, distorsion et orbites.</x:v>
      </x:c>
      <x:c r="I23" s="14" t="str">
        <x:v>Champ reste lisible sans cacher les commandes.</x:v>
      </x:c>
      <x:c r="J23" s="14" t="str"/>
      <x:c r="K23" s="14" t="str">
        <x:v>assets/vfx/VFX-singularite.json</x:v>
      </x:c>
      <x:c r="L23" s="14" t="str"/>
      <x:c r="M23" s="14" t="str"/>
      <x:c r="N23" s="14" t="str">
        <x:v>Décisions du fan game ; aucune prétention de canon officiel</x:v>
      </x:c>
      <x:c r="O23" s="14" t="str"/>
      <x:c r="P23" s="14" t="str">
        <x:v>Production ME1</x:v>
      </x:c>
      <x:c r="Q23" s="14" t="str"/>
    </x:row>
    <x:row r="24" ht="36" customHeight="1">
      <x:c r="A24" s="12" t="str">
        <x:v>VFX-barriere</x:v>
      </x:c>
      <x:c r="B24" s="7" t="str">
        <x:v>Barrière</x:v>
      </x:c>
      <x:c r="C24" s="10" t="str">
        <x:v>Défini</x:v>
      </x:c>
      <x:c r="D24" s="11" t="str">
        <x:v>À produire</x:v>
      </x:c>
      <x:c r="E24" s="9" t="str">
        <x:v>P1</x:v>
      </x:c>
      <x:c r="F24" s="9" t="str">
        <x:v>ME1</x:v>
      </x:c>
      <x:c r="G24" s="9" t="str">
        <x:v>Adaptation</x:v>
      </x:c>
      <x:c r="H24" s="7" t="str">
        <x:v>Protection violette autour du personnage.</x:v>
      </x:c>
      <x:c r="I24" s="7" t="str">
        <x:v>Priorité visuelle distincte du bouclier technologique.</x:v>
      </x:c>
      <x:c r="J24" s="7" t="str"/>
      <x:c r="K24" s="7" t="str">
        <x:v>assets/vfx/VFX-barriere.json</x:v>
      </x:c>
      <x:c r="L24" s="7" t="str"/>
      <x:c r="M24" s="7" t="str"/>
      <x:c r="N24" s="7" t="str">
        <x:v>Décisions du fan game ; aucune prétention de canon officiel</x:v>
      </x:c>
      <x:c r="O24" s="7" t="str"/>
      <x:c r="P24" s="7" t="str">
        <x:v>Production ME1</x:v>
      </x:c>
      <x:c r="Q24" s="7" t="str"/>
    </x:row>
    <x:row r="25" ht="36" customHeight="1">
      <x:c r="A25" s="13" t="str">
        <x:v>VFX-stase</x:v>
      </x:c>
      <x:c r="B25" s="14" t="str">
        <x:v>Stase</x:v>
      </x:c>
      <x:c r="C25" s="10" t="str">
        <x:v>Défini</x:v>
      </x:c>
      <x:c r="D25" s="11" t="str">
        <x:v>À produire</x:v>
      </x:c>
      <x:c r="E25" s="15" t="str">
        <x:v>P1</x:v>
      </x:c>
      <x:c r="F25" s="15" t="str">
        <x:v>ME1</x:v>
      </x:c>
      <x:c r="G25" s="15" t="str">
        <x:v>Adaptation</x:v>
      </x:c>
      <x:c r="H25" s="14" t="str">
        <x:v>Immobilisation lumineuse.</x:v>
      </x:c>
      <x:c r="I25" s="14" t="str">
        <x:v>Communiquer aussi l’immunité aux dégâts applicable.</x:v>
      </x:c>
      <x:c r="J25" s="14" t="str"/>
      <x:c r="K25" s="14" t="str">
        <x:v>assets/vfx/VFX-stase.json</x:v>
      </x:c>
      <x:c r="L25" s="14" t="str"/>
      <x:c r="M25" s="14" t="str"/>
      <x:c r="N25" s="14" t="str">
        <x:v>Décisions du fan game ; aucune prétention de canon officiel</x:v>
      </x:c>
      <x:c r="O25" s="14" t="str"/>
      <x:c r="P25" s="14" t="str">
        <x:v>Production ME1</x:v>
      </x:c>
      <x:c r="Q25" s="14" t="str"/>
    </x:row>
    <x:row r="26" ht="36" customHeight="1">
      <x:c r="A26" s="12" t="str">
        <x:v>VFX-medi-gel</x:v>
      </x:c>
      <x:c r="B26" s="7" t="str">
        <x:v>Médi-gel</x:v>
      </x:c>
      <x:c r="C26" s="10" t="str">
        <x:v>Défini</x:v>
      </x:c>
      <x:c r="D26" s="11" t="str">
        <x:v>À produire</x:v>
      </x:c>
      <x:c r="E26" s="9" t="str">
        <x:v>P1</x:v>
      </x:c>
      <x:c r="F26" s="9" t="str">
        <x:v>ME1</x:v>
      </x:c>
      <x:c r="G26" s="9" t="str">
        <x:v>Adaptation</x:v>
      </x:c>
      <x:c r="H26" s="7" t="str">
        <x:v>Effet de soin discret.</x:v>
      </x:c>
      <x:c r="I26" s="7" t="str">
        <x:v>Aucun effet de résurrection narrative.</x:v>
      </x:c>
      <x:c r="J26" s="7" t="str"/>
      <x:c r="K26" s="7" t="str">
        <x:v>assets/vfx/VFX-medi-gel.json</x:v>
      </x:c>
      <x:c r="L26" s="7" t="str"/>
      <x:c r="M26" s="7" t="str"/>
      <x:c r="N26" s="7" t="str">
        <x:v>Décisions du fan game ; aucune prétention de canon officiel</x:v>
      </x:c>
      <x:c r="O26" s="7" t="str"/>
      <x:c r="P26" s="7" t="str">
        <x:v>Production ME1</x:v>
      </x:c>
      <x:c r="Q26" s="7" t="str"/>
    </x:row>
    <x:row r="27" ht="36" customHeight="1">
      <x:c r="A27" s="13" t="str">
        <x:v>VFX-hologramme</x:v>
      </x:c>
      <x:c r="B27" s="14" t="str">
        <x:v>Hologramme</x:v>
      </x:c>
      <x:c r="C27" s="10" t="str">
        <x:v>Défini</x:v>
      </x:c>
      <x:c r="D27" s="11" t="str">
        <x:v>À produire</x:v>
      </x:c>
      <x:c r="E27" s="15" t="str">
        <x:v>P1</x:v>
      </x:c>
      <x:c r="F27" s="15" t="str">
        <x:v>ME1</x:v>
      </x:c>
      <x:c r="G27" s="15" t="str">
        <x:v>Adaptation</x:v>
      </x:c>
      <x:c r="H27" s="14" t="str">
        <x:v>Balayage et émission de console.</x:v>
      </x:c>
      <x:c r="I27" s="14" t="str">
        <x:v>Intensité adaptée au décor.</x:v>
      </x:c>
      <x:c r="J27" s="14" t="str"/>
      <x:c r="K27" s="14" t="str">
        <x:v>assets/vfx/VFX-hologramme.json</x:v>
      </x:c>
      <x:c r="L27" s="14" t="str"/>
      <x:c r="M27" s="14" t="str"/>
      <x:c r="N27" s="14" t="str">
        <x:v>Décisions du fan game ; aucune prétention de canon officiel</x:v>
      </x:c>
      <x:c r="O27" s="14" t="str"/>
      <x:c r="P27" s="14" t="str">
        <x:v>Production ME1</x:v>
      </x:c>
      <x:c r="Q27" s="14" t="str"/>
    </x:row>
    <x:row r="28" ht="36" customHeight="1">
      <x:c r="A28" s="12" t="str">
        <x:v>VFX-balise-protheenne</x:v>
      </x:c>
      <x:c r="B28" s="7" t="str">
        <x:v>Balise prothéenne</x:v>
      </x:c>
      <x:c r="C28" s="10" t="str">
        <x:v>Défini</x:v>
      </x:c>
      <x:c r="D28" s="11" t="str">
        <x:v>À produire</x:v>
      </x:c>
      <x:c r="E28" s="9" t="str">
        <x:v>P1</x:v>
      </x:c>
      <x:c r="F28" s="9" t="str">
        <x:v>ME1</x:v>
      </x:c>
      <x:c r="G28" s="9" t="str">
        <x:v>Adaptation</x:v>
      </x:c>
      <x:c r="H28" s="7" t="str">
        <x:v>Énergie et vision du prologue.</x:v>
      </x:c>
      <x:c r="I28" s="7" t="str">
        <x:v>Option de réduire les flashs.</x:v>
      </x:c>
      <x:c r="J28" s="7" t="str"/>
      <x:c r="K28" s="7" t="str">
        <x:v>assets/vfx/VFX-balise-protheenne.json</x:v>
      </x:c>
      <x:c r="L28" s="7" t="str"/>
      <x:c r="M28" s="7" t="str"/>
      <x:c r="N28" s="7" t="str">
        <x:v>Décisions du fan game ; aucune prétention de canon officiel</x:v>
      </x:c>
      <x:c r="O28" s="7" t="str"/>
      <x:c r="P28" s="7" t="str">
        <x:v>Production ME1</x:v>
      </x:c>
      <x:c r="Q28" s="7" t="str"/>
    </x:row>
    <x:row r="29" ht="36" customHeight="1">
      <x:c r="A29" s="13" t="str">
        <x:v>VFX-tempete-noveria</x:v>
      </x:c>
      <x:c r="B29" s="14" t="str">
        <x:v>Tempête Noveria</x:v>
      </x:c>
      <x:c r="C29" s="10" t="str">
        <x:v>Défini</x:v>
      </x:c>
      <x:c r="D29" s="11" t="str">
        <x:v>À produire</x:v>
      </x:c>
      <x:c r="E29" s="15" t="str">
        <x:v>P1</x:v>
      </x:c>
      <x:c r="F29" s="15" t="str">
        <x:v>ME1</x:v>
      </x:c>
      <x:c r="G29" s="15" t="str">
        <x:v>Adaptation</x:v>
      </x:c>
      <x:c r="H29" s="14" t="str">
        <x:v>Neige, vent et voile de distance.</x:v>
      </x:c>
      <x:c r="I29" s="14" t="str">
        <x:v>Silhouettes et sorties restent visibles.</x:v>
      </x:c>
      <x:c r="J29" s="14" t="str"/>
      <x:c r="K29" s="14" t="str">
        <x:v>assets/vfx/VFX-tempete-noveria.json</x:v>
      </x:c>
      <x:c r="L29" s="14" t="str"/>
      <x:c r="M29" s="14" t="str"/>
      <x:c r="N29" s="14" t="str">
        <x:v>Décisions du fan game ; aucune prétention de canon officiel</x:v>
      </x:c>
      <x:c r="O29" s="14" t="str"/>
      <x:c r="P29" s="14" t="str">
        <x:v>Production ME1</x:v>
      </x:c>
      <x:c r="Q29" s="14" t="str"/>
    </x:row>
    <x:row r="30" ht="36" customHeight="1">
      <x:c r="A30" s="12" t="str">
        <x:v>VFX-fumee-eden-prime</x:v>
      </x:c>
      <x:c r="B30" s="7" t="str">
        <x:v>Fumée Eden Prime</x:v>
      </x:c>
      <x:c r="C30" s="10" t="str">
        <x:v>Défini</x:v>
      </x:c>
      <x:c r="D30" s="11" t="str">
        <x:v>À produire</x:v>
      </x:c>
      <x:c r="E30" s="9" t="str">
        <x:v>P1</x:v>
      </x:c>
      <x:c r="F30" s="9" t="str">
        <x:v>ME1</x:v>
      </x:c>
      <x:c r="G30" s="9" t="str">
        <x:v>Adaptation</x:v>
      </x:c>
      <x:c r="H30" s="7" t="str">
        <x:v>Particules volumétriques de bataille.</x:v>
      </x:c>
      <x:c r="I30" s="7" t="str">
        <x:v>Chemins et ennemis ne disparaissent pas derrière un mur opaque.</x:v>
      </x:c>
      <x:c r="J30" s="7" t="str"/>
      <x:c r="K30" s="7" t="str">
        <x:v>assets/vfx/VFX-fumee-eden-prime.json</x:v>
      </x:c>
      <x:c r="L30" s="7" t="str"/>
      <x:c r="M30" s="7" t="str"/>
      <x:c r="N30" s="7" t="str">
        <x:v>Décisions du fan game ; aucune prétention de canon officiel</x:v>
      </x:c>
      <x:c r="O30" s="7" t="str"/>
      <x:c r="P30" s="7" t="str">
        <x:v>Production ME1</x:v>
      </x:c>
      <x:c r="Q30" s="7" t="str"/>
    </x:row>
    <x:row r="31" ht="36" customHeight="1">
      <x:c r="A31" s="13" t="str">
        <x:v>VFX-lave-therum</x:v>
      </x:c>
      <x:c r="B31" s="14" t="str">
        <x:v>Lave Therum</x:v>
      </x:c>
      <x:c r="C31" s="10" t="str">
        <x:v>Défini</x:v>
      </x:c>
      <x:c r="D31" s="11" t="str">
        <x:v>À produire</x:v>
      </x:c>
      <x:c r="E31" s="15" t="str">
        <x:v>P1</x:v>
      </x:c>
      <x:c r="F31" s="15" t="str">
        <x:v>ME1</x:v>
      </x:c>
      <x:c r="G31" s="15" t="str">
        <x:v>Adaptation</x:v>
      </x:c>
      <x:c r="H31" s="14" t="str">
        <x:v>Émission et convection.</x:v>
      </x:c>
      <x:c r="I31" s="14" t="str">
        <x:v>Risque spatial stable, pas de flicker.</x:v>
      </x:c>
      <x:c r="J31" s="14" t="str"/>
      <x:c r="K31" s="14" t="str">
        <x:v>assets/vfx/VFX-lave-therum.json</x:v>
      </x:c>
      <x:c r="L31" s="14" t="str"/>
      <x:c r="M31" s="14" t="str"/>
      <x:c r="N31" s="14" t="str">
        <x:v>Décisions du fan game ; aucune prétention de canon officiel</x:v>
      </x:c>
      <x:c r="O31" s="14" t="str"/>
      <x:c r="P31" s="14" t="str">
        <x:v>Production ME1</x:v>
      </x:c>
      <x:c r="Q31" s="14" t="str"/>
    </x:row>
    <x:row r="32" ht="36" customHeight="1">
      <x:c r="A32" s="12" t="str">
        <x:v>VFX-conduit</x:v>
      </x:c>
      <x:c r="B32" s="7" t="str">
        <x:v>Conduit</x:v>
      </x:c>
      <x:c r="C32" s="10" t="str">
        <x:v>Défini</x:v>
      </x:c>
      <x:c r="D32" s="11" t="str">
        <x:v>À produire</x:v>
      </x:c>
      <x:c r="E32" s="9" t="str">
        <x:v>P1</x:v>
      </x:c>
      <x:c r="F32" s="9" t="str">
        <x:v>ME1</x:v>
      </x:c>
      <x:c r="G32" s="9" t="str">
        <x:v>Adaptation</x:v>
      </x:c>
      <x:c r="H32" s="7" t="str">
        <x:v>Distorsion de passage à grande échelle.</x:v>
      </x:c>
      <x:c r="I32" s="7" t="str">
        <x:v>Transition visuelle sans frames de vide.</x:v>
      </x:c>
      <x:c r="J32" s="7" t="str"/>
      <x:c r="K32" s="7" t="str">
        <x:v>assets/vfx/VFX-conduit.json</x:v>
      </x:c>
      <x:c r="L32" s="7" t="str"/>
      <x:c r="M32" s="7" t="str"/>
      <x:c r="N32" s="7" t="str">
        <x:v>Décisions du fan game ; aucune prétention de canon officiel</x:v>
      </x:c>
      <x:c r="O32" s="7" t="str"/>
      <x:c r="P32" s="7" t="str">
        <x:v>Production ME1</x:v>
      </x:c>
      <x:c r="Q32" s="7" t="str"/>
    </x:row>
  </x:sheetData>
  <x:conditionalFormatting sqref="C7:C32">
    <x:cfRule type="cellIs" dxfId="365" priority="1" operator="equal">
      <x:formula>"Prototype"</x:formula>
    </x:cfRule>
    <x:cfRule type="cellIs" dxfId="366" priority="2" operator="equal">
      <x:formula>"Intégré"</x:formula>
    </x:cfRule>
    <x:cfRule type="cellIs" dxfId="367" priority="3" operator="equal">
      <x:formula>"Validé"</x:formula>
    </x:cfRule>
  </x:conditionalFormatting>
  <x:conditionalFormatting sqref="G7:G32">
    <x:cfRule type="cellIs" dxfId="368" priority="4" operator="equal">
      <x:formula>"Référence à vérifier"</x:formula>
    </x:cfRule>
  </x:conditionalFormatting>
  <x:conditionalFormatting sqref="E7:E32">
    <x:cfRule type="cellIs" dxfId="369" priority="5" operator="equal">
      <x:formula>"P0"</x:formula>
    </x:cfRule>
  </x:conditionalFormatting>
  <x:dataValidations count="5">
    <x:dataValidation type="list" sqref="C7:C32">
      <x:formula1>"Défini,Prototype,Intégré,Validé"</x:formula1>
    </x:dataValidation>
    <x:dataValidation type="list" sqref="D7:D32">
      <x:formula1>"À produire,Prototype,Disponible,Validé,Sans objet,Non planifié"</x:formula1>
    </x:dataValidation>
    <x:dataValidation type="list" sqref="E7:E32">
      <x:formula1>"P0,P1,P2"</x:formula1>
    </x:dataValidation>
    <x:dataValidation type="list" sqref="F7:F32">
      <x:formula1>"ME1,ME2,ME3,TRANSVERSE"</x:formula1>
    </x:dataValidation>
    <x:dataValidation type="list" sqref="G7:G32">
      <x:formula1>"Confirmé,Référence à vérifier,Adaptation"</x:formula1>
    </x:dataValidation>
  </x:dataValidations>
  <x:pageMargins left="0.7" right="0.7" top="0.75" bottom="0.75" header="0.3" footer="0.3"/>
  <x:tableParts count="1">
    <x:tablePart xmlns:r="http://schemas.openxmlformats.org/officeDocument/2006/relationships" r:id="R1587f8f968424ab7"/>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Audio</x:v>
      </x:c>
      <x:c r="B2" s="2"/>
      <x:c r="C2" s="2"/>
      <x:c r="D2" s="2"/>
      <x:c r="E2" s="2"/>
      <x:c r="F2" s="2"/>
      <x:c r="G2" s="2"/>
      <x:c r="H2" s="2"/>
      <x:c r="I2" s="2"/>
      <x:c r="J2" s="2"/>
      <x:c r="K2" s="2"/>
      <x:c r="L2" s="2"/>
      <x:c r="M2" s="2"/>
      <x:c r="N2" s="2"/>
      <x:c r="O2" s="2"/>
      <x:c r="P2" s="2"/>
      <x:c r="Q2" s="2"/>
    </x:row>
    <x:row r="3" ht="22" customHeight="1">
      <x:c r="A3" s="4" t="str">
        <x:v>Ambiances, effets et musique originale</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AUD-ambiance-normandy</x:v>
      </x:c>
      <x:c r="B7" s="14" t="str">
        <x:v>Ambiance Normandy</x:v>
      </x:c>
      <x:c r="C7" s="10" t="str">
        <x:v>Défini</x:v>
      </x:c>
      <x:c r="D7" s="11" t="str">
        <x:v>À produire</x:v>
      </x:c>
      <x:c r="E7" s="15" t="str">
        <x:v>P1</x:v>
      </x:c>
      <x:c r="F7" s="15" t="str">
        <x:v>ME1</x:v>
      </x:c>
      <x:c r="G7" s="15" t="str">
        <x:v>Adaptation</x:v>
      </x:c>
      <x:c r="H7" s="14" t="str">
        <x:v>Ventilation, propulsion et électronique discrète.</x:v>
      </x:c>
      <x:c r="I7" s="14" t="str">
        <x:v>Boucles sans coupure et mix adapté au dialogue.</x:v>
      </x:c>
      <x:c r="J7" s="14" t="str"/>
      <x:c r="K7" s="14" t="str">
        <x:v>assets/audio/AUD-ambiance-normandy.ogg</x:v>
      </x:c>
      <x:c r="L7" s="14" t="str"/>
      <x:c r="M7" s="14" t="str"/>
      <x:c r="N7" s="14" t="str">
        <x:v>Décisions du fan game ; aucune prétention de canon officiel</x:v>
      </x:c>
      <x:c r="O7" s="14" t="str"/>
      <x:c r="P7" s="14" t="str">
        <x:v>Production ME1</x:v>
      </x:c>
      <x:c r="Q7" s="14" t="str"/>
    </x:row>
    <x:row r="8" ht="36" customHeight="1">
      <x:c r="A8" s="12" t="str">
        <x:v>AUD-ambiance-cockpit</x:v>
      </x:c>
      <x:c r="B8" s="7" t="str">
        <x:v>Ambiance cockpit</x:v>
      </x:c>
      <x:c r="C8" s="10" t="str">
        <x:v>Défini</x:v>
      </x:c>
      <x:c r="D8" s="11" t="str">
        <x:v>À produire</x:v>
      </x:c>
      <x:c r="E8" s="9" t="str">
        <x:v>P1</x:v>
      </x:c>
      <x:c r="F8" s="9" t="str">
        <x:v>ME1</x:v>
      </x:c>
      <x:c r="G8" s="9" t="str">
        <x:v>Adaptation</x:v>
      </x:c>
      <x:c r="H8" s="7" t="str">
        <x:v>Signaux de navigation et fond spatial.</x:v>
      </x:c>
      <x:c r="I8" s="7" t="str">
        <x:v>Pas d’alarme de combat permanente.</x:v>
      </x:c>
      <x:c r="J8" s="7" t="str"/>
      <x:c r="K8" s="7" t="str">
        <x:v>assets/audio/AUD-ambiance-cockpit.ogg</x:v>
      </x:c>
      <x:c r="L8" s="7" t="str"/>
      <x:c r="M8" s="7" t="str"/>
      <x:c r="N8" s="7" t="str">
        <x:v>Décisions du fan game ; aucune prétention de canon officiel</x:v>
      </x:c>
      <x:c r="O8" s="7" t="str"/>
      <x:c r="P8" s="7" t="str">
        <x:v>Production ME1</x:v>
      </x:c>
      <x:c r="Q8" s="7" t="str"/>
    </x:row>
    <x:row r="9" ht="36" customHeight="1">
      <x:c r="A9" s="13" t="str">
        <x:v>AUD-ambiance-soute</x:v>
      </x:c>
      <x:c r="B9" s="14" t="str">
        <x:v>Ambiance soute</x:v>
      </x:c>
      <x:c r="C9" s="10" t="str">
        <x:v>Défini</x:v>
      </x:c>
      <x:c r="D9" s="11" t="str">
        <x:v>À produire</x:v>
      </x:c>
      <x:c r="E9" s="15" t="str">
        <x:v>P1</x:v>
      </x:c>
      <x:c r="F9" s="15" t="str">
        <x:v>ME1</x:v>
      </x:c>
      <x:c r="G9" s="15" t="str">
        <x:v>Adaptation</x:v>
      </x:c>
      <x:c r="H9" s="14" t="str">
        <x:v>Machines et entretien.</x:v>
      </x:c>
      <x:c r="I9" s="14" t="str">
        <x:v>Positionnement sonore selon les volumes.</x:v>
      </x:c>
      <x:c r="J9" s="14" t="str"/>
      <x:c r="K9" s="14" t="str">
        <x:v>assets/audio/AUD-ambiance-soute.ogg</x:v>
      </x:c>
      <x:c r="L9" s="14" t="str"/>
      <x:c r="M9" s="14" t="str"/>
      <x:c r="N9" s="14" t="str">
        <x:v>Décisions du fan game ; aucune prétention de canon officiel</x:v>
      </x:c>
      <x:c r="O9" s="14" t="str"/>
      <x:c r="P9" s="14" t="str">
        <x:v>Production ME1</x:v>
      </x:c>
      <x:c r="Q9" s="14" t="str"/>
    </x:row>
    <x:row r="10" ht="36" customHeight="1">
      <x:c r="A10" s="12" t="str">
        <x:v>AUD-ambiance-presidium</x:v>
      </x:c>
      <x:c r="B10" s="7" t="str">
        <x:v>Ambiance Présidium</x:v>
      </x:c>
      <x:c r="C10" s="10" t="str">
        <x:v>Défini</x:v>
      </x:c>
      <x:c r="D10" s="11" t="str">
        <x:v>À produire</x:v>
      </x:c>
      <x:c r="E10" s="9" t="str">
        <x:v>P1</x:v>
      </x:c>
      <x:c r="F10" s="9" t="str">
        <x:v>ME1</x:v>
      </x:c>
      <x:c r="G10" s="9" t="str">
        <x:v>Adaptation</x:v>
      </x:c>
      <x:c r="H10" s="7" t="str">
        <x:v>Eau, foule calme et environnement ouvert.</x:v>
      </x:c>
      <x:c r="I10" s="7" t="str">
        <x:v>Boucle sans paroles officielles réutilisées.</x:v>
      </x:c>
      <x:c r="J10" s="7" t="str"/>
      <x:c r="K10" s="7" t="str">
        <x:v>assets/audio/AUD-ambiance-presidium.ogg</x:v>
      </x:c>
      <x:c r="L10" s="7" t="str"/>
      <x:c r="M10" s="7" t="str"/>
      <x:c r="N10" s="7" t="str">
        <x:v>Décisions du fan game ; aucune prétention de canon officiel</x:v>
      </x:c>
      <x:c r="O10" s="7" t="str"/>
      <x:c r="P10" s="7" t="str">
        <x:v>Production ME1</x:v>
      </x:c>
      <x:c r="Q10" s="7" t="str"/>
    </x:row>
    <x:row r="11" ht="36" customHeight="1">
      <x:c r="A11" s="13" t="str">
        <x:v>AUD-ambiance-secteurs</x:v>
      </x:c>
      <x:c r="B11" s="14" t="str">
        <x:v>Ambiance Secteurs</x:v>
      </x:c>
      <x:c r="C11" s="10" t="str">
        <x:v>Défini</x:v>
      </x:c>
      <x:c r="D11" s="11" t="str">
        <x:v>À produire</x:v>
      </x:c>
      <x:c r="E11" s="15" t="str">
        <x:v>P1</x:v>
      </x:c>
      <x:c r="F11" s="15" t="str">
        <x:v>ME1</x:v>
      </x:c>
      <x:c r="G11" s="15" t="str">
        <x:v>Adaptation</x:v>
      </x:c>
      <x:c r="H11" s="14" t="str">
        <x:v>Foule, transports et publicité originale.</x:v>
      </x:c>
      <x:c r="I11" s="14" t="str">
        <x:v>Densité adaptée à la distance de caméra.</x:v>
      </x:c>
      <x:c r="J11" s="14" t="str"/>
      <x:c r="K11" s="14" t="str">
        <x:v>assets/audio/AUD-ambiance-secteurs.ogg</x:v>
      </x:c>
      <x:c r="L11" s="14" t="str"/>
      <x:c r="M11" s="14" t="str"/>
      <x:c r="N11" s="14" t="str">
        <x:v>Décisions du fan game ; aucune prétention de canon officiel</x:v>
      </x:c>
      <x:c r="O11" s="14" t="str"/>
      <x:c r="P11" s="14" t="str">
        <x:v>Production ME1</x:v>
      </x:c>
      <x:c r="Q11" s="14" t="str"/>
    </x:row>
    <x:row r="12" ht="36" customHeight="1">
      <x:c r="A12" s="12" t="str">
        <x:v>AUD-ambiance-chora-s-den</x:v>
      </x:c>
      <x:c r="B12" s="7" t="str">
        <x:v>Ambiance Chora’s Den</x:v>
      </x:c>
      <x:c r="C12" s="10" t="str">
        <x:v>Défini</x:v>
      </x:c>
      <x:c r="D12" s="11" t="str">
        <x:v>À produire</x:v>
      </x:c>
      <x:c r="E12" s="9" t="str">
        <x:v>P1</x:v>
      </x:c>
      <x:c r="F12" s="9" t="str">
        <x:v>ME1</x:v>
      </x:c>
      <x:c r="G12" s="9" t="str">
        <x:v>Adaptation</x:v>
      </x:c>
      <x:c r="H12" s="7" t="str">
        <x:v>Musique de club originale et conversations indistinctes.</x:v>
      </x:c>
      <x:c r="I12" s="7" t="str">
        <x:v>Baisse automatique durant les dialogues.</x:v>
      </x:c>
      <x:c r="J12" s="7" t="str"/>
      <x:c r="K12" s="7" t="str">
        <x:v>assets/audio/AUD-ambiance-chora-s-den.ogg</x:v>
      </x:c>
      <x:c r="L12" s="7" t="str"/>
      <x:c r="M12" s="7" t="str"/>
      <x:c r="N12" s="7" t="str">
        <x:v>Décisions du fan game ; aucune prétention de canon officiel</x:v>
      </x:c>
      <x:c r="O12" s="7" t="str"/>
      <x:c r="P12" s="7" t="str">
        <x:v>Production ME1</x:v>
      </x:c>
      <x:c r="Q12" s="7" t="str"/>
    </x:row>
    <x:row r="13" ht="36" customHeight="1">
      <x:c r="A13" s="13" t="str">
        <x:v>AUD-ambiance-flux</x:v>
      </x:c>
      <x:c r="B13" s="14" t="str">
        <x:v>Ambiance Flux</x:v>
      </x:c>
      <x:c r="C13" s="10" t="str">
        <x:v>Défini</x:v>
      </x:c>
      <x:c r="D13" s="11" t="str">
        <x:v>À produire</x:v>
      </x:c>
      <x:c r="E13" s="15" t="str">
        <x:v>P1</x:v>
      </x:c>
      <x:c r="F13" s="15" t="str">
        <x:v>ME1</x:v>
      </x:c>
      <x:c r="G13" s="15" t="str">
        <x:v>Adaptation</x:v>
      </x:c>
      <x:c r="H13" s="14" t="str">
        <x:v>Musique originale au caractère distinct.</x:v>
      </x:c>
      <x:c r="I13" s="14" t="str">
        <x:v>Même identité sonore aux retours successifs.</x:v>
      </x:c>
      <x:c r="J13" s="14" t="str"/>
      <x:c r="K13" s="14" t="str">
        <x:v>assets/audio/AUD-ambiance-flux.ogg</x:v>
      </x:c>
      <x:c r="L13" s="14" t="str"/>
      <x:c r="M13" s="14" t="str"/>
      <x:c r="N13" s="14" t="str">
        <x:v>Décisions du fan game ; aucune prétention de canon officiel</x:v>
      </x:c>
      <x:c r="O13" s="14" t="str"/>
      <x:c r="P13" s="14" t="str">
        <x:v>Production ME1</x:v>
      </x:c>
      <x:c r="Q13" s="14" t="str"/>
    </x:row>
    <x:row r="14" ht="36" customHeight="1">
      <x:c r="A14" s="12" t="str">
        <x:v>AUD-ambiance-eden-prime</x:v>
      </x:c>
      <x:c r="B14" s="7" t="str">
        <x:v>Ambiance Eden Prime</x:v>
      </x:c>
      <x:c r="C14" s="10" t="str">
        <x:v>Défini</x:v>
      </x:c>
      <x:c r="D14" s="11" t="str">
        <x:v>À produire</x:v>
      </x:c>
      <x:c r="E14" s="9" t="str">
        <x:v>P1</x:v>
      </x:c>
      <x:c r="F14" s="9" t="str">
        <x:v>ME1</x:v>
      </x:c>
      <x:c r="G14" s="9" t="str">
        <x:v>Adaptation</x:v>
      </x:c>
      <x:c r="H14" s="7" t="str">
        <x:v>Vent, incendies et bataille lointaine.</x:v>
      </x:c>
      <x:c r="I14" s="7" t="str">
        <x:v>Danger local séparé du décor sonore.</x:v>
      </x:c>
      <x:c r="J14" s="7" t="str"/>
      <x:c r="K14" s="7" t="str">
        <x:v>assets/audio/AUD-ambiance-eden-prime.ogg</x:v>
      </x:c>
      <x:c r="L14" s="7" t="str"/>
      <x:c r="M14" s="7" t="str"/>
      <x:c r="N14" s="7" t="str">
        <x:v>Décisions du fan game ; aucune prétention de canon officiel</x:v>
      </x:c>
      <x:c r="O14" s="7" t="str"/>
      <x:c r="P14" s="7" t="str">
        <x:v>Production ME1</x:v>
      </x:c>
      <x:c r="Q14" s="7" t="str"/>
    </x:row>
    <x:row r="15" ht="36" customHeight="1">
      <x:c r="A15" s="13" t="str">
        <x:v>AUD-ambiance-therum</x:v>
      </x:c>
      <x:c r="B15" s="14" t="str">
        <x:v>Ambiance Therum</x:v>
      </x:c>
      <x:c r="C15" s="10" t="str">
        <x:v>Défini</x:v>
      </x:c>
      <x:c r="D15" s="11" t="str">
        <x:v>À produire</x:v>
      </x:c>
      <x:c r="E15" s="15" t="str">
        <x:v>P1</x:v>
      </x:c>
      <x:c r="F15" s="15" t="str">
        <x:v>ME1</x:v>
      </x:c>
      <x:c r="G15" s="15" t="str">
        <x:v>Adaptation</x:v>
      </x:c>
      <x:c r="H15" s="14" t="str">
        <x:v>Roche, lave et équipements de mine.</x:v>
      </x:c>
      <x:c r="I15" s="14" t="str">
        <x:v>Graves limités pour la lisibilité des alertes.</x:v>
      </x:c>
      <x:c r="J15" s="14" t="str"/>
      <x:c r="K15" s="14" t="str">
        <x:v>assets/audio/AUD-ambiance-therum.ogg</x:v>
      </x:c>
      <x:c r="L15" s="14" t="str"/>
      <x:c r="M15" s="14" t="str"/>
      <x:c r="N15" s="14" t="str">
        <x:v>Décisions du fan game ; aucune prétention de canon officiel</x:v>
      </x:c>
      <x:c r="O15" s="14" t="str"/>
      <x:c r="P15" s="14" t="str">
        <x:v>Production ME1</x:v>
      </x:c>
      <x:c r="Q15" s="14" t="str"/>
    </x:row>
    <x:row r="16" ht="36" customHeight="1">
      <x:c r="A16" s="12" t="str">
        <x:v>AUD-ambiance-feros</x:v>
      </x:c>
      <x:c r="B16" s="7" t="str">
        <x:v>Ambiance Feros</x:v>
      </x:c>
      <x:c r="C16" s="10" t="str">
        <x:v>Défini</x:v>
      </x:c>
      <x:c r="D16" s="11" t="str">
        <x:v>À produire</x:v>
      </x:c>
      <x:c r="E16" s="9" t="str">
        <x:v>P1</x:v>
      </x:c>
      <x:c r="F16" s="9" t="str">
        <x:v>ME1</x:v>
      </x:c>
      <x:c r="G16" s="9" t="str">
        <x:v>Adaptation</x:v>
      </x:c>
      <x:c r="H16" s="7" t="str">
        <x:v>Vent dans les ruines et services défaillants.</x:v>
      </x:c>
      <x:c r="I16" s="7" t="str">
        <x:v>Transition progressive vers les zones organiques.</x:v>
      </x:c>
      <x:c r="J16" s="7" t="str"/>
      <x:c r="K16" s="7" t="str">
        <x:v>assets/audio/AUD-ambiance-feros.ogg</x:v>
      </x:c>
      <x:c r="L16" s="7" t="str"/>
      <x:c r="M16" s="7" t="str"/>
      <x:c r="N16" s="7" t="str">
        <x:v>Décisions du fan game ; aucune prétention de canon officiel</x:v>
      </x:c>
      <x:c r="O16" s="7" t="str"/>
      <x:c r="P16" s="7" t="str">
        <x:v>Production ME1</x:v>
      </x:c>
      <x:c r="Q16" s="7" t="str"/>
    </x:row>
    <x:row r="17" ht="36" customHeight="1">
      <x:c r="A17" s="13" t="str">
        <x:v>AUD-ambiance-thorian</x:v>
      </x:c>
      <x:c r="B17" s="14" t="str">
        <x:v>Ambiance Thorian</x:v>
      </x:c>
      <x:c r="C17" s="10" t="str">
        <x:v>Défini</x:v>
      </x:c>
      <x:c r="D17" s="11" t="str">
        <x:v>À produire</x:v>
      </x:c>
      <x:c r="E17" s="15" t="str">
        <x:v>P1</x:v>
      </x:c>
      <x:c r="F17" s="15" t="str">
        <x:v>ME1</x:v>
      </x:c>
      <x:c r="G17" s="15" t="str">
        <x:v>Adaptation</x:v>
      </x:c>
      <x:c r="H17" s="14" t="str">
        <x:v>Textures organiques et tension.</x:v>
      </x:c>
      <x:c r="I17" s="14" t="str">
        <x:v>Aucun son comique ou excessivement répétitif.</x:v>
      </x:c>
      <x:c r="J17" s="14" t="str"/>
      <x:c r="K17" s="14" t="str">
        <x:v>assets/audio/AUD-ambiance-thorian.ogg</x:v>
      </x:c>
      <x:c r="L17" s="14" t="str"/>
      <x:c r="M17" s="14" t="str"/>
      <x:c r="N17" s="14" t="str">
        <x:v>Décisions du fan game ; aucune prétention de canon officiel</x:v>
      </x:c>
      <x:c r="O17" s="14" t="str"/>
      <x:c r="P17" s="14" t="str">
        <x:v>Production ME1</x:v>
      </x:c>
      <x:c r="Q17" s="14" t="str"/>
    </x:row>
    <x:row r="18" ht="36" customHeight="1">
      <x:c r="A18" s="12" t="str">
        <x:v>AUD-ambiance-noveria</x:v>
      </x:c>
      <x:c r="B18" s="7" t="str">
        <x:v>Ambiance Noveria</x:v>
      </x:c>
      <x:c r="C18" s="10" t="str">
        <x:v>Défini</x:v>
      </x:c>
      <x:c r="D18" s="11" t="str">
        <x:v>À produire</x:v>
      </x:c>
      <x:c r="E18" s="9" t="str">
        <x:v>P1</x:v>
      </x:c>
      <x:c r="F18" s="9" t="str">
        <x:v>ME1</x:v>
      </x:c>
      <x:c r="G18" s="9" t="str">
        <x:v>Adaptation</x:v>
      </x:c>
      <x:c r="H18" s="7" t="str">
        <x:v>Vent extérieur et froid industriel.</x:v>
      </x:c>
      <x:c r="I18" s="7" t="str">
        <x:v>Isolation sonore crédible dans les intérieurs.</x:v>
      </x:c>
      <x:c r="J18" s="7" t="str"/>
      <x:c r="K18" s="7" t="str">
        <x:v>assets/audio/AUD-ambiance-noveria.ogg</x:v>
      </x:c>
      <x:c r="L18" s="7" t="str"/>
      <x:c r="M18" s="7" t="str"/>
      <x:c r="N18" s="7" t="str">
        <x:v>Décisions du fan game ; aucune prétention de canon officiel</x:v>
      </x:c>
      <x:c r="O18" s="7" t="str"/>
      <x:c r="P18" s="7" t="str">
        <x:v>Production ME1</x:v>
      </x:c>
      <x:c r="Q18" s="7" t="str"/>
    </x:row>
    <x:row r="19" ht="36" customHeight="1">
      <x:c r="A19" s="13" t="str">
        <x:v>AUD-ambiance-peak-15</x:v>
      </x:c>
      <x:c r="B19" s="14" t="str">
        <x:v>Ambiance Peak 15</x:v>
      </x:c>
      <x:c r="C19" s="10" t="str">
        <x:v>Défini</x:v>
      </x:c>
      <x:c r="D19" s="11" t="str">
        <x:v>À produire</x:v>
      </x:c>
      <x:c r="E19" s="15" t="str">
        <x:v>P1</x:v>
      </x:c>
      <x:c r="F19" s="15" t="str">
        <x:v>ME1</x:v>
      </x:c>
      <x:c r="G19" s="15" t="str">
        <x:v>Adaptation</x:v>
      </x:c>
      <x:c r="H19" s="14" t="str">
        <x:v>Ventilation, pannes et confinement.</x:v>
      </x:c>
      <x:c r="I19" s="14" t="str">
        <x:v>Changement après réactivation de Mira.</x:v>
      </x:c>
      <x:c r="J19" s="14" t="str"/>
      <x:c r="K19" s="14" t="str">
        <x:v>assets/audio/AUD-ambiance-peak-15.ogg</x:v>
      </x:c>
      <x:c r="L19" s="14" t="str"/>
      <x:c r="M19" s="14" t="str"/>
      <x:c r="N19" s="14" t="str">
        <x:v>Décisions du fan game ; aucune prétention de canon officiel</x:v>
      </x:c>
      <x:c r="O19" s="14" t="str"/>
      <x:c r="P19" s="14" t="str">
        <x:v>Production ME1</x:v>
      </x:c>
      <x:c r="Q19" s="14" t="str"/>
    </x:row>
    <x:row r="20" ht="36" customHeight="1">
      <x:c r="A20" s="12" t="str">
        <x:v>AUD-ambiance-virmire</x:v>
      </x:c>
      <x:c r="B20" s="7" t="str">
        <x:v>Ambiance Virmire</x:v>
      </x:c>
      <x:c r="C20" s="10" t="str">
        <x:v>Défini</x:v>
      </x:c>
      <x:c r="D20" s="11" t="str">
        <x:v>À produire</x:v>
      </x:c>
      <x:c r="E20" s="9" t="str">
        <x:v>P1</x:v>
      </x:c>
      <x:c r="F20" s="9" t="str">
        <x:v>ME1</x:v>
      </x:c>
      <x:c r="G20" s="9" t="str">
        <x:v>Adaptation</x:v>
      </x:c>
      <x:c r="H20" s="7" t="str">
        <x:v>Faune, eau et bataille distante.</x:v>
      </x:c>
      <x:c r="I20" s="7" t="str">
        <x:v>Base technique distincte du littoral.</x:v>
      </x:c>
      <x:c r="J20" s="7" t="str"/>
      <x:c r="K20" s="7" t="str">
        <x:v>assets/audio/AUD-ambiance-virmire.ogg</x:v>
      </x:c>
      <x:c r="L20" s="7" t="str"/>
      <x:c r="M20" s="7" t="str"/>
      <x:c r="N20" s="7" t="str">
        <x:v>Décisions du fan game ; aucune prétention de canon officiel</x:v>
      </x:c>
      <x:c r="O20" s="7" t="str"/>
      <x:c r="P20" s="7" t="str">
        <x:v>Production ME1</x:v>
      </x:c>
      <x:c r="Q20" s="7" t="str"/>
    </x:row>
    <x:row r="21" ht="36" customHeight="1">
      <x:c r="A21" s="13" t="str">
        <x:v>AUD-ambiance-ilos</x:v>
      </x:c>
      <x:c r="B21" s="14" t="str">
        <x:v>Ambiance Ilos</x:v>
      </x:c>
      <x:c r="C21" s="10" t="str">
        <x:v>Défini</x:v>
      </x:c>
      <x:c r="D21" s="11" t="str">
        <x:v>À produire</x:v>
      </x:c>
      <x:c r="E21" s="15" t="str">
        <x:v>P1</x:v>
      </x:c>
      <x:c r="F21" s="15" t="str">
        <x:v>ME1</x:v>
      </x:c>
      <x:c r="G21" s="15" t="str">
        <x:v>Adaptation</x:v>
      </x:c>
      <x:c r="H21" s="14" t="str">
        <x:v>Ruines humides et machines anciennes.</x:v>
      </x:c>
      <x:c r="I21" s="14" t="str">
        <x:v>Silence conservé pendant les révélations.</x:v>
      </x:c>
      <x:c r="J21" s="14" t="str"/>
      <x:c r="K21" s="14" t="str">
        <x:v>assets/audio/AUD-ambiance-ilos.ogg</x:v>
      </x:c>
      <x:c r="L21" s="14" t="str"/>
      <x:c r="M21" s="14" t="str"/>
      <x:c r="N21" s="14" t="str">
        <x:v>Décisions du fan game ; aucune prétention de canon officiel</x:v>
      </x:c>
      <x:c r="O21" s="14" t="str"/>
      <x:c r="P21" s="14" t="str">
        <x:v>Production ME1</x:v>
      </x:c>
      <x:c r="Q21" s="14" t="str"/>
    </x:row>
    <x:row r="22" ht="36" customHeight="1">
      <x:c r="A22" s="12" t="str">
        <x:v>AUD-tir-pistolet</x:v>
      </x:c>
      <x:c r="B22" s="7" t="str">
        <x:v>Tir pistolet</x:v>
      </x:c>
      <x:c r="C22" s="10" t="str">
        <x:v>Défini</x:v>
      </x:c>
      <x:c r="D22" s="11" t="str">
        <x:v>À produire</x:v>
      </x:c>
      <x:c r="E22" s="9" t="str">
        <x:v>P1</x:v>
      </x:c>
      <x:c r="F22" s="9" t="str">
        <x:v>ME1</x:v>
      </x:c>
      <x:c r="G22" s="9" t="str">
        <x:v>Adaptation</x:v>
      </x:c>
      <x:c r="H22" s="7" t="str">
        <x:v>Effet original inspiré du caractère de l’arme.</x:v>
      </x:c>
      <x:c r="I22" s="7" t="str">
        <x:v>Son synchronisé sur le frame de départ.</x:v>
      </x:c>
      <x:c r="J22" s="7" t="str"/>
      <x:c r="K22" s="7" t="str">
        <x:v>assets/audio/AUD-tir-pistolet.ogg</x:v>
      </x:c>
      <x:c r="L22" s="7" t="str"/>
      <x:c r="M22" s="7" t="str"/>
      <x:c r="N22" s="7" t="str">
        <x:v>Décisions du fan game ; aucune prétention de canon officiel</x:v>
      </x:c>
      <x:c r="O22" s="7" t="str"/>
      <x:c r="P22" s="7" t="str">
        <x:v>Production ME1</x:v>
      </x:c>
      <x:c r="Q22" s="7" t="str"/>
    </x:row>
    <x:row r="23" ht="36" customHeight="1">
      <x:c r="A23" s="13" t="str">
        <x:v>AUD-tir-automatique</x:v>
      </x:c>
      <x:c r="B23" s="14" t="str">
        <x:v>Tir automatique</x:v>
      </x:c>
      <x:c r="C23" s="10" t="str">
        <x:v>Défini</x:v>
      </x:c>
      <x:c r="D23" s="11" t="str">
        <x:v>À produire</x:v>
      </x:c>
      <x:c r="E23" s="15" t="str">
        <x:v>P1</x:v>
      </x:c>
      <x:c r="F23" s="15" t="str">
        <x:v>ME1</x:v>
      </x:c>
      <x:c r="G23" s="15" t="str">
        <x:v>Adaptation</x:v>
      </x:c>
      <x:c r="H23" s="14" t="str">
        <x:v>Boucles courtes avec attaque et arrêt.</x:v>
      </x:c>
      <x:c r="I23" s="14" t="str">
        <x:v>Pas de clic de boucle audible.</x:v>
      </x:c>
      <x:c r="J23" s="14" t="str"/>
      <x:c r="K23" s="14" t="str">
        <x:v>assets/audio/AUD-tir-automatique.ogg</x:v>
      </x:c>
      <x:c r="L23" s="14" t="str"/>
      <x:c r="M23" s="14" t="str"/>
      <x:c r="N23" s="14" t="str">
        <x:v>Décisions du fan game ; aucune prétention de canon officiel</x:v>
      </x:c>
      <x:c r="O23" s="14" t="str"/>
      <x:c r="P23" s="14" t="str">
        <x:v>Production ME1</x:v>
      </x:c>
      <x:c r="Q23" s="14" t="str"/>
    </x:row>
    <x:row r="24" ht="36" customHeight="1">
      <x:c r="A24" s="12" t="str">
        <x:v>AUD-tir-lourd</x:v>
      </x:c>
      <x:c r="B24" s="7" t="str">
        <x:v>Tir lourd</x:v>
      </x:c>
      <x:c r="C24" s="10" t="str">
        <x:v>Défini</x:v>
      </x:c>
      <x:c r="D24" s="11" t="str">
        <x:v>À produire</x:v>
      </x:c>
      <x:c r="E24" s="9" t="str">
        <x:v>P1</x:v>
      </x:c>
      <x:c r="F24" s="9" t="str">
        <x:v>ME1</x:v>
      </x:c>
      <x:c r="G24" s="9" t="str">
        <x:v>Adaptation</x:v>
      </x:c>
      <x:c r="H24" s="7" t="str">
        <x:v>Impact et recul du Mako.</x:v>
      </x:c>
      <x:c r="I24" s="7" t="str">
        <x:v>Différenciation nette avec l’armement individuel.</x:v>
      </x:c>
      <x:c r="J24" s="7" t="str"/>
      <x:c r="K24" s="7" t="str">
        <x:v>assets/audio/AUD-tir-lourd.ogg</x:v>
      </x:c>
      <x:c r="L24" s="7" t="str"/>
      <x:c r="M24" s="7" t="str"/>
      <x:c r="N24" s="7" t="str">
        <x:v>Décisions du fan game ; aucune prétention de canon officiel</x:v>
      </x:c>
      <x:c r="O24" s="7" t="str"/>
      <x:c r="P24" s="7" t="str">
        <x:v>Production ME1</x:v>
      </x:c>
      <x:c r="Q24" s="7" t="str"/>
    </x:row>
    <x:row r="25" ht="36" customHeight="1">
      <x:c r="A25" s="13" t="str">
        <x:v>AUD-bouclier-touche</x:v>
      </x:c>
      <x:c r="B25" s="14" t="str">
        <x:v>Bouclier touché</x:v>
      </x:c>
      <x:c r="C25" s="10" t="str">
        <x:v>Défini</x:v>
      </x:c>
      <x:c r="D25" s="11" t="str">
        <x:v>À produire</x:v>
      </x:c>
      <x:c r="E25" s="15" t="str">
        <x:v>P1</x:v>
      </x:c>
      <x:c r="F25" s="15" t="str">
        <x:v>ME1</x:v>
      </x:c>
      <x:c r="G25" s="15" t="str">
        <x:v>Adaptation</x:v>
      </x:c>
      <x:c r="H25" s="14" t="str">
        <x:v>Signal bref de protection.</x:v>
      </x:c>
      <x:c r="I25" s="14" t="str">
        <x:v>Son distinct de la perte de santé.</x:v>
      </x:c>
      <x:c r="J25" s="14" t="str"/>
      <x:c r="K25" s="14" t="str">
        <x:v>assets/audio/AUD-bouclier-touche.ogg</x:v>
      </x:c>
      <x:c r="L25" s="14" t="str"/>
      <x:c r="M25" s="14" t="str"/>
      <x:c r="N25" s="14" t="str">
        <x:v>Décisions du fan game ; aucune prétention de canon officiel</x:v>
      </x:c>
      <x:c r="O25" s="14" t="str"/>
      <x:c r="P25" s="14" t="str">
        <x:v>Production ME1</x:v>
      </x:c>
      <x:c r="Q25" s="14" t="str"/>
    </x:row>
    <x:row r="26" ht="36" customHeight="1">
      <x:c r="A26" s="12" t="str">
        <x:v>AUD-bouclier-brise</x:v>
      </x:c>
      <x:c r="B26" s="7" t="str">
        <x:v>Bouclier brisé</x:v>
      </x:c>
      <x:c r="C26" s="10" t="str">
        <x:v>Défini</x:v>
      </x:c>
      <x:c r="D26" s="11" t="str">
        <x:v>À produire</x:v>
      </x:c>
      <x:c r="E26" s="9" t="str">
        <x:v>P1</x:v>
      </x:c>
      <x:c r="F26" s="9" t="str">
        <x:v>ME1</x:v>
      </x:c>
      <x:c r="G26" s="9" t="str">
        <x:v>Adaptation</x:v>
      </x:c>
      <x:c r="H26" s="7" t="str">
        <x:v>Signal de vulnérabilité.</x:v>
      </x:c>
      <x:c r="I26" s="7" t="str">
        <x:v>Pas de répétition à chaque frame.</x:v>
      </x:c>
      <x:c r="J26" s="7" t="str"/>
      <x:c r="K26" s="7" t="str">
        <x:v>assets/audio/AUD-bouclier-brise.ogg</x:v>
      </x:c>
      <x:c r="L26" s="7" t="str"/>
      <x:c r="M26" s="7" t="str"/>
      <x:c r="N26" s="7" t="str">
        <x:v>Décisions du fan game ; aucune prétention de canon officiel</x:v>
      </x:c>
      <x:c r="O26" s="7" t="str"/>
      <x:c r="P26" s="7" t="str">
        <x:v>Production ME1</x:v>
      </x:c>
      <x:c r="Q26" s="7" t="str"/>
    </x:row>
    <x:row r="27" ht="36" customHeight="1">
      <x:c r="A27" s="13" t="str">
        <x:v>AUD-biotique</x:v>
      </x:c>
      <x:c r="B27" s="14" t="str">
        <x:v>Biotique</x:v>
      </x:c>
      <x:c r="C27" s="10" t="str">
        <x:v>Défini</x:v>
      </x:c>
      <x:c r="D27" s="11" t="str">
        <x:v>À produire</x:v>
      </x:c>
      <x:c r="E27" s="15" t="str">
        <x:v>P1</x:v>
      </x:c>
      <x:c r="F27" s="15" t="str">
        <x:v>ME1</x:v>
      </x:c>
      <x:c r="G27" s="15" t="str">
        <x:v>Adaptation</x:v>
      </x:c>
      <x:c r="H27" s="14" t="str">
        <x:v>Textures originales de puissance et de mouvement.</x:v>
      </x:c>
      <x:c r="I27" s="14" t="str">
        <x:v>Signature cohérente entre capacités.</x:v>
      </x:c>
      <x:c r="J27" s="14" t="str"/>
      <x:c r="K27" s="14" t="str">
        <x:v>assets/audio/AUD-biotique.ogg</x:v>
      </x:c>
      <x:c r="L27" s="14" t="str"/>
      <x:c r="M27" s="14" t="str"/>
      <x:c r="N27" s="14" t="str">
        <x:v>Décisions du fan game ; aucune prétention de canon officiel</x:v>
      </x:c>
      <x:c r="O27" s="14" t="str"/>
      <x:c r="P27" s="14" t="str">
        <x:v>Production ME1</x:v>
      </x:c>
      <x:c r="Q27" s="14" t="str"/>
    </x:row>
    <x:row r="28" ht="36" customHeight="1">
      <x:c r="A28" s="12" t="str">
        <x:v>AUD-omni-outil</x:v>
      </x:c>
      <x:c r="B28" s="7" t="str">
        <x:v>Omni-outil</x:v>
      </x:c>
      <x:c r="C28" s="10" t="str">
        <x:v>Défini</x:v>
      </x:c>
      <x:c r="D28" s="11" t="str">
        <x:v>À produire</x:v>
      </x:c>
      <x:c r="E28" s="9" t="str">
        <x:v>P1</x:v>
      </x:c>
      <x:c r="F28" s="9" t="str">
        <x:v>ME1</x:v>
      </x:c>
      <x:c r="G28" s="9" t="str">
        <x:v>Adaptation</x:v>
      </x:c>
      <x:c r="H28" s="7" t="str">
        <x:v>Activation et validation électronique.</x:v>
      </x:c>
      <x:c r="I28" s="7" t="str">
        <x:v>Retour clair en cas d’action impossible.</x:v>
      </x:c>
      <x:c r="J28" s="7" t="str"/>
      <x:c r="K28" s="7" t="str">
        <x:v>assets/audio/AUD-omni-outil.ogg</x:v>
      </x:c>
      <x:c r="L28" s="7" t="str"/>
      <x:c r="M28" s="7" t="str"/>
      <x:c r="N28" s="7" t="str">
        <x:v>Décisions du fan game ; aucune prétention de canon officiel</x:v>
      </x:c>
      <x:c r="O28" s="7" t="str"/>
      <x:c r="P28" s="7" t="str">
        <x:v>Production ME1</x:v>
      </x:c>
      <x:c r="Q28" s="7" t="str"/>
    </x:row>
    <x:row r="29" ht="36" customHeight="1">
      <x:c r="A29" s="13" t="str">
        <x:v>AUD-interface</x:v>
      </x:c>
      <x:c r="B29" s="14" t="str">
        <x:v>Interface</x:v>
      </x:c>
      <x:c r="C29" s="10" t="str">
        <x:v>Défini</x:v>
      </x:c>
      <x:c r="D29" s="11" t="str">
        <x:v>À produire</x:v>
      </x:c>
      <x:c r="E29" s="15" t="str">
        <x:v>P1</x:v>
      </x:c>
      <x:c r="F29" s="15" t="str">
        <x:v>ME1</x:v>
      </x:c>
      <x:c r="G29" s="15" t="str">
        <x:v>Adaptation</x:v>
      </x:c>
      <x:c r="H29" s="14" t="str">
        <x:v>Navigation, choix, refus et confirmation.</x:v>
      </x:c>
      <x:c r="I29" s="14" t="str">
        <x:v>Niveau sonore réglable séparément.</x:v>
      </x:c>
      <x:c r="J29" s="14" t="str"/>
      <x:c r="K29" s="14" t="str">
        <x:v>assets/audio/AUD-interface.ogg</x:v>
      </x:c>
      <x:c r="L29" s="14" t="str"/>
      <x:c r="M29" s="14" t="str"/>
      <x:c r="N29" s="14" t="str">
        <x:v>Décisions du fan game ; aucune prétention de canon officiel</x:v>
      </x:c>
      <x:c r="O29" s="14" t="str"/>
      <x:c r="P29" s="14" t="str">
        <x:v>Production ME1</x:v>
      </x:c>
      <x:c r="Q29" s="14" t="str"/>
    </x:row>
    <x:row r="30" ht="36" customHeight="1">
      <x:c r="A30" s="12" t="str">
        <x:v>AUD-musique-exploration</x:v>
      </x:c>
      <x:c r="B30" s="7" t="str">
        <x:v>Musique exploration</x:v>
      </x:c>
      <x:c r="C30" s="10" t="str">
        <x:v>Défini</x:v>
      </x:c>
      <x:c r="D30" s="11" t="str">
        <x:v>À produire</x:v>
      </x:c>
      <x:c r="E30" s="9" t="str">
        <x:v>P1</x:v>
      </x:c>
      <x:c r="F30" s="9" t="str">
        <x:v>ME1</x:v>
      </x:c>
      <x:c r="G30" s="9" t="str">
        <x:v>Adaptation</x:v>
      </x:c>
      <x:c r="H30" s="7" t="str">
        <x:v>Composition originale à synthétiseurs et espace.</x:v>
      </x:c>
      <x:c r="I30" s="7" t="str">
        <x:v>Boucle longue et transitions propres.</x:v>
      </x:c>
      <x:c r="J30" s="7" t="str"/>
      <x:c r="K30" s="7" t="str">
        <x:v>assets/audio/AUD-musique-exploration.ogg</x:v>
      </x:c>
      <x:c r="L30" s="7" t="str"/>
      <x:c r="M30" s="7" t="str"/>
      <x:c r="N30" s="7" t="str">
        <x:v>Décisions du fan game ; aucune prétention de canon officiel</x:v>
      </x:c>
      <x:c r="O30" s="7" t="str"/>
      <x:c r="P30" s="7" t="str">
        <x:v>Production ME1</x:v>
      </x:c>
      <x:c r="Q30" s="7" t="str"/>
    </x:row>
    <x:row r="31" ht="36" customHeight="1">
      <x:c r="A31" s="13" t="str">
        <x:v>AUD-musique-combat</x:v>
      </x:c>
      <x:c r="B31" s="14" t="str">
        <x:v>Musique combat</x:v>
      </x:c>
      <x:c r="C31" s="10" t="str">
        <x:v>Défini</x:v>
      </x:c>
      <x:c r="D31" s="11" t="str">
        <x:v>À produire</x:v>
      </x:c>
      <x:c r="E31" s="15" t="str">
        <x:v>P1</x:v>
      </x:c>
      <x:c r="F31" s="15" t="str">
        <x:v>ME1</x:v>
      </x:c>
      <x:c r="G31" s="15" t="str">
        <x:v>Adaptation</x:v>
      </x:c>
      <x:c r="H31" s="14" t="str">
        <x:v>Composition rythmée pour l’ATB.</x:v>
      </x:c>
      <x:c r="I31" s="14" t="str">
        <x:v>Ne masque pas les alertes et sous-titres.</x:v>
      </x:c>
      <x:c r="J31" s="14" t="str"/>
      <x:c r="K31" s="14" t="str">
        <x:v>assets/audio/AUD-musique-combat.ogg</x:v>
      </x:c>
      <x:c r="L31" s="14" t="str"/>
      <x:c r="M31" s="14" t="str"/>
      <x:c r="N31" s="14" t="str">
        <x:v>Décisions du fan game ; aucune prétention de canon officiel</x:v>
      </x:c>
      <x:c r="O31" s="14" t="str"/>
      <x:c r="P31" s="14" t="str">
        <x:v>Production ME1</x:v>
      </x:c>
      <x:c r="Q31" s="14" t="str"/>
    </x:row>
    <x:row r="32" ht="36" customHeight="1">
      <x:c r="A32" s="12" t="str">
        <x:v>AUD-musique-boss</x:v>
      </x:c>
      <x:c r="B32" s="7" t="str">
        <x:v>Musique boss</x:v>
      </x:c>
      <x:c r="C32" s="10" t="str">
        <x:v>Défini</x:v>
      </x:c>
      <x:c r="D32" s="11" t="str">
        <x:v>À produire</x:v>
      </x:c>
      <x:c r="E32" s="9" t="str">
        <x:v>P1</x:v>
      </x:c>
      <x:c r="F32" s="9" t="str">
        <x:v>ME1</x:v>
      </x:c>
      <x:c r="G32" s="9" t="str">
        <x:v>Adaptation</x:v>
      </x:c>
      <x:c r="H32" s="7" t="str">
        <x:v>Variation originale pour les enjeux majeurs.</x:v>
      </x:c>
      <x:c r="I32" s="7" t="str">
        <x:v>Phases musicales déclenchées sur événements.</x:v>
      </x:c>
      <x:c r="J32" s="7" t="str"/>
      <x:c r="K32" s="7" t="str">
        <x:v>assets/audio/AUD-musique-boss.ogg</x:v>
      </x:c>
      <x:c r="L32" s="7" t="str"/>
      <x:c r="M32" s="7" t="str"/>
      <x:c r="N32" s="7" t="str">
        <x:v>Décisions du fan game ; aucune prétention de canon officiel</x:v>
      </x:c>
      <x:c r="O32" s="7" t="str"/>
      <x:c r="P32" s="7" t="str">
        <x:v>Production ME1</x:v>
      </x:c>
      <x:c r="Q32" s="7" t="str"/>
    </x:row>
    <x:row r="33" ht="36" customHeight="1">
      <x:c r="A33" s="13" t="str">
        <x:v>AUD-musique-epilogue</x:v>
      </x:c>
      <x:c r="B33" s="14" t="str">
        <x:v>Musique épilogue</x:v>
      </x:c>
      <x:c r="C33" s="10" t="str">
        <x:v>Défini</x:v>
      </x:c>
      <x:c r="D33" s="11" t="str">
        <x:v>À produire</x:v>
      </x:c>
      <x:c r="E33" s="15" t="str">
        <x:v>P1</x:v>
      </x:c>
      <x:c r="F33" s="15" t="str">
        <x:v>ME1</x:v>
      </x:c>
      <x:c r="G33" s="15" t="str">
        <x:v>Adaptation</x:v>
      </x:c>
      <x:c r="H33" s="14" t="str">
        <x:v>Conclusion originale sobre.</x:v>
      </x:c>
      <x:c r="I33" s="14" t="str">
        <x:v>Durée alignée avec la séquence.</x:v>
      </x:c>
      <x:c r="J33" s="14" t="str"/>
      <x:c r="K33" s="14" t="str">
        <x:v>assets/audio/AUD-musique-epilogue.ogg</x:v>
      </x:c>
      <x:c r="L33" s="14" t="str"/>
      <x:c r="M33" s="14" t="str"/>
      <x:c r="N33" s="14" t="str">
        <x:v>Décisions du fan game ; aucune prétention de canon officiel</x:v>
      </x:c>
      <x:c r="O33" s="14" t="str"/>
      <x:c r="P33" s="14" t="str">
        <x:v>Production ME1</x:v>
      </x:c>
      <x:c r="Q33" s="14" t="str"/>
    </x:row>
    <x:row r="34" ht="36" customHeight="1">
      <x:c r="A34" s="12" t="str">
        <x:v>AUD-voix-de-remplacement</x:v>
      </x:c>
      <x:c r="B34" s="7" t="str">
        <x:v>Voix de remplacement</x:v>
      </x:c>
      <x:c r="C34" s="10" t="str">
        <x:v>Défini</x:v>
      </x:c>
      <x:c r="D34" s="11" t="str">
        <x:v>À produire</x:v>
      </x:c>
      <x:c r="E34" s="9" t="str">
        <x:v>P1</x:v>
      </x:c>
      <x:c r="F34" s="9" t="str">
        <x:v>ME1</x:v>
      </x:c>
      <x:c r="G34" s="9" t="str">
        <x:v>Adaptation</x:v>
      </x:c>
      <x:c r="H34" s="7" t="str">
        <x:v>Interprétation nouvelle éventuelle avec autorisation des intervenants.</x:v>
      </x:c>
      <x:c r="I34" s="7" t="str">
        <x:v>Pas de clonage des comédiens ni d’assets officiels annoncés comme inclus.</x:v>
      </x:c>
      <x:c r="J34" s="7" t="str"/>
      <x:c r="K34" s="7" t="str">
        <x:v>assets/audio/AUD-voix-de-remplacement.ogg</x:v>
      </x:c>
      <x:c r="L34" s="7" t="str"/>
      <x:c r="M34" s="7" t="str"/>
      <x:c r="N34" s="7" t="str">
        <x:v>Décisions du fan game ; aucune prétention de canon officiel</x:v>
      </x:c>
      <x:c r="O34" s="7" t="str"/>
      <x:c r="P34" s="7" t="str">
        <x:v>Production ME1</x:v>
      </x:c>
      <x:c r="Q34" s="7" t="str"/>
    </x:row>
    <x:row r="35" ht="36" customHeight="1">
      <x:c r="A35" s="13" t="str">
        <x:v>AUD-sous-titres</x:v>
      </x:c>
      <x:c r="B35" s="14" t="str">
        <x:v>Sous-titres</x:v>
      </x:c>
      <x:c r="C35" s="10" t="str">
        <x:v>Défini</x:v>
      </x:c>
      <x:c r="D35" s="11" t="str">
        <x:v>À produire</x:v>
      </x:c>
      <x:c r="E35" s="15" t="str">
        <x:v>P1</x:v>
      </x:c>
      <x:c r="F35" s="15" t="str">
        <x:v>ME1</x:v>
      </x:c>
      <x:c r="G35" s="15" t="str">
        <x:v>Adaptation</x:v>
      </x:c>
      <x:c r="H35" s="14" t="str">
        <x:v>Texte et identification du locuteur.</x:v>
      </x:c>
      <x:c r="I35" s="14" t="str">
        <x:v>Tous les dialogues jouables restent compréhensibles sans audio.</x:v>
      </x:c>
      <x:c r="J35" s="14" t="str"/>
      <x:c r="K35" s="14" t="str">
        <x:v>assets/audio/AUD-sous-titres.ogg</x:v>
      </x:c>
      <x:c r="L35" s="14" t="str"/>
      <x:c r="M35" s="14" t="str"/>
      <x:c r="N35" s="14" t="str">
        <x:v>Décisions du fan game ; aucune prétention de canon officiel</x:v>
      </x:c>
      <x:c r="O35" s="14" t="str"/>
      <x:c r="P35" s="14" t="str">
        <x:v>Production ME1</x:v>
      </x:c>
      <x:c r="Q35" s="14" t="str"/>
    </x:row>
    <x:row r="36" ht="36" customHeight="1">
      <x:c r="A36" s="12" t="str">
        <x:v>AUD-mixage-accessible</x:v>
      </x:c>
      <x:c r="B36" s="7" t="str">
        <x:v>Mixage accessible</x:v>
      </x:c>
      <x:c r="C36" s="10" t="str">
        <x:v>Défini</x:v>
      </x:c>
      <x:c r="D36" s="11" t="str">
        <x:v>À produire</x:v>
      </x:c>
      <x:c r="E36" s="9" t="str">
        <x:v>P1</x:v>
      </x:c>
      <x:c r="F36" s="9" t="str">
        <x:v>ME1</x:v>
      </x:c>
      <x:c r="G36" s="9" t="str">
        <x:v>Adaptation</x:v>
      </x:c>
      <x:c r="H36" s="7" t="str">
        <x:v>Volumes musique, effets et voix séparés.</x:v>
      </x:c>
      <x:c r="I36" s="7" t="str">
        <x:v>Paramètres sauvegardés et appliqués immédiatement.</x:v>
      </x:c>
      <x:c r="J36" s="7" t="str"/>
      <x:c r="K36" s="7" t="str">
        <x:v>assets/audio/AUD-mixage-accessible.ogg</x:v>
      </x:c>
      <x:c r="L36" s="7" t="str"/>
      <x:c r="M36" s="7" t="str"/>
      <x:c r="N36" s="7" t="str">
        <x:v>Décisions du fan game ; aucune prétention de canon officiel</x:v>
      </x:c>
      <x:c r="O36" s="7" t="str"/>
      <x:c r="P36" s="7" t="str">
        <x:v>Production ME1</x:v>
      </x:c>
      <x:c r="Q36" s="7" t="str"/>
    </x:row>
  </x:sheetData>
  <x:conditionalFormatting sqref="C7:C36">
    <x:cfRule type="cellIs" dxfId="370" priority="1" operator="equal">
      <x:formula>"Prototype"</x:formula>
    </x:cfRule>
    <x:cfRule type="cellIs" dxfId="371" priority="2" operator="equal">
      <x:formula>"Intégré"</x:formula>
    </x:cfRule>
    <x:cfRule type="cellIs" dxfId="372" priority="3" operator="equal">
      <x:formula>"Validé"</x:formula>
    </x:cfRule>
  </x:conditionalFormatting>
  <x:conditionalFormatting sqref="G7:G36">
    <x:cfRule type="cellIs" dxfId="373" priority="4" operator="equal">
      <x:formula>"Référence à vérifier"</x:formula>
    </x:cfRule>
  </x:conditionalFormatting>
  <x:conditionalFormatting sqref="E7:E36">
    <x:cfRule type="cellIs" dxfId="374" priority="5" operator="equal">
      <x:formula>"P0"</x:formula>
    </x:cfRule>
  </x:conditionalFormatting>
  <x:dataValidations count="5">
    <x:dataValidation type="list" sqref="C7:C36">
      <x:formula1>"Défini,Prototype,Intégré,Validé"</x:formula1>
    </x:dataValidation>
    <x:dataValidation type="list" sqref="D7:D36">
      <x:formula1>"À produire,Prototype,Disponible,Validé,Sans objet,Non planifié"</x:formula1>
    </x:dataValidation>
    <x:dataValidation type="list" sqref="E7:E36">
      <x:formula1>"P0,P1,P2"</x:formula1>
    </x:dataValidation>
    <x:dataValidation type="list" sqref="F7:F36">
      <x:formula1>"ME1,ME2,ME3,TRANSVERSE"</x:formula1>
    </x:dataValidation>
    <x:dataValidation type="list" sqref="G7:G36">
      <x:formula1>"Confirmé,Référence à vérifier,Adaptation"</x:formula1>
    </x:dataValidation>
  </x:dataValidations>
  <x:pageMargins left="0.7" right="0.7" top="0.75" bottom="0.75" header="0.3" footer="0.3"/>
  <x:tableParts count="1">
    <x:tablePart xmlns:r="http://schemas.openxmlformats.org/officeDocument/2006/relationships" r:id="Ra94939f524ca4a26"/>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Systèmes et UI</x:v>
      </x:c>
      <x:c r="B2" s="2"/>
      <x:c r="C2" s="2"/>
      <x:c r="D2" s="2"/>
      <x:c r="E2" s="2"/>
      <x:c r="F2" s="2"/>
      <x:c r="G2" s="2"/>
      <x:c r="H2" s="2"/>
      <x:c r="I2" s="2"/>
      <x:c r="J2" s="2"/>
      <x:c r="K2" s="2"/>
      <x:c r="L2" s="2"/>
      <x:c r="M2" s="2"/>
      <x:c r="N2" s="2"/>
      <x:c r="O2" s="2"/>
      <x:c r="P2" s="2"/>
      <x:c r="Q2" s="2"/>
    </x:row>
    <x:row r="3" ht="22" customHeight="1">
      <x:c r="A3" s="4" t="str">
        <x:v>Interface et règles de jeu</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49" customHeight="1">
      <x:c r="A7" s="13" t="str">
        <x:v>SYS-menu-principal</x:v>
      </x:c>
      <x:c r="B7" s="14" t="str">
        <x:v>Menu principal</x:v>
      </x:c>
      <x:c r="C7" s="10" t="str">
        <x:v>Prototype</x:v>
      </x:c>
      <x:c r="D7" s="11" t="str">
        <x:v>Prototype</x:v>
      </x:c>
      <x:c r="E7" s="15" t="str">
        <x:v>P0</x:v>
      </x:c>
      <x:c r="F7" s="15" t="str">
        <x:v>ME1</x:v>
      </x:c>
      <x:c r="G7" s="15" t="str">
        <x:v>Adaptation</x:v>
      </x:c>
      <x:c r="H7" s="14" t="str">
        <x:v>Nouvelle partie, continuer, chargement, options et crédits.</x:v>
      </x:c>
      <x:c r="I7" s="14" t="str">
        <x:v>Toutes les actions mènent à un écran fonctionnel.</x:v>
      </x:c>
      <x:c r="J7" s="14" t="str"/>
      <x:c r="K7" s="14" t="str">
        <x:v>src/</x:v>
      </x:c>
      <x:c r="L7" s="14" t="str">
        <x:v>src/main.js</x:v>
      </x:c>
      <x:c r="M7" s="14" t="str">
        <x:v>system:menu-principal</x:v>
      </x:c>
      <x:c r="N7" s="14" t="str">
        <x:v>Décisions du fan game ; aucune prétention de canon officiel</x:v>
      </x:c>
      <x:c r="O7" s="14" t="str"/>
      <x:c r="P7" s="14" t="str">
        <x:v>Production ME1</x:v>
      </x:c>
      <x:c r="Q7" s="14" t="str">
        <x:v>Fonction présente en version prototype. Les critères complets de cette ligne restent à vérifier ; aucune validation finale déclarée.</x:v>
      </x:c>
    </x:row>
    <x:row r="8" ht="100" customHeight="1">
      <x:c r="A8" s="12" t="str">
        <x:v>SYS-creation-de-shepard</x:v>
      </x:c>
      <x:c r="B8" s="7" t="str">
        <x:v>Création de Shepard</x:v>
      </x:c>
      <x:c r="C8" s="10" t="str">
        <x:v>Validé</x:v>
      </x:c>
      <x:c r="D8" s="11" t="str">
        <x:v>Disponible</x:v>
      </x:c>
      <x:c r="E8" s="9" t="str">
        <x:v>P0</x:v>
      </x:c>
      <x:c r="F8" s="9" t="str">
        <x:v>ME1</x:v>
      </x:c>
      <x:c r="G8" s="9" t="str">
        <x:v>Adaptation</x:v>
      </x:c>
      <x:c r="H8" s="7" t="str">
        <x:v>Identité, classe et profil narratif.</x:v>
      </x:c>
      <x:c r="I8" s="7" t="str">
        <x:v>Validation puis sauvegarde avant le départ.</x:v>
      </x:c>
      <x:c r="J8" s="7" t="str"/>
      <x:c r="K8" s="7" t="str">
        <x:v>src/</x:v>
      </x:c>
      <x:c r="L8" s="7" t="str">
        <x:v>src/main.js</x:v>
      </x:c>
      <x:c r="M8" s="7" t="str">
        <x:v>system:creation-de-shepard</x:v>
      </x:c>
      <x:c r="N8" s="7" t="str">
        <x:v>Décisions du fan game ; aucune prétention de canon officiel</x:v>
      </x:c>
      <x:c r="O8" s="7" t="str"/>
      <x:c r="P8" s="7" t="str">
        <x:v>Production ME1</x:v>
      </x:c>
      <x:c r="Q8" s="7" t="str">
        <x:v>Dossier jouable : nom, classe, deux apparences, trois origines et trois profils psychologiques. Choix sauvegardés et repris/importés avec migration des anciens champs absents. Consultation depuis pause et commando. Aucun bonus combat ou morale ajouté ; réactions narratives et créateur facial restent hors de cette fonction. Vérifications : tests/commander.test.js et scripts/commander-browser.mjs. Critères fonctionnels de cette fiche vérifiés dans les deux variantes par test:commander ; validation de l’adaptation, sans certification artistique 1:1. Preuve : docs/qa/dossier-and-saves-report.json.</x:v>
      </x:c>
    </x:row>
    <x:row r="9" ht="75" customHeight="1">
      <x:c r="A9" s="13" t="str">
        <x:v>SYS-sauvegarde-locale</x:v>
      </x:c>
      <x:c r="B9" s="14" t="str">
        <x:v>Sauvegarde locale</x:v>
      </x:c>
      <x:c r="C9" s="10" t="str">
        <x:v>Prototype</x:v>
      </x:c>
      <x:c r="D9" s="11" t="str">
        <x:v>Prototype</x:v>
      </x:c>
      <x:c r="E9" s="15" t="str">
        <x:v>P0</x:v>
      </x:c>
      <x:c r="F9" s="15" t="str">
        <x:v>ME1</x:v>
      </x:c>
      <x:c r="G9" s="15" t="str">
        <x:v>Adaptation</x:v>
      </x:c>
      <x:c r="H9" s="14" t="str">
        <x:v>États de progression et inventaire.</x:v>
      </x:c>
      <x:c r="I9" s="14" t="str">
        <x:v>Version du format et migration explicites.</x:v>
      </x:c>
      <x:c r="J9" s="14" t="str"/>
      <x:c r="K9" s="14" t="str">
        <x:v>src/</x:v>
      </x:c>
      <x:c r="L9" s="14" t="str">
        <x:v>src/state.js</x:v>
      </x:c>
      <x:c r="M9" s="14" t="str">
        <x:v>system:sauvegarde-locale</x:v>
      </x:c>
      <x:c r="N9" s="14" t="str">
        <x:v>Décisions du fan game ; aucune prétention de canon officiel</x:v>
      </x:c>
      <x:c r="O9" s="14" t="str"/>
      <x:c r="P9" s="14" t="str">
        <x:v>Production ME1</x:v>
      </x:c>
      <x:c r="Q9" s="14" t="str">
        <x:v>Format v1 conservé. Migration des champs de dossier absents, rejet des valeurs explicitement invalides. Autosauvegarde indépendante de six emplacements manuels. Les critères de progression et inventaire complets restent à vérifier ; aucune fidélité 1:1 déclarée.</x:v>
      </x:c>
    </x:row>
    <x:row r="10" ht="100" customHeight="1">
      <x:c r="A10" s="12" t="str">
        <x:v>SYS-sauvegarde-manuelle</x:v>
      </x:c>
      <x:c r="B10" s="7" t="str">
        <x:v>Sauvegarde manuelle</x:v>
      </x:c>
      <x:c r="C10" s="10" t="str">
        <x:v>Validé</x:v>
      </x:c>
      <x:c r="D10" s="11" t="str">
        <x:v>Disponible</x:v>
      </x:c>
      <x:c r="E10" s="9" t="str">
        <x:v>P0</x:v>
      </x:c>
      <x:c r="F10" s="9" t="str">
        <x:v>ME1</x:v>
      </x:c>
      <x:c r="G10" s="9" t="str">
        <x:v>Adaptation</x:v>
      </x:c>
      <x:c r="H10" s="7" t="str">
        <x:v>Emplacements nommés par date et zone.</x:v>
      </x:c>
      <x:c r="I10" s="7" t="str">
        <x:v>Écrasement intentionnel et aperçu fiable.</x:v>
      </x:c>
      <x:c r="J10" s="7" t="str"/>
      <x:c r="K10" s="7" t="str">
        <x:v>src/</x:v>
      </x:c>
      <x:c r="L10" s="7" t="str">
        <x:v>src/save-slots.js</x:v>
      </x:c>
      <x:c r="M10" s="7" t="str">
        <x:v>writeManualSave</x:v>
      </x:c>
      <x:c r="N10" s="7" t="str">
        <x:v>Décisions du fan game ; aucune prétention de canon officiel</x:v>
      </x:c>
      <x:c r="O10" s="7" t="str"/>
      <x:c r="P10" s="7" t="str">
        <x:v>Production ME1</x:v>
      </x:c>
      <x:c r="Q10" s="7" t="str">
        <x:v>Six emplacements nommés indépendants de la sauvegarde automatique, avec aperçu dérivé du contenu chargé : date, zone, commandant, classe et apparence. Confirmation avant remplacement ou suppression, données corrompues visibles, erreurs quota/stockage contenues. Chargement et enregistrement interdits en combat. Implémentation : src/save-slots.js et src/main.js. Vérifications : tests/save-slots.test.js et scripts/save-slots-browser.mjs. Le nombre de six emplacements est un choix d’adaptation. Critères fonctionnels vérifiés par test:saves, avec annulation/confirmation, chargement après changement de commandant et persistance après rechargement. Preuve : docs/qa/dossier-and-saves-report.json.</x:v>
      </x:c>
    </x:row>
    <x:row r="11" ht="49" customHeight="1">
      <x:c r="A11" s="13" t="str">
        <x:v>SYS-sauvegarde-automatique</x:v>
      </x:c>
      <x:c r="B11" s="14" t="str">
        <x:v>Sauvegarde automatique</x:v>
      </x:c>
      <x:c r="C11" s="10" t="str">
        <x:v>Prototype</x:v>
      </x:c>
      <x:c r="D11" s="11" t="str">
        <x:v>Prototype</x:v>
      </x:c>
      <x:c r="E11" s="15" t="str">
        <x:v>P0</x:v>
      </x:c>
      <x:c r="F11" s="15" t="str">
        <x:v>ME1</x:v>
      </x:c>
      <x:c r="G11" s="15" t="str">
        <x:v>Adaptation</x:v>
      </x:c>
      <x:c r="H11" s="14" t="str">
        <x:v>Points sûrs après transitions et décisions.</x:v>
      </x:c>
      <x:c r="I11" s="14" t="str">
        <x:v>Aucune sauvegarde dans un état impossible.</x:v>
      </x:c>
      <x:c r="J11" s="14" t="str"/>
      <x:c r="K11" s="14" t="str">
        <x:v>src/</x:v>
      </x:c>
      <x:c r="L11" s="14" t="str">
        <x:v>src/main.js</x:v>
      </x:c>
      <x:c r="M11" s="14" t="str">
        <x:v>system:sauvegarde-automatique</x:v>
      </x:c>
      <x:c r="N11" s="14" t="str">
        <x:v>Décisions du fan game ; aucune prétention de canon officiel</x:v>
      </x:c>
      <x:c r="O11" s="14" t="str"/>
      <x:c r="P11" s="14" t="str">
        <x:v>Production ME1</x:v>
      </x:c>
      <x:c r="Q11" s="14" t="str">
        <x:v>Fonction présente en version prototype. Les critères complets de cette ligne restent à vérifier ; aucune validation finale déclarée.</x:v>
      </x:c>
    </x:row>
    <x:row r="12" ht="49" customHeight="1">
      <x:c r="A12" s="12" t="str">
        <x:v>SYS-carte-galactique</x:v>
      </x:c>
      <x:c r="B12" s="7" t="str">
        <x:v>Carte galactique</x:v>
      </x:c>
      <x:c r="C12" s="10" t="str">
        <x:v>Prototype</x:v>
      </x:c>
      <x:c r="D12" s="11" t="str">
        <x:v>Prototype</x:v>
      </x:c>
      <x:c r="E12" s="9" t="str">
        <x:v>P0</x:v>
      </x:c>
      <x:c r="F12" s="9" t="str">
        <x:v>ME1</x:v>
      </x:c>
      <x:c r="G12" s="9" t="str">
        <x:v>Adaptation</x:v>
      </x:c>
      <x:c r="H12" s="7" t="str">
        <x:v>Navigation hiérarchique depuis le Normandy.</x:v>
      </x:c>
      <x:c r="I12" s="7" t="str">
        <x:v>Destinations verrouillées expliquées.</x:v>
      </x:c>
      <x:c r="J12" s="7" t="str"/>
      <x:c r="K12" s="7" t="str">
        <x:v>src/</x:v>
      </x:c>
      <x:c r="L12" s="7" t="str">
        <x:v>src/main.js</x:v>
      </x:c>
      <x:c r="M12" s="7" t="str">
        <x:v>system:carte-galactique</x:v>
      </x:c>
      <x:c r="N12" s="7" t="str">
        <x:v>Décisions du fan game ; aucune prétention de canon officiel</x:v>
      </x:c>
      <x:c r="O12" s="7" t="str"/>
      <x:c r="P12" s="7" t="str">
        <x:v>Production ME1</x:v>
      </x:c>
      <x:c r="Q12" s="7" t="str">
        <x:v>Fonction présente en version prototype. Les critères complets de cette ligne restent à vérifier ; aucune validation finale déclarée.</x:v>
      </x:c>
    </x:row>
    <x:row r="13" ht="62" customHeight="1">
      <x:c r="A13" s="13" t="str">
        <x:v>SYS-carte-locale</x:v>
      </x:c>
      <x:c r="B13" s="14" t="str">
        <x:v>Carte locale</x:v>
      </x:c>
      <x:c r="C13" s="10" t="str">
        <x:v>Prototype</x:v>
      </x:c>
      <x:c r="D13" s="11" t="str">
        <x:v>Prototype</x:v>
      </x:c>
      <x:c r="E13" s="15" t="str">
        <x:v>P0</x:v>
      </x:c>
      <x:c r="F13" s="15" t="str">
        <x:v>ME1</x:v>
      </x:c>
      <x:c r="G13" s="15" t="str">
        <x:v>Adaptation</x:v>
      </x:c>
      <x:c r="H13" s="14" t="str">
        <x:v>Plan avec repères numérotés, filtres et suivi des objectifs de campagne et d’opération.</x:v>
      </x:c>
      <x:c r="I13" s="14" t="str">
        <x:v>Objectifs identifiables, filtrage cohérent et mise à jour après étape. Les emplacements doivent rester atteignables sans retirer les collisions ; le suivi obsolète doit disparaître.</x:v>
      </x:c>
      <x:c r="J13" s="14" t="str"/>
      <x:c r="K13" s="14" t="str">
        <x:v>src/</x:v>
      </x:c>
      <x:c r="L13" s="14" t="str">
        <x:v>src/local-map.js</x:v>
      </x:c>
      <x:c r="M13" s="14" t="str">
        <x:v>system:carte-locale</x:v>
      </x:c>
      <x:c r="N13" s="14" t="str">
        <x:v>Décisions du fan game ; aucune prétention de canon officiel</x:v>
      </x:c>
      <x:c r="O13" s="14" t="str"/>
      <x:c r="P13" s="14" t="str">
        <x:v>Production ME1</x:v>
      </x:c>
      <x:c r="Q13" s="14" t="str">
        <x:v>Carte de l’adaptation condensée. Les coordonnées des nouveaux contacts peuvent être déplacées à proximité pour conserver un chemin praticable.</x:v>
      </x:c>
    </x:row>
    <x:row r="14" ht="62" customHeight="1">
      <x:c r="A14" s="12" t="str">
        <x:v>SYS-journal-de-mission</x:v>
      </x:c>
      <x:c r="B14" s="7" t="str">
        <x:v>Journal de mission</x:v>
      </x:c>
      <x:c r="C14" s="10" t="str">
        <x:v>Prototype</x:v>
      </x:c>
      <x:c r="D14" s="11" t="str">
        <x:v>Prototype</x:v>
      </x:c>
      <x:c r="E14" s="9" t="str">
        <x:v>P0</x:v>
      </x:c>
      <x:c r="F14" s="9" t="str">
        <x:v>ME1</x:v>
      </x:c>
      <x:c r="G14" s="9" t="str">
        <x:v>Adaptation</x:v>
      </x:c>
      <x:c r="H14" s="7" t="str">
        <x:v>Missions, Assignations et Rapports. Trois assignations historiques et onze opérations supplémentaires, avec progression, blocages, choix, récompenses et suivi.</x:v>
      </x:c>
      <x:c r="I14" s="7" t="str">
        <x:v>Aucune mission terminée restant affichée active.</x:v>
      </x:c>
      <x:c r="J14" s="7" t="str"/>
      <x:c r="K14" s="7" t="str">
        <x:v>src/</x:v>
      </x:c>
      <x:c r="L14" s="7" t="str">
        <x:v>src/main.js</x:v>
      </x:c>
      <x:c r="M14" s="7" t="str">
        <x:v>system:journal-de-mission</x:v>
      </x:c>
      <x:c r="N14" s="7" t="str">
        <x:v>Décisions du fan game ; aucune prétention de canon officiel</x:v>
      </x:c>
      <x:c r="O14" s="7" t="str"/>
      <x:c r="P14" s="7" t="str">
        <x:v>Production ME1</x:v>
      </x:c>
      <x:c r="Q14" s="7" t="str">
        <x:v>Les systèmes assignments et operations restent distincts dans la sauvegarde. Les quêtes terminées quittent les objectifs actifs. Les embranchements complets de ME1 restent à produire.</x:v>
      </x:c>
    </x:row>
    <x:row r="15" ht="100" customHeight="1">
      <x:c r="A15" s="13" t="str">
        <x:v>SYS-codex</x:v>
      </x:c>
      <x:c r="B15" s="14" t="str">
        <x:v>Codex</x:v>
      </x:c>
      <x:c r="C15" s="10" t="str">
        <x:v>Validé</x:v>
      </x:c>
      <x:c r="D15" s="11" t="str">
        <x:v>Disponible</x:v>
      </x:c>
      <x:c r="E15" s="15" t="str">
        <x:v>P0</x:v>
      </x:c>
      <x:c r="F15" s="15" t="str">
        <x:v>ME1</x:v>
      </x:c>
      <x:c r="G15" s="15" t="str">
        <x:v>Adaptation</x:v>
      </x:c>
      <x:c r="H15" s="14" t="str">
        <x:v>Entrées consultables et recherche.</x:v>
      </x:c>
      <x:c r="I15" s="14" t="str">
        <x:v>Informations sensibles conditionnées à la progression.</x:v>
      </x:c>
      <x:c r="J15" s="14" t="str"/>
      <x:c r="K15" s="14" t="str">
        <x:v>src/</x:v>
      </x:c>
      <x:c r="L15" s="14" t="str">
        <x:v>src/story.js</x:v>
      </x:c>
      <x:c r="M15" s="14" t="str">
        <x:v>getCodexEntries</x:v>
      </x:c>
      <x:c r="N15" s="14" t="str">
        <x:v>Décisions du fan game ; aucune prétention de canon officiel</x:v>
      </x:c>
      <x:c r="O15" s="14" t="str"/>
      <x:c r="P15" s="14" t="str">
        <x:v>Production ME1</x:v>
      </x:c>
      <x:c r="Q15" s="14" t="str">
        <x:v>Critère fonctionnel vérifié : recherche insensible aux accents, découverte progressive et filtrage des informations de Liara, Féros, Virmire et Ilos. Aucun article obsolète après recherche vide. Seize entrées réécrites ; ne constitue pas le codex complet ni une certification canonique 1:1. Contrôles : tests/story.test.js, tests/recruitment.test.js, tests/story-world.test.js et scripts/story-browser.mjs ; preuve conservée dans docs/qa/story-and-recruitment-report.json.</x:v>
      </x:c>
    </x:row>
    <x:row r="16" ht="36" customHeight="1">
      <x:c r="A16" s="12" t="str">
        <x:v>SYS-catalogue-de-production</x:v>
      </x:c>
      <x:c r="B16" s="7" t="str">
        <x:v>Catalogue de production</x:v>
      </x:c>
      <x:c r="C16" s="10" t="str">
        <x:v>Défini</x:v>
      </x:c>
      <x:c r="D16" s="11" t="str">
        <x:v>À produire</x:v>
      </x:c>
      <x:c r="E16" s="9" t="str">
        <x:v>P0</x:v>
      </x:c>
      <x:c r="F16" s="9" t="str">
        <x:v>ME1</x:v>
      </x:c>
      <x:c r="G16" s="9" t="str">
        <x:v>Adaptation</x:v>
      </x:c>
      <x:c r="H16" s="7" t="str">
        <x:v>Vue des éléments du JSON partagé avec l’Excel.</x:v>
      </x:c>
      <x:c r="I16" s="7" t="str">
        <x:v>Statuts et périmètre clairement distingués du contenu jouable.</x:v>
      </x:c>
      <x:c r="J16" s="7" t="str"/>
      <x:c r="K16" s="7" t="str">
        <x:v>src/</x:v>
      </x:c>
      <x:c r="L16" s="7" t="str"/>
      <x:c r="M16" s="7" t="str"/>
      <x:c r="N16" s="7" t="str">
        <x:v>Décisions du fan game ; aucune prétention de canon officiel</x:v>
      </x:c>
      <x:c r="O16" s="7" t="str"/>
      <x:c r="P16" s="7" t="str">
        <x:v>Production ME1</x:v>
      </x:c>
      <x:c r="Q16" s="7" t="str"/>
    </x:row>
    <x:row r="17" ht="49" customHeight="1">
      <x:c r="A17" s="13" t="str">
        <x:v>SYS-choix-du-commando</x:v>
      </x:c>
      <x:c r="B17" s="14" t="str">
        <x:v>Choix du commando</x:v>
      </x:c>
      <x:c r="C17" s="10" t="str">
        <x:v>Prototype</x:v>
      </x:c>
      <x:c r="D17" s="11" t="str">
        <x:v>Prototype</x:v>
      </x:c>
      <x:c r="E17" s="15" t="str">
        <x:v>P0</x:v>
      </x:c>
      <x:c r="F17" s="15" t="str">
        <x:v>ME1</x:v>
      </x:c>
      <x:c r="G17" s="15" t="str">
        <x:v>Adaptation</x:v>
      </x:c>
      <x:c r="H17" s="14" t="str">
        <x:v>Shepard plus deux équipiers disponibles.</x:v>
      </x:c>
      <x:c r="I17" s="14" t="str">
        <x:v>Pas de sélection de personnage mort ou non recruté.</x:v>
      </x:c>
      <x:c r="J17" s="14" t="str"/>
      <x:c r="K17" s="14" t="str">
        <x:v>src/</x:v>
      </x:c>
      <x:c r="L17" s="14" t="str">
        <x:v>src/main.js</x:v>
      </x:c>
      <x:c r="M17" s="14" t="str">
        <x:v>system:choix-du-commando</x:v>
      </x:c>
      <x:c r="N17" s="14" t="str">
        <x:v>Décisions du fan game ; aucune prétention de canon officiel</x:v>
      </x:c>
      <x:c r="O17" s="14" t="str"/>
      <x:c r="P17" s="14" t="str">
        <x:v>Production ME1</x:v>
      </x:c>
      <x:c r="Q17" s="14" t="str">
        <x:v>Fonction présente en version prototype. Les critères complets de cette ligne restent à vérifier ; aucune validation finale déclarée.</x:v>
      </x:c>
    </x:row>
    <x:row r="18" ht="101" customHeight="1">
      <x:c r="A18" s="12" t="str">
        <x:v>SYS-inventaire</x:v>
      </x:c>
      <x:c r="B18" s="7" t="str">
        <x:v>Inventaire</x:v>
      </x:c>
      <x:c r="C18" s="10" t="str">
        <x:v>Prototype</x:v>
      </x:c>
      <x:c r="D18" s="11" t="str">
        <x:v>Prototype</x:v>
      </x:c>
      <x:c r="E18" s="9" t="str">
        <x:v>P0</x:v>
      </x:c>
      <x:c r="F18" s="9" t="str">
        <x:v>ME1</x:v>
      </x:c>
      <x:c r="G18" s="9" t="str">
        <x:v>Adaptation</x:v>
      </x:c>
      <x:c r="H18" s="7" t="str">
        <x:v>Inventaire partagé de 150 objets, 20 exemplaires par référence, 52 articles et neuf emplacements par personnage.</x:v>
      </x:c>
      <x:c r="I18" s="7" t="str">
        <x:v>Refuser surallocation, achat impossible et équipement incompatible avant toute mutation. Retrait, vente et import doivent préserver les quantités ; récupérer le matériel d’un allié disparu.</x:v>
      </x:c>
      <x:c r="J18" s="7" t="str"/>
      <x:c r="K18" s="7" t="str">
        <x:v>src/</x:v>
      </x:c>
      <x:c r="L18" s="7" t="str">
        <x:v>src/loadout.js</x:v>
      </x:c>
      <x:c r="M18" s="7" t="str">
        <x:v>normalizeInventory</x:v>
      </x:c>
      <x:c r="N18" s="7" t="str">
        <x:v>Décisions du fan game ; aucune prétention de canon officiel</x:v>
      </x:c>
      <x:c r="O18" s="7" t="str"/>
      <x:c r="P18" s="7" t="str">
        <x:v>Production ME1</x:v>
      </x:c>
      <x:c r="Q18" s="7" t="str">
        <x:v>Les objets équipés restent dans le total. Comparaison avant achat. Icônes et modèles propres à chaque objet restent à produire. Complément : inventaire interne v2, migration stricte des stocks et ports v1, restitution des modules au retrait/remplacement de leur pièce, quatre outils et comparaison des effets bio/tech. Preuve docs/qa/equipment-extension-report.json.</x:v>
      </x:c>
    </x:row>
    <x:row r="19" ht="62" customHeight="1">
      <x:c r="A19" s="13" t="str">
        <x:v>SYS-commerce</x:v>
      </x:c>
      <x:c r="B19" s="14" t="str">
        <x:v>Commerce</x:v>
      </x:c>
      <x:c r="C19" s="10" t="str">
        <x:v>Prototype</x:v>
      </x:c>
      <x:c r="D19" s="11" t="str">
        <x:v>Prototype</x:v>
      </x:c>
      <x:c r="E19" s="15" t="str">
        <x:v>P0</x:v>
      </x:c>
      <x:c r="F19" s="15" t="str">
        <x:v>ME1</x:v>
      </x:c>
      <x:c r="G19" s="15" t="str">
        <x:v>Adaptation</x:v>
      </x:c>
      <x:c r="H19" s="14" t="str">
        <x:v>Armurerie commune au Normandy et à la Citadelle, achat et vente avec stocks persistants. Calibrations permanentes de la version précédente conservées.</x:v>
      </x:c>
      <x:c r="I19" s="14" t="str">
        <x:v>Crédits, inventaire et stock changent ensemble, une fois. Refuser toute vente d’un exemplaire équipé et tout achat sans crédits ou capacité. Appliquer la remise Michel uniquement aux recharges de médi-gel.</x:v>
      </x:c>
      <x:c r="J19" s="14" t="str"/>
      <x:c r="K19" s="14" t="str">
        <x:v>src/</x:v>
      </x:c>
      <x:c r="L19" s="14" t="str">
        <x:v>src/loadout-ui.js</x:v>
      </x:c>
      <x:c r="M19" s="14" t="str">
        <x:v>renderLoadoutScreen</x:v>
      </x:c>
      <x:c r="N19" s="14" t="str">
        <x:v>Décisions du fan game ; aucune prétention de canon officiel</x:v>
      </x:c>
      <x:c r="O19" s="14" t="str"/>
      <x:c r="P19" s="14" t="str">
        <x:v>Production ME1</x:v>
      </x:c>
      <x:c r="Q19" s="14" t="str">
        <x:v>Prix, niveaux et stocks adaptés. Pas de licences ni de réapprovisionnement aléatoire.</x:v>
      </x:c>
    </x:row>
    <x:row r="20" ht="100" customHeight="1">
      <x:c r="A20" s="12" t="str">
        <x:v>SYS-talents</x:v>
      </x:c>
      <x:c r="B20" s="7" t="str">
        <x:v>Talents</x:v>
      </x:c>
      <x:c r="C20" s="10" t="str">
        <x:v>Prototype</x:v>
      </x:c>
      <x:c r="D20" s="11" t="str">
        <x:v>Prototype</x:v>
      </x:c>
      <x:c r="E20" s="9" t="str">
        <x:v>P0</x:v>
      </x:c>
      <x:c r="F20" s="9" t="str">
        <x:v>ME1</x:v>
      </x:c>
      <x:c r="G20" s="9" t="str">
        <x:v>Adaptation</x:v>
      </x:c>
      <x:c r="H20" s="7" t="str">
        <x:v>Progression propre à chaque classe et équipier.</x:v>
      </x:c>
      <x:c r="I20" s="7" t="str">
        <x:v>Dépendances et points disponibles contrôlés.</x:v>
      </x:c>
      <x:c r="J20" s="7" t="str"/>
      <x:c r="K20" s="7" t="str">
        <x:v>src/</x:v>
      </x:c>
      <x:c r="L20" s="7" t="str">
        <x:v>src/loadout.js</x:v>
      </x:c>
      <x:c r="M20" s="7" t="str">
        <x:v>trainArmor</x:v>
      </x:c>
      <x:c r="N20" s="7" t="str">
        <x:v>Décisions du fan game ; aucune prétention de canon officiel</x:v>
      </x:c>
      <x:c r="O20" s="7" t="str"/>
      <x:c r="P20" s="7" t="str">
        <x:v>Production ME1</x:v>
      </x:c>
      <x:c r="Q20" s="7" t="str">
        <x:v>Formations d’armure explicites seulement, classe/personnage éligible et budget contrôlé. Un point par niveau ATB gagné, coût un point. Ancienne armure portée conservée par exception limitée à cette pièce ; changer de pièce exige une formation. Arbres complets, rangs originaux, Electronics et bonus de maîtrise restent à reproduire. Voir docs/research/loadout-extension-sources.md.</x:v>
      </x:c>
    </x:row>
    <x:row r="21" ht="49" customHeight="1">
      <x:c r="A21" s="13" t="str">
        <x:v>SYS-atb-actif</x:v>
      </x:c>
      <x:c r="B21" s="14" t="str">
        <x:v>ATB actif</x:v>
      </x:c>
      <x:c r="C21" s="10" t="str">
        <x:v>Prototype</x:v>
      </x:c>
      <x:c r="D21" s="11" t="str">
        <x:v>Prototype</x:v>
      </x:c>
      <x:c r="E21" s="15" t="str">
        <x:v>P0</x:v>
      </x:c>
      <x:c r="F21" s="15" t="str">
        <x:v>ME1</x:v>
      </x:c>
      <x:c r="G21" s="15" t="str">
        <x:v>Adaptation</x:v>
      </x:c>
      <x:c r="H21" s="14" t="str">
        <x:v>Jauges progressant pendant les choix.</x:v>
      </x:c>
      <x:c r="I21" s="14" t="str">
        <x:v>Vitesse indépendante du nombre d’images par seconde.</x:v>
      </x:c>
      <x:c r="J21" s="14" t="str"/>
      <x:c r="K21" s="14" t="str">
        <x:v>src/</x:v>
      </x:c>
      <x:c r="L21" s="14" t="str">
        <x:v>src/main.js</x:v>
      </x:c>
      <x:c r="M21" s="14" t="str">
        <x:v>system:atb-actif</x:v>
      </x:c>
      <x:c r="N21" s="14" t="str">
        <x:v>Décisions du fan game ; aucune prétention de canon officiel</x:v>
      </x:c>
      <x:c r="O21" s="14" t="str"/>
      <x:c r="P21" s="14" t="str">
        <x:v>Production ME1</x:v>
      </x:c>
      <x:c r="Q21" s="14" t="str">
        <x:v>Fonction présente en version prototype. Les critères complets de cette ligne restent à vérifier ; aucune validation finale déclarée.</x:v>
      </x:c>
    </x:row>
    <x:row r="22" ht="49" customHeight="1">
      <x:c r="A22" s="12" t="str">
        <x:v>SYS-atb-attente</x:v>
      </x:c>
      <x:c r="B22" s="7" t="str">
        <x:v>ATB attente</x:v>
      </x:c>
      <x:c r="C22" s="10" t="str">
        <x:v>Prototype</x:v>
      </x:c>
      <x:c r="D22" s="11" t="str">
        <x:v>Prototype</x:v>
      </x:c>
      <x:c r="E22" s="9" t="str">
        <x:v>P0</x:v>
      </x:c>
      <x:c r="F22" s="9" t="str">
        <x:v>ME1</x:v>
      </x:c>
      <x:c r="G22" s="9" t="str">
        <x:v>Adaptation</x:v>
      </x:c>
      <x:c r="H22" s="7" t="str">
        <x:v>Pause pendant la sélection stratégique.</x:v>
      </x:c>
      <x:c r="I22" s="7" t="str">
        <x:v>Ennemis et refroidissements suivent la même règle.</x:v>
      </x:c>
      <x:c r="J22" s="7" t="str"/>
      <x:c r="K22" s="7" t="str">
        <x:v>src/</x:v>
      </x:c>
      <x:c r="L22" s="7" t="str">
        <x:v>src/main.js</x:v>
      </x:c>
      <x:c r="M22" s="7" t="str">
        <x:v>system:atb-attente</x:v>
      </x:c>
      <x:c r="N22" s="7" t="str">
        <x:v>Décisions du fan game ; aucune prétention de canon officiel</x:v>
      </x:c>
      <x:c r="O22" s="7" t="str"/>
      <x:c r="P22" s="7" t="str">
        <x:v>Production ME1</x:v>
      </x:c>
      <x:c r="Q22" s="7" t="str">
        <x:v>Fonction présente en version prototype. Les critères complets de cette ligne restent à vérifier ; aucune validation finale déclarée.</x:v>
      </x:c>
    </x:row>
    <x:row r="23" ht="49" customHeight="1">
      <x:c r="A23" s="13" t="str">
        <x:v>SYS-file-d-actions</x:v>
      </x:c>
      <x:c r="B23" s="14" t="str">
        <x:v>File d’actions</x:v>
      </x:c>
      <x:c r="C23" s="10" t="str">
        <x:v>Prototype</x:v>
      </x:c>
      <x:c r="D23" s="11" t="str">
        <x:v>Prototype</x:v>
      </x:c>
      <x:c r="E23" s="15" t="str">
        <x:v>P0</x:v>
      </x:c>
      <x:c r="F23" s="15" t="str">
        <x:v>ME1</x:v>
      </x:c>
      <x:c r="G23" s="15" t="str">
        <x:v>Adaptation</x:v>
      </x:c>
      <x:c r="H23" s="14" t="str">
        <x:v>Ordre d’exécution et résolution des cibles.</x:v>
      </x:c>
      <x:c r="I23" s="14" t="str">
        <x:v>Une cible disparue produit une annulation explicite.</x:v>
      </x:c>
      <x:c r="J23" s="14" t="str"/>
      <x:c r="K23" s="14" t="str">
        <x:v>src/</x:v>
      </x:c>
      <x:c r="L23" s="14" t="str">
        <x:v>src/main.js</x:v>
      </x:c>
      <x:c r="M23" s="14" t="str">
        <x:v>system:file-d-actions</x:v>
      </x:c>
      <x:c r="N23" s="14" t="str">
        <x:v>Décisions du fan game ; aucune prétention de canon officiel</x:v>
      </x:c>
      <x:c r="O23" s="14" t="str"/>
      <x:c r="P23" s="14" t="str">
        <x:v>Production ME1</x:v>
      </x:c>
      <x:c r="Q23" s="14" t="str">
        <x:v>Fonction présente en version prototype. Les critères complets de cette ligne restent à vérifier ; aucune validation finale déclarée.</x:v>
      </x:c>
    </x:row>
    <x:row r="24" ht="36" customHeight="1">
      <x:c r="A24" s="12" t="str">
        <x:v>SYS-portee</x:v>
      </x:c>
      <x:c r="B24" s="7" t="str">
        <x:v>Portée</x:v>
      </x:c>
      <x:c r="C24" s="10" t="str">
        <x:v>Défini</x:v>
      </x:c>
      <x:c r="D24" s="11" t="str">
        <x:v>À produire</x:v>
      </x:c>
      <x:c r="E24" s="9" t="str">
        <x:v>P0</x:v>
      </x:c>
      <x:c r="F24" s="9" t="str">
        <x:v>ME1</x:v>
      </x:c>
      <x:c r="G24" s="9" t="str">
        <x:v>Adaptation</x:v>
      </x:c>
      <x:c r="H24" s="7" t="str">
        <x:v>Bandes et lignes de tir pour les armes.</x:v>
      </x:c>
      <x:c r="I24" s="7" t="str">
        <x:v>Cible hors portée signalée avant validation.</x:v>
      </x:c>
      <x:c r="J24" s="7" t="str"/>
      <x:c r="K24" s="7" t="str">
        <x:v>src/</x:v>
      </x:c>
      <x:c r="L24" s="7" t="str"/>
      <x:c r="M24" s="7" t="str"/>
      <x:c r="N24" s="7" t="str">
        <x:v>Décisions du fan game ; aucune prétention de canon officiel</x:v>
      </x:c>
      <x:c r="O24" s="7" t="str"/>
      <x:c r="P24" s="7" t="str">
        <x:v>Production ME1</x:v>
      </x:c>
      <x:c r="Q24" s="7" t="str"/>
    </x:row>
    <x:row r="25" ht="49" customHeight="1">
      <x:c r="A25" s="13" t="str">
        <x:v>SYS-couverture</x:v>
      </x:c>
      <x:c r="B25" s="14" t="str">
        <x:v>Couverture</x:v>
      </x:c>
      <x:c r="C25" s="10" t="str">
        <x:v>Prototype</x:v>
      </x:c>
      <x:c r="D25" s="11" t="str">
        <x:v>Prototype</x:v>
      </x:c>
      <x:c r="E25" s="15" t="str">
        <x:v>P0</x:v>
      </x:c>
      <x:c r="F25" s="15" t="str">
        <x:v>ME1</x:v>
      </x:c>
      <x:c r="G25" s="15" t="str">
        <x:v>Adaptation</x:v>
      </x:c>
      <x:c r="H25" s="14" t="str">
        <x:v>Réduction d’exposition liée à une position.</x:v>
      </x:c>
      <x:c r="I25" s="14" t="str">
        <x:v>Géométrie et bonus tactique concordants.</x:v>
      </x:c>
      <x:c r="J25" s="14" t="str"/>
      <x:c r="K25" s="14" t="str">
        <x:v>src/</x:v>
      </x:c>
      <x:c r="L25" s="14" t="str">
        <x:v>src/main.js</x:v>
      </x:c>
      <x:c r="M25" s="14" t="str">
        <x:v>system:couverture</x:v>
      </x:c>
      <x:c r="N25" s="14" t="str">
        <x:v>Décisions du fan game ; aucune prétention de canon officiel</x:v>
      </x:c>
      <x:c r="O25" s="14" t="str"/>
      <x:c r="P25" s="14" t="str">
        <x:v>Production ME1</x:v>
      </x:c>
      <x:c r="Q25" s="14" t="str">
        <x:v>Fonction présente en version prototype. Les critères complets de cette ligne restent à vérifier ; aucune validation finale déclarée.</x:v>
      </x:c>
    </x:row>
    <x:row r="26" ht="62" customHeight="1">
      <x:c r="A26" s="12" t="str">
        <x:v>SYS-chaleur-des-armes</x:v>
      </x:c>
      <x:c r="B26" s="7" t="str">
        <x:v>Chaleur des armes</x:v>
      </x:c>
      <x:c r="C26" s="10" t="str">
        <x:v>Prototype</x:v>
      </x:c>
      <x:c r="D26" s="11" t="str">
        <x:v>Prototype</x:v>
      </x:c>
      <x:c r="E26" s="9" t="str">
        <x:v>P0</x:v>
      </x:c>
      <x:c r="F26" s="9" t="str">
        <x:v>ME1</x:v>
      </x:c>
      <x:c r="G26" s="9" t="str">
        <x:v>Adaptation</x:v>
      </x:c>
      <x:c r="H26" s="7" t="str">
        <x:v>Chaleur des tirs et refroidissement modulés par l’arme et son module. Les munitions phasiques ont un coût thermique supplémentaire.</x:v>
      </x:c>
      <x:c r="I26" s="7" t="str">
        <x:v>Bornes et surchauffe respectées. Les coûts affichés correspondent aux tirs réellement exécutés ; les pouvoirs et les effets de sabotage ne doivent pas recevoir le multiplicateur de chaleur de l’arme.</x:v>
      </x:c>
      <x:c r="J26" s="7" t="str"/>
      <x:c r="K26" s="7" t="str">
        <x:v>src/</x:v>
      </x:c>
      <x:c r="L26" s="7" t="str">
        <x:v>src/combat.js</x:v>
      </x:c>
      <x:c r="M26" s="7" t="str">
        <x:v>weaponHeatMultiplier/weaponCoolingBonus</x:v>
      </x:c>
      <x:c r="N26" s="7" t="str">
        <x:v>Décisions du fan game ; aucune prétention de canon officiel</x:v>
      </x:c>
      <x:c r="O26" s="7" t="str"/>
      <x:c r="P26" s="7" t="str">
        <x:v>Production ME1</x:v>
      </x:c>
      <x:c r="Q26" s="7" t="str">
        <x:v>Équilibrage ATB, sans reconstitution des tables statistiques ME1.</x:v>
      </x:c>
    </x:row>
    <x:row r="27" ht="49" customHeight="1">
      <x:c r="A27" s="13" t="str">
        <x:v>SYS-boucliers-et-sante</x:v>
      </x:c>
      <x:c r="B27" s="14" t="str">
        <x:v>Boucliers et santé</x:v>
      </x:c>
      <x:c r="C27" s="10" t="str">
        <x:v>Prototype</x:v>
      </x:c>
      <x:c r="D27" s="11" t="str">
        <x:v>Prototype</x:v>
      </x:c>
      <x:c r="E27" s="15" t="str">
        <x:v>P0</x:v>
      </x:c>
      <x:c r="F27" s="15" t="str">
        <x:v>ME1</x:v>
      </x:c>
      <x:c r="G27" s="15" t="str">
        <x:v>Adaptation</x:v>
      </x:c>
      <x:c r="H27" s="14" t="str">
        <x:v>Protections séparées de la vitalité.</x:v>
      </x:c>
      <x:c r="I27" s="14" t="str">
        <x:v>Ordre des dégâts et régénération lisibles.</x:v>
      </x:c>
      <x:c r="J27" s="14" t="str"/>
      <x:c r="K27" s="14" t="str">
        <x:v>src/</x:v>
      </x:c>
      <x:c r="L27" s="14" t="str">
        <x:v>src/main.js</x:v>
      </x:c>
      <x:c r="M27" s="14" t="str">
        <x:v>system:boucliers-et-sante</x:v>
      </x:c>
      <x:c r="N27" s="14" t="str">
        <x:v>Décisions du fan game ; aucune prétention de canon officiel</x:v>
      </x:c>
      <x:c r="O27" s="14" t="str"/>
      <x:c r="P27" s="14" t="str">
        <x:v>Production ME1</x:v>
      </x:c>
      <x:c r="Q27" s="14" t="str">
        <x:v>Fonction présente en version prototype. Les critères complets de cette ligne restent à vérifier ; aucune validation finale déclarée.</x:v>
      </x:c>
    </x:row>
    <x:row r="28" ht="49" customHeight="1">
      <x:c r="A28" s="12" t="str">
        <x:v>SYS-resistances</x:v>
      </x:c>
      <x:c r="B28" s="7" t="str">
        <x:v>Résistances</x:v>
      </x:c>
      <x:c r="C28" s="10" t="str">
        <x:v>Prototype</x:v>
      </x:c>
      <x:c r="D28" s="11" t="str">
        <x:v>Prototype</x:v>
      </x:c>
      <x:c r="E28" s="9" t="str">
        <x:v>P0</x:v>
      </x:c>
      <x:c r="F28" s="9" t="str">
        <x:v>ME1</x:v>
      </x:c>
      <x:c r="G28" s="9" t="str">
        <x:v>Adaptation</x:v>
      </x:c>
      <x:c r="H28" s="7" t="str">
        <x:v>Effets adaptés aux synthétiques, organiques et grands ennemis.</x:v>
      </x:c>
      <x:c r="I28" s="7" t="str">
        <x:v>Aucune immunité secrète sans retour visuel.</x:v>
      </x:c>
      <x:c r="J28" s="7" t="str"/>
      <x:c r="K28" s="7" t="str">
        <x:v>src/</x:v>
      </x:c>
      <x:c r="L28" s="7" t="str">
        <x:v>src/main.js</x:v>
      </x:c>
      <x:c r="M28" s="7" t="str">
        <x:v>system:resistances</x:v>
      </x:c>
      <x:c r="N28" s="7" t="str">
        <x:v>Décisions du fan game ; aucune prétention de canon officiel</x:v>
      </x:c>
      <x:c r="O28" s="7" t="str"/>
      <x:c r="P28" s="7" t="str">
        <x:v>Production ME1</x:v>
      </x:c>
      <x:c r="Q28" s="7" t="str">
        <x:v>Fonction présente en version prototype. Les critères complets de cette ligne restent à vérifier ; aucune validation finale déclarée.</x:v>
      </x:c>
    </x:row>
    <x:row r="29" ht="49" customHeight="1">
      <x:c r="A29" s="13" t="str">
        <x:v>SYS-pouvoirs</x:v>
      </x:c>
      <x:c r="B29" s="14" t="str">
        <x:v>Pouvoirs</x:v>
      </x:c>
      <x:c r="C29" s="10" t="str">
        <x:v>Prototype</x:v>
      </x:c>
      <x:c r="D29" s="11" t="str">
        <x:v>Prototype</x:v>
      </x:c>
      <x:c r="E29" s="15" t="str">
        <x:v>P0</x:v>
      </x:c>
      <x:c r="F29" s="15" t="str">
        <x:v>ME1</x:v>
      </x:c>
      <x:c r="G29" s="15" t="str">
        <x:v>Adaptation</x:v>
      </x:c>
      <x:c r="H29" s="14" t="str">
        <x:v>Coût en action et délai de réutilisation.</x:v>
      </x:c>
      <x:c r="I29" s="14" t="str">
        <x:v>Éligibilité dépend de la classe et du talent.</x:v>
      </x:c>
      <x:c r="J29" s="14" t="str"/>
      <x:c r="K29" s="14" t="str">
        <x:v>src/</x:v>
      </x:c>
      <x:c r="L29" s="14" t="str">
        <x:v>src/main.js</x:v>
      </x:c>
      <x:c r="M29" s="14" t="str">
        <x:v>system:pouvoirs</x:v>
      </x:c>
      <x:c r="N29" s="14" t="str">
        <x:v>Décisions du fan game ; aucune prétention de canon officiel</x:v>
      </x:c>
      <x:c r="O29" s="14" t="str"/>
      <x:c r="P29" s="14" t="str">
        <x:v>Production ME1</x:v>
      </x:c>
      <x:c r="Q29" s="14" t="str">
        <x:v>Fonction présente en version prototype. Les critères complets de cette ligne restent à vérifier ; aucune validation finale déclarée.</x:v>
      </x:c>
    </x:row>
    <x:row r="30" ht="36" customHeight="1">
      <x:c r="A30" s="12" t="str">
        <x:v>SYS-ordres-coordonnes</x:v>
      </x:c>
      <x:c r="B30" s="7" t="str">
        <x:v>Ordres coordonnés</x:v>
      </x:c>
      <x:c r="C30" s="10" t="str">
        <x:v>Défini</x:v>
      </x:c>
      <x:c r="D30" s="11" t="str">
        <x:v>À produire</x:v>
      </x:c>
      <x:c r="E30" s="9" t="str">
        <x:v>P0</x:v>
      </x:c>
      <x:c r="F30" s="9" t="str">
        <x:v>ME1</x:v>
      </x:c>
      <x:c r="G30" s="9" t="str">
        <x:v>Adaptation</x:v>
      </x:c>
      <x:c r="H30" s="7" t="str">
        <x:v>Séquences réunissant plusieurs membres.</x:v>
      </x:c>
      <x:c r="I30" s="7" t="str">
        <x:v>Participants disponibles et actions consommées.</x:v>
      </x:c>
      <x:c r="J30" s="7" t="str"/>
      <x:c r="K30" s="7" t="str">
        <x:v>src/</x:v>
      </x:c>
      <x:c r="L30" s="7" t="str"/>
      <x:c r="M30" s="7" t="str"/>
      <x:c r="N30" s="7" t="str">
        <x:v>Décisions du fan game ; aucune prétention de canon officiel</x:v>
      </x:c>
      <x:c r="O30" s="7" t="str"/>
      <x:c r="P30" s="7" t="str">
        <x:v>Production ME1</x:v>
      </x:c>
      <x:c r="Q30" s="7" t="str"/>
    </x:row>
    <x:row r="31" ht="49" customHeight="1">
      <x:c r="A31" s="13" t="str">
        <x:v>SYS-victoire</x:v>
      </x:c>
      <x:c r="B31" s="14" t="str">
        <x:v>Victoire</x:v>
      </x:c>
      <x:c r="C31" s="10" t="str">
        <x:v>Prototype</x:v>
      </x:c>
      <x:c r="D31" s="11" t="str">
        <x:v>Prototype</x:v>
      </x:c>
      <x:c r="E31" s="15" t="str">
        <x:v>P0</x:v>
      </x:c>
      <x:c r="F31" s="15" t="str">
        <x:v>ME1</x:v>
      </x:c>
      <x:c r="G31" s="15" t="str">
        <x:v>Adaptation</x:v>
      </x:c>
      <x:c r="H31" s="14" t="str">
        <x:v>Récompenses, état de quête et retour à l’exploration.</x:v>
      </x:c>
      <x:c r="I31" s="14" t="str">
        <x:v>Butin et XP attribués une seule fois.</x:v>
      </x:c>
      <x:c r="J31" s="14" t="str"/>
      <x:c r="K31" s="14" t="str">
        <x:v>src/</x:v>
      </x:c>
      <x:c r="L31" s="14" t="str">
        <x:v>src/main.js</x:v>
      </x:c>
      <x:c r="M31" s="14" t="str">
        <x:v>system:victoire</x:v>
      </x:c>
      <x:c r="N31" s="14" t="str">
        <x:v>Décisions du fan game ; aucune prétention de canon officiel</x:v>
      </x:c>
      <x:c r="O31" s="14" t="str"/>
      <x:c r="P31" s="14" t="str">
        <x:v>Production ME1</x:v>
      </x:c>
      <x:c r="Q31" s="14" t="str">
        <x:v>Fonction présente en version prototype. Les critères complets de cette ligne restent à vérifier ; aucune validation finale déclarée.</x:v>
      </x:c>
    </x:row>
    <x:row r="32" ht="49" customHeight="1">
      <x:c r="A32" s="12" t="str">
        <x:v>SYS-defaite</x:v>
      </x:c>
      <x:c r="B32" s="7" t="str">
        <x:v>Défaite</x:v>
      </x:c>
      <x:c r="C32" s="10" t="str">
        <x:v>Prototype</x:v>
      </x:c>
      <x:c r="D32" s="11" t="str">
        <x:v>Prototype</x:v>
      </x:c>
      <x:c r="E32" s="9" t="str">
        <x:v>P0</x:v>
      </x:c>
      <x:c r="F32" s="9" t="str">
        <x:v>ME1</x:v>
      </x:c>
      <x:c r="G32" s="9" t="str">
        <x:v>Adaptation</x:v>
      </x:c>
      <x:c r="H32" s="7" t="str">
        <x:v>Reprise depuis un point sûr.</x:v>
      </x:c>
      <x:c r="I32" s="7" t="str">
        <x:v>Aucune progression corrompue ni boucle de mort.</x:v>
      </x:c>
      <x:c r="J32" s="7" t="str"/>
      <x:c r="K32" s="7" t="str">
        <x:v>src/</x:v>
      </x:c>
      <x:c r="L32" s="7" t="str">
        <x:v>src/main.js</x:v>
      </x:c>
      <x:c r="M32" s="7" t="str">
        <x:v>system:defaite</x:v>
      </x:c>
      <x:c r="N32" s="7" t="str">
        <x:v>Décisions du fan game ; aucune prétention de canon officiel</x:v>
      </x:c>
      <x:c r="O32" s="7" t="str"/>
      <x:c r="P32" s="7" t="str">
        <x:v>Production ME1</x:v>
      </x:c>
      <x:c r="Q32" s="7" t="str">
        <x:v>Fonction présente en version prototype. Les critères complets de cette ligne restent à vérifier ; aucune validation finale déclarée.</x:v>
      </x:c>
    </x:row>
    <x:row r="33" ht="49" customHeight="1">
      <x:c r="A33" s="13" t="str">
        <x:v>SYS-fuite</x:v>
      </x:c>
      <x:c r="B33" s="14" t="str">
        <x:v>Fuite</x:v>
      </x:c>
      <x:c r="C33" s="10" t="str">
        <x:v>Prototype</x:v>
      </x:c>
      <x:c r="D33" s="11" t="str">
        <x:v>Prototype</x:v>
      </x:c>
      <x:c r="E33" s="15" t="str">
        <x:v>P0</x:v>
      </x:c>
      <x:c r="F33" s="15" t="str">
        <x:v>ME1</x:v>
      </x:c>
      <x:c r="G33" s="15" t="str">
        <x:v>Adaptation</x:v>
      </x:c>
      <x:c r="H33" s="14" t="str">
        <x:v>Sortie autorisée des rencontres secondaires.</x:v>
      </x:c>
      <x:c r="I33" s="14" t="str">
        <x:v>Position de reprise hors de la zone de déclenchement.</x:v>
      </x:c>
      <x:c r="J33" s="14" t="str"/>
      <x:c r="K33" s="14" t="str">
        <x:v>src/</x:v>
      </x:c>
      <x:c r="L33" s="14" t="str">
        <x:v>src/main.js</x:v>
      </x:c>
      <x:c r="M33" s="14" t="str">
        <x:v>system:fuite</x:v>
      </x:c>
      <x:c r="N33" s="14" t="str">
        <x:v>Décisions du fan game ; aucune prétention de canon officiel</x:v>
      </x:c>
      <x:c r="O33" s="14" t="str"/>
      <x:c r="P33" s="14" t="str">
        <x:v>Production ME1</x:v>
      </x:c>
      <x:c r="Q33" s="14" t="str">
        <x:v>Fonction présente en version prototype. Les critères complets de cette ligne restent à vérifier ; aucune validation finale déclarée.</x:v>
      </x:c>
    </x:row>
    <x:row r="34" ht="36" customHeight="1">
      <x:c r="A34" s="12" t="str">
        <x:v>SYS-mako</x:v>
      </x:c>
      <x:c r="B34" s="7" t="str">
        <x:v>Mako</x:v>
      </x:c>
      <x:c r="C34" s="10" t="str">
        <x:v>Défini</x:v>
      </x:c>
      <x:c r="D34" s="11" t="str">
        <x:v>À produire</x:v>
      </x:c>
      <x:c r="E34" s="9" t="str">
        <x:v>P0</x:v>
      </x:c>
      <x:c r="F34" s="9" t="str">
        <x:v>ME1</x:v>
      </x:c>
      <x:c r="G34" s="9" t="str">
        <x:v>Adaptation</x:v>
      </x:c>
      <x:c r="H34" s="7" t="str">
        <x:v>Exploration et combat véhicule séparés.</x:v>
      </x:c>
      <x:c r="I34" s="7" t="str">
        <x:v>Échelle et caméra compatibles avec les environnements.</x:v>
      </x:c>
      <x:c r="J34" s="7" t="str"/>
      <x:c r="K34" s="7" t="str">
        <x:v>src/</x:v>
      </x:c>
      <x:c r="L34" s="7" t="str"/>
      <x:c r="M34" s="7" t="str"/>
      <x:c r="N34" s="7" t="str">
        <x:v>Décisions du fan game ; aucune prétention de canon officiel</x:v>
      </x:c>
      <x:c r="O34" s="7" t="str"/>
      <x:c r="P34" s="7" t="str">
        <x:v>Production ME1</x:v>
      </x:c>
      <x:c r="Q34" s="7" t="str"/>
    </x:row>
    <x:row r="35" ht="100" customHeight="1">
      <x:c r="A35" s="13" t="str">
        <x:v>SYS-dialogue-a-choix</x:v>
      </x:c>
      <x:c r="B35" s="14" t="str">
        <x:v>Dialogue à choix</x:v>
      </x:c>
      <x:c r="C35" s="10" t="str">
        <x:v>Prototype</x:v>
      </x:c>
      <x:c r="D35" s="11" t="str">
        <x:v>Prototype</x:v>
      </x:c>
      <x:c r="E35" s="15" t="str">
        <x:v>P0</x:v>
      </x:c>
      <x:c r="F35" s="15" t="str">
        <x:v>ME1</x:v>
      </x:c>
      <x:c r="G35" s="15" t="str">
        <x:v>Adaptation</x:v>
      </x:c>
      <x:c r="H35" s="14" t="str">
        <x:v>Nœuds, conditions et conséquences.</x:v>
      </x:c>
      <x:c r="I35" s="14" t="str">
        <x:v>Chaque branche atteint une sortie valide.</x:v>
      </x:c>
      <x:c r="J35" s="14" t="str"/>
      <x:c r="K35" s="14" t="str">
        <x:v>src/</x:v>
      </x:c>
      <x:c r="L35" s="14" t="str">
        <x:v>src/main.js</x:v>
      </x:c>
      <x:c r="M35" s="14" t="str">
        <x:v>system:dialogue-a-choix</x:v>
      </x:c>
      <x:c r="N35" s="14" t="str">
        <x:v>Décisions du fan game ; aucune prétention de canon officiel</x:v>
      </x:c>
      <x:c r="O35" s="14" t="str"/>
      <x:c r="P35" s="14" t="str">
        <x:v>Production ME1</x:v>
      </x:c>
      <x:c r="Q35" s="14" t="str">
        <x:v>Branches de recrutement acceptation/report et conseil à Garrus avec réponse persistée, sous forme de réécritures concises. Les dialogues intégraux, la roue de conversation complète et l’ensemble des branches du catalogue restent à produire. Contrôles : tests/story.test.js, tests/recruitment.test.js, tests/story-world.test.js et scripts/story-browser.mjs ; preuve conservée dans docs/qa/story-and-recruitment-report.json.</x:v>
      </x:c>
    </x:row>
    <x:row r="36" ht="49" customHeight="1">
      <x:c r="A36" s="12" t="str">
        <x:v>SYS-reputation</x:v>
      </x:c>
      <x:c r="B36" s="7" t="str">
        <x:v>Réputation</x:v>
      </x:c>
      <x:c r="C36" s="10" t="str">
        <x:v>Prototype</x:v>
      </x:c>
      <x:c r="D36" s="11" t="str">
        <x:v>Prototype</x:v>
      </x:c>
      <x:c r="E36" s="9" t="str">
        <x:v>P0</x:v>
      </x:c>
      <x:c r="F36" s="9" t="str">
        <x:v>ME1</x:v>
      </x:c>
      <x:c r="G36" s="9" t="str">
        <x:v>Adaptation</x:v>
      </x:c>
      <x:c r="H36" s="7" t="str">
        <x:v>Suivi conciliateur et pragmatique selon la règle choisie.</x:v>
      </x:c>
      <x:c r="I36" s="7" t="str">
        <x:v>Pas de verrouillage par valeur non affichée.</x:v>
      </x:c>
      <x:c r="J36" s="7" t="str"/>
      <x:c r="K36" s="7" t="str">
        <x:v>src/</x:v>
      </x:c>
      <x:c r="L36" s="7" t="str">
        <x:v>src/main.js</x:v>
      </x:c>
      <x:c r="M36" s="7" t="str">
        <x:v>system:reputation</x:v>
      </x:c>
      <x:c r="N36" s="7" t="str">
        <x:v>Décisions du fan game ; aucune prétention de canon officiel</x:v>
      </x:c>
      <x:c r="O36" s="7" t="str"/>
      <x:c r="P36" s="7" t="str">
        <x:v>Production ME1</x:v>
      </x:c>
      <x:c r="Q36" s="7" t="str">
        <x:v>Fonction présente en version prototype. Les critères complets de cette ligne restent à vérifier ; aucune validation finale déclarée.</x:v>
      </x:c>
    </x:row>
    <x:row r="37" ht="36" customHeight="1">
      <x:c r="A37" s="13" t="str">
        <x:v>SYS-relations</x:v>
      </x:c>
      <x:c r="B37" s="14" t="str">
        <x:v>Relations</x:v>
      </x:c>
      <x:c r="C37" s="10" t="str">
        <x:v>Défini</x:v>
      </x:c>
      <x:c r="D37" s="11" t="str">
        <x:v>À produire</x:v>
      </x:c>
      <x:c r="E37" s="15" t="str">
        <x:v>P0</x:v>
      </x:c>
      <x:c r="F37" s="15" t="str">
        <x:v>ME1</x:v>
      </x:c>
      <x:c r="G37" s="15" t="str">
        <x:v>Adaptation</x:v>
      </x:c>
      <x:c r="H37" s="14" t="str">
        <x:v>Étapes d’amitié et de romance.</x:v>
      </x:c>
      <x:c r="I37" s="14" t="str">
        <x:v>Concordance avec la disponibilité et la survie.</x:v>
      </x:c>
      <x:c r="J37" s="14" t="str"/>
      <x:c r="K37" s="14" t="str">
        <x:v>src/</x:v>
      </x:c>
      <x:c r="L37" s="14" t="str"/>
      <x:c r="M37" s="14" t="str"/>
      <x:c r="N37" s="14" t="str">
        <x:v>Décisions du fan game ; aucune prétention de canon officiel</x:v>
      </x:c>
      <x:c r="O37" s="14" t="str"/>
      <x:c r="P37" s="14" t="str">
        <x:v>Production ME1</x:v>
      </x:c>
      <x:c r="Q37" s="14" t="str"/>
    </x:row>
    <x:row r="38" ht="49" customHeight="1">
      <x:c r="A38" s="12" t="str">
        <x:v>SYS-transitions-de-camera</x:v>
      </x:c>
      <x:c r="B38" s="7" t="str">
        <x:v>Transitions de caméra</x:v>
      </x:c>
      <x:c r="C38" s="10" t="str">
        <x:v>Prototype</x:v>
      </x:c>
      <x:c r="D38" s="11" t="str">
        <x:v>Prototype</x:v>
      </x:c>
      <x:c r="E38" s="9" t="str">
        <x:v>P0</x:v>
      </x:c>
      <x:c r="F38" s="9" t="str">
        <x:v>ME1</x:v>
      </x:c>
      <x:c r="G38" s="9" t="str">
        <x:v>Adaptation</x:v>
      </x:c>
      <x:c r="H38" s="7" t="str">
        <x:v>Volumes et plans fixes.</x:v>
      </x:c>
      <x:c r="I38" s="7" t="str">
        <x:v>Les commandes conservent une direction compréhensible.</x:v>
      </x:c>
      <x:c r="J38" s="7" t="str"/>
      <x:c r="K38" s="7" t="str">
        <x:v>src/</x:v>
      </x:c>
      <x:c r="L38" s="7" t="str">
        <x:v>src/main.js</x:v>
      </x:c>
      <x:c r="M38" s="7" t="str">
        <x:v>system:transitions-de-camera</x:v>
      </x:c>
      <x:c r="N38" s="7" t="str">
        <x:v>Décisions du fan game ; aucune prétention de canon officiel</x:v>
      </x:c>
      <x:c r="O38" s="7" t="str"/>
      <x:c r="P38" s="7" t="str">
        <x:v>Production ME1</x:v>
      </x:c>
      <x:c r="Q38" s="7" t="str">
        <x:v>Fonction présente en version prototype. Les critères complets de cette ligne restent à vérifier ; aucune validation finale déclarée.</x:v>
      </x:c>
    </x:row>
    <x:row r="39" ht="49" customHeight="1">
      <x:c r="A39" s="13" t="str">
        <x:v>SYS-occlusion-sprites</x:v>
      </x:c>
      <x:c r="B39" s="14" t="str">
        <x:v>Occlusion sprites</x:v>
      </x:c>
      <x:c r="C39" s="10" t="str">
        <x:v>Prototype</x:v>
      </x:c>
      <x:c r="D39" s="11" t="str">
        <x:v>Prototype</x:v>
      </x:c>
      <x:c r="E39" s="15" t="str">
        <x:v>P0</x:v>
      </x:c>
      <x:c r="F39" s="15" t="str">
        <x:v>ME1</x:v>
      </x:c>
      <x:c r="G39" s="15" t="str">
        <x:v>Adaptation</x:v>
      </x:c>
      <x:c r="H39" s="14" t="str">
        <x:v>Géométrie 3D devant ou derrière les personnages.</x:v>
      </x:c>
      <x:c r="I39" s="14" t="str">
        <x:v>Pas de personnage visible à travers un mur opaque.</x:v>
      </x:c>
      <x:c r="J39" s="14" t="str"/>
      <x:c r="K39" s="14" t="str">
        <x:v>src/</x:v>
      </x:c>
      <x:c r="L39" s="14" t="str">
        <x:v>src/main.js</x:v>
      </x:c>
      <x:c r="M39" s="14" t="str">
        <x:v>system:occlusion-sprites</x:v>
      </x:c>
      <x:c r="N39" s="14" t="str">
        <x:v>Décisions du fan game ; aucune prétention de canon officiel</x:v>
      </x:c>
      <x:c r="O39" s="14" t="str"/>
      <x:c r="P39" s="14" t="str">
        <x:v>Production ME1</x:v>
      </x:c>
      <x:c r="Q39" s="14" t="str">
        <x:v>Fonction présente en version prototype. Les critères complets de cette ligne restent à vérifier ; aucune validation finale déclarée.</x:v>
      </x:c>
    </x:row>
    <x:row r="40" ht="49" customHeight="1">
      <x:c r="A40" s="12" t="str">
        <x:v>SYS-parametres-visuels</x:v>
      </x:c>
      <x:c r="B40" s="7" t="str">
        <x:v>Paramètres visuels</x:v>
      </x:c>
      <x:c r="C40" s="10" t="str">
        <x:v>Prototype</x:v>
      </x:c>
      <x:c r="D40" s="11" t="str">
        <x:v>Prototype</x:v>
      </x:c>
      <x:c r="E40" s="9" t="str">
        <x:v>P0</x:v>
      </x:c>
      <x:c r="F40" s="9" t="str">
        <x:v>ME1</x:v>
      </x:c>
      <x:c r="G40" s="9" t="str">
        <x:v>Adaptation</x:v>
      </x:c>
      <x:c r="H40" s="7" t="str">
        <x:v>Qualité, luminosité et intensité des effets.</x:v>
      </x:c>
      <x:c r="I40" s="7" t="str">
        <x:v>Réglages appliqués sans recharger une sauvegarde.</x:v>
      </x:c>
      <x:c r="J40" s="7" t="str"/>
      <x:c r="K40" s="7" t="str">
        <x:v>src/</x:v>
      </x:c>
      <x:c r="L40" s="7" t="str">
        <x:v>src/main.js</x:v>
      </x:c>
      <x:c r="M40" s="7" t="str">
        <x:v>system:parametres-visuels</x:v>
      </x:c>
      <x:c r="N40" s="7" t="str">
        <x:v>Décisions du fan game ; aucune prétention de canon officiel</x:v>
      </x:c>
      <x:c r="O40" s="7" t="str"/>
      <x:c r="P40" s="7" t="str">
        <x:v>Production ME1</x:v>
      </x:c>
      <x:c r="Q40" s="7" t="str">
        <x:v>Fonction présente en version prototype. Les critères complets de cette ligne restent à vérifier ; aucune validation finale déclarée.</x:v>
      </x:c>
    </x:row>
    <x:row r="41" ht="36" customHeight="1">
      <x:c r="A41" s="13" t="str">
        <x:v>SYS-manette</x:v>
      </x:c>
      <x:c r="B41" s="14" t="str">
        <x:v>Manette</x:v>
      </x:c>
      <x:c r="C41" s="10" t="str">
        <x:v>Défini</x:v>
      </x:c>
      <x:c r="D41" s="11" t="str">
        <x:v>À produire</x:v>
      </x:c>
      <x:c r="E41" s="15" t="str">
        <x:v>P0</x:v>
      </x:c>
      <x:c r="F41" s="15" t="str">
        <x:v>ME1</x:v>
      </x:c>
      <x:c r="G41" s="15" t="str">
        <x:v>Adaptation</x:v>
      </x:c>
      <x:c r="H41" s="14" t="str">
        <x:v>Navigation et actions entièrement accessibles.</x:v>
      </x:c>
      <x:c r="I41" s="14" t="str">
        <x:v>Indicateurs de touches reflètent la commande active.</x:v>
      </x:c>
      <x:c r="J41" s="14" t="str"/>
      <x:c r="K41" s="14" t="str">
        <x:v>src/</x:v>
      </x:c>
      <x:c r="L41" s="14" t="str"/>
      <x:c r="M41" s="14" t="str"/>
      <x:c r="N41" s="14" t="str">
        <x:v>Décisions du fan game ; aucune prétention de canon officiel</x:v>
      </x:c>
      <x:c r="O41" s="14" t="str"/>
      <x:c r="P41" s="14" t="str">
        <x:v>Production ME1</x:v>
      </x:c>
      <x:c r="Q41" s="14" t="str"/>
    </x:row>
    <x:row r="42" ht="49" customHeight="1">
      <x:c r="A42" s="12" t="str">
        <x:v>SYS-clavier</x:v>
      </x:c>
      <x:c r="B42" s="7" t="str">
        <x:v>Clavier</x:v>
      </x:c>
      <x:c r="C42" s="10" t="str">
        <x:v>Prototype</x:v>
      </x:c>
      <x:c r="D42" s="11" t="str">
        <x:v>Prototype</x:v>
      </x:c>
      <x:c r="E42" s="9" t="str">
        <x:v>P0</x:v>
      </x:c>
      <x:c r="F42" s="9" t="str">
        <x:v>ME1</x:v>
      </x:c>
      <x:c r="G42" s="9" t="str">
        <x:v>Adaptation</x:v>
      </x:c>
      <x:c r="H42" s="7" t="str">
        <x:v>Déplacement, menus et raccourcis remappables à terme.</x:v>
      </x:c>
      <x:c r="I42" s="7" t="str">
        <x:v>Aucun blocage dans les dialogues.</x:v>
      </x:c>
      <x:c r="J42" s="7" t="str"/>
      <x:c r="K42" s="7" t="str">
        <x:v>src/</x:v>
      </x:c>
      <x:c r="L42" s="7" t="str">
        <x:v>src/main.js</x:v>
      </x:c>
      <x:c r="M42" s="7" t="str">
        <x:v>system:clavier</x:v>
      </x:c>
      <x:c r="N42" s="7" t="str">
        <x:v>Décisions du fan game ; aucune prétention de canon officiel</x:v>
      </x:c>
      <x:c r="O42" s="7" t="str"/>
      <x:c r="P42" s="7" t="str">
        <x:v>Production ME1</x:v>
      </x:c>
      <x:c r="Q42" s="7" t="str">
        <x:v>Fonction présente en version prototype. Les critères complets de cette ligne restent à vérifier ; aucune validation finale déclarée.</x:v>
      </x:c>
    </x:row>
    <x:row r="43" ht="49" customHeight="1">
      <x:c r="A43" s="13" t="str">
        <x:v>SYS-accessibilite</x:v>
      </x:c>
      <x:c r="B43" s="14" t="str">
        <x:v>Accessibilité</x:v>
      </x:c>
      <x:c r="C43" s="10" t="str">
        <x:v>Prototype</x:v>
      </x:c>
      <x:c r="D43" s="11" t="str">
        <x:v>Prototype</x:v>
      </x:c>
      <x:c r="E43" s="15" t="str">
        <x:v>P0</x:v>
      </x:c>
      <x:c r="F43" s="15" t="str">
        <x:v>ME1</x:v>
      </x:c>
      <x:c r="G43" s="15" t="str">
        <x:v>Adaptation</x:v>
      </x:c>
      <x:c r="H43" s="14" t="str">
        <x:v>Taille du texte, contraste et réduction des flashs.</x:v>
      </x:c>
      <x:c r="I43" s="14" t="str">
        <x:v>Menus et combat restent lisibles à 1080p.</x:v>
      </x:c>
      <x:c r="J43" s="14" t="str"/>
      <x:c r="K43" s="14" t="str">
        <x:v>src/</x:v>
      </x:c>
      <x:c r="L43" s="14" t="str">
        <x:v>src/main.js</x:v>
      </x:c>
      <x:c r="M43" s="14" t="str">
        <x:v>system:accessibilite</x:v>
      </x:c>
      <x:c r="N43" s="14" t="str">
        <x:v>Décisions du fan game ; aucune prétention de canon officiel</x:v>
      </x:c>
      <x:c r="O43" s="14" t="str"/>
      <x:c r="P43" s="14" t="str">
        <x:v>Production ME1</x:v>
      </x:c>
      <x:c r="Q43" s="14" t="str">
        <x:v>Fonction présente en version prototype. Les critères complets de cette ligne restent à vérifier ; aucune validation finale déclarée.</x:v>
      </x:c>
    </x:row>
    <x:row r="44" ht="49" customHeight="1">
      <x:c r="A44" s="12" t="str">
        <x:v>SYS-export-de-campagne</x:v>
      </x:c>
      <x:c r="B44" s="7" t="str">
        <x:v>Export de campagne</x:v>
      </x:c>
      <x:c r="C44" s="10" t="str">
        <x:v>Prototype</x:v>
      </x:c>
      <x:c r="D44" s="11" t="str">
        <x:v>Prototype</x:v>
      </x:c>
      <x:c r="E44" s="9" t="str">
        <x:v>P0</x:v>
      </x:c>
      <x:c r="F44" s="9" t="str">
        <x:v>ME1</x:v>
      </x:c>
      <x:c r="G44" s="9" t="str">
        <x:v>Adaptation</x:v>
      </x:c>
      <x:c r="H44" s="7" t="str">
        <x:v>Drapeaux de fin pour une future suite.</x:v>
      </x:c>
      <x:c r="I44" s="7" t="str">
        <x:v>Schéma versionné, contenu ME2 non supposé existant.</x:v>
      </x:c>
      <x:c r="J44" s="7" t="str"/>
      <x:c r="K44" s="7" t="str">
        <x:v>src/</x:v>
      </x:c>
      <x:c r="L44" s="7" t="str">
        <x:v>src/main.js</x:v>
      </x:c>
      <x:c r="M44" s="7" t="str">
        <x:v>system:export-de-campagne</x:v>
      </x:c>
      <x:c r="N44" s="7" t="str">
        <x:v>Décisions du fan game ; aucune prétention de canon officiel</x:v>
      </x:c>
      <x:c r="O44" s="7" t="str"/>
      <x:c r="P44" s="7" t="str">
        <x:v>Production ME1</x:v>
      </x:c>
      <x:c r="Q44" s="7" t="str">
        <x:v>Fonction présente en version prototype. Les critères complets de cette ligne restent à vérifier ; aucune validation finale déclarée.</x:v>
      </x:c>
    </x:row>
    <x:row r="45" ht="36" customHeight="1">
      <x:c r="A45" s="13" t="str">
        <x:v>SYS-mode-bureau</x:v>
      </x:c>
      <x:c r="B45" s="14" t="str">
        <x:v>Mode bureau</x:v>
      </x:c>
      <x:c r="C45" s="10" t="str">
        <x:v>Défini</x:v>
      </x:c>
      <x:c r="D45" s="11" t="str">
        <x:v>À produire</x:v>
      </x:c>
      <x:c r="E45" s="15" t="str">
        <x:v>P0</x:v>
      </x:c>
      <x:c r="F45" s="15" t="str">
        <x:v>ME1</x:v>
      </x:c>
      <x:c r="G45" s="15" t="str">
        <x:v>Adaptation</x:v>
      </x:c>
      <x:c r="H45" s="14" t="str">
        <x:v>Lancement local dans une fenêtre dédiée.</x:v>
      </x:c>
      <x:c r="I45" s="14" t="str">
        <x:v>Chemins de fichiers, sauvegarde et fermeture contrôlés.</x:v>
      </x:c>
      <x:c r="J45" s="14" t="str"/>
      <x:c r="K45" s="14" t="str">
        <x:v>src/</x:v>
      </x:c>
      <x:c r="L45" s="14" t="str"/>
      <x:c r="M45" s="14" t="str"/>
      <x:c r="N45" s="14" t="str">
        <x:v>Décisions du fan game ; aucune prétention de canon officiel</x:v>
      </x:c>
      <x:c r="O45" s="14" t="str"/>
      <x:c r="P45" s="14" t="str">
        <x:v>Production ME1</x:v>
      </x:c>
      <x:c r="Q45" s="14" t="str"/>
    </x:row>
    <x:row r="46" ht="36" customHeight="1">
      <x:c r="A46" s="12" t="str">
        <x:v>SYS-credits-et-perimetre</x:v>
      </x:c>
      <x:c r="B46" s="7" t="str">
        <x:v>Crédits et périmètre</x:v>
      </x:c>
      <x:c r="C46" s="10" t="str">
        <x:v>Défini</x:v>
      </x:c>
      <x:c r="D46" s="11" t="str">
        <x:v>À produire</x:v>
      </x:c>
      <x:c r="E46" s="9" t="str">
        <x:v>P0</x:v>
      </x:c>
      <x:c r="F46" s="9" t="str">
        <x:v>ME1</x:v>
      </x:c>
      <x:c r="G46" s="9" t="str">
        <x:v>Adaptation</x:v>
      </x:c>
      <x:c r="H46" s="7" t="str">
        <x:v>Identification claire du fan game et des créations.</x:v>
      </x:c>
      <x:c r="I46" s="7" t="str">
        <x:v>Sources et contenu expérimental distingués.</x:v>
      </x:c>
      <x:c r="J46" s="7" t="str"/>
      <x:c r="K46" s="7" t="str">
        <x:v>src/</x:v>
      </x:c>
      <x:c r="L46" s="7" t="str"/>
      <x:c r="M46" s="7" t="str"/>
      <x:c r="N46" s="7" t="str">
        <x:v>Décisions du fan game ; aucune prétention de canon officiel</x:v>
      </x:c>
      <x:c r="O46" s="7" t="str"/>
      <x:c r="P46" s="7" t="str">
        <x:v>Production ME1</x:v>
      </x:c>
      <x:c r="Q46" s="7" t="str"/>
    </x:row>
    <x:row r="47" ht="100" customHeight="1">
      <x:c r="A47" s="13" t="str">
        <x:v>SYS-chroniques-contextuelles</x:v>
      </x:c>
      <x:c r="B47" s="14" t="str">
        <x:v>Chroniques par œuvre et période</x:v>
      </x:c>
      <x:c r="C47" s="10" t="str">
        <x:v>Prototype</x:v>
      </x:c>
      <x:c r="D47" s="11" t="str">
        <x:v>Sans objet</x:v>
      </x:c>
      <x:c r="E47" s="15" t="str">
        <x:v>P0</x:v>
      </x:c>
      <x:c r="F47" s="15" t="str">
        <x:v>TRANSVERSE</x:v>
      </x:c>
      <x:c r="G47" s="15" t="str">
        <x:v>Adaptation</x:v>
      </x:c>
      <x:c r="H47" s="14" t="str">
        <x:v>Registre documentaire des jeux et médias ; essais tactiques indépendants et sélection strictement conditionnée à une œuvre et un segment.</x:v>
      </x:c>
      <x:c r="I47" s="14" t="str">
        <x:v>Les 28 œuvres et 48 segments sont identifiés ; les essais refusent personnages, objets et sauvegardes étrangers à leur contexte. La campagne ME1 conserve inventaire, décisions et sauvegardes. Les scènes abstraites sont indiquées comme simulations.</x:v>
      </x:c>
      <x:c r="J47" s="14" t="str"/>
      <x:c r="K47" s="14" t="str">
        <x:v>src/chronicles.js</x:v>
      </x:c>
      <x:c r="L47" s="14" t="str">
        <x:v>src/chronicles.js</x:v>
      </x:c>
      <x:c r="M47" s="14" t="str">
        <x:v>SYS-chroniques-contextuelles</x:v>
      </x:c>
      <x:c r="N47" s="14" t="str">
        <x:v>Décisions du fan game ; contexte propre à chaque œuvre.</x:v>
      </x:c>
      <x:c r="O47" s="14" t="str"/>
      <x:c r="P47" s="14" t="str">
        <x:v>Chroniques indépendantes</x:v>
      </x:c>
      <x:c r="Q47" s="14" t="str">
        <x:v>Prototype partiel : 25 essais dont six bancs d’opposition et trois ateliers d’édition explicites. Les 16 profils ennemis ont leurs limites affichées ; les 42 profils joueurs historiques sont conservés. Les 24 illustrations fixes contextualisées ne donnent ni statistiques aux PNJ, ni pilotage ou géométrie. Voir src/universe-visuals.js, tests/universe-visuals.test.js et docs/CHRONICLES.md. Aucun transfert vers ME1.</x:v>
      </x:c>
    </x:row>
    <x:row r="48" ht="62" customHeight="1">
      <x:c r="A48" s="12" t="str">
        <x:v>SYS-clips-thermiques</x:v>
      </x:c>
      <x:c r="B48" s="7" t="str">
        <x:v>Chargeurs et recharge des Chroniques</x:v>
      </x:c>
      <x:c r="C48" s="10" t="str">
        <x:v>Prototype</x:v>
      </x:c>
      <x:c r="D48" s="11" t="str">
        <x:v>Sans objet</x:v>
      </x:c>
      <x:c r="E48" s="9" t="str">
        <x:v>P0</x:v>
      </x:c>
      <x:c r="F48" s="9" t="str">
        <x:v>TRANSVERSE</x:v>
      </x:c>
      <x:c r="G48" s="9" t="str">
        <x:v>Adaptation</x:v>
      </x:c>
      <x:c r="H48" s="7" t="str">
        <x:v>Chargeur, réserve et action de recharge pour les profils qui utilisent des cartouches thermiques ; mode chaleur conservé pour ME1.</x:v>
      </x:c>
      <x:c r="I48" s="7" t="str">
        <x:v>Les tirs consomment le chargeur, la recharge utilise une action ATB et la réserve ; tir impossible à vide, pas de munitions négatives. Les capacités et le temps ATB restent adaptés, sans certification numérique 1:1.</x:v>
      </x:c>
      <x:c r="J48" s="7" t="str"/>
      <x:c r="K48" s="7" t="str">
        <x:v>src/combat.js</x:v>
      </x:c>
      <x:c r="L48" s="7" t="str">
        <x:v>src/combat.js</x:v>
      </x:c>
      <x:c r="M48" s="7" t="str">
        <x:v>SYS-clips-thermiques</x:v>
      </x:c>
      <x:c r="N48" s="7" t="str">
        <x:v>Principe des cartouches : manuel PC ME2, pages 16–17 ; cadence et capacités ATB adaptées.</x:v>
      </x:c>
      <x:c r="O48" s="7" t="str"/>
      <x:c r="P48" s="7" t="str">
        <x:v>Chroniques indépendantes</x:v>
      </x:c>
      <x:c r="Q48" s="7" t="str">
        <x:v>Prototype partiel. Voir docs/CHRONICLES.md et tests/chronicles.test.js, tests/universe-combat.test.js, scripts/universe-browser.mjs. Aucun nouveau personnage ou équipement futur dans la campagne ME1.</x:v>
      </x:c>
    </x:row>
    <x:row r="49" ht="100" customHeight="1">
      <x:c r="A49" s="13" t="str">
        <x:v>SYS-preparations-chroniques</x:v>
      </x:c>
      <x:c r="B49" s="14" t="str">
        <x:v>Préparations de classes et pouvoirs des Chroniques</x:v>
      </x:c>
      <x:c r="C49" s="10" t="str">
        <x:v>Prototype</x:v>
      </x:c>
      <x:c r="D49" s="11" t="str">
        <x:v>Sans objet</x:v>
      </x:c>
      <x:c r="E49" s="15" t="str">
        <x:v>P0</x:v>
      </x:c>
      <x:c r="F49" s="15" t="str">
        <x:v>TRANSVERSE</x:v>
      </x:c>
      <x:c r="G49" s="15" t="str">
        <x:v>Adaptation</x:v>
      </x:c>
      <x:c r="H49" s="14" t="str">
        <x:v>Sous-ensembles de six classes Shepard pour ME2/ME3 et de trois préparations Ryder ; pouvoirs et armes disponibles conditionnés au contexte.</x:v>
      </x:c>
      <x:c r="I49" s="14" t="str">
        <x:v>Le profil default des anciennes préparations migre sans classe imposée. Modes de munitions appris exclusifs, quatre ports conservés ; classe ou arme incompatible retire le mode. ammoModes reste distinct des notes et sauvegardes ME1. Les valeurs demeurent des adaptations ATB.</x:v>
      </x:c>
      <x:c r="J49" s="14" t="str"/>
      <x:c r="K49" s="14" t="str">
        <x:v>src/chronicles.js</x:v>
      </x:c>
      <x:c r="L49" s="14" t="str">
        <x:v>src/chronicles.js</x:v>
      </x:c>
      <x:c r="M49" s="14" t="str">
        <x:v>SYS-preparations-chroniques</x:v>
      </x:c>
      <x:c r="N49" s="14" t="str">
        <x:v>Système de l’adaptation ; sources propres aux œuvres et aux fiches de contenu.</x:v>
      </x:c>
      <x:c r="O49" s="14" t="str"/>
      <x:c r="P49" s="14" t="str">
        <x:v>Chroniques indépendantes</x:v>
      </x:c>
      <x:c r="Q49" s="14" t="str">
        <x:v>Prototype partiel : 100 équipements selon la scène, le porteur et l’édition ; quatre ports conservés. Le module ultraléger est limité aux SMG conventionnelles ME3 et à un coefficient de recharge ATB de 0,9. Les modes de munitions exclusifs et préférences sauvegardées restent distincts du combat. Voir tests/universe-armor-editions.test.js et tests/chronicle-ammo-sessions.test.js ; acquisition, rangs et fidélité globale 1:1 non certifiés.</x:v>
      </x:c>
    </x:row>
    <x:row r="50" ht="75" customHeight="1">
      <x:c r="A50" s="12" t="str">
        <x:v>SYS-modules-chroniques</x:v>
      </x:c>
      <x:c r="B50" s="7" t="str">
        <x:v>Deux ports de modules dans les Chroniques</x:v>
      </x:c>
      <x:c r="C50" s="10" t="str">
        <x:v>Prototype</x:v>
      </x:c>
      <x:c r="D50" s="11" t="str">
        <x:v>Sans objet</x:v>
      </x:c>
      <x:c r="E50" s="9" t="str">
        <x:v>P0</x:v>
      </x:c>
      <x:c r="F50" s="9" t="str">
        <x:v>TRANSVERSE</x:v>
      </x:c>
      <x:c r="G50" s="9" t="str">
        <x:v>Adaptation</x:v>
      </x:c>
      <x:c r="H50" s="7" t="str">
        <x:v>Modules de canon et de chargeur testables sur fusils d’assaut ME3 à clips, sans transfert d’inventaire ME1.</x:v>
      </x:c>
      <x:c r="I50" s="7" t="str">
        <x:v>Deux familles distinctes, arme parent valide, retrait des modules lors d’un changement d’arme. Le canon renforce uniquement les tirs ; le chargeur réaffecte des munitions de réserve sans en créer. Anciennes préparations à deux slots migrées vers quatre.</x:v>
      </x:c>
      <x:c r="J50" s="7" t="str"/>
      <x:c r="K50" s="7" t="str">
        <x:v>src/universe-equipment.js</x:v>
      </x:c>
      <x:c r="L50" s="7" t="str">
        <x:v>src/universe-equipment.js</x:v>
      </x:c>
      <x:c r="M50" s="7" t="str">
        <x:v>SYS-modules-chroniques</x:v>
      </x:c>
      <x:c r="N50" s="7" t="str">
        <x:v>Système de l’adaptation ; sources propres aux œuvres et aux fiches de contenu.</x:v>
      </x:c>
      <x:c r="O50" s="7" t="str"/>
      <x:c r="P50" s="7" t="str">
        <x:v>Chroniques indépendantes</x:v>
      </x:c>
      <x:c r="Q50" s="7" t="str">
        <x:v>Prototype partiel vérifié : tests/chronicle-expansion.test.js et scripts/chronicle-expansion-browser.mjs. Voir docs/CHRONICLES.md ; aucune validation globale 1:1.</x:v>
      </x:c>
    </x:row>
    <x:row r="51" ht="75" customHeight="1">
      <x:c r="A51" s="13" t="str">
        <x:v>SYS-lectures-chroniques</x:v>
      </x:c>
      <x:c r="B51" s="14" t="str">
        <x:v>Lectures documentaires des Chroniques</x:v>
      </x:c>
      <x:c r="C51" s="10" t="str">
        <x:v>Prototype</x:v>
      </x:c>
      <x:c r="D51" s="11" t="str">
        <x:v>Sans objet</x:v>
      </x:c>
      <x:c r="E51" s="15" t="str">
        <x:v>P0</x:v>
      </x:c>
      <x:c r="F51" s="15" t="str">
        <x:v>TRANSVERSE</x:v>
      </x:c>
      <x:c r="G51" s="15" t="str">
        <x:v>Adaptation</x:v>
      </x:c>
      <x:c r="H51" s="14" t="str">
        <x:v>Seize parcours de lecture et 52 pages de paraphrases factuelles sourcées, isolés des scénarios de combat.</x:v>
      </x:c>
      <x:c r="I51" s="14" t="str">
        <x:v>Navigation et sources visibles ; contexte exact ; découvertes uniques et position conservées à l’import/reprise. readingProgress reste séparé des notes personnelles. Aucun crédit, recrutement, combat gagné ou choix canonique n’est accordé par une lecture.</x:v>
      </x:c>
      <x:c r="J51" s="14" t="str"/>
      <x:c r="K51" s="14" t="str">
        <x:v>src/chronicle-story.js</x:v>
      </x:c>
      <x:c r="L51" s="14" t="str">
        <x:v>src/chronicle-story.js</x:v>
      </x:c>
      <x:c r="M51" s="14" t="str">
        <x:v>SYS-lectures-chroniques</x:v>
      </x:c>
      <x:c r="N51" s="14" t="str">
        <x:v>Système de l’adaptation ; sources propres aux œuvres et aux fiches de contenu.</x:v>
      </x:c>
      <x:c r="O51" s="14" t="str"/>
      <x:c r="P51" s="14" t="str">
        <x:v>Chroniques indépendantes</x:v>
      </x:c>
      <x:c r="Q51" s="14" t="str">
        <x:v>Prototype partiel : tests/chronicle-story.test.js et tests/chronicle-specialists.test.js ; compléments des parcours couverts par scripts/chronicle-specialists-browser.mjs. Voir docs/CHRONICLES.md ; aucune validation globale 1:1.</x:v>
      </x:c>
    </x:row>
    <x:row r="52" ht="49" customHeight="1">
      <x:c r="A52" s="12" t="str">
        <x:v>CUST-UI-workshop</x:v>
      </x:c>
      <x:c r="B52" s="7" t="str">
        <x:v>Atelier de personnalisation de Shepard</x:v>
      </x:c>
      <x:c r="C52" s="10" t="str">
        <x:v>Prototype</x:v>
      </x:c>
      <x:c r="D52" s="11" t="str">
        <x:v>Prototype</x:v>
      </x:c>
      <x:c r="E52" s="9" t="str">
        <x:v>P0</x:v>
      </x:c>
      <x:c r="F52" s="9" t="str">
        <x:v>ME1</x:v>
      </x:c>
      <x:c r="G52" s="9" t="str">
        <x:v>Adaptation</x:v>
      </x:c>
      <x:c r="H52" s="7" t="str">
        <x:v>Écran réunissant trois onglets : Personnage, Armure et Armes. Présentation du personnage, options et dotation partagent un brouillon.</x:v>
      </x:c>
      <x:c r="I52" s="7" t="str">
        <x:v>Ouvrir les trois onglets, modifier des options, puis appliquer ou annuler sans quitter la campagne ni perdre la progression.</x:v>
      </x:c>
      <x:c r="J52" s="7" t="str">
        <x:v>SYS-creation-de-shepard, SYS-inventaire, SYS-sauvegarde-locale</x:v>
      </x:c>
      <x:c r="K52" s="7" t="str">
        <x:v>src/customization-ui.js</x:v>
      </x:c>
      <x:c r="L52" s="7" t="str">
        <x:v>src/customization-ui.js</x:v>
      </x:c>
      <x:c r="M52" s="7" t="str">
        <x:v>customization:UI-workshop</x:v>
      </x:c>
      <x:c r="N52" s="7" t="str">
        <x:v>Atelier de Relay Chronicles. Interface et réglages propres au fan game ; contrôle de fidélité distinct.</x:v>
      </x:c>
      <x:c r="O52" s="7" t="str"/>
      <x:c r="P52" s="7" t="str">
        <x:v>Production ME1</x:v>
      </x:c>
      <x:c r="Q52" s="7" t="str">
        <x:v>Implémentation de prototype. Les valeurs de combat restent celles de l’adaptation ATB.</x:v>
      </x:c>
    </x:row>
    <x:row r="53" ht="49" customHeight="1">
      <x:c r="A53" s="13" t="str">
        <x:v>CUST-UI-entry</x:v>
      </x:c>
      <x:c r="B53" s="14" t="str">
        <x:v>Accès à l’atelier depuis les menus</x:v>
      </x:c>
      <x:c r="C53" s="10" t="str">
        <x:v>Prototype</x:v>
      </x:c>
      <x:c r="D53" s="11" t="str">
        <x:v>Prototype</x:v>
      </x:c>
      <x:c r="E53" s="15" t="str">
        <x:v>P0</x:v>
      </x:c>
      <x:c r="F53" s="15" t="str">
        <x:v>ME1</x:v>
      </x:c>
      <x:c r="G53" s="15" t="str">
        <x:v>Adaptation</x:v>
      </x:c>
      <x:c r="H53" s="14" t="str">
        <x:v>Entrées visibles depuis les menus de Shepard et de l’équipement. Retour à l’écran d’origine après fermeture.</x:v>
      </x:c>
      <x:c r="I53" s="14" t="str">
        <x:v>Atteindre l’atelier sans console ni commande de développement. Le bouton Retour rétablit le menu attendu.</x:v>
      </x:c>
      <x:c r="J53" s="14" t="str">
        <x:v>CUST-UI-workshop</x:v>
      </x:c>
      <x:c r="K53" s="14" t="str">
        <x:v>src/main.js</x:v>
      </x:c>
      <x:c r="L53" s="14" t="str">
        <x:v>src/main.js</x:v>
      </x:c>
      <x:c r="M53" s="14" t="str">
        <x:v>customization:UI-entry</x:v>
      </x:c>
      <x:c r="N53" s="14" t="str">
        <x:v>Atelier de Relay Chronicles. Interface et réglages propres au fan game ; contrôle de fidélité distinct.</x:v>
      </x:c>
      <x:c r="O53" s="14" t="str"/>
      <x:c r="P53" s="14" t="str">
        <x:v>Production ME1</x:v>
      </x:c>
      <x:c r="Q53" s="14" t="str">
        <x:v>Implémentation de prototype. Les valeurs de combat restent celles de l’adaptation ATB.</x:v>
      </x:c>
    </x:row>
    <x:row r="54" ht="49" customHeight="1">
      <x:c r="A54" s="12" t="str">
        <x:v>CUST-UI-character</x:v>
      </x:c>
      <x:c r="B54" s="7" t="str">
        <x:v>Onglet Personnage</x:v>
      </x:c>
      <x:c r="C54" s="10" t="str">
        <x:v>Prototype</x:v>
      </x:c>
      <x:c r="D54" s="11" t="str">
        <x:v>Prototype</x:v>
      </x:c>
      <x:c r="E54" s="9" t="str">
        <x:v>P0</x:v>
      </x:c>
      <x:c r="F54" s="9" t="str">
        <x:v>ME1</x:v>
      </x:c>
      <x:c r="G54" s="9" t="str">
        <x:v>Adaptation</x:v>
      </x:c>
      <x:c r="H54" s="7" t="str">
        <x:v>Choix de l’apparence, des préréglages du visage, du teint, des cheveux et des yeux, avec aperçu immédiat.</x:v>
      </x:c>
      <x:c r="I54" s="7" t="str">
        <x:v>Chaque option modifie le brouillon et son aperçu. Le personnage actif reste inchangé avant validation.</x:v>
      </x:c>
      <x:c r="J54" s="7" t="str">
        <x:v>CUST-UI-workshop</x:v>
      </x:c>
      <x:c r="K54" s="7" t="str">
        <x:v>src/customization-ui.js</x:v>
      </x:c>
      <x:c r="L54" s="7" t="str">
        <x:v>src/customization-ui.js</x:v>
      </x:c>
      <x:c r="M54" s="7" t="str">
        <x:v>customization:UI-character</x:v>
      </x:c>
      <x:c r="N54" s="7" t="str">
        <x:v>Atelier de Relay Chronicles. Interface et réglages propres au fan game ; contrôle de fidélité distinct.</x:v>
      </x:c>
      <x:c r="O54" s="7" t="str">
        <x:v>https://www.ea.com/ea-play/news/gameplay-calibrations</x:v>
      </x:c>
      <x:c r="P54" s="7" t="str">
        <x:v>Production ME1</x:v>
      </x:c>
      <x:c r="Q54" s="7" t="str">
        <x:v>Présentation 2D propre au projet. L’ensemble des curseurs morphologiques du créateur officiel reste à réaliser.</x:v>
      </x:c>
    </x:row>
    <x:row r="55" ht="49" customHeight="1">
      <x:c r="A55" s="13" t="str">
        <x:v>CUST-UI-armor</x:v>
      </x:c>
      <x:c r="B55" s="14" t="str">
        <x:v>Onglet Armure</x:v>
      </x:c>
      <x:c r="C55" s="10" t="str">
        <x:v>Prototype</x:v>
      </x:c>
      <x:c r="D55" s="11" t="str">
        <x:v>Prototype</x:v>
      </x:c>
      <x:c r="E55" s="15" t="str">
        <x:v>P0</x:v>
      </x:c>
      <x:c r="F55" s="15" t="str">
        <x:v>ME1</x:v>
      </x:c>
      <x:c r="G55" s="15" t="str">
        <x:v>Adaptation</x:v>
      </x:c>
      <x:c r="H55" s="14" t="str">
        <x:v>Choix d’une armure complète possédée et d’un module d’armure. Les options visuelles sont regroupées sous l’atelier de Relay Chronicles.</x:v>
      </x:c>
      <x:c r="I55" s="14" t="str">
        <x:v>Afficher la pièce équipée, les autres armures disponibles, leurs restrictions et les différences de statistiques.</x:v>
      </x:c>
      <x:c r="J55" s="14" t="str">
        <x:v>CUST-UI-workshop</x:v>
      </x:c>
      <x:c r="K55" s="14" t="str">
        <x:v>src/customization-ui.js</x:v>
      </x:c>
      <x:c r="L55" s="14" t="str">
        <x:v>src/customization-ui.js</x:v>
      </x:c>
      <x:c r="M55" s="14" t="str">
        <x:v>customization:UI-armor</x:v>
      </x:c>
      <x:c r="N55" s="14" t="str">
        <x:v>Atelier de Relay Chronicles. Interface et réglages propres au fan game ; contrôle de fidélité distinct.</x:v>
      </x:c>
      <x:c r="O55" s="14" t="str">
        <x:v>https://eaassets-a.akamaihd.net/eahelp/manuals/mass-effect-manuals_Microsoft%20XBOX360_en_US.pdf</x:v>
      </x:c>
      <x:c r="P55" s="14" t="str">
        <x:v>Production ME1</x:v>
      </x:c>
      <x:c r="Q55" s="14" t="str">
        <x:v>Implémentation de prototype. Les valeurs de combat restent celles de l’adaptation ATB.</x:v>
      </x:c>
    </x:row>
    <x:row r="56" ht="36" customHeight="1">
      <x:c r="A56" s="12" t="str">
        <x:v>CUST-UI-weapons</x:v>
      </x:c>
      <x:c r="B56" s="7" t="str">
        <x:v>Onglet Armes</x:v>
      </x:c>
      <x:c r="C56" s="10" t="str">
        <x:v>Prototype</x:v>
      </x:c>
      <x:c r="D56" s="11" t="str">
        <x:v>Prototype</x:v>
      </x:c>
      <x:c r="E56" s="9" t="str">
        <x:v>P0</x:v>
      </x:c>
      <x:c r="F56" s="9" t="str">
        <x:v>ME1</x:v>
      </x:c>
      <x:c r="G56" s="9" t="str">
        <x:v>Adaptation</x:v>
      </x:c>
      <x:c r="H56" s="7" t="str">
        <x:v>Choix de l’arme, des modules, des munitions et des outils à partir de l’inventaire partagé. La fiche consultée compare son effet au brouillon sans l’appliquer.</x:v>
      </x:c>
      <x:c r="I56" s="7" t="str">
        <x:v>La fiche suit l’emplacement actif, y compris vide. Une pièce absente ou incompatible affiche son refus. Remplacer une arme indique les modules restitués.</x:v>
      </x:c>
      <x:c r="J56" s="7" t="str">
        <x:v>CUST-UI-workshop</x:v>
      </x:c>
      <x:c r="K56" s="7" t="str">
        <x:v>src/customization-ui.js</x:v>
      </x:c>
      <x:c r="L56" s="7" t="str">
        <x:v>src/customization-ui.js</x:v>
      </x:c>
      <x:c r="M56" s="7" t="str">
        <x:v>customization:UI-weapons</x:v>
      </x:c>
      <x:c r="N56" s="7" t="str">
        <x:v>Atelier de Relay Chronicles. Interface et réglages propres au fan game ; contrôle de fidélité distinct.</x:v>
      </x:c>
      <x:c r="O56" s="7" t="str">
        <x:v>https://eaassets-a.akamaihd.net/eahelp/manuals/mass-effect-manuals_Microsoft%20XBOX360_en_US.pdf</x:v>
      </x:c>
      <x:c r="P56" s="7" t="str">
        <x:v>Production ME1</x:v>
      </x:c>
      <x:c r="Q56" s="7" t="str">
        <x:v>Consultation et préparation restent distinctes. Les valeurs projetées suivent les règles d’équipement. Suivi : docs/qa/customization-comparison-report.json. Aucun nouveau modèle visuel.</x:v>
      </x:c>
    </x:row>
    <x:row r="57" ht="49" customHeight="1">
      <x:c r="A57" s="13" t="str">
        <x:v>CUST-FACE-preset</x:v>
      </x:c>
      <x:c r="B57" s="14" t="str">
        <x:v>Préréglages du visage</x:v>
      </x:c>
      <x:c r="C57" s="10" t="str">
        <x:v>Prototype</x:v>
      </x:c>
      <x:c r="D57" s="11" t="str">
        <x:v>Prototype</x:v>
      </x:c>
      <x:c r="E57" s="15" t="str">
        <x:v>P0</x:v>
      </x:c>
      <x:c r="F57" s="15" t="str">
        <x:v>ME1</x:v>
      </x:c>
      <x:c r="G57" s="15" t="str">
        <x:v>Adaptation</x:v>
      </x:c>
      <x:c r="H57" s="14" t="str">
        <x:v>Préréglages visuels adaptés au portrait 2D de Shepard. Les identifiants sont persistants et distincts du sexe d’apparence.</x:v>
      </x:c>
      <x:c r="I57" s="14" t="str">
        <x:v>Changer le préréglage puis revenir au précédent restitue le même aperçu. Une valeur inconnue est rejetée au chargement.</x:v>
      </x:c>
      <x:c r="J57" s="14" t="str">
        <x:v>CUST-UI-workshop</x:v>
      </x:c>
      <x:c r="K57" s="14" t="str">
        <x:v>src/customization.js</x:v>
      </x:c>
      <x:c r="L57" s="14" t="str">
        <x:v>src/customization.js</x:v>
      </x:c>
      <x:c r="M57" s="14" t="str">
        <x:v>customization:FACE-preset</x:v>
      </x:c>
      <x:c r="N57" s="14" t="str">
        <x:v>Atelier de Relay Chronicles. Interface et réglages propres au fan game ; contrôle de fidélité distinct.</x:v>
      </x:c>
      <x:c r="O57" s="14" t="str">
        <x:v>https://www.ea.com/ea-play/news/gameplay-calibrations</x:v>
      </x:c>
      <x:c r="P57" s="14" t="str">
        <x:v>Production ME1</x:v>
      </x:c>
      <x:c r="Q57" s="14" t="str">
        <x:v>Préréglages originaux de l’adaptation ; aucun code visage officiel ni morphing 3D natif.</x:v>
      </x:c>
    </x:row>
    <x:row r="58" ht="49" customHeight="1">
      <x:c r="A58" s="12" t="str">
        <x:v>CUST-FACE-skin</x:v>
      </x:c>
      <x:c r="B58" s="7" t="str">
        <x:v>Palette de teints</x:v>
      </x:c>
      <x:c r="C58" s="10" t="str">
        <x:v>Prototype</x:v>
      </x:c>
      <x:c r="D58" s="11" t="str">
        <x:v>Prototype</x:v>
      </x:c>
      <x:c r="E58" s="9" t="str">
        <x:v>P0</x:v>
      </x:c>
      <x:c r="F58" s="9" t="str">
        <x:v>ME1</x:v>
      </x:c>
      <x:c r="G58" s="9" t="str">
        <x:v>Adaptation</x:v>
      </x:c>
      <x:c r="H58" s="7" t="str">
        <x:v>Choix du teint dans une palette bornée. La palette sert à l’aperçu 2D et à la sauvegarde de l’atelier.</x:v>
      </x:c>
      <x:c r="I58" s="7" t="str">
        <x:v>Les teintes restent distinctes et lisibles sous l’éclairage de l’atelier. La valeur choisie survit à un chargement.</x:v>
      </x:c>
      <x:c r="J58" s="7" t="str">
        <x:v>CUST-UI-workshop</x:v>
      </x:c>
      <x:c r="K58" s="7" t="str">
        <x:v>src/customization.js</x:v>
      </x:c>
      <x:c r="L58" s="7" t="str">
        <x:v>src/customization.js</x:v>
      </x:c>
      <x:c r="M58" s="7" t="str">
        <x:v>customization:FACE-skin</x:v>
      </x:c>
      <x:c r="N58" s="7" t="str">
        <x:v>Atelier de Relay Chronicles. Interface et réglages propres au fan game ; contrôle de fidélité distinct.</x:v>
      </x:c>
      <x:c r="O58" s="7" t="str">
        <x:v>https://www.ea.com/ea-play/news/gameplay-calibrations</x:v>
      </x:c>
      <x:c r="P58" s="7" t="str">
        <x:v>Production ME1</x:v>
      </x:c>
      <x:c r="Q58" s="7" t="str">
        <x:v>Implémentation de prototype. Les valeurs de combat restent celles de l’adaptation ATB.</x:v>
      </x:c>
    </x:row>
    <x:row r="59" ht="49" customHeight="1">
      <x:c r="A59" s="13" t="str">
        <x:v>CUST-FACE-hair</x:v>
      </x:c>
      <x:c r="B59" s="14" t="str">
        <x:v>Coiffure et couleur des cheveux</x:v>
      </x:c>
      <x:c r="C59" s="10" t="str">
        <x:v>Prototype</x:v>
      </x:c>
      <x:c r="D59" s="11" t="str">
        <x:v>Prototype</x:v>
      </x:c>
      <x:c r="E59" s="15" t="str">
        <x:v>P0</x:v>
      </x:c>
      <x:c r="F59" s="15" t="str">
        <x:v>ME1</x:v>
      </x:c>
      <x:c r="G59" s="15" t="str">
        <x:v>Adaptation</x:v>
      </x:c>
      <x:c r="H59" s="14" t="str">
        <x:v>Sélection d’une coiffure et d’une couleur indépendantes, représentées dans le portrait de personnalisation.</x:v>
      </x:c>
      <x:c r="I59" s="14" t="str">
        <x:v>Changer la couleur conserve la coiffure et inversement. Les valeurs invalides ne sont pas importées dans la partie.</x:v>
      </x:c>
      <x:c r="J59" s="14" t="str">
        <x:v>CUST-UI-workshop</x:v>
      </x:c>
      <x:c r="K59" s="14" t="str">
        <x:v>src/customization.js</x:v>
      </x:c>
      <x:c r="L59" s="14" t="str">
        <x:v>src/customization.js</x:v>
      </x:c>
      <x:c r="M59" s="14" t="str">
        <x:v>customization:FACE-hair</x:v>
      </x:c>
      <x:c r="N59" s="14" t="str">
        <x:v>Atelier de Relay Chronicles. Interface et réglages propres au fan game ; contrôle de fidélité distinct.</x:v>
      </x:c>
      <x:c r="O59" s="14" t="str">
        <x:v>https://www.ea.com/ea-play/news/gameplay-calibrations</x:v>
      </x:c>
      <x:c r="P59" s="14" t="str">
        <x:v>Production ME1</x:v>
      </x:c>
      <x:c r="Q59" s="14" t="str">
        <x:v>Les coiffures du portrait ne constituent pas des atlas animés redessinés pour chaque variante.</x:v>
      </x:c>
    </x:row>
    <x:row r="60" ht="49" customHeight="1">
      <x:c r="A60" s="12" t="str">
        <x:v>CUST-FACE-eyes</x:v>
      </x:c>
      <x:c r="B60" s="7" t="str">
        <x:v>Couleur des yeux</x:v>
      </x:c>
      <x:c r="C60" s="10" t="str">
        <x:v>Prototype</x:v>
      </x:c>
      <x:c r="D60" s="11" t="str">
        <x:v>Prototype</x:v>
      </x:c>
      <x:c r="E60" s="9" t="str">
        <x:v>P0</x:v>
      </x:c>
      <x:c r="F60" s="9" t="str">
        <x:v>ME1</x:v>
      </x:c>
      <x:c r="G60" s="9" t="str">
        <x:v>Adaptation</x:v>
      </x:c>
      <x:c r="H60" s="7" t="str">
        <x:v>Palette des yeux visible sur le portrait agrandi, enregistrée dans la configuration du commandant.</x:v>
      </x:c>
      <x:c r="I60" s="7" t="str">
        <x:v>La sélection reste vérifiable dans le portrait et dans la sauvegarde exportée sans modifier les statistiques de combat.</x:v>
      </x:c>
      <x:c r="J60" s="7" t="str">
        <x:v>CUST-UI-workshop</x:v>
      </x:c>
      <x:c r="K60" s="7" t="str">
        <x:v>src/customization.js</x:v>
      </x:c>
      <x:c r="L60" s="7" t="str">
        <x:v>src/customization.js</x:v>
      </x:c>
      <x:c r="M60" s="7" t="str">
        <x:v>customization:FACE-eyes</x:v>
      </x:c>
      <x:c r="N60" s="7" t="str">
        <x:v>Atelier de Relay Chronicles. Interface et réglages propres au fan game ; contrôle de fidélité distinct.</x:v>
      </x:c>
      <x:c r="O60" s="7" t="str">
        <x:v>https://www.ea.com/ea-play/news/gameplay-calibrations</x:v>
      </x:c>
      <x:c r="P60" s="7" t="str">
        <x:v>Production ME1</x:v>
      </x:c>
      <x:c r="Q60" s="7" t="str">
        <x:v>Implémentation de prototype. Les valeurs de combat restent celles de l’adaptation ATB.</x:v>
      </x:c>
    </x:row>
    <x:row r="61" ht="49" customHeight="1">
      <x:c r="A61" s="13" t="str">
        <x:v>CUST-SYS-identity</x:v>
      </x:c>
      <x:c r="B61" s="14" t="str">
        <x:v>Conservation du dossier de Shepard</x:v>
      </x:c>
      <x:c r="C61" s="10" t="str">
        <x:v>Prototype</x:v>
      </x:c>
      <x:c r="D61" s="11" t="str">
        <x:v>Prototype</x:v>
      </x:c>
      <x:c r="E61" s="15" t="str">
        <x:v>P0</x:v>
      </x:c>
      <x:c r="F61" s="15" t="str">
        <x:v>ME1</x:v>
      </x:c>
      <x:c r="G61" s="15" t="str">
        <x:v>Adaptation</x:v>
      </x:c>
      <x:c r="H61" s="14" t="str">
        <x:v>La retouche de l’apparence préserve l’origine, le profil psychologique, la classe et les décisions de campagne déjà enregistrées.</x:v>
      </x:c>
      <x:c r="I61" s="14" t="str">
        <x:v>Comparer le dossier, les quêtes, les crédits, l’XP et les drapeaux narratifs avant et après application d’une retouche.</x:v>
      </x:c>
      <x:c r="J61" s="14" t="str">
        <x:v>CUST-UI-workshop</x:v>
      </x:c>
      <x:c r="K61" s="14" t="str">
        <x:v>src/customization.js</x:v>
      </x:c>
      <x:c r="L61" s="14" t="str">
        <x:v>src/customization.js</x:v>
      </x:c>
      <x:c r="M61" s="14" t="str">
        <x:v>customization:SYS-identity</x:v>
      </x:c>
      <x:c r="N61" s="14" t="str">
        <x:v>Atelier de Relay Chronicles. Interface et réglages propres au fan game ; contrôle de fidélité distinct.</x:v>
      </x:c>
      <x:c r="O61" s="14" t="str"/>
      <x:c r="P61" s="14" t="str">
        <x:v>Production ME1</x:v>
      </x:c>
      <x:c r="Q61" s="14" t="str">
        <x:v>Implémentation de prototype. Les valeurs de combat restent celles de l’adaptation ATB.</x:v>
      </x:c>
    </x:row>
    <x:row r="62" ht="49" customHeight="1">
      <x:c r="A62" s="12" t="str">
        <x:v>CUST-SYS-draft</x:v>
      </x:c>
      <x:c r="B62" s="7" t="str">
        <x:v>Brouillon de personnalisation isolé</x:v>
      </x:c>
      <x:c r="C62" s="10" t="str">
        <x:v>Prototype</x:v>
      </x:c>
      <x:c r="D62" s="11" t="str">
        <x:v>Prototype</x:v>
      </x:c>
      <x:c r="E62" s="9" t="str">
        <x:v>P0</x:v>
      </x:c>
      <x:c r="F62" s="9" t="str">
        <x:v>ME1</x:v>
      </x:c>
      <x:c r="G62" s="9" t="str">
        <x:v>Adaptation</x:v>
      </x:c>
      <x:c r="H62" s="7" t="str">
        <x:v>Les changements sont rassemblés dans une copie de travail avant leur validation. Parcourir des options ne consomme aucun objet.</x:v>
      </x:c>
      <x:c r="I62" s="7" t="str">
        <x:v>Modifier chaque catégorie puis vérifier que l’état de campagne et son inventaire restent identiques à leur état initial.</x:v>
      </x:c>
      <x:c r="J62" s="7" t="str">
        <x:v>CUST-UI-workshop</x:v>
      </x:c>
      <x:c r="K62" s="7" t="str">
        <x:v>src/customization.js</x:v>
      </x:c>
      <x:c r="L62" s="7" t="str">
        <x:v>src/customization.js</x:v>
      </x:c>
      <x:c r="M62" s="7" t="str">
        <x:v>customization:SYS-draft</x:v>
      </x:c>
      <x:c r="N62" s="7" t="str">
        <x:v>Atelier de Relay Chronicles. Interface et réglages propres au fan game ; contrôle de fidélité distinct.</x:v>
      </x:c>
      <x:c r="O62" s="7" t="str"/>
      <x:c r="P62" s="7" t="str">
        <x:v>Production ME1</x:v>
      </x:c>
      <x:c r="Q62" s="7" t="str">
        <x:v>Implémentation de prototype. Les valeurs de combat restent celles de l’adaptation ATB.</x:v>
      </x:c>
    </x:row>
    <x:row r="63" ht="49" customHeight="1">
      <x:c r="A63" s="13" t="str">
        <x:v>CUST-SYS-atomic</x:v>
      </x:c>
      <x:c r="B63" s="14" t="str">
        <x:v>Application atomique du personnage et du matériel</x:v>
      </x:c>
      <x:c r="C63" s="10" t="str">
        <x:v>Prototype</x:v>
      </x:c>
      <x:c r="D63" s="11" t="str">
        <x:v>Prototype</x:v>
      </x:c>
      <x:c r="E63" s="15" t="str">
        <x:v>P0</x:v>
      </x:c>
      <x:c r="F63" s="15" t="str">
        <x:v>ME1</x:v>
      </x:c>
      <x:c r="G63" s="15" t="str">
        <x:v>Adaptation</x:v>
      </x:c>
      <x:c r="H63" s="14" t="str">
        <x:v>Le bouton Appliquer vérifie l’apparence et tous les emplacements de la dotation avant de remplacer l’état actif.</x:v>
      </x:c>
      <x:c r="I63" s="14" t="str">
        <x:v>Si une seule sélection échoue, aucune apparence ni pièce d’équipement n’est modifiée. Une application valide ne duplique aucun objet.</x:v>
      </x:c>
      <x:c r="J63" s="14" t="str">
        <x:v>CUST-UI-workshop</x:v>
      </x:c>
      <x:c r="K63" s="14" t="str">
        <x:v>src/customization.js</x:v>
      </x:c>
      <x:c r="L63" s="14" t="str">
        <x:v>src/customization.js</x:v>
      </x:c>
      <x:c r="M63" s="14" t="str">
        <x:v>customization:SYS-atomic</x:v>
      </x:c>
      <x:c r="N63" s="14" t="str">
        <x:v>Atelier de Relay Chronicles. Interface et réglages propres au fan game ; contrôle de fidélité distinct.</x:v>
      </x:c>
      <x:c r="O63" s="14" t="str"/>
      <x:c r="P63" s="14" t="str">
        <x:v>Production ME1</x:v>
      </x:c>
      <x:c r="Q63" s="14" t="str">
        <x:v>Implémentation de prototype. Les valeurs de combat restent celles de l’adaptation ATB.</x:v>
      </x:c>
    </x:row>
    <x:row r="64" ht="49" customHeight="1">
      <x:c r="A64" s="12" t="str">
        <x:v>CUST-SYS-cancel</x:v>
      </x:c>
      <x:c r="B64" s="7" t="str">
        <x:v>Annuler les retouches</x:v>
      </x:c>
      <x:c r="C64" s="10" t="str">
        <x:v>Prototype</x:v>
      </x:c>
      <x:c r="D64" s="11" t="str">
        <x:v>Prototype</x:v>
      </x:c>
      <x:c r="E64" s="9" t="str">
        <x:v>P0</x:v>
      </x:c>
      <x:c r="F64" s="9" t="str">
        <x:v>ME1</x:v>
      </x:c>
      <x:c r="G64" s="9" t="str">
        <x:v>Adaptation</x:v>
      </x:c>
      <x:c r="H64" s="7" t="str">
        <x:v>Annuler abandonne les modifications du brouillon et retrouve l’apparence et l’équipement effectivement sauvegardés.</x:v>
      </x:c>
      <x:c r="I64" s="7" t="str">
        <x:v>Modifier visage, armure et arme puis annuler. Comparer l’état complet à l’état précédant l’ouverture de l’atelier.</x:v>
      </x:c>
      <x:c r="J64" s="7" t="str">
        <x:v>CUST-UI-workshop</x:v>
      </x:c>
      <x:c r="K64" s="7" t="str">
        <x:v>src/customization-ui.js</x:v>
      </x:c>
      <x:c r="L64" s="7" t="str">
        <x:v>src/customization-ui.js</x:v>
      </x:c>
      <x:c r="M64" s="7" t="str">
        <x:v>customization:SYS-cancel</x:v>
      </x:c>
      <x:c r="N64" s="7" t="str">
        <x:v>Atelier de Relay Chronicles. Interface et réglages propres au fan game ; contrôle de fidélité distinct.</x:v>
      </x:c>
      <x:c r="O64" s="7" t="str"/>
      <x:c r="P64" s="7" t="str">
        <x:v>Production ME1</x:v>
      </x:c>
      <x:c r="Q64" s="7" t="str">
        <x:v>Implémentation de prototype. Les valeurs de combat restent celles de l’adaptation ATB.</x:v>
      </x:c>
    </x:row>
    <x:row r="65" ht="49" customHeight="1">
      <x:c r="A65" s="13" t="str">
        <x:v>CUST-SYS-reset</x:v>
      </x:c>
      <x:c r="B65" s="14" t="str">
        <x:v>Réinitialiser le brouillon</x:v>
      </x:c>
      <x:c r="C65" s="10" t="str">
        <x:v>Prototype</x:v>
      </x:c>
      <x:c r="D65" s="11" t="str">
        <x:v>Prototype</x:v>
      </x:c>
      <x:c r="E65" s="15" t="str">
        <x:v>P0</x:v>
      </x:c>
      <x:c r="F65" s="15" t="str">
        <x:v>ME1</x:v>
      </x:c>
      <x:c r="G65" s="15" t="str">
        <x:v>Adaptation</x:v>
      </x:c>
      <x:c r="H65" s="14" t="str">
        <x:v>Rétablir la configuration courante dans l’atelier afin de recommencer une comparaison sans réinitialiser la campagne.</x:v>
      </x:c>
      <x:c r="I65" s="14" t="str">
        <x:v>Après plusieurs changements, le brouillon réinitialisé correspond au personnage actif et n’affecte ni quête ni inventaire.</x:v>
      </x:c>
      <x:c r="J65" s="14" t="str">
        <x:v>CUST-UI-workshop</x:v>
      </x:c>
      <x:c r="K65" s="14" t="str">
        <x:v>src/customization-ui.js</x:v>
      </x:c>
      <x:c r="L65" s="14" t="str">
        <x:v>src/customization-ui.js</x:v>
      </x:c>
      <x:c r="M65" s="14" t="str">
        <x:v>customization:SYS-reset</x:v>
      </x:c>
      <x:c r="N65" s="14" t="str">
        <x:v>Atelier de Relay Chronicles. Interface et réglages propres au fan game ; contrôle de fidélité distinct.</x:v>
      </x:c>
      <x:c r="O65" s="14" t="str"/>
      <x:c r="P65" s="14" t="str">
        <x:v>Production ME1</x:v>
      </x:c>
      <x:c r="Q65" s="14" t="str">
        <x:v>Implémentation de prototype. Les valeurs de combat restent celles de l’adaptation ATB.</x:v>
      </x:c>
    </x:row>
    <x:row r="66" ht="49" customHeight="1">
      <x:c r="A66" s="12" t="str">
        <x:v>CUST-UI-comparison</x:v>
      </x:c>
      <x:c r="B66" s="7" t="str">
        <x:v>Comparaison des statistiques de dotation</x:v>
      </x:c>
      <x:c r="C66" s="10" t="str">
        <x:v>Prototype</x:v>
      </x:c>
      <x:c r="D66" s="11" t="str">
        <x:v>Prototype</x:v>
      </x:c>
      <x:c r="E66" s="9" t="str">
        <x:v>P0</x:v>
      </x:c>
      <x:c r="F66" s="9" t="str">
        <x:v>ME1</x:v>
      </x:c>
      <x:c r="G66" s="9" t="str">
        <x:v>Adaptation</x:v>
      </x:c>
      <x:c r="H66" s="7" t="str">
        <x:v>L’atelier compare l’équipement actuel, le brouillon et la pièce consultée : santé, bouclier, puissance, défense et multiplicateurs technologiques/biotiques.</x:v>
      </x:c>
      <x:c r="I66" s="7" t="str">
        <x:v>Les valeurs suivent actorFor. Afficher les multiplicateurs au format ×1,00 → ×1,15, sans arrondir à 1. La consultation valide le brouillon candidat et indique les modules restitués.</x:v>
      </x:c>
      <x:c r="J66" s="7" t="str">
        <x:v>CUST-UI-workshop</x:v>
      </x:c>
      <x:c r="K66" s="7" t="str">
        <x:v>src/customization-ui.js</x:v>
      </x:c>
      <x:c r="L66" s="7" t="str">
        <x:v>src/customization-ui.js</x:v>
      </x:c>
      <x:c r="M66" s="7" t="str">
        <x:v>customization:UI-comparison</x:v>
      </x:c>
      <x:c r="N66" s="7" t="str">
        <x:v>Atelier de Relay Chronicles. Interface et réglages propres au fan game ; contrôle de fidélité distinct.</x:v>
      </x:c>
      <x:c r="O66" s="7" t="str"/>
      <x:c r="P66" s="7" t="str">
        <x:v>Production ME1</x:v>
      </x:c>
      <x:c r="Q66" s="7" t="str">
        <x:v>La fiche ne projette aucun gain pour une sélection refusée. État, brouillon et stock restent inchangés avant préparation. Suivi : docs/qa/customization-comparison-report.json.</x:v>
      </x:c>
    </x:row>
    <x:row r="67" ht="49" customHeight="1">
      <x:c r="A67" s="13" t="str">
        <x:v>CUST-SYS-persistence</x:v>
      </x:c>
      <x:c r="B67" s="14" t="str">
        <x:v>Persistance de la personnalisation</x:v>
      </x:c>
      <x:c r="C67" s="10" t="str">
        <x:v>Prototype</x:v>
      </x:c>
      <x:c r="D67" s="11" t="str">
        <x:v>Prototype</x:v>
      </x:c>
      <x:c r="E67" s="15" t="str">
        <x:v>P0</x:v>
      </x:c>
      <x:c r="F67" s="15" t="str">
        <x:v>ME1</x:v>
      </x:c>
      <x:c r="G67" s="15" t="str">
        <x:v>Adaptation</x:v>
      </x:c>
      <x:c r="H67" s="14" t="str">
        <x:v>L’apparence et la dotation validées sont incluses dans la sauvegarde automatique, les sauvegardes manuelles et les exports JSON.</x:v>
      </x:c>
      <x:c r="I67" s="14" t="str">
        <x:v>Après validation, recharger chaque type de sauvegarde et retrouver exactement la configuration sélectionnée.</x:v>
      </x:c>
      <x:c r="J67" s="14" t="str">
        <x:v>CUST-UI-workshop</x:v>
      </x:c>
      <x:c r="K67" s="14" t="str">
        <x:v>src/state.js</x:v>
      </x:c>
      <x:c r="L67" s="14" t="str">
        <x:v>src/state.js</x:v>
      </x:c>
      <x:c r="M67" s="14" t="str">
        <x:v>customization:SYS-persistence</x:v>
      </x:c>
      <x:c r="N67" s="14" t="str">
        <x:v>Atelier de Relay Chronicles. Interface et réglages propres au fan game ; contrôle de fidélité distinct.</x:v>
      </x:c>
      <x:c r="O67" s="14" t="str"/>
      <x:c r="P67" s="14" t="str">
        <x:v>Production ME1</x:v>
      </x:c>
      <x:c r="Q67" s="14" t="str">
        <x:v>Implémentation de prototype. Les valeurs de combat restent celles de l’adaptation ATB.</x:v>
      </x:c>
    </x:row>
    <x:row r="68" ht="49" customHeight="1">
      <x:c r="A68" s="12" t="str">
        <x:v>CUST-SYS-migration</x:v>
      </x:c>
      <x:c r="B68" s="7" t="str">
        <x:v>Migration des sauvegardes sans personnalisation</x:v>
      </x:c>
      <x:c r="C68" s="10" t="str">
        <x:v>Prototype</x:v>
      </x:c>
      <x:c r="D68" s="11" t="str">
        <x:v>Prototype</x:v>
      </x:c>
      <x:c r="E68" s="9" t="str">
        <x:v>P0</x:v>
      </x:c>
      <x:c r="F68" s="9" t="str">
        <x:v>ME1</x:v>
      </x:c>
      <x:c r="G68" s="9" t="str">
        <x:v>Adaptation</x:v>
      </x:c>
      <x:c r="H68" s="7" t="str">
        <x:v>Une sauvegarde antérieure dépourvue du nouveau champ reçoit une configuration par défaut compatible avec son apparence.</x:v>
      </x:c>
      <x:c r="I68" s="7" t="str">
        <x:v>Importer une sauvegarde 0.2.0 sans le champ puis sauvegarder à nouveau, en conservant progression, inventaire et identité.</x:v>
      </x:c>
      <x:c r="J68" s="7" t="str">
        <x:v>CUST-UI-workshop</x:v>
      </x:c>
      <x:c r="K68" s="7" t="str">
        <x:v>src/state.js</x:v>
      </x:c>
      <x:c r="L68" s="7" t="str">
        <x:v>src/state.js</x:v>
      </x:c>
      <x:c r="M68" s="7" t="str">
        <x:v>customization:SYS-migration</x:v>
      </x:c>
      <x:c r="N68" s="7" t="str">
        <x:v>Atelier de Relay Chronicles. Interface et réglages propres au fan game ; contrôle de fidélité distinct.</x:v>
      </x:c>
      <x:c r="O68" s="7" t="str"/>
      <x:c r="P68" s="7" t="str">
        <x:v>Production ME1</x:v>
      </x:c>
      <x:c r="Q68" s="7" t="str">
        <x:v>Implémentation de prototype. Les valeurs de combat restent celles de l’adaptation ATB.</x:v>
      </x:c>
    </x:row>
    <x:row r="69" ht="49" customHeight="1">
      <x:c r="A69" s="13" t="str">
        <x:v>CUST-SYS-validation</x:v>
      </x:c>
      <x:c r="B69" s="14" t="str">
        <x:v>Validation des données de personnalisation</x:v>
      </x:c>
      <x:c r="C69" s="10" t="str">
        <x:v>Prototype</x:v>
      </x:c>
      <x:c r="D69" s="11" t="str">
        <x:v>Prototype</x:v>
      </x:c>
      <x:c r="E69" s="15" t="str">
        <x:v>P0</x:v>
      </x:c>
      <x:c r="F69" s="15" t="str">
        <x:v>ME1</x:v>
      </x:c>
      <x:c r="G69" s="15" t="str">
        <x:v>Adaptation</x:v>
      </x:c>
      <x:c r="H69" s="14" t="str">
        <x:v>Le chargement contrôle la forme des données, leurs clés et les valeurs des palettes, préréglages et options de l’atelier.</x:v>
      </x:c>
      <x:c r="I69" s="14" t="str">
        <x:v>Refuser une version inconnue, un identifiant interdit ou une structure malformée. Ne pas exécuter de getter fourni par une entrée externe.</x:v>
      </x:c>
      <x:c r="J69" s="14" t="str">
        <x:v>CUST-UI-workshop</x:v>
      </x:c>
      <x:c r="K69" s="14" t="str">
        <x:v>src/customization.js</x:v>
      </x:c>
      <x:c r="L69" s="14" t="str">
        <x:v>src/customization.js</x:v>
      </x:c>
      <x:c r="M69" s="14" t="str">
        <x:v>customization:SYS-validation</x:v>
      </x:c>
      <x:c r="N69" s="14" t="str">
        <x:v>Atelier de Relay Chronicles. Interface et réglages propres au fan game ; contrôle de fidélité distinct.</x:v>
      </x:c>
      <x:c r="O69" s="14" t="str"/>
      <x:c r="P69" s="14" t="str">
        <x:v>Production ME1</x:v>
      </x:c>
      <x:c r="Q69" s="14" t="str">
        <x:v>Implémentation de prototype. Les valeurs de combat restent celles de l’adaptation ATB.</x:v>
      </x:c>
    </x:row>
    <x:row r="70" ht="49" customHeight="1">
      <x:c r="A70" s="12" t="str">
        <x:v>CUST-UI-responsive</x:v>
      </x:c>
      <x:c r="B70" s="7" t="str">
        <x:v>Atelier sur ordinateur et mobile</x:v>
      </x:c>
      <x:c r="C70" s="10" t="str">
        <x:v>Prototype</x:v>
      </x:c>
      <x:c r="D70" s="11" t="str">
        <x:v>Prototype</x:v>
      </x:c>
      <x:c r="E70" s="9" t="str">
        <x:v>P0</x:v>
      </x:c>
      <x:c r="F70" s="9" t="str">
        <x:v>ME1</x:v>
      </x:c>
      <x:c r="G70" s="9" t="str">
        <x:v>Adaptation</x:v>
      </x:c>
      <x:c r="H70" s="7" t="str">
        <x:v>L’aperçu et les options s’adaptent à la largeur disponible. Les libellés, statistiques et actions restent accessibles au défilement.</x:v>
      </x:c>
      <x:c r="I70" s="7" t="str">
        <x:v>Parcourir les trois onglets à largeur de bureau et de téléphone sans débordement horizontal ni bouton masqué.</x:v>
      </x:c>
      <x:c r="J70" s="7" t="str">
        <x:v>CUST-UI-workshop</x:v>
      </x:c>
      <x:c r="K70" s="7" t="str">
        <x:v>src/customization-ui.css</x:v>
      </x:c>
      <x:c r="L70" s="7" t="str">
        <x:v>src/customization-ui.css</x:v>
      </x:c>
      <x:c r="M70" s="7" t="str">
        <x:v>customization:UI-responsive</x:v>
      </x:c>
      <x:c r="N70" s="7" t="str">
        <x:v>Atelier de Relay Chronicles. Interface et réglages propres au fan game ; contrôle de fidélité distinct.</x:v>
      </x:c>
      <x:c r="O70" s="7" t="str"/>
      <x:c r="P70" s="7" t="str">
        <x:v>Production ME1</x:v>
      </x:c>
      <x:c r="Q70" s="7" t="str">
        <x:v>Implémentation de prototype. Les valeurs de combat restent celles de l’adaptation ATB.</x:v>
      </x:c>
    </x:row>
    <x:row r="71" ht="36" customHeight="1">
      <x:c r="A71" s="13" t="str">
        <x:v>CUST-UI-keyboard</x:v>
      </x:c>
      <x:c r="B71" s="14" t="str">
        <x:v>Navigation clavier de l’atelier</x:v>
      </x:c>
      <x:c r="C71" s="10" t="str">
        <x:v>Prototype</x:v>
      </x:c>
      <x:c r="D71" s="11" t="str">
        <x:v>Prototype</x:v>
      </x:c>
      <x:c r="E71" s="15" t="str">
        <x:v>P0</x:v>
      </x:c>
      <x:c r="F71" s="15" t="str">
        <x:v>ME1</x:v>
      </x:c>
      <x:c r="G71" s="15" t="str">
        <x:v>Adaptation</x:v>
      </x:c>
      <x:c r="H71" s="14" t="str">
        <x:v>Commandes d’atelier nommées, focus visible et continuité après Préparer ou un changement de pose.</x:v>
      </x:c>
      <x:c r="I71" s="14" t="str">
        <x:v>Sélectionner, appliquer ou annuler au clavier. Après Préparer, le focus rejoint une commande active. Échap ne valide pas le brouillon.</x:v>
      </x:c>
      <x:c r="J71" s="14" t="str">
        <x:v>CUST-UI-workshop</x:v>
      </x:c>
      <x:c r="K71" s="14" t="str">
        <x:v>src/customization-ui.js</x:v>
      </x:c>
      <x:c r="L71" s="14" t="str">
        <x:v>src/customization-ui.js</x:v>
      </x:c>
      <x:c r="M71" s="14" t="str">
        <x:v>customization:UI-keyboard</x:v>
      </x:c>
      <x:c r="N71" s="14" t="str">
        <x:v>Atelier de Relay Chronicles. Interface et réglages propres au fan game ; contrôle de fidélité distinct.</x:v>
      </x:c>
      <x:c r="O71" s="14" t="str"/>
      <x:c r="P71" s="14" t="str">
        <x:v>Production ME1</x:v>
      </x:c>
      <x:c r="Q71" s="14" t="str">
        <x:v>Focus de Préparer rétabli après rendu de l’interface. Pose d’aperçu temporaire. Contrôles : docs/qa/shepard-combat-poses-report.json.</x:v>
      </x:c>
    </x:row>
  </x:sheetData>
  <x:conditionalFormatting sqref="C7:C71">
    <x:cfRule type="cellIs" dxfId="375" priority="1" operator="equal">
      <x:formula>"Prototype"</x:formula>
    </x:cfRule>
    <x:cfRule type="cellIs" dxfId="376" priority="2" operator="equal">
      <x:formula>"Intégré"</x:formula>
    </x:cfRule>
    <x:cfRule type="cellIs" dxfId="377" priority="3" operator="equal">
      <x:formula>"Validé"</x:formula>
    </x:cfRule>
  </x:conditionalFormatting>
  <x:conditionalFormatting sqref="G7:G71">
    <x:cfRule type="cellIs" dxfId="378" priority="4" operator="equal">
      <x:formula>"Référence à vérifier"</x:formula>
    </x:cfRule>
  </x:conditionalFormatting>
  <x:conditionalFormatting sqref="E7:E71">
    <x:cfRule type="cellIs" dxfId="379" priority="5" operator="equal">
      <x:formula>"P0"</x:formula>
    </x:cfRule>
  </x:conditionalFormatting>
  <x:dataValidations count="5">
    <x:dataValidation type="list" sqref="C7:C71">
      <x:formula1>"Défini,Prototype,Intégré,Validé"</x:formula1>
    </x:dataValidation>
    <x:dataValidation type="list" sqref="D7:D71">
      <x:formula1>"À produire,Prototype,Disponible,Validé,Sans objet,Non planifié"</x:formula1>
    </x:dataValidation>
    <x:dataValidation type="list" sqref="E7:E71">
      <x:formula1>"P0,P1,P2"</x:formula1>
    </x:dataValidation>
    <x:dataValidation type="list" sqref="F7:F71">
      <x:formula1>"ME1,ME2,ME3,TRANSVERSE"</x:formula1>
    </x:dataValidation>
    <x:dataValidation type="list" sqref="G7:G71">
      <x:formula1>"Confirmé,Référence à vérifier,Adaptation"</x:formula1>
    </x:dataValidation>
  </x:dataValidations>
  <x:pageMargins left="0.7" right="0.7" top="0.75" bottom="0.75" header="0.3" footer="0.3"/>
  <x:tableParts count="1">
    <x:tablePart xmlns:r="http://schemas.openxmlformats.org/officeDocument/2006/relationships" r:id="R9e309c0fbbe145cd"/>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QA</x:v>
      </x:c>
      <x:c r="B2" s="2"/>
      <x:c r="C2" s="2"/>
      <x:c r="D2" s="2"/>
      <x:c r="E2" s="2"/>
      <x:c r="F2" s="2"/>
      <x:c r="G2" s="2"/>
      <x:c r="H2" s="2"/>
      <x:c r="I2" s="2"/>
      <x:c r="J2" s="2"/>
      <x:c r="K2" s="2"/>
      <x:c r="L2" s="2"/>
      <x:c r="M2" s="2"/>
      <x:c r="N2" s="2"/>
      <x:c r="O2" s="2"/>
      <x:c r="P2" s="2"/>
      <x:c r="Q2" s="2"/>
    </x:row>
    <x:row r="3" ht="22" customHeight="1">
      <x:c r="A3" s="4" t="str">
        <x:v>Critères de test et contrôles de fidélité</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QA-nouvelle-partie-propre</x:v>
      </x:c>
      <x:c r="B7" s="14" t="str">
        <x:v>Nouvelle partie propre</x:v>
      </x:c>
      <x:c r="C7" s="10" t="str">
        <x:v>Défini</x:v>
      </x:c>
      <x:c r="D7" s="11" t="str">
        <x:v>Sans objet</x:v>
      </x:c>
      <x:c r="E7" s="15" t="str">
        <x:v>P0</x:v>
      </x:c>
      <x:c r="F7" s="15" t="str">
        <x:v>ME1</x:v>
      </x:c>
      <x:c r="G7" s="15" t="str">
        <x:v>Adaptation</x:v>
      </x:c>
      <x:c r="H7" s="14" t="str">
        <x:v>Démarrer après une ancienne sauvegarde.</x:v>
      </x:c>
      <x:c r="I7" s="14" t="str">
        <x:v>Profil, zone, inventaire et choix repartent de leur état initial.</x:v>
      </x:c>
      <x:c r="J7" s="14" t="str"/>
      <x:c r="K7" s="14" t="str">
        <x:v>tests/</x:v>
      </x:c>
      <x:c r="L7" s="14" t="str"/>
      <x:c r="M7" s="14" t="str"/>
      <x:c r="N7" s="14" t="str">
        <x:v>Décisions du fan game ; aucune prétention de canon officiel</x:v>
      </x:c>
      <x:c r="O7" s="14" t="str"/>
      <x:c r="P7" s="14" t="str">
        <x:v>Production ME1</x:v>
      </x:c>
      <x:c r="Q7" s="14" t="str">
        <x:v>Cas défini ; résultat non exécuté tant qu’aucune preuve de test n’est ajoutée.</x:v>
      </x:c>
    </x:row>
    <x:row r="8" ht="36" customHeight="1">
      <x:c r="A8" s="12" t="str">
        <x:v>QA-continuer-apres-rechargement</x:v>
      </x:c>
      <x:c r="B8" s="7" t="str">
        <x:v>Continuer après rechargement</x:v>
      </x:c>
      <x:c r="C8" s="10" t="str">
        <x:v>Défini</x:v>
      </x:c>
      <x:c r="D8" s="11" t="str">
        <x:v>Sans objet</x:v>
      </x:c>
      <x:c r="E8" s="9" t="str">
        <x:v>P0</x:v>
      </x:c>
      <x:c r="F8" s="9" t="str">
        <x:v>ME1</x:v>
      </x:c>
      <x:c r="G8" s="9" t="str">
        <x:v>Adaptation</x:v>
      </x:c>
      <x:c r="H8" s="7" t="str">
        <x:v>Reprendre la sauvegarde depuis le menu.</x:v>
      </x:c>
      <x:c r="I8" s="7" t="str">
        <x:v>Même équipe, mêmes objectifs et même position sûre.</x:v>
      </x:c>
      <x:c r="J8" s="7" t="str"/>
      <x:c r="K8" s="7" t="str">
        <x:v>tests/</x:v>
      </x:c>
      <x:c r="L8" s="7" t="str"/>
      <x:c r="M8" s="7" t="str"/>
      <x:c r="N8" s="7" t="str">
        <x:v>Décisions du fan game ; aucune prétention de canon officiel</x:v>
      </x:c>
      <x:c r="O8" s="7" t="str"/>
      <x:c r="P8" s="7" t="str">
        <x:v>Production ME1</x:v>
      </x:c>
      <x:c r="Q8" s="7" t="str">
        <x:v>Cas défini ; résultat non exécuté tant qu’aucune preuve de test n’est ajoutée.</x:v>
      </x:c>
    </x:row>
    <x:row r="9" ht="36" customHeight="1">
      <x:c r="A9" s="13" t="str">
        <x:v>QA-sauvegarde-corrompue</x:v>
      </x:c>
      <x:c r="B9" s="14" t="str">
        <x:v>Sauvegarde corrompue</x:v>
      </x:c>
      <x:c r="C9" s="10" t="str">
        <x:v>Défini</x:v>
      </x:c>
      <x:c r="D9" s="11" t="str">
        <x:v>Sans objet</x:v>
      </x:c>
      <x:c r="E9" s="15" t="str">
        <x:v>P0</x:v>
      </x:c>
      <x:c r="F9" s="15" t="str">
        <x:v>ME1</x:v>
      </x:c>
      <x:c r="G9" s="15" t="str">
        <x:v>Adaptation</x:v>
      </x:c>
      <x:c r="H9" s="14" t="str">
        <x:v>Charger une donnée invalide.</x:v>
      </x:c>
      <x:c r="I9" s="14" t="str">
        <x:v>Message clair et possibilité de nouvelle partie.</x:v>
      </x:c>
      <x:c r="J9" s="14" t="str"/>
      <x:c r="K9" s="14" t="str">
        <x:v>tests/</x:v>
      </x:c>
      <x:c r="L9" s="14" t="str"/>
      <x:c r="M9" s="14" t="str"/>
      <x:c r="N9" s="14" t="str">
        <x:v>Décisions du fan game ; aucune prétention de canon officiel</x:v>
      </x:c>
      <x:c r="O9" s="14" t="str"/>
      <x:c r="P9" s="14" t="str">
        <x:v>Production ME1</x:v>
      </x:c>
      <x:c r="Q9" s="14" t="str">
        <x:v>Cas défini ; résultat non exécuté tant qu’aucune preuve de test n’est ajoutée.</x:v>
      </x:c>
    </x:row>
    <x:row r="10" ht="36" customHeight="1">
      <x:c r="A10" s="12" t="str">
        <x:v>QA-migration-de-version</x:v>
      </x:c>
      <x:c r="B10" s="7" t="str">
        <x:v>Migration de version</x:v>
      </x:c>
      <x:c r="C10" s="10" t="str">
        <x:v>Défini</x:v>
      </x:c>
      <x:c r="D10" s="11" t="str">
        <x:v>Sans objet</x:v>
      </x:c>
      <x:c r="E10" s="9" t="str">
        <x:v>P0</x:v>
      </x:c>
      <x:c r="F10" s="9" t="str">
        <x:v>ME1</x:v>
      </x:c>
      <x:c r="G10" s="9" t="str">
        <x:v>Adaptation</x:v>
      </x:c>
      <x:c r="H10" s="7" t="str">
        <x:v>Charger un ancien schéma de sauvegarde.</x:v>
      </x:c>
      <x:c r="I10" s="7" t="str">
        <x:v>Conversion explicite ou refus sans écraser l’original.</x:v>
      </x:c>
      <x:c r="J10" s="7" t="str"/>
      <x:c r="K10" s="7" t="str">
        <x:v>tests/</x:v>
      </x:c>
      <x:c r="L10" s="7" t="str"/>
      <x:c r="M10" s="7" t="str"/>
      <x:c r="N10" s="7" t="str">
        <x:v>Décisions du fan game ; aucune prétention de canon officiel</x:v>
      </x:c>
      <x:c r="O10" s="7" t="str"/>
      <x:c r="P10" s="7" t="str">
        <x:v>Production ME1</x:v>
      </x:c>
      <x:c r="Q10" s="7" t="str">
        <x:v>Cas défini ; résultat non exécuté tant qu’aucune preuve de test n’est ajoutée.</x:v>
      </x:c>
    </x:row>
    <x:row r="11" ht="36" customHeight="1">
      <x:c r="A11" s="13" t="str">
        <x:v>QA-double-validation</x:v>
      </x:c>
      <x:c r="B11" s="14" t="str">
        <x:v>Double validation</x:v>
      </x:c>
      <x:c r="C11" s="10" t="str">
        <x:v>Défini</x:v>
      </x:c>
      <x:c r="D11" s="11" t="str">
        <x:v>Sans objet</x:v>
      </x:c>
      <x:c r="E11" s="15" t="str">
        <x:v>P0</x:v>
      </x:c>
      <x:c r="F11" s="15" t="str">
        <x:v>ME1</x:v>
      </x:c>
      <x:c r="G11" s="15" t="str">
        <x:v>Adaptation</x:v>
      </x:c>
      <x:c r="H11" s="14" t="str">
        <x:v>Appuyer rapidement deux fois sur une action.</x:v>
      </x:c>
      <x:c r="I11" s="14" t="str">
        <x:v>Une seule transaction ou progression.</x:v>
      </x:c>
      <x:c r="J11" s="14" t="str"/>
      <x:c r="K11" s="14" t="str">
        <x:v>tests/</x:v>
      </x:c>
      <x:c r="L11" s="14" t="str"/>
      <x:c r="M11" s="14" t="str"/>
      <x:c r="N11" s="14" t="str">
        <x:v>Décisions du fan game ; aucune prétention de canon officiel</x:v>
      </x:c>
      <x:c r="O11" s="14" t="str"/>
      <x:c r="P11" s="14" t="str">
        <x:v>Production ME1</x:v>
      </x:c>
      <x:c r="Q11" s="14" t="str">
        <x:v>Cas défini ; résultat non exécuté tant qu’aucune preuve de test n’est ajoutée.</x:v>
      </x:c>
    </x:row>
    <x:row r="12" ht="36" customHeight="1">
      <x:c r="A12" s="12" t="str">
        <x:v>QA-sortie-bidirectionnelle</x:v>
      </x:c>
      <x:c r="B12" s="7" t="str">
        <x:v>Sortie bidirectionnelle</x:v>
      </x:c>
      <x:c r="C12" s="10" t="str">
        <x:v>Défini</x:v>
      </x:c>
      <x:c r="D12" s="11" t="str">
        <x:v>Sans objet</x:v>
      </x:c>
      <x:c r="E12" s="9" t="str">
        <x:v>P0</x:v>
      </x:c>
      <x:c r="F12" s="9" t="str">
        <x:v>ME1</x:v>
      </x:c>
      <x:c r="G12" s="9" t="str">
        <x:v>Adaptation</x:v>
      </x:c>
      <x:c r="H12" s="7" t="str">
        <x:v>Traverser chaque liaison dans les deux sens.</x:v>
      </x:c>
      <x:c r="I12" s="7" t="str">
        <x:v>Entrée correcte, aucune boucle instantanée.</x:v>
      </x:c>
      <x:c r="J12" s="7" t="str"/>
      <x:c r="K12" s="7" t="str">
        <x:v>tests/</x:v>
      </x:c>
      <x:c r="L12" s="7" t="str"/>
      <x:c r="M12" s="7" t="str"/>
      <x:c r="N12" s="7" t="str">
        <x:v>Décisions du fan game ; aucune prétention de canon officiel</x:v>
      </x:c>
      <x:c r="O12" s="7" t="str"/>
      <x:c r="P12" s="7" t="str">
        <x:v>Production ME1</x:v>
      </x:c>
      <x:c r="Q12" s="7" t="str">
        <x:v>Cas défini ; résultat non exécuté tant qu’aucune preuve de test n’est ajoutée.</x:v>
      </x:c>
    </x:row>
    <x:row r="13" ht="36" customHeight="1">
      <x:c r="A13" s="13" t="str">
        <x:v>QA-camera-au-seuil</x:v>
      </x:c>
      <x:c r="B13" s="14" t="str">
        <x:v>Caméra au seuil</x:v>
      </x:c>
      <x:c r="C13" s="10" t="str">
        <x:v>Défini</x:v>
      </x:c>
      <x:c r="D13" s="11" t="str">
        <x:v>Sans objet</x:v>
      </x:c>
      <x:c r="E13" s="15" t="str">
        <x:v>P0</x:v>
      </x:c>
      <x:c r="F13" s="15" t="str">
        <x:v>ME1</x:v>
      </x:c>
      <x:c r="G13" s="15" t="str">
        <x:v>Adaptation</x:v>
      </x:c>
      <x:c r="H13" s="14" t="str">
        <x:v>S’arrêter sur une frontière de caméra.</x:v>
      </x:c>
      <x:c r="I13" s="14" t="str">
        <x:v>Pas d’oscillation de cadrage.</x:v>
      </x:c>
      <x:c r="J13" s="14" t="str"/>
      <x:c r="K13" s="14" t="str">
        <x:v>tests/</x:v>
      </x:c>
      <x:c r="L13" s="14" t="str"/>
      <x:c r="M13" s="14" t="str"/>
      <x:c r="N13" s="14" t="str">
        <x:v>Décisions du fan game ; aucune prétention de canon officiel</x:v>
      </x:c>
      <x:c r="O13" s="14" t="str"/>
      <x:c r="P13" s="14" t="str">
        <x:v>Production ME1</x:v>
      </x:c>
      <x:c r="Q13" s="14" t="str">
        <x:v>Cas défini ; résultat non exécuté tant qu’aucune preuve de test n’est ajoutée.</x:v>
      </x:c>
    </x:row>
    <x:row r="14" ht="36" customHeight="1">
      <x:c r="A14" s="12" t="str">
        <x:v>QA-mur-opaque</x:v>
      </x:c>
      <x:c r="B14" s="7" t="str">
        <x:v>Mur opaque</x:v>
      </x:c>
      <x:c r="C14" s="10" t="str">
        <x:v>Défini</x:v>
      </x:c>
      <x:c r="D14" s="11" t="str">
        <x:v>Sans objet</x:v>
      </x:c>
      <x:c r="E14" s="9" t="str">
        <x:v>P0</x:v>
      </x:c>
      <x:c r="F14" s="9" t="str">
        <x:v>ME1</x:v>
      </x:c>
      <x:c r="G14" s="9" t="str">
        <x:v>Adaptation</x:v>
      </x:c>
      <x:c r="H14" s="7" t="str">
        <x:v>Passer derrière une structure.</x:v>
      </x:c>
      <x:c r="I14" s="7" t="str">
        <x:v>Sprite correctement masqué.</x:v>
      </x:c>
      <x:c r="J14" s="7" t="str"/>
      <x:c r="K14" s="7" t="str">
        <x:v>tests/</x:v>
      </x:c>
      <x:c r="L14" s="7" t="str"/>
      <x:c r="M14" s="7" t="str"/>
      <x:c r="N14" s="7" t="str">
        <x:v>Décisions du fan game ; aucune prétention de canon officiel</x:v>
      </x:c>
      <x:c r="O14" s="7" t="str"/>
      <x:c r="P14" s="7" t="str">
        <x:v>Production ME1</x:v>
      </x:c>
      <x:c r="Q14" s="7" t="str">
        <x:v>Cas défini ; résultat non exécuté tant qu’aucune preuve de test n’est ajoutée.</x:v>
      </x:c>
    </x:row>
    <x:row r="15" ht="36" customHeight="1">
      <x:c r="A15" s="13" t="str">
        <x:v>QA-escalier</x:v>
      </x:c>
      <x:c r="B15" s="14" t="str">
        <x:v>Escalier</x:v>
      </x:c>
      <x:c r="C15" s="10" t="str">
        <x:v>Défini</x:v>
      </x:c>
      <x:c r="D15" s="11" t="str">
        <x:v>Sans objet</x:v>
      </x:c>
      <x:c r="E15" s="15" t="str">
        <x:v>P0</x:v>
      </x:c>
      <x:c r="F15" s="15" t="str">
        <x:v>ME1</x:v>
      </x:c>
      <x:c r="G15" s="15" t="str">
        <x:v>Adaptation</x:v>
      </x:c>
      <x:c r="H15" s="14" t="str">
        <x:v>Monter et descendre un changement de niveau.</x:v>
      </x:c>
      <x:c r="I15" s="14" t="str">
        <x:v>Pieds et ombre suivent le sol.</x:v>
      </x:c>
      <x:c r="J15" s="14" t="str"/>
      <x:c r="K15" s="14" t="str">
        <x:v>tests/</x:v>
      </x:c>
      <x:c r="L15" s="14" t="str"/>
      <x:c r="M15" s="14" t="str"/>
      <x:c r="N15" s="14" t="str">
        <x:v>Décisions du fan game ; aucune prétention de canon officiel</x:v>
      </x:c>
      <x:c r="O15" s="14" t="str"/>
      <x:c r="P15" s="14" t="str">
        <x:v>Production ME1</x:v>
      </x:c>
      <x:c r="Q15" s="14" t="str">
        <x:v>Cas défini ; résultat non exécuté tant qu’aucune preuve de test n’est ajoutée.</x:v>
      </x:c>
    </x:row>
    <x:row r="16" ht="36" customHeight="1">
      <x:c r="A16" s="12" t="str">
        <x:v>QA-grand-krogan</x:v>
      </x:c>
      <x:c r="B16" s="7" t="str">
        <x:v>Grand krogan</x:v>
      </x:c>
      <x:c r="C16" s="10" t="str">
        <x:v>Défini</x:v>
      </x:c>
      <x:c r="D16" s="11" t="str">
        <x:v>Sans objet</x:v>
      </x:c>
      <x:c r="E16" s="9" t="str">
        <x:v>P0</x:v>
      </x:c>
      <x:c r="F16" s="9" t="str">
        <x:v>ME1</x:v>
      </x:c>
      <x:c r="G16" s="9" t="str">
        <x:v>Adaptation</x:v>
      </x:c>
      <x:c r="H16" s="7" t="str">
        <x:v>Tester Wrex dans tous les passages prévus.</x:v>
      </x:c>
      <x:c r="I16" s="7" t="str">
        <x:v>Aucune découpe de tête ou collision incohérente.</x:v>
      </x:c>
      <x:c r="J16" s="7" t="str"/>
      <x:c r="K16" s="7" t="str">
        <x:v>tests/</x:v>
      </x:c>
      <x:c r="L16" s="7" t="str"/>
      <x:c r="M16" s="7" t="str"/>
      <x:c r="N16" s="7" t="str">
        <x:v>Décisions du fan game ; aucune prétention de canon officiel</x:v>
      </x:c>
      <x:c r="O16" s="7" t="str"/>
      <x:c r="P16" s="7" t="str">
        <x:v>Production ME1</x:v>
      </x:c>
      <x:c r="Q16" s="7" t="str">
        <x:v>Cas défini ; résultat non exécuté tant qu’aucune preuve de test n’est ajoutée.</x:v>
      </x:c>
    </x:row>
    <x:row r="17" ht="36" customHeight="1">
      <x:c r="A17" s="13" t="str">
        <x:v>QA-equipe-indisponible</x:v>
      </x:c>
      <x:c r="B17" s="14" t="str">
        <x:v>Équipe indisponible</x:v>
      </x:c>
      <x:c r="C17" s="10" t="str">
        <x:v>Défini</x:v>
      </x:c>
      <x:c r="D17" s="11" t="str">
        <x:v>Sans objet</x:v>
      </x:c>
      <x:c r="E17" s="15" t="str">
        <x:v>P0</x:v>
      </x:c>
      <x:c r="F17" s="15" t="str">
        <x:v>ME1</x:v>
      </x:c>
      <x:c r="G17" s="15" t="str">
        <x:v>Adaptation</x:v>
      </x:c>
      <x:c r="H17" s="14" t="str">
        <x:v>Tenter de sélectionner un personnage absent.</x:v>
      </x:c>
      <x:c r="I17" s="14" t="str">
        <x:v>Refus lisible et aucun membre fantôme.</x:v>
      </x:c>
      <x:c r="J17" s="14" t="str"/>
      <x:c r="K17" s="14" t="str">
        <x:v>tests/</x:v>
      </x:c>
      <x:c r="L17" s="14" t="str"/>
      <x:c r="M17" s="14" t="str"/>
      <x:c r="N17" s="14" t="str">
        <x:v>Décisions du fan game ; aucune prétention de canon officiel</x:v>
      </x:c>
      <x:c r="O17" s="14" t="str"/>
      <x:c r="P17" s="14" t="str">
        <x:v>Production ME1</x:v>
      </x:c>
      <x:c r="Q17" s="14" t="str">
        <x:v>Cas défini ; résultat non exécuté tant qu’aucune preuve de test n’est ajoutée.</x:v>
      </x:c>
    </x:row>
    <x:row r="18" ht="36" customHeight="1">
      <x:c r="A18" s="12" t="str">
        <x:v>QA-recrutement-double</x:v>
      </x:c>
      <x:c r="B18" s="7" t="str">
        <x:v>Recrutement doublé</x:v>
      </x:c>
      <x:c r="C18" s="10" t="str">
        <x:v>Défini</x:v>
      </x:c>
      <x:c r="D18" s="11" t="str">
        <x:v>Sans objet</x:v>
      </x:c>
      <x:c r="E18" s="9" t="str">
        <x:v>P0</x:v>
      </x:c>
      <x:c r="F18" s="9" t="str">
        <x:v>ME1</x:v>
      </x:c>
      <x:c r="G18" s="9" t="str">
        <x:v>Adaptation</x:v>
      </x:c>
      <x:c r="H18" s="7" t="str">
        <x:v>Reparler à un personnage déjà recruté.</x:v>
      </x:c>
      <x:c r="I18" s="7" t="str">
        <x:v>Pas de deuxième instance ni de récompense répétée.</x:v>
      </x:c>
      <x:c r="J18" s="7" t="str"/>
      <x:c r="K18" s="7" t="str">
        <x:v>tests/</x:v>
      </x:c>
      <x:c r="L18" s="7" t="str"/>
      <x:c r="M18" s="7" t="str"/>
      <x:c r="N18" s="7" t="str">
        <x:v>Décisions du fan game ; aucune prétention de canon officiel</x:v>
      </x:c>
      <x:c r="O18" s="7" t="str"/>
      <x:c r="P18" s="7" t="str">
        <x:v>Production ME1</x:v>
      </x:c>
      <x:c r="Q18" s="7" t="str">
        <x:v>Cas défini ; résultat non exécuté tant qu’aucune preuve de test n’est ajoutée.</x:v>
      </x:c>
    </x:row>
    <x:row r="19" ht="36" customHeight="1">
      <x:c r="A19" s="13" t="str">
        <x:v>QA-perte-virmire</x:v>
      </x:c>
      <x:c r="B19" s="14" t="str">
        <x:v>Perte Virmire</x:v>
      </x:c>
      <x:c r="C19" s="10" t="str">
        <x:v>Défini</x:v>
      </x:c>
      <x:c r="D19" s="11" t="str">
        <x:v>Sans objet</x:v>
      </x:c>
      <x:c r="E19" s="15" t="str">
        <x:v>P0</x:v>
      </x:c>
      <x:c r="F19" s="15" t="str">
        <x:v>ME1</x:v>
      </x:c>
      <x:c r="G19" s="15" t="str">
        <x:v>Adaptation</x:v>
      </x:c>
      <x:c r="H19" s="14" t="str">
        <x:v>Reprendre plusieurs zones après le choix.</x:v>
      </x:c>
      <x:c r="I19" s="14" t="str">
        <x:v>Le personnage perdu n’apparaît plus dans les scènes.</x:v>
      </x:c>
      <x:c r="J19" s="14" t="str"/>
      <x:c r="K19" s="14" t="str">
        <x:v>tests/</x:v>
      </x:c>
      <x:c r="L19" s="14" t="str"/>
      <x:c r="M19" s="14" t="str"/>
      <x:c r="N19" s="14" t="str">
        <x:v>Décisions du fan game ; aucune prétention de canon officiel</x:v>
      </x:c>
      <x:c r="O19" s="14" t="str"/>
      <x:c r="P19" s="14" t="str">
        <x:v>Production ME1</x:v>
      </x:c>
      <x:c r="Q19" s="14" t="str">
        <x:v>Cas défini ; résultat non exécuté tant qu’aucune preuve de test n’est ajoutée.</x:v>
      </x:c>
    </x:row>
    <x:row r="20" ht="36" customHeight="1">
      <x:c r="A20" s="12" t="str">
        <x:v>QA-mort-narrative-et-soins</x:v>
      </x:c>
      <x:c r="B20" s="7" t="str">
        <x:v>Mort narrative et soins</x:v>
      </x:c>
      <x:c r="C20" s="10" t="str">
        <x:v>Défini</x:v>
      </x:c>
      <x:c r="D20" s="11" t="str">
        <x:v>Sans objet</x:v>
      </x:c>
      <x:c r="E20" s="9" t="str">
        <x:v>P0</x:v>
      </x:c>
      <x:c r="F20" s="9" t="str">
        <x:v>ME1</x:v>
      </x:c>
      <x:c r="G20" s="9" t="str">
        <x:v>Adaptation</x:v>
      </x:c>
      <x:c r="H20" s="7" t="str">
        <x:v>Utiliser tous les soins après une perte du récit.</x:v>
      </x:c>
      <x:c r="I20" s="7" t="str">
        <x:v>La perte reste définitive.</x:v>
      </x:c>
      <x:c r="J20" s="7" t="str"/>
      <x:c r="K20" s="7" t="str">
        <x:v>tests/</x:v>
      </x:c>
      <x:c r="L20" s="7" t="str"/>
      <x:c r="M20" s="7" t="str"/>
      <x:c r="N20" s="7" t="str">
        <x:v>Décisions du fan game ; aucune prétention de canon officiel</x:v>
      </x:c>
      <x:c r="O20" s="7" t="str"/>
      <x:c r="P20" s="7" t="str">
        <x:v>Production ME1</x:v>
      </x:c>
      <x:c r="Q20" s="7" t="str">
        <x:v>Cas défini ; résultat non exécuté tant qu’aucune preuve de test n’est ajoutée.</x:v>
      </x:c>
    </x:row>
    <x:row r="21" ht="36" customHeight="1">
      <x:c r="A21" s="13" t="str">
        <x:v>QA-stase-et-degats</x:v>
      </x:c>
      <x:c r="B21" s="14" t="str">
        <x:v>Stase et dégâts</x:v>
      </x:c>
      <x:c r="C21" s="10" t="str">
        <x:v>Défini</x:v>
      </x:c>
      <x:c r="D21" s="11" t="str">
        <x:v>Sans objet</x:v>
      </x:c>
      <x:c r="E21" s="15" t="str">
        <x:v>P0</x:v>
      </x:c>
      <x:c r="F21" s="15" t="str">
        <x:v>ME1</x:v>
      </x:c>
      <x:c r="G21" s="15" t="str">
        <x:v>Adaptation</x:v>
      </x:c>
      <x:c r="H21" s="14" t="str">
        <x:v>Attaquer une cible sous Stase de base ME1.</x:v>
      </x:c>
      <x:c r="I21" s="14" t="str">
        <x:v>Protection prévue appliquée et expliquée.</x:v>
      </x:c>
      <x:c r="J21" s="14" t="str"/>
      <x:c r="K21" s="14" t="str">
        <x:v>tests/</x:v>
      </x:c>
      <x:c r="L21" s="14" t="str"/>
      <x:c r="M21" s="14" t="str"/>
      <x:c r="N21" s="14" t="str">
        <x:v>Décisions du fan game ; aucune prétention de canon officiel</x:v>
      </x:c>
      <x:c r="O21" s="14" t="str"/>
      <x:c r="P21" s="14" t="str">
        <x:v>Production ME1</x:v>
      </x:c>
      <x:c r="Q21" s="14" t="str">
        <x:v>Cas défini ; résultat non exécuté tant qu’aucune preuve de test n’est ajoutée.</x:v>
      </x:c>
    </x:row>
    <x:row r="22" ht="36" customHeight="1">
      <x:c r="A22" s="12" t="str">
        <x:v>QA-piratage-organique</x:v>
      </x:c>
      <x:c r="B22" s="7" t="str">
        <x:v>Piratage organique</x:v>
      </x:c>
      <x:c r="C22" s="10" t="str">
        <x:v>Défini</x:v>
      </x:c>
      <x:c r="D22" s="11" t="str">
        <x:v>Sans objet</x:v>
      </x:c>
      <x:c r="E22" s="9" t="str">
        <x:v>P0</x:v>
      </x:c>
      <x:c r="F22" s="9" t="str">
        <x:v>ME1</x:v>
      </x:c>
      <x:c r="G22" s="9" t="str">
        <x:v>Adaptation</x:v>
      </x:c>
      <x:c r="H22" s="7" t="str">
        <x:v>Cibler un humain avec le piratage d’IA.</x:v>
      </x:c>
      <x:c r="I22" s="7" t="str">
        <x:v>Action impossible sans dépense.</x:v>
      </x:c>
      <x:c r="J22" s="7" t="str"/>
      <x:c r="K22" s="7" t="str">
        <x:v>tests/</x:v>
      </x:c>
      <x:c r="L22" s="7" t="str"/>
      <x:c r="M22" s="7" t="str"/>
      <x:c r="N22" s="7" t="str">
        <x:v>Décisions du fan game ; aucune prétention de canon officiel</x:v>
      </x:c>
      <x:c r="O22" s="7" t="str"/>
      <x:c r="P22" s="7" t="str">
        <x:v>Production ME1</x:v>
      </x:c>
      <x:c r="Q22" s="7" t="str">
        <x:v>Cas défini ; résultat non exécuté tant qu’aucune preuve de test n’est ajoutée.</x:v>
      </x:c>
    </x:row>
    <x:row r="23" ht="36" customHeight="1">
      <x:c r="A23" s="13" t="str">
        <x:v>QA-biotique-non-eligible</x:v>
      </x:c>
      <x:c r="B23" s="14" t="str">
        <x:v>Biotique non éligible</x:v>
      </x:c>
      <x:c r="C23" s="10" t="str">
        <x:v>Défini</x:v>
      </x:c>
      <x:c r="D23" s="11" t="str">
        <x:v>Sans objet</x:v>
      </x:c>
      <x:c r="E23" s="15" t="str">
        <x:v>P0</x:v>
      </x:c>
      <x:c r="F23" s="15" t="str">
        <x:v>ME1</x:v>
      </x:c>
      <x:c r="G23" s="15" t="str">
        <x:v>Adaptation</x:v>
      </x:c>
      <x:c r="H23" s="14" t="str">
        <x:v>Équiper un module à un soldat.</x:v>
      </x:c>
      <x:c r="I23" s="14" t="str">
        <x:v>Aucun pouvoir biotique ajouté.</x:v>
      </x:c>
      <x:c r="J23" s="14" t="str"/>
      <x:c r="K23" s="14" t="str">
        <x:v>tests/</x:v>
      </x:c>
      <x:c r="L23" s="14" t="str"/>
      <x:c r="M23" s="14" t="str"/>
      <x:c r="N23" s="14" t="str">
        <x:v>Décisions du fan game ; aucune prétention de canon officiel</x:v>
      </x:c>
      <x:c r="O23" s="14" t="str"/>
      <x:c r="P23" s="14" t="str">
        <x:v>Production ME1</x:v>
      </x:c>
      <x:c r="Q23" s="14" t="str">
        <x:v>Cas défini ; résultat non exécuté tant qu’aucune preuve de test n’est ajoutée.</x:v>
      </x:c>
    </x:row>
    <x:row r="24" ht="36" customHeight="1">
      <x:c r="A24" s="12" t="str">
        <x:v>QA-surchauffe-maximum</x:v>
      </x:c>
      <x:c r="B24" s="7" t="str">
        <x:v>Surchauffe maximum</x:v>
      </x:c>
      <x:c r="C24" s="10" t="str">
        <x:v>Défini</x:v>
      </x:c>
      <x:c r="D24" s="11" t="str">
        <x:v>Sans objet</x:v>
      </x:c>
      <x:c r="E24" s="9" t="str">
        <x:v>P0</x:v>
      </x:c>
      <x:c r="F24" s="9" t="str">
        <x:v>ME1</x:v>
      </x:c>
      <x:c r="G24" s="9" t="str">
        <x:v>Adaptation</x:v>
      </x:c>
      <x:c r="H24" s="7" t="str">
        <x:v>Enchaîner les tirs jusqu’au seuil.</x:v>
      </x:c>
      <x:c r="I24" s="7" t="str">
        <x:v>Blocage temporaire puis refroidissement correct.</x:v>
      </x:c>
      <x:c r="J24" s="7" t="str"/>
      <x:c r="K24" s="7" t="str">
        <x:v>tests/</x:v>
      </x:c>
      <x:c r="L24" s="7" t="str"/>
      <x:c r="M24" s="7" t="str"/>
      <x:c r="N24" s="7" t="str">
        <x:v>Décisions du fan game ; aucune prétention de canon officiel</x:v>
      </x:c>
      <x:c r="O24" s="7" t="str"/>
      <x:c r="P24" s="7" t="str">
        <x:v>Production ME1</x:v>
      </x:c>
      <x:c r="Q24" s="7" t="str">
        <x:v>Cas défini ; résultat non exécuté tant qu’aucune preuve de test n’est ajoutée.</x:v>
      </x:c>
    </x:row>
    <x:row r="25" ht="36" customHeight="1">
      <x:c r="A25" s="13" t="str">
        <x:v>QA-refroidissement-attente</x:v>
      </x:c>
      <x:c r="B25" s="14" t="str">
        <x:v>Refroidissement attente</x:v>
      </x:c>
      <x:c r="C25" s="10" t="str">
        <x:v>Défini</x:v>
      </x:c>
      <x:c r="D25" s="11" t="str">
        <x:v>Sans objet</x:v>
      </x:c>
      <x:c r="E25" s="15" t="str">
        <x:v>P0</x:v>
      </x:c>
      <x:c r="F25" s="15" t="str">
        <x:v>ME1</x:v>
      </x:c>
      <x:c r="G25" s="15" t="str">
        <x:v>Adaptation</x:v>
      </x:c>
      <x:c r="H25" s="14" t="str">
        <x:v>Comparer ATB actif et attente.</x:v>
      </x:c>
      <x:c r="I25" s="14" t="str">
        <x:v>Pas d’avantage caché par menus non prévus.</x:v>
      </x:c>
      <x:c r="J25" s="14" t="str"/>
      <x:c r="K25" s="14" t="str">
        <x:v>tests/</x:v>
      </x:c>
      <x:c r="L25" s="14" t="str"/>
      <x:c r="M25" s="14" t="str"/>
      <x:c r="N25" s="14" t="str">
        <x:v>Décisions du fan game ; aucune prétention de canon officiel</x:v>
      </x:c>
      <x:c r="O25" s="14" t="str"/>
      <x:c r="P25" s="14" t="str">
        <x:v>Production ME1</x:v>
      </x:c>
      <x:c r="Q25" s="14" t="str">
        <x:v>Cas défini ; résultat non exécuté tant qu’aucune preuve de test n’est ajoutée.</x:v>
      </x:c>
    </x:row>
    <x:row r="26" ht="36" customHeight="1">
      <x:c r="A26" s="12" t="str">
        <x:v>QA-cible-ko-avant-resolution</x:v>
      </x:c>
      <x:c r="B26" s="7" t="str">
        <x:v>Cible KO avant résolution</x:v>
      </x:c>
      <x:c r="C26" s="10" t="str">
        <x:v>Défini</x:v>
      </x:c>
      <x:c r="D26" s="11" t="str">
        <x:v>Sans objet</x:v>
      </x:c>
      <x:c r="E26" s="9" t="str">
        <x:v>P0</x:v>
      </x:c>
      <x:c r="F26" s="9" t="str">
        <x:v>ME1</x:v>
      </x:c>
      <x:c r="G26" s="9" t="str">
        <x:v>Adaptation</x:v>
      </x:c>
      <x:c r="H26" s="7" t="str">
        <x:v>Une action alliée élimine la cible d’une autre.</x:v>
      </x:c>
      <x:c r="I26" s="7" t="str">
        <x:v>Seconde action annulée ou reciblée selon règle annoncée.</x:v>
      </x:c>
      <x:c r="J26" s="7" t="str"/>
      <x:c r="K26" s="7" t="str">
        <x:v>tests/</x:v>
      </x:c>
      <x:c r="L26" s="7" t="str"/>
      <x:c r="M26" s="7" t="str"/>
      <x:c r="N26" s="7" t="str">
        <x:v>Décisions du fan game ; aucune prétention de canon officiel</x:v>
      </x:c>
      <x:c r="O26" s="7" t="str"/>
      <x:c r="P26" s="7" t="str">
        <x:v>Production ME1</x:v>
      </x:c>
      <x:c r="Q26" s="7" t="str">
        <x:v>Cas défini ; résultat non exécuté tant qu’aucune preuve de test n’est ajoutée.</x:v>
      </x:c>
    </x:row>
    <x:row r="27" ht="36" customHeight="1">
      <x:c r="A27" s="13" t="str">
        <x:v>QA-equipier-ko-en-file</x:v>
      </x:c>
      <x:c r="B27" s="14" t="str">
        <x:v>Équipier KO en file</x:v>
      </x:c>
      <x:c r="C27" s="10" t="str">
        <x:v>Défini</x:v>
      </x:c>
      <x:c r="D27" s="11" t="str">
        <x:v>Sans objet</x:v>
      </x:c>
      <x:c r="E27" s="15" t="str">
        <x:v>P0</x:v>
      </x:c>
      <x:c r="F27" s="15" t="str">
        <x:v>ME1</x:v>
      </x:c>
      <x:c r="G27" s="15" t="str">
        <x:v>Adaptation</x:v>
      </x:c>
      <x:c r="H27" s="14" t="str">
        <x:v>Un membre tombe avant son action.</x:v>
      </x:c>
      <x:c r="I27" s="14" t="str">
        <x:v>Aucune attaque exécutée par un personnage KO.</x:v>
      </x:c>
      <x:c r="J27" s="14" t="str"/>
      <x:c r="K27" s="14" t="str">
        <x:v>tests/</x:v>
      </x:c>
      <x:c r="L27" s="14" t="str"/>
      <x:c r="M27" s="14" t="str"/>
      <x:c r="N27" s="14" t="str">
        <x:v>Décisions du fan game ; aucune prétention de canon officiel</x:v>
      </x:c>
      <x:c r="O27" s="14" t="str"/>
      <x:c r="P27" s="14" t="str">
        <x:v>Production ME1</x:v>
      </x:c>
      <x:c r="Q27" s="14" t="str">
        <x:v>Cas défini ; résultat non exécuté tant qu’aucune preuve de test n’est ajoutée.</x:v>
      </x:c>
    </x:row>
    <x:row r="28" ht="36" customHeight="1">
      <x:c r="A28" s="12" t="str">
        <x:v>QA-victoire-unique</x:v>
      </x:c>
      <x:c r="B28" s="7" t="str">
        <x:v>Victoire unique</x:v>
      </x:c>
      <x:c r="C28" s="10" t="str">
        <x:v>Défini</x:v>
      </x:c>
      <x:c r="D28" s="11" t="str">
        <x:v>Sans objet</x:v>
      </x:c>
      <x:c r="E28" s="9" t="str">
        <x:v>P0</x:v>
      </x:c>
      <x:c r="F28" s="9" t="str">
        <x:v>ME1</x:v>
      </x:c>
      <x:c r="G28" s="9" t="str">
        <x:v>Adaptation</x:v>
      </x:c>
      <x:c r="H28" s="7" t="str">
        <x:v>Dernier ennemi éliminé par deux effets simultanés.</x:v>
      </x:c>
      <x:c r="I28" s="7" t="str">
        <x:v>XP et butin distribués une seule fois.</x:v>
      </x:c>
      <x:c r="J28" s="7" t="str"/>
      <x:c r="K28" s="7" t="str">
        <x:v>tests/</x:v>
      </x:c>
      <x:c r="L28" s="7" t="str"/>
      <x:c r="M28" s="7" t="str"/>
      <x:c r="N28" s="7" t="str">
        <x:v>Décisions du fan game ; aucune prétention de canon officiel</x:v>
      </x:c>
      <x:c r="O28" s="7" t="str"/>
      <x:c r="P28" s="7" t="str">
        <x:v>Production ME1</x:v>
      </x:c>
      <x:c r="Q28" s="7" t="str">
        <x:v>Cas défini ; résultat non exécuté tant qu’aucune preuve de test n’est ajoutée.</x:v>
      </x:c>
    </x:row>
    <x:row r="29" ht="36" customHeight="1">
      <x:c r="A29" s="13" t="str">
        <x:v>QA-defaite-complete</x:v>
      </x:c>
      <x:c r="B29" s="14" t="str">
        <x:v>Défaite complète</x:v>
      </x:c>
      <x:c r="C29" s="10" t="str">
        <x:v>Défini</x:v>
      </x:c>
      <x:c r="D29" s="11" t="str">
        <x:v>Sans objet</x:v>
      </x:c>
      <x:c r="E29" s="15" t="str">
        <x:v>P0</x:v>
      </x:c>
      <x:c r="F29" s="15" t="str">
        <x:v>ME1</x:v>
      </x:c>
      <x:c r="G29" s="15" t="str">
        <x:v>Adaptation</x:v>
      </x:c>
      <x:c r="H29" s="14" t="str">
        <x:v>Les trois alliés tombent.</x:v>
      </x:c>
      <x:c r="I29" s="14" t="str">
        <x:v>Écran de reprise atteint sans blocage.</x:v>
      </x:c>
      <x:c r="J29" s="14" t="str"/>
      <x:c r="K29" s="14" t="str">
        <x:v>tests/</x:v>
      </x:c>
      <x:c r="L29" s="14" t="str"/>
      <x:c r="M29" s="14" t="str"/>
      <x:c r="N29" s="14" t="str">
        <x:v>Décisions du fan game ; aucune prétention de canon officiel</x:v>
      </x:c>
      <x:c r="O29" s="14" t="str"/>
      <x:c r="P29" s="14" t="str">
        <x:v>Production ME1</x:v>
      </x:c>
      <x:c r="Q29" s="14" t="str">
        <x:v>Cas défini ; résultat non exécuté tant qu’aucune preuve de test n’est ajoutée.</x:v>
      </x:c>
    </x:row>
    <x:row r="30" ht="36" customHeight="1">
      <x:c r="A30" s="12" t="str">
        <x:v>QA-fuite-et-reentree</x:v>
      </x:c>
      <x:c r="B30" s="7" t="str">
        <x:v>Fuite et réentrée</x:v>
      </x:c>
      <x:c r="C30" s="10" t="str">
        <x:v>Défini</x:v>
      </x:c>
      <x:c r="D30" s="11" t="str">
        <x:v>Sans objet</x:v>
      </x:c>
      <x:c r="E30" s="9" t="str">
        <x:v>P0</x:v>
      </x:c>
      <x:c r="F30" s="9" t="str">
        <x:v>ME1</x:v>
      </x:c>
      <x:c r="G30" s="9" t="str">
        <x:v>Adaptation</x:v>
      </x:c>
      <x:c r="H30" s="7" t="str">
        <x:v>Fuir puis revenir près de l’ennemi.</x:v>
      </x:c>
      <x:c r="I30" s="7" t="str">
        <x:v>Délai et position évitent une boucle de combat.</x:v>
      </x:c>
      <x:c r="J30" s="7" t="str"/>
      <x:c r="K30" s="7" t="str">
        <x:v>tests/</x:v>
      </x:c>
      <x:c r="L30" s="7" t="str"/>
      <x:c r="M30" s="7" t="str"/>
      <x:c r="N30" s="7" t="str">
        <x:v>Décisions du fan game ; aucune prétention de canon officiel</x:v>
      </x:c>
      <x:c r="O30" s="7" t="str"/>
      <x:c r="P30" s="7" t="str">
        <x:v>Production ME1</x:v>
      </x:c>
      <x:c r="Q30" s="7" t="str">
        <x:v>Cas défini ; résultat non exécuté tant qu’aucune preuve de test n’est ajoutée.</x:v>
      </x:c>
    </x:row>
    <x:row r="31" ht="36" customHeight="1">
      <x:c r="A31" s="13" t="str">
        <x:v>QA-dialogue-sans-souris</x:v>
      </x:c>
      <x:c r="B31" s="14" t="str">
        <x:v>Dialogue sans souris</x:v>
      </x:c>
      <x:c r="C31" s="10" t="str">
        <x:v>Défini</x:v>
      </x:c>
      <x:c r="D31" s="11" t="str">
        <x:v>Sans objet</x:v>
      </x:c>
      <x:c r="E31" s="15" t="str">
        <x:v>P0</x:v>
      </x:c>
      <x:c r="F31" s="15" t="str">
        <x:v>ME1</x:v>
      </x:c>
      <x:c r="G31" s="15" t="str">
        <x:v>Adaptation</x:v>
      </x:c>
      <x:c r="H31" s="14" t="str">
        <x:v>Parcourir tous les choix au clavier et à la manette.</x:v>
      </x:c>
      <x:c r="I31" s="14" t="str">
        <x:v>Focus visible et sortie possible.</x:v>
      </x:c>
      <x:c r="J31" s="14" t="str"/>
      <x:c r="K31" s="14" t="str">
        <x:v>tests/</x:v>
      </x:c>
      <x:c r="L31" s="14" t="str"/>
      <x:c r="M31" s="14" t="str"/>
      <x:c r="N31" s="14" t="str">
        <x:v>Décisions du fan game ; aucune prétention de canon officiel</x:v>
      </x:c>
      <x:c r="O31" s="14" t="str"/>
      <x:c r="P31" s="14" t="str">
        <x:v>Production ME1</x:v>
      </x:c>
      <x:c r="Q31" s="14" t="str">
        <x:v>Cas défini ; résultat non exécuté tant qu’aucune preuve de test n’est ajoutée.</x:v>
      </x:c>
    </x:row>
    <x:row r="32" ht="36" customHeight="1">
      <x:c r="A32" s="12" t="str">
        <x:v>QA-dialogue-conditionnel</x:v>
      </x:c>
      <x:c r="B32" s="7" t="str">
        <x:v>Dialogue conditionnel</x:v>
      </x:c>
      <x:c r="C32" s="10" t="str">
        <x:v>Défini</x:v>
      </x:c>
      <x:c r="D32" s="11" t="str">
        <x:v>Sans objet</x:v>
      </x:c>
      <x:c r="E32" s="9" t="str">
        <x:v>P0</x:v>
      </x:c>
      <x:c r="F32" s="9" t="str">
        <x:v>ME1</x:v>
      </x:c>
      <x:c r="G32" s="9" t="str">
        <x:v>Adaptation</x:v>
      </x:c>
      <x:c r="H32" s="7" t="str">
        <x:v>Tester les seuils de persuasion.</x:v>
      </x:c>
      <x:c r="I32" s="7" t="str">
        <x:v>Options actives uniquement quand prérequis remplis.</x:v>
      </x:c>
      <x:c r="J32" s="7" t="str"/>
      <x:c r="K32" s="7" t="str">
        <x:v>tests/</x:v>
      </x:c>
      <x:c r="L32" s="7" t="str"/>
      <x:c r="M32" s="7" t="str"/>
      <x:c r="N32" s="7" t="str">
        <x:v>Décisions du fan game ; aucune prétention de canon officiel</x:v>
      </x:c>
      <x:c r="O32" s="7" t="str"/>
      <x:c r="P32" s="7" t="str">
        <x:v>Production ME1</x:v>
      </x:c>
      <x:c r="Q32" s="7" t="str">
        <x:v>Cas défini ; résultat non exécuté tant qu’aucune preuve de test n’est ajoutée.</x:v>
      </x:c>
    </x:row>
    <x:row r="33" ht="36" customHeight="1">
      <x:c r="A33" s="13" t="str">
        <x:v>QA-economie-negative</x:v>
      </x:c>
      <x:c r="B33" s="14" t="str">
        <x:v>Économie négative</x:v>
      </x:c>
      <x:c r="C33" s="10" t="str">
        <x:v>Défini</x:v>
      </x:c>
      <x:c r="D33" s="11" t="str">
        <x:v>Sans objet</x:v>
      </x:c>
      <x:c r="E33" s="15" t="str">
        <x:v>P0</x:v>
      </x:c>
      <x:c r="F33" s="15" t="str">
        <x:v>ME1</x:v>
      </x:c>
      <x:c r="G33" s="15" t="str">
        <x:v>Adaptation</x:v>
      </x:c>
      <x:c r="H33" s="14" t="str">
        <x:v>Acheter sans assez de crédits.</x:v>
      </x:c>
      <x:c r="I33" s="14" t="str">
        <x:v>Aucune transaction, aucune quantité négative.</x:v>
      </x:c>
      <x:c r="J33" s="14" t="str"/>
      <x:c r="K33" s="14" t="str">
        <x:v>tests/</x:v>
      </x:c>
      <x:c r="L33" s="14" t="str"/>
      <x:c r="M33" s="14" t="str"/>
      <x:c r="N33" s="14" t="str">
        <x:v>Décisions du fan game ; aucune prétention de canon officiel</x:v>
      </x:c>
      <x:c r="O33" s="14" t="str"/>
      <x:c r="P33" s="14" t="str">
        <x:v>Production ME1</x:v>
      </x:c>
      <x:c r="Q33" s="14" t="str">
        <x:v>Cas défini ; résultat non exécuté tant qu’aucune preuve de test n’est ajoutée.</x:v>
      </x:c>
    </x:row>
    <x:row r="34" ht="36" customHeight="1">
      <x:c r="A34" s="12" t="str">
        <x:v>QA-equipement-incompatible</x:v>
      </x:c>
      <x:c r="B34" s="7" t="str">
        <x:v>Équipement incompatible</x:v>
      </x:c>
      <x:c r="C34" s="10" t="str">
        <x:v>Défini</x:v>
      </x:c>
      <x:c r="D34" s="11" t="str">
        <x:v>Sans objet</x:v>
      </x:c>
      <x:c r="E34" s="9" t="str">
        <x:v>P0</x:v>
      </x:c>
      <x:c r="F34" s="9" t="str">
        <x:v>ME1</x:v>
      </x:c>
      <x:c r="G34" s="9" t="str">
        <x:v>Adaptation</x:v>
      </x:c>
      <x:c r="H34" s="7" t="str">
        <x:v>Équiper une armure d’une autre espèce.</x:v>
      </x:c>
      <x:c r="I34" s="7" t="str">
        <x:v>Refus avant modification de statistiques.</x:v>
      </x:c>
      <x:c r="J34" s="7" t="str"/>
      <x:c r="K34" s="7" t="str">
        <x:v>tests/</x:v>
      </x:c>
      <x:c r="L34" s="7" t="str"/>
      <x:c r="M34" s="7" t="str"/>
      <x:c r="N34" s="7" t="str">
        <x:v>Décisions du fan game ; aucune prétention de canon officiel</x:v>
      </x:c>
      <x:c r="O34" s="7" t="str"/>
      <x:c r="P34" s="7" t="str">
        <x:v>Production ME1</x:v>
      </x:c>
      <x:c r="Q34" s="7" t="str">
        <x:v>Cas défini ; résultat non exécuté tant qu’aucune preuve de test n’est ajoutée.</x:v>
      </x:c>
    </x:row>
    <x:row r="35" ht="36" customHeight="1">
      <x:c r="A35" s="13" t="str">
        <x:v>QA-butin-persistant</x:v>
      </x:c>
      <x:c r="B35" s="14" t="str">
        <x:v>Butin persistant</x:v>
      </x:c>
      <x:c r="C35" s="10" t="str">
        <x:v>Défini</x:v>
      </x:c>
      <x:c r="D35" s="11" t="str">
        <x:v>Sans objet</x:v>
      </x:c>
      <x:c r="E35" s="15" t="str">
        <x:v>P0</x:v>
      </x:c>
      <x:c r="F35" s="15" t="str">
        <x:v>ME1</x:v>
      </x:c>
      <x:c r="G35" s="15" t="str">
        <x:v>Adaptation</x:v>
      </x:c>
      <x:c r="H35" s="14" t="str">
        <x:v>Ouvrir un conteneur, sauvegarder et revenir.</x:v>
      </x:c>
      <x:c r="I35" s="14" t="str">
        <x:v>Conteneur toujours vide.</x:v>
      </x:c>
      <x:c r="J35" s="14" t="str"/>
      <x:c r="K35" s="14" t="str">
        <x:v>tests/</x:v>
      </x:c>
      <x:c r="L35" s="14" t="str"/>
      <x:c r="M35" s="14" t="str"/>
      <x:c r="N35" s="14" t="str">
        <x:v>Décisions du fan game ; aucune prétention de canon officiel</x:v>
      </x:c>
      <x:c r="O35" s="14" t="str"/>
      <x:c r="P35" s="14" t="str">
        <x:v>Production ME1</x:v>
      </x:c>
      <x:c r="Q35" s="14" t="str">
        <x:v>Cas défini ; résultat non exécuté tant qu’aucune preuve de test n’est ajoutée.</x:v>
      </x:c>
    </x:row>
    <x:row r="36" ht="36" customHeight="1">
      <x:c r="A36" s="12" t="str">
        <x:v>QA-quete-et-journal</x:v>
      </x:c>
      <x:c r="B36" s="7" t="str">
        <x:v>Quête et journal</x:v>
      </x:c>
      <x:c r="C36" s="10" t="str">
        <x:v>Défini</x:v>
      </x:c>
      <x:c r="D36" s="11" t="str">
        <x:v>Sans objet</x:v>
      </x:c>
      <x:c r="E36" s="9" t="str">
        <x:v>P0</x:v>
      </x:c>
      <x:c r="F36" s="9" t="str">
        <x:v>ME1</x:v>
      </x:c>
      <x:c r="G36" s="9" t="str">
        <x:v>Adaptation</x:v>
      </x:c>
      <x:c r="H36" s="7" t="str">
        <x:v>Terminer un objectif puis changer de zone.</x:v>
      </x:c>
      <x:c r="I36" s="7" t="str">
        <x:v>État cohérent dans journal, PNJ et carte.</x:v>
      </x:c>
      <x:c r="J36" s="7" t="str"/>
      <x:c r="K36" s="7" t="str">
        <x:v>tests/</x:v>
      </x:c>
      <x:c r="L36" s="7" t="str"/>
      <x:c r="M36" s="7" t="str"/>
      <x:c r="N36" s="7" t="str">
        <x:v>Décisions du fan game ; aucune prétention de canon officiel</x:v>
      </x:c>
      <x:c r="O36" s="7" t="str"/>
      <x:c r="P36" s="7" t="str">
        <x:v>Production ME1</x:v>
      </x:c>
      <x:c r="Q36" s="7" t="str">
        <x:v>Cas défini ; résultat non exécuté tant qu’aucune preuve de test n’est ajoutée.</x:v>
      </x:c>
    </x:row>
    <x:row r="37" ht="36" customHeight="1">
      <x:c r="A37" s="13" t="str">
        <x:v>QA-ordre-planetes</x:v>
      </x:c>
      <x:c r="B37" s="14" t="str">
        <x:v>Ordre planètes</x:v>
      </x:c>
      <x:c r="C37" s="10" t="str">
        <x:v>Défini</x:v>
      </x:c>
      <x:c r="D37" s="11" t="str">
        <x:v>Sans objet</x:v>
      </x:c>
      <x:c r="E37" s="15" t="str">
        <x:v>P0</x:v>
      </x:c>
      <x:c r="F37" s="15" t="str">
        <x:v>ME1</x:v>
      </x:c>
      <x:c r="G37" s="15" t="str">
        <x:v>Adaptation</x:v>
      </x:c>
      <x:c r="H37" s="14" t="str">
        <x:v>Changer l’ordre Therum, Feros et Noveria.</x:v>
      </x:c>
      <x:c r="I37" s="14" t="str">
        <x:v>Pas de dialogue supposant une mission non faite.</x:v>
      </x:c>
      <x:c r="J37" s="14" t="str"/>
      <x:c r="K37" s="14" t="str">
        <x:v>tests/</x:v>
      </x:c>
      <x:c r="L37" s="14" t="str"/>
      <x:c r="M37" s="14" t="str"/>
      <x:c r="N37" s="14" t="str">
        <x:v>Décisions du fan game ; aucune prétention de canon officiel</x:v>
      </x:c>
      <x:c r="O37" s="14" t="str"/>
      <x:c r="P37" s="14" t="str">
        <x:v>Production ME1</x:v>
      </x:c>
      <x:c r="Q37" s="14" t="str">
        <x:v>Cas défini ; résultat non exécuté tant qu’aucune preuve de test n’est ajoutée.</x:v>
      </x:c>
    </x:row>
    <x:row r="38" ht="36" customHeight="1">
      <x:c r="A38" s="12" t="str">
        <x:v>QA-liara-tardive</x:v>
      </x:c>
      <x:c r="B38" s="7" t="str">
        <x:v>Liara tardive</x:v>
      </x:c>
      <x:c r="C38" s="10" t="str">
        <x:v>Défini</x:v>
      </x:c>
      <x:c r="D38" s="11" t="str">
        <x:v>Sans objet</x:v>
      </x:c>
      <x:c r="E38" s="9" t="str">
        <x:v>P0</x:v>
      </x:c>
      <x:c r="F38" s="9" t="str">
        <x:v>ME1</x:v>
      </x:c>
      <x:c r="G38" s="9" t="str">
        <x:v>Adaptation</x:v>
      </x:c>
      <x:c r="H38" s="7" t="str">
        <x:v>Recruter Liara après plusieurs destinations.</x:v>
      </x:c>
      <x:c r="I38" s="7" t="str">
        <x:v>Réactions adaptées et aucune référence prématurée.</x:v>
      </x:c>
      <x:c r="J38" s="7" t="str"/>
      <x:c r="K38" s="7" t="str">
        <x:v>tests/</x:v>
      </x:c>
      <x:c r="L38" s="7" t="str"/>
      <x:c r="M38" s="7" t="str"/>
      <x:c r="N38" s="7" t="str">
        <x:v>Décisions du fan game ; aucune prétention de canon officiel</x:v>
      </x:c>
      <x:c r="O38" s="7" t="str"/>
      <x:c r="P38" s="7" t="str">
        <x:v>Production ME1</x:v>
      </x:c>
      <x:c r="Q38" s="7" t="str">
        <x:v>Cas défini ; résultat non exécuté tant qu’aucune preuve de test n’est ajoutée.</x:v>
      </x:c>
    </x:row>
    <x:row r="39" ht="36" customHeight="1">
      <x:c r="A39" s="13" t="str">
        <x:v>QA-source-de-costume</x:v>
      </x:c>
      <x:c r="B39" s="14" t="str">
        <x:v>Source de costume</x:v>
      </x:c>
      <x:c r="C39" s="10" t="str">
        <x:v>Défini</x:v>
      </x:c>
      <x:c r="D39" s="11" t="str">
        <x:v>Sans objet</x:v>
      </x:c>
      <x:c r="E39" s="15" t="str">
        <x:v>P0</x:v>
      </x:c>
      <x:c r="F39" s="15" t="str">
        <x:v>ME1</x:v>
      </x:c>
      <x:c r="G39" s="15" t="str">
        <x:v>Adaptation</x:v>
      </x:c>
      <x:c r="H39" s="14" t="str">
        <x:v>Comparer chaque tenue aux captures de son épisode.</x:v>
      </x:c>
      <x:c r="I39" s="14" t="str">
        <x:v>Aucune tenue de ME3 déclarée ME1 par erreur.</x:v>
      </x:c>
      <x:c r="J39" s="14" t="str"/>
      <x:c r="K39" s="14" t="str">
        <x:v>tests/</x:v>
      </x:c>
      <x:c r="L39" s="14" t="str"/>
      <x:c r="M39" s="14" t="str"/>
      <x:c r="N39" s="14" t="str">
        <x:v>Décisions du fan game ; aucune prétention de canon officiel</x:v>
      </x:c>
      <x:c r="O39" s="14" t="str"/>
      <x:c r="P39" s="14" t="str">
        <x:v>Production ME1</x:v>
      </x:c>
      <x:c r="Q39" s="14" t="str">
        <x:v>Cas défini ; résultat non exécuté tant qu’aucune preuve de test n’est ajoutée.</x:v>
      </x:c>
    </x:row>
    <x:row r="40" ht="36" customHeight="1">
      <x:c r="A40" s="12" t="str">
        <x:v>QA-normandy-sr-1</x:v>
      </x:c>
      <x:c r="B40" s="7" t="str">
        <x:v>Normandy SR-1</x:v>
      </x:c>
      <x:c r="C40" s="10" t="str">
        <x:v>Défini</x:v>
      </x:c>
      <x:c r="D40" s="11" t="str">
        <x:v>Sans objet</x:v>
      </x:c>
      <x:c r="E40" s="9" t="str">
        <x:v>P0</x:v>
      </x:c>
      <x:c r="F40" s="9" t="str">
        <x:v>ME1</x:v>
      </x:c>
      <x:c r="G40" s="9" t="str">
        <x:v>Adaptation</x:v>
      </x:c>
      <x:c r="H40" s="7" t="str">
        <x:v>Contrôler plan intérieur et coque.</x:v>
      </x:c>
      <x:c r="I40" s="7" t="str">
        <x:v>Aucun aquarium ou laboratoire SR-2 importé comme canon ME1.</x:v>
      </x:c>
      <x:c r="J40" s="7" t="str"/>
      <x:c r="K40" s="7" t="str">
        <x:v>tests/</x:v>
      </x:c>
      <x:c r="L40" s="7" t="str"/>
      <x:c r="M40" s="7" t="str"/>
      <x:c r="N40" s="7" t="str">
        <x:v>Décisions du fan game ; aucune prétention de canon officiel</x:v>
      </x:c>
      <x:c r="O40" s="7" t="str"/>
      <x:c r="P40" s="7" t="str">
        <x:v>Production ME1</x:v>
      </x:c>
      <x:c r="Q40" s="7" t="str">
        <x:v>Cas défini ; résultat non exécuté tant qu’aucune preuve de test n’est ajoutée.</x:v>
      </x:c>
    </x:row>
    <x:row r="41" ht="36" customHeight="1">
      <x:c r="A41" s="13" t="str">
        <x:v>QA-pouvoirs-par-episode</x:v>
      </x:c>
      <x:c r="B41" s="14" t="str">
        <x:v>Pouvoirs par épisode</x:v>
      </x:c>
      <x:c r="C41" s="10" t="str">
        <x:v>Défini</x:v>
      </x:c>
      <x:c r="D41" s="11" t="str">
        <x:v>Sans objet</x:v>
      </x:c>
      <x:c r="E41" s="15" t="str">
        <x:v>P0</x:v>
      </x:c>
      <x:c r="F41" s="15" t="str">
        <x:v>ME1</x:v>
      </x:c>
      <x:c r="G41" s="15" t="str">
        <x:v>Adaptation</x:v>
      </x:c>
      <x:c r="H41" s="14" t="str">
        <x:v>Inspecter tous les arbres de talents.</x:v>
      </x:c>
      <x:c r="I41" s="14" t="str">
        <x:v>Charge, Nova, camouflage et omni-lame hors ME1 par défaut.</x:v>
      </x:c>
      <x:c r="J41" s="14" t="str"/>
      <x:c r="K41" s="14" t="str">
        <x:v>tests/</x:v>
      </x:c>
      <x:c r="L41" s="14" t="str"/>
      <x:c r="M41" s="14" t="str"/>
      <x:c r="N41" s="14" t="str">
        <x:v>Décisions du fan game ; aucune prétention de canon officiel</x:v>
      </x:c>
      <x:c r="O41" s="14" t="str"/>
      <x:c r="P41" s="14" t="str">
        <x:v>Production ME1</x:v>
      </x:c>
      <x:c r="Q41" s="14" t="str">
        <x:v>Cas défini ; résultat non exécuté tant qu’aucune preuve de test n’est ajoutée.</x:v>
      </x:c>
    </x:row>
    <x:row r="42" ht="36" customHeight="1">
      <x:c r="A42" s="12" t="str">
        <x:v>QA-noms-francais</x:v>
      </x:c>
      <x:c r="B42" s="7" t="str">
        <x:v>Noms français</x:v>
      </x:c>
      <x:c r="C42" s="10" t="str">
        <x:v>Défini</x:v>
      </x:c>
      <x:c r="D42" s="11" t="str">
        <x:v>Sans objet</x:v>
      </x:c>
      <x:c r="E42" s="9" t="str">
        <x:v>P0</x:v>
      </x:c>
      <x:c r="F42" s="9" t="str">
        <x:v>ME1</x:v>
      </x:c>
      <x:c r="G42" s="9" t="str">
        <x:v>Adaptation</x:v>
      </x:c>
      <x:c r="H42" s="7" t="str">
        <x:v>Comparer noms de lieux et talents.</x:v>
      </x:c>
      <x:c r="I42" s="7" t="str">
        <x:v>Une nomenclature stable dans jeu et catalogue.</x:v>
      </x:c>
      <x:c r="J42" s="7" t="str"/>
      <x:c r="K42" s="7" t="str">
        <x:v>tests/</x:v>
      </x:c>
      <x:c r="L42" s="7" t="str"/>
      <x:c r="M42" s="7" t="str"/>
      <x:c r="N42" s="7" t="str">
        <x:v>Décisions du fan game ; aucune prétention de canon officiel</x:v>
      </x:c>
      <x:c r="O42" s="7" t="str"/>
      <x:c r="P42" s="7" t="str">
        <x:v>Production ME1</x:v>
      </x:c>
      <x:c r="Q42" s="7" t="str">
        <x:v>Cas défini ; résultat non exécuté tant qu’aucune preuve de test n’est ajoutée.</x:v>
      </x:c>
    </x:row>
    <x:row r="43" ht="36" customHeight="1">
      <x:c r="A43" s="13" t="str">
        <x:v>QA-rapport-de-tailles</x:v>
      </x:c>
      <x:c r="B43" s="14" t="str">
        <x:v>Rapport de tailles</x:v>
      </x:c>
      <x:c r="C43" s="10" t="str">
        <x:v>Défini</x:v>
      </x:c>
      <x:c r="D43" s="11" t="str">
        <x:v>Sans objet</x:v>
      </x:c>
      <x:c r="E43" s="15" t="str">
        <x:v>P0</x:v>
      </x:c>
      <x:c r="F43" s="15" t="str">
        <x:v>ME1</x:v>
      </x:c>
      <x:c r="G43" s="15" t="str">
        <x:v>Adaptation</x:v>
      </x:c>
      <x:c r="H43" s="14" t="str">
        <x:v>Comparer humain, turien, krogan, geth lourd et décor.</x:v>
      </x:c>
      <x:c r="I43" s="14" t="str">
        <x:v>Échelle cohérente avec les références disponibles.</x:v>
      </x:c>
      <x:c r="J43" s="14" t="str"/>
      <x:c r="K43" s="14" t="str">
        <x:v>tests/</x:v>
      </x:c>
      <x:c r="L43" s="14" t="str"/>
      <x:c r="M43" s="14" t="str"/>
      <x:c r="N43" s="14" t="str">
        <x:v>Décisions du fan game ; aucune prétention de canon officiel</x:v>
      </x:c>
      <x:c r="O43" s="14" t="str"/>
      <x:c r="P43" s="14" t="str">
        <x:v>Production ME1</x:v>
      </x:c>
      <x:c r="Q43" s="14" t="str">
        <x:v>Cas défini ; résultat non exécuté tant qu’aucune preuve de test n’est ajoutée.</x:v>
      </x:c>
    </x:row>
    <x:row r="44" ht="36" customHeight="1">
      <x:c r="A44" s="12" t="str">
        <x:v>QA-transparence-sprite</x:v>
      </x:c>
      <x:c r="B44" s="7" t="str">
        <x:v>Transparence sprite</x:v>
      </x:c>
      <x:c r="C44" s="10" t="str">
        <x:v>Défini</x:v>
      </x:c>
      <x:c r="D44" s="11" t="str">
        <x:v>Sans objet</x:v>
      </x:c>
      <x:c r="E44" s="9" t="str">
        <x:v>P0</x:v>
      </x:c>
      <x:c r="F44" s="9" t="str">
        <x:v>ME1</x:v>
      </x:c>
      <x:c r="G44" s="9" t="str">
        <x:v>Adaptation</x:v>
      </x:c>
      <x:c r="H44" s="7" t="str">
        <x:v>Inspecter contours sur fond clair et sombre.</x:v>
      </x:c>
      <x:c r="I44" s="7" t="str">
        <x:v>Pas de halo ni de pixels isolés.</x:v>
      </x:c>
      <x:c r="J44" s="7" t="str"/>
      <x:c r="K44" s="7" t="str">
        <x:v>tests/</x:v>
      </x:c>
      <x:c r="L44" s="7" t="str"/>
      <x:c r="M44" s="7" t="str"/>
      <x:c r="N44" s="7" t="str">
        <x:v>Décisions du fan game ; aucune prétention de canon officiel</x:v>
      </x:c>
      <x:c r="O44" s="7" t="str"/>
      <x:c r="P44" s="7" t="str">
        <x:v>Production ME1</x:v>
      </x:c>
      <x:c r="Q44" s="7" t="str">
        <x:v>Cas défini ; résultat non exécuté tant qu’aucune preuve de test n’est ajoutée.</x:v>
      </x:c>
    </x:row>
    <x:row r="45" ht="36" customHeight="1">
      <x:c r="A45" s="13" t="str">
        <x:v>QA-synchronisation-flash</x:v>
      </x:c>
      <x:c r="B45" s="14" t="str">
        <x:v>Synchronisation flash</x:v>
      </x:c>
      <x:c r="C45" s="10" t="str">
        <x:v>Défini</x:v>
      </x:c>
      <x:c r="D45" s="11" t="str">
        <x:v>Sans objet</x:v>
      </x:c>
      <x:c r="E45" s="15" t="str">
        <x:v>P0</x:v>
      </x:c>
      <x:c r="F45" s="15" t="str">
        <x:v>ME1</x:v>
      </x:c>
      <x:c r="G45" s="15" t="str">
        <x:v>Adaptation</x:v>
      </x:c>
      <x:c r="H45" s="14" t="str">
        <x:v>Observer tir et impact image par image.</x:v>
      </x:c>
      <x:c r="I45" s="14" t="str">
        <x:v>Origine et instant cohérents.</x:v>
      </x:c>
      <x:c r="J45" s="14" t="str"/>
      <x:c r="K45" s="14" t="str">
        <x:v>tests/</x:v>
      </x:c>
      <x:c r="L45" s="14" t="str"/>
      <x:c r="M45" s="14" t="str"/>
      <x:c r="N45" s="14" t="str">
        <x:v>Décisions du fan game ; aucune prétention de canon officiel</x:v>
      </x:c>
      <x:c r="O45" s="14" t="str"/>
      <x:c r="P45" s="14" t="str">
        <x:v>Production ME1</x:v>
      </x:c>
      <x:c r="Q45" s="14" t="str">
        <x:v>Cas défini ; résultat non exécuté tant qu’aucune preuve de test n’est ajoutée.</x:v>
      </x:c>
    </x:row>
    <x:row r="46" ht="36" customHeight="1">
      <x:c r="A46" s="12" t="str">
        <x:v>QA-changement-d-arme</x:v>
      </x:c>
      <x:c r="B46" s="7" t="str">
        <x:v>Changement d’arme</x:v>
      </x:c>
      <x:c r="C46" s="10" t="str">
        <x:v>Défini</x:v>
      </x:c>
      <x:c r="D46" s="11" t="str">
        <x:v>Sans objet</x:v>
      </x:c>
      <x:c r="E46" s="9" t="str">
        <x:v>P0</x:v>
      </x:c>
      <x:c r="F46" s="9" t="str">
        <x:v>ME1</x:v>
      </x:c>
      <x:c r="G46" s="9" t="str">
        <x:v>Adaptation</x:v>
      </x:c>
      <x:c r="H46" s="7" t="str">
        <x:v>Remplacer une arme pendant les états autorisés.</x:v>
      </x:c>
      <x:c r="I46" s="7" t="str">
        <x:v>Sprite et statistiques changent ensemble.</x:v>
      </x:c>
      <x:c r="J46" s="7" t="str"/>
      <x:c r="K46" s="7" t="str">
        <x:v>tests/</x:v>
      </x:c>
      <x:c r="L46" s="7" t="str"/>
      <x:c r="M46" s="7" t="str"/>
      <x:c r="N46" s="7" t="str">
        <x:v>Décisions du fan game ; aucune prétention de canon officiel</x:v>
      </x:c>
      <x:c r="O46" s="7" t="str"/>
      <x:c r="P46" s="7" t="str">
        <x:v>Production ME1</x:v>
      </x:c>
      <x:c r="Q46" s="7" t="str">
        <x:v>Cas défini ; résultat non exécuté tant qu’aucune preuve de test n’est ajoutée.</x:v>
      </x:c>
    </x:row>
    <x:row r="47" ht="36" customHeight="1">
      <x:c r="A47" s="13" t="str">
        <x:v>QA-sous-titres-longs</x:v>
      </x:c>
      <x:c r="B47" s="14" t="str">
        <x:v>Sous-titres longs</x:v>
      </x:c>
      <x:c r="C47" s="10" t="str">
        <x:v>Défini</x:v>
      </x:c>
      <x:c r="D47" s="11" t="str">
        <x:v>Sans objet</x:v>
      </x:c>
      <x:c r="E47" s="15" t="str">
        <x:v>P0</x:v>
      </x:c>
      <x:c r="F47" s="15" t="str">
        <x:v>ME1</x:v>
      </x:c>
      <x:c r="G47" s="15" t="str">
        <x:v>Adaptation</x:v>
      </x:c>
      <x:c r="H47" s="14" t="str">
        <x:v>Tester textes longs avec noms et accents.</x:v>
      </x:c>
      <x:c r="I47" s="14" t="str">
        <x:v>Aucun texte coupé ni bouton inaccessible.</x:v>
      </x:c>
      <x:c r="J47" s="14" t="str"/>
      <x:c r="K47" s="14" t="str">
        <x:v>tests/</x:v>
      </x:c>
      <x:c r="L47" s="14" t="str"/>
      <x:c r="M47" s="14" t="str"/>
      <x:c r="N47" s="14" t="str">
        <x:v>Décisions du fan game ; aucune prétention de canon officiel</x:v>
      </x:c>
      <x:c r="O47" s="14" t="str"/>
      <x:c r="P47" s="14" t="str">
        <x:v>Production ME1</x:v>
      </x:c>
      <x:c r="Q47" s="14" t="str">
        <x:v>Cas défini ; résultat non exécuté tant qu’aucune preuve de test n’est ajoutée.</x:v>
      </x:c>
    </x:row>
    <x:row r="48" ht="36" customHeight="1">
      <x:c r="A48" s="12" t="str">
        <x:v>QA-fenetre-reduite</x:v>
      </x:c>
      <x:c r="B48" s="7" t="str">
        <x:v>Fenêtre réduite</x:v>
      </x:c>
      <x:c r="C48" s="10" t="str">
        <x:v>Défini</x:v>
      </x:c>
      <x:c r="D48" s="11" t="str">
        <x:v>Sans objet</x:v>
      </x:c>
      <x:c r="E48" s="9" t="str">
        <x:v>P0</x:v>
      </x:c>
      <x:c r="F48" s="9" t="str">
        <x:v>ME1</x:v>
      </x:c>
      <x:c r="G48" s="9" t="str">
        <x:v>Adaptation</x:v>
      </x:c>
      <x:c r="H48" s="7" t="str">
        <x:v>Tester 1280×720 et mise à l’échelle.</x:v>
      </x:c>
      <x:c r="I48" s="7" t="str">
        <x:v>HUD, menus et cible restent accessibles.</x:v>
      </x:c>
      <x:c r="J48" s="7" t="str"/>
      <x:c r="K48" s="7" t="str">
        <x:v>tests/</x:v>
      </x:c>
      <x:c r="L48" s="7" t="str"/>
      <x:c r="M48" s="7" t="str"/>
      <x:c r="N48" s="7" t="str">
        <x:v>Décisions du fan game ; aucune prétention de canon officiel</x:v>
      </x:c>
      <x:c r="O48" s="7" t="str"/>
      <x:c r="P48" s="7" t="str">
        <x:v>Production ME1</x:v>
      </x:c>
      <x:c r="Q48" s="7" t="str">
        <x:v>Cas défini ; résultat non exécuté tant qu’aucune preuve de test n’est ajoutée.</x:v>
      </x:c>
    </x:row>
    <x:row r="49" ht="36" customHeight="1">
      <x:c r="A49" s="13" t="str">
        <x:v>QA-grand-ecran</x:v>
      </x:c>
      <x:c r="B49" s="14" t="str">
        <x:v>Grand écran</x:v>
      </x:c>
      <x:c r="C49" s="10" t="str">
        <x:v>Défini</x:v>
      </x:c>
      <x:c r="D49" s="11" t="str">
        <x:v>Sans objet</x:v>
      </x:c>
      <x:c r="E49" s="15" t="str">
        <x:v>P0</x:v>
      </x:c>
      <x:c r="F49" s="15" t="str">
        <x:v>ME1</x:v>
      </x:c>
      <x:c r="G49" s="15" t="str">
        <x:v>Adaptation</x:v>
      </x:c>
      <x:c r="H49" s="14" t="str">
        <x:v>Tester 1920×1080 et 2560×1440.</x:v>
      </x:c>
      <x:c r="I49" s="14" t="str">
        <x:v>Décors remplissent la fenêtre sans sprites étirés.</x:v>
      </x:c>
      <x:c r="J49" s="14" t="str"/>
      <x:c r="K49" s="14" t="str">
        <x:v>tests/</x:v>
      </x:c>
      <x:c r="L49" s="14" t="str"/>
      <x:c r="M49" s="14" t="str"/>
      <x:c r="N49" s="14" t="str">
        <x:v>Décisions du fan game ; aucune prétention de canon officiel</x:v>
      </x:c>
      <x:c r="O49" s="14" t="str"/>
      <x:c r="P49" s="14" t="str">
        <x:v>Production ME1</x:v>
      </x:c>
      <x:c r="Q49" s="14" t="str">
        <x:v>Cas défini ; résultat non exécuté tant qu’aucune preuve de test n’est ajoutée.</x:v>
      </x:c>
    </x:row>
    <x:row r="50" ht="36" customHeight="1">
      <x:c r="A50" s="12" t="str">
        <x:v>QA-cadence-variable</x:v>
      </x:c>
      <x:c r="B50" s="7" t="str">
        <x:v>Cadence variable</x:v>
      </x:c>
      <x:c r="C50" s="10" t="str">
        <x:v>Défini</x:v>
      </x:c>
      <x:c r="D50" s="11" t="str">
        <x:v>Sans objet</x:v>
      </x:c>
      <x:c r="E50" s="9" t="str">
        <x:v>P0</x:v>
      </x:c>
      <x:c r="F50" s="9" t="str">
        <x:v>ME1</x:v>
      </x:c>
      <x:c r="G50" s="9" t="str">
        <x:v>Adaptation</x:v>
      </x:c>
      <x:c r="H50" s="7" t="str">
        <x:v>Comparer 30, 60 et 120 images par seconde.</x:v>
      </x:c>
      <x:c r="I50" s="7" t="str">
        <x:v>ATB et déplacements conservent leur vitesse.</x:v>
      </x:c>
      <x:c r="J50" s="7" t="str"/>
      <x:c r="K50" s="7" t="str">
        <x:v>tests/</x:v>
      </x:c>
      <x:c r="L50" s="7" t="str"/>
      <x:c r="M50" s="7" t="str"/>
      <x:c r="N50" s="7" t="str">
        <x:v>Décisions du fan game ; aucune prétention de canon officiel</x:v>
      </x:c>
      <x:c r="O50" s="7" t="str"/>
      <x:c r="P50" s="7" t="str">
        <x:v>Production ME1</x:v>
      </x:c>
      <x:c r="Q50" s="7" t="str">
        <x:v>Cas défini ; résultat non exécuté tant qu’aucune preuve de test n’est ajoutée.</x:v>
      </x:c>
    </x:row>
    <x:row r="51" ht="36" customHeight="1">
      <x:c r="A51" s="13" t="str">
        <x:v>QA-perte-du-focus</x:v>
      </x:c>
      <x:c r="B51" s="14" t="str">
        <x:v>Perte du focus</x:v>
      </x:c>
      <x:c r="C51" s="10" t="str">
        <x:v>Défini</x:v>
      </x:c>
      <x:c r="D51" s="11" t="str">
        <x:v>Sans objet</x:v>
      </x:c>
      <x:c r="E51" s="15" t="str">
        <x:v>P0</x:v>
      </x:c>
      <x:c r="F51" s="15" t="str">
        <x:v>ME1</x:v>
      </x:c>
      <x:c r="G51" s="15" t="str">
        <x:v>Adaptation</x:v>
      </x:c>
      <x:c r="H51" s="14" t="str">
        <x:v>Quitter puis reprendre la fenêtre.</x:v>
      </x:c>
      <x:c r="I51" s="14" t="str">
        <x:v>Pas de jauge ou mouvement accumulé inattendu.</x:v>
      </x:c>
      <x:c r="J51" s="14" t="str"/>
      <x:c r="K51" s="14" t="str">
        <x:v>tests/</x:v>
      </x:c>
      <x:c r="L51" s="14" t="str"/>
      <x:c r="M51" s="14" t="str"/>
      <x:c r="N51" s="14" t="str">
        <x:v>Décisions du fan game ; aucune prétention de canon officiel</x:v>
      </x:c>
      <x:c r="O51" s="14" t="str"/>
      <x:c r="P51" s="14" t="str">
        <x:v>Production ME1</x:v>
      </x:c>
      <x:c r="Q51" s="14" t="str">
        <x:v>Cas défini ; résultat non exécuté tant qu’aucune preuve de test n’est ajoutée.</x:v>
      </x:c>
    </x:row>
    <x:row r="52" ht="36" customHeight="1">
      <x:c r="A52" s="12" t="str">
        <x:v>QA-audio-muet</x:v>
      </x:c>
      <x:c r="B52" s="7" t="str">
        <x:v>Audio muet</x:v>
      </x:c>
      <x:c r="C52" s="10" t="str">
        <x:v>Défini</x:v>
      </x:c>
      <x:c r="D52" s="11" t="str">
        <x:v>Sans objet</x:v>
      </x:c>
      <x:c r="E52" s="9" t="str">
        <x:v>P0</x:v>
      </x:c>
      <x:c r="F52" s="9" t="str">
        <x:v>ME1</x:v>
      </x:c>
      <x:c r="G52" s="9" t="str">
        <x:v>Adaptation</x:v>
      </x:c>
      <x:c r="H52" s="7" t="str">
        <x:v>Jouer avec le son coupé.</x:v>
      </x:c>
      <x:c r="I52" s="7" t="str">
        <x:v>Alertes et dialogues restent compréhensibles.</x:v>
      </x:c>
      <x:c r="J52" s="7" t="str"/>
      <x:c r="K52" s="7" t="str">
        <x:v>tests/</x:v>
      </x:c>
      <x:c r="L52" s="7" t="str"/>
      <x:c r="M52" s="7" t="str"/>
      <x:c r="N52" s="7" t="str">
        <x:v>Décisions du fan game ; aucune prétention de canon officiel</x:v>
      </x:c>
      <x:c r="O52" s="7" t="str"/>
      <x:c r="P52" s="7" t="str">
        <x:v>Production ME1</x:v>
      </x:c>
      <x:c r="Q52" s="7" t="str">
        <x:v>Cas défini ; résultat non exécuté tant qu’aucune preuve de test n’est ajoutée.</x:v>
      </x:c>
    </x:row>
    <x:row r="53" ht="36" customHeight="1">
      <x:c r="A53" s="13" t="str">
        <x:v>QA-reduction-des-flashs</x:v>
      </x:c>
      <x:c r="B53" s="14" t="str">
        <x:v>Réduction des flashs</x:v>
      </x:c>
      <x:c r="C53" s="10" t="str">
        <x:v>Défini</x:v>
      </x:c>
      <x:c r="D53" s="11" t="str">
        <x:v>Sans objet</x:v>
      </x:c>
      <x:c r="E53" s="15" t="str">
        <x:v>P0</x:v>
      </x:c>
      <x:c r="F53" s="15" t="str">
        <x:v>ME1</x:v>
      </x:c>
      <x:c r="G53" s="15" t="str">
        <x:v>Adaptation</x:v>
      </x:c>
      <x:c r="H53" s="14" t="str">
        <x:v>Activer le réglage accessible.</x:v>
      </x:c>
      <x:c r="I53" s="14" t="str">
        <x:v>Événements restent identifiables.</x:v>
      </x:c>
      <x:c r="J53" s="14" t="str"/>
      <x:c r="K53" s="14" t="str">
        <x:v>tests/</x:v>
      </x:c>
      <x:c r="L53" s="14" t="str"/>
      <x:c r="M53" s="14" t="str"/>
      <x:c r="N53" s="14" t="str">
        <x:v>Décisions du fan game ; aucune prétention de canon officiel</x:v>
      </x:c>
      <x:c r="O53" s="14" t="str"/>
      <x:c r="P53" s="14" t="str">
        <x:v>Production ME1</x:v>
      </x:c>
      <x:c r="Q53" s="14" t="str">
        <x:v>Cas défini ; résultat non exécuté tant qu’aucune preuve de test n’est ajoutée.</x:v>
      </x:c>
    </x:row>
    <x:row r="54" ht="36" customHeight="1">
      <x:c r="A54" s="12" t="str">
        <x:v>QA-import-du-catalogue</x:v>
      </x:c>
      <x:c r="B54" s="7" t="str">
        <x:v>Import du catalogue</x:v>
      </x:c>
      <x:c r="C54" s="10" t="str">
        <x:v>Défini</x:v>
      </x:c>
      <x:c r="D54" s="11" t="str">
        <x:v>Sans objet</x:v>
      </x:c>
      <x:c r="E54" s="9" t="str">
        <x:v>P0</x:v>
      </x:c>
      <x:c r="F54" s="9" t="str">
        <x:v>ME1</x:v>
      </x:c>
      <x:c r="G54" s="9" t="str">
        <x:v>Adaptation</x:v>
      </x:c>
      <x:c r="H54" s="7" t="str">
        <x:v>Charger tous les IDs de production.</x:v>
      </x:c>
      <x:c r="I54" s="7" t="str">
        <x:v>Catégories et compteurs exacts, aucun ID dupliqué.</x:v>
      </x:c>
      <x:c r="J54" s="7" t="str"/>
      <x:c r="K54" s="7" t="str">
        <x:v>tests/</x:v>
      </x:c>
      <x:c r="L54" s="7" t="str"/>
      <x:c r="M54" s="7" t="str"/>
      <x:c r="N54" s="7" t="str">
        <x:v>Décisions du fan game ; aucune prétention de canon officiel</x:v>
      </x:c>
      <x:c r="O54" s="7" t="str"/>
      <x:c r="P54" s="7" t="str">
        <x:v>Production ME1</x:v>
      </x:c>
      <x:c r="Q54" s="7" t="str">
        <x:v>Cas défini ; résultat non exécuté tant qu’aucune preuve de test n’est ajoutée.</x:v>
      </x:c>
    </x:row>
    <x:row r="55" ht="36" customHeight="1">
      <x:c r="A55" s="13" t="str">
        <x:v>QA-statut-de-production</x:v>
      </x:c>
      <x:c r="B55" s="14" t="str">
        <x:v>Statut de production</x:v>
      </x:c>
      <x:c r="C55" s="10" t="str">
        <x:v>Défini</x:v>
      </x:c>
      <x:c r="D55" s="11" t="str">
        <x:v>Sans objet</x:v>
      </x:c>
      <x:c r="E55" s="15" t="str">
        <x:v>P0</x:v>
      </x:c>
      <x:c r="F55" s="15" t="str">
        <x:v>ME1</x:v>
      </x:c>
      <x:c r="G55" s="15" t="str">
        <x:v>Adaptation</x:v>
      </x:c>
      <x:c r="H55" s="14" t="str">
        <x:v>Comparer les mentions Intégré et les chemins.</x:v>
      </x:c>
      <x:c r="I55" s="14" t="str">
        <x:v>Chaque statut possède une preuve locale réelle.</x:v>
      </x:c>
      <x:c r="J55" s="14" t="str"/>
      <x:c r="K55" s="14" t="str">
        <x:v>tests/</x:v>
      </x:c>
      <x:c r="L55" s="14" t="str"/>
      <x:c r="M55" s="14" t="str"/>
      <x:c r="N55" s="14" t="str">
        <x:v>Décisions du fan game ; aucune prétention de canon officiel</x:v>
      </x:c>
      <x:c r="O55" s="14" t="str"/>
      <x:c r="P55" s="14" t="str">
        <x:v>Production ME1</x:v>
      </x:c>
      <x:c r="Q55" s="14" t="str">
        <x:v>Cas défini ; résultat non exécuté tant qu’aucune preuve de test n’est ajoutée.</x:v>
      </x:c>
    </x:row>
    <x:row r="56" ht="36" customHeight="1">
      <x:c r="A56" s="12" t="str">
        <x:v>QA-classeur-edite</x:v>
      </x:c>
      <x:c r="B56" s="7" t="str">
        <x:v>Classeur édité</x:v>
      </x:c>
      <x:c r="C56" s="10" t="str">
        <x:v>Défini</x:v>
      </x:c>
      <x:c r="D56" s="11" t="str">
        <x:v>Sans objet</x:v>
      </x:c>
      <x:c r="E56" s="9" t="str">
        <x:v>P0</x:v>
      </x:c>
      <x:c r="F56" s="9" t="str">
        <x:v>ME1</x:v>
      </x:c>
      <x:c r="G56" s="9" t="str">
        <x:v>Adaptation</x:v>
      </x:c>
      <x:c r="H56" s="7" t="str">
        <x:v>Changer un statut dans une feuille.</x:v>
      </x:c>
      <x:c r="I56" s="7" t="str">
        <x:v>Dashboard se recalcule avec le nouveau compte.</x:v>
      </x:c>
      <x:c r="J56" s="7" t="str"/>
      <x:c r="K56" s="7" t="str">
        <x:v>tests/</x:v>
      </x:c>
      <x:c r="L56" s="7" t="str"/>
      <x:c r="M56" s="7" t="str"/>
      <x:c r="N56" s="7" t="str">
        <x:v>Décisions du fan game ; aucune prétention de canon officiel</x:v>
      </x:c>
      <x:c r="O56" s="7" t="str"/>
      <x:c r="P56" s="7" t="str">
        <x:v>Production ME1</x:v>
      </x:c>
      <x:c r="Q56" s="7" t="str">
        <x:v>Cas défini ; résultat non exécuté tant qu’aucune preuve de test n’est ajoutée.</x:v>
      </x:c>
    </x:row>
    <x:row r="57" ht="36" customHeight="1">
      <x:c r="A57" s="13" t="str">
        <x:v>QA-regression-extension</x:v>
      </x:c>
      <x:c r="B57" s="14" t="str">
        <x:v>Régression extension</x:v>
      </x:c>
      <x:c r="C57" s="10" t="str">
        <x:v>Défini</x:v>
      </x:c>
      <x:c r="D57" s="11" t="str">
        <x:v>Sans objet</x:v>
      </x:c>
      <x:c r="E57" s="15" t="str">
        <x:v>P0</x:v>
      </x:c>
      <x:c r="F57" s="15" t="str">
        <x:v>ME1</x:v>
      </x:c>
      <x:c r="G57" s="15" t="str">
        <x:v>Adaptation</x:v>
      </x:c>
      <x:c r="H57" s="14" t="str">
        <x:v>Activer un contenu futur ME2 expérimental.</x:v>
      </x:c>
      <x:c r="I57" s="14" t="str">
        <x:v>Aucune modification des règles ME1 sans choix explicite.</x:v>
      </x:c>
      <x:c r="J57" s="14" t="str"/>
      <x:c r="K57" s="14" t="str">
        <x:v>tests/</x:v>
      </x:c>
      <x:c r="L57" s="14" t="str"/>
      <x:c r="M57" s="14" t="str"/>
      <x:c r="N57" s="14" t="str">
        <x:v>Décisions du fan game ; aucune prétention de canon officiel</x:v>
      </x:c>
      <x:c r="O57" s="14" t="str"/>
      <x:c r="P57" s="14" t="str">
        <x:v>Production ME1</x:v>
      </x:c>
      <x:c r="Q57" s="14" t="str">
        <x:v>Cas défini ; résultat non exécuté tant qu’aucune preuve de test n’est ajoutée.</x:v>
      </x:c>
    </x:row>
    <x:row r="58" ht="36" customHeight="1">
      <x:c r="A58" s="12" t="str">
        <x:v>QA-export-final</x:v>
      </x:c>
      <x:c r="B58" s="7" t="str">
        <x:v>Export final</x:v>
      </x:c>
      <x:c r="C58" s="10" t="str">
        <x:v>Défini</x:v>
      </x:c>
      <x:c r="D58" s="11" t="str">
        <x:v>Sans objet</x:v>
      </x:c>
      <x:c r="E58" s="9" t="str">
        <x:v>P0</x:v>
      </x:c>
      <x:c r="F58" s="9" t="str">
        <x:v>ME1</x:v>
      </x:c>
      <x:c r="G58" s="9" t="str">
        <x:v>Adaptation</x:v>
      </x:c>
      <x:c r="H58" s="7" t="str">
        <x:v>Créer l’état de fin de campagne.</x:v>
      </x:c>
      <x:c r="I58" s="7" t="str">
        <x:v>Tous les choix requis sont présents et versionnés.</x:v>
      </x:c>
      <x:c r="J58" s="7" t="str"/>
      <x:c r="K58" s="7" t="str">
        <x:v>tests/</x:v>
      </x:c>
      <x:c r="L58" s="7" t="str"/>
      <x:c r="M58" s="7" t="str"/>
      <x:c r="N58" s="7" t="str">
        <x:v>Décisions du fan game ; aucune prétention de canon officiel</x:v>
      </x:c>
      <x:c r="O58" s="7" t="str"/>
      <x:c r="P58" s="7" t="str">
        <x:v>Production ME1</x:v>
      </x:c>
      <x:c r="Q58" s="7" t="str">
        <x:v>Cas défini ; résultat non exécuté tant qu’aucune preuve de test n’est ajoutée.</x:v>
      </x:c>
    </x:row>
    <x:row r="59" ht="49" customHeight="1">
      <x:c r="A59" s="13" t="str">
        <x:v>CUST-QA-draft-pure</x:v>
      </x:c>
      <x:c r="B59" s="14" t="str">
        <x:v>QA — aperçu sans mutation</x:v>
      </x:c>
      <x:c r="C59" s="10" t="str">
        <x:v>Prototype</x:v>
      </x:c>
      <x:c r="D59" s="11" t="str">
        <x:v>Prototype</x:v>
      </x:c>
      <x:c r="E59" s="15" t="str">
        <x:v>P0</x:v>
      </x:c>
      <x:c r="F59" s="15" t="str">
        <x:v>ME1</x:v>
      </x:c>
      <x:c r="G59" s="15" t="str">
        <x:v>Adaptation</x:v>
      </x:c>
      <x:c r="H59" s="14" t="str">
        <x:v>Consulter plusieurs pièces et modifier les options du brouillon, puis comparer la partie et les stocks avant validation.</x:v>
      </x:c>
      <x:c r="I59" s="14" t="str">
        <x:v>La consultation ne modifie ni la partie, ni le brouillon, ni les quantités. Pour une pièce, seule la préparation modifie la dotation du brouillon. La partie reste intacte jusqu’à Appliquer.</x:v>
      </x:c>
      <x:c r="J59" s="14" t="str">
        <x:v>CUST-SYS-draft</x:v>
      </x:c>
      <x:c r="K59" s="14" t="str">
        <x:v>tests/customization.test.js</x:v>
      </x:c>
      <x:c r="L59" s="14" t="str">
        <x:v>tests/customization.test.js</x:v>
      </x:c>
      <x:c r="M59" s="14" t="str">
        <x:v>customization:QA-draft-pure</x:v>
      </x:c>
      <x:c r="N59" s="14" t="str">
        <x:v>Atelier de Relay Chronicles. Interface et réglages propres au fan game ; contrôle de fidélité distinct.</x:v>
      </x:c>
      <x:c r="O59" s="14" t="str"/>
      <x:c r="P59" s="14" t="str">
        <x:v>Production ME1</x:v>
      </x:c>
      <x:c r="Q59" s="14" t="str">
        <x:v>Vérifier les refus de stock/compatibilité et la restitution projetée des modules : docs/qa/customization-comparison-report.json. L’aperçu seul ne réserve aucun objet.</x:v>
      </x:c>
    </x:row>
    <x:row r="60" ht="49" customHeight="1">
      <x:c r="A60" s="12" t="str">
        <x:v>CUST-QA-cancel</x:v>
      </x:c>
      <x:c r="B60" s="7" t="str">
        <x:v>QA — annulation complète</x:v>
      </x:c>
      <x:c r="C60" s="10" t="str">
        <x:v>Prototype</x:v>
      </x:c>
      <x:c r="D60" s="11" t="str">
        <x:v>Prototype</x:v>
      </x:c>
      <x:c r="E60" s="9" t="str">
        <x:v>P0</x:v>
      </x:c>
      <x:c r="F60" s="9" t="str">
        <x:v>ME1</x:v>
      </x:c>
      <x:c r="G60" s="9" t="str">
        <x:v>Adaptation</x:v>
      </x:c>
      <x:c r="H60" s="7" t="str">
        <x:v>Modifier l’apparence, l’armure, l’arme et les modules puis annuler depuis l’atelier.</x:v>
      </x:c>
      <x:c r="I60" s="7" t="str">
        <x:v>La configuration antérieure reste affichée après fermeture et réouverture.</x:v>
      </x:c>
      <x:c r="J60" s="7" t="str">
        <x:v>CUST-SYS-cancel</x:v>
      </x:c>
      <x:c r="K60" s="7" t="str">
        <x:v>scripts/customization-browser.mjs</x:v>
      </x:c>
      <x:c r="L60" s="7" t="str">
        <x:v>scripts/customization-browser.mjs</x:v>
      </x:c>
      <x:c r="M60" s="7" t="str">
        <x:v>customization:QA-cancel</x:v>
      </x:c>
      <x:c r="N60" s="7" t="str">
        <x:v>Atelier de Relay Chronicles. Interface et réglages propres au fan game ; contrôle de fidélité distinct.</x:v>
      </x:c>
      <x:c r="O60" s="7" t="str"/>
      <x:c r="P60" s="7" t="str">
        <x:v>Production ME1</x:v>
      </x:c>
      <x:c r="Q60" s="7" t="str">
        <x:v>Scénario à vérifier avec les rapports de la version 0.3.0. La présence du test ne suffit pas à déclarer la fonctionnalité terminée.</x:v>
      </x:c>
    </x:row>
    <x:row r="61" ht="49" customHeight="1">
      <x:c r="A61" s="13" t="str">
        <x:v>CUST-QA-apply</x:v>
      </x:c>
      <x:c r="B61" s="14" t="str">
        <x:v>QA — validation d’une configuration</x:v>
      </x:c>
      <x:c r="C61" s="10" t="str">
        <x:v>Prototype</x:v>
      </x:c>
      <x:c r="D61" s="11" t="str">
        <x:v>Prototype</x:v>
      </x:c>
      <x:c r="E61" s="15" t="str">
        <x:v>P0</x:v>
      </x:c>
      <x:c r="F61" s="15" t="str">
        <x:v>ME1</x:v>
      </x:c>
      <x:c r="G61" s="15" t="str">
        <x:v>Adaptation</x:v>
      </x:c>
      <x:c r="H61" s="14" t="str">
        <x:v>Valider une configuration cohérente et relire l’acteur équipé.</x:v>
      </x:c>
      <x:c r="I61" s="14" t="str">
        <x:v>Toutes les modifications sont appliquées ensemble sans altérer crédits, quêtes ni XP.</x:v>
      </x:c>
      <x:c r="J61" s="14" t="str">
        <x:v>CUST-SYS-atomic</x:v>
      </x:c>
      <x:c r="K61" s="14" t="str">
        <x:v>tests/customization.test.js</x:v>
      </x:c>
      <x:c r="L61" s="14" t="str">
        <x:v>tests/customization.test.js</x:v>
      </x:c>
      <x:c r="M61" s="14" t="str">
        <x:v>customization:QA-apply</x:v>
      </x:c>
      <x:c r="N61" s="14" t="str">
        <x:v>Atelier de Relay Chronicles. Interface et réglages propres au fan game ; contrôle de fidélité distinct.</x:v>
      </x:c>
      <x:c r="O61" s="14" t="str"/>
      <x:c r="P61" s="14" t="str">
        <x:v>Production ME1</x:v>
      </x:c>
      <x:c r="Q61" s="14" t="str">
        <x:v>Scénario à vérifier avec les rapports de la version 0.3.0. La présence du test ne suffit pas à déclarer la fonctionnalité terminée.</x:v>
      </x:c>
    </x:row>
    <x:row r="62" ht="49" customHeight="1">
      <x:c r="A62" s="12" t="str">
        <x:v>CUST-QA-failure</x:v>
      </x:c>
      <x:c r="B62" s="7" t="str">
        <x:v>QA — échec atomique</x:v>
      </x:c>
      <x:c r="C62" s="10" t="str">
        <x:v>Prototype</x:v>
      </x:c>
      <x:c r="D62" s="11" t="str">
        <x:v>Prototype</x:v>
      </x:c>
      <x:c r="E62" s="9" t="str">
        <x:v>P0</x:v>
      </x:c>
      <x:c r="F62" s="9" t="str">
        <x:v>ME1</x:v>
      </x:c>
      <x:c r="G62" s="9" t="str">
        <x:v>Adaptation</x:v>
      </x:c>
      <x:c r="H62" s="7" t="str">
        <x:v>Ajouter une sélection incompatible ou devenue indisponible au brouillon.</x:v>
      </x:c>
      <x:c r="I62" s="7" t="str">
        <x:v>L’opération échoue sans modifier apparence, dotation ou inventaire.</x:v>
      </x:c>
      <x:c r="J62" s="7" t="str">
        <x:v>CUST-SYS-atomic</x:v>
      </x:c>
      <x:c r="K62" s="7" t="str">
        <x:v>tests/customization.test.js</x:v>
      </x:c>
      <x:c r="L62" s="7" t="str">
        <x:v>tests/customization.test.js</x:v>
      </x:c>
      <x:c r="M62" s="7" t="str">
        <x:v>customization:QA-failure</x:v>
      </x:c>
      <x:c r="N62" s="7" t="str">
        <x:v>Atelier de Relay Chronicles. Interface et réglages propres au fan game ; contrôle de fidélité distinct.</x:v>
      </x:c>
      <x:c r="O62" s="7" t="str"/>
      <x:c r="P62" s="7" t="str">
        <x:v>Production ME1</x:v>
      </x:c>
      <x:c r="Q62" s="7" t="str">
        <x:v>Scénario à vérifier avec les rapports de la version 0.3.0. La présence du test ne suffit pas à déclarer la fonctionnalité terminée.</x:v>
      </x:c>
    </x:row>
    <x:row r="63" ht="49" customHeight="1">
      <x:c r="A63" s="13" t="str">
        <x:v>CUST-QA-legacy</x:v>
      </x:c>
      <x:c r="B63" s="14" t="str">
        <x:v>QA — sauvegarde antérieure</x:v>
      </x:c>
      <x:c r="C63" s="10" t="str">
        <x:v>Prototype</x:v>
      </x:c>
      <x:c r="D63" s="11" t="str">
        <x:v>Prototype</x:v>
      </x:c>
      <x:c r="E63" s="15" t="str">
        <x:v>P0</x:v>
      </x:c>
      <x:c r="F63" s="15" t="str">
        <x:v>ME1</x:v>
      </x:c>
      <x:c r="G63" s="15" t="str">
        <x:v>Adaptation</x:v>
      </x:c>
      <x:c r="H63" s="14" t="str">
        <x:v>Charger une sauvegarde 0.2.0 dépourvue du champ de personnalisation.</x:v>
      </x:c>
      <x:c r="I63" s="14" t="str">
        <x:v>Les valeurs par défaut sont ajoutées et les données historiques restent intactes.</x:v>
      </x:c>
      <x:c r="J63" s="14" t="str">
        <x:v>CUST-SYS-migration</x:v>
      </x:c>
      <x:c r="K63" s="14" t="str">
        <x:v>tests/customization.test.js</x:v>
      </x:c>
      <x:c r="L63" s="14" t="str">
        <x:v>tests/customization.test.js</x:v>
      </x:c>
      <x:c r="M63" s="14" t="str">
        <x:v>customization:QA-legacy</x:v>
      </x:c>
      <x:c r="N63" s="14" t="str">
        <x:v>Atelier de Relay Chronicles. Interface et réglages propres au fan game ; contrôle de fidélité distinct.</x:v>
      </x:c>
      <x:c r="O63" s="14" t="str"/>
      <x:c r="P63" s="14" t="str">
        <x:v>Production ME1</x:v>
      </x:c>
      <x:c r="Q63" s="14" t="str">
        <x:v>Scénario à vérifier avec les rapports de la version 0.3.0. La présence du test ne suffit pas à déclarer la fonctionnalité terminée.</x:v>
      </x:c>
    </x:row>
    <x:row r="64" ht="49" customHeight="1">
      <x:c r="A64" s="12" t="str">
        <x:v>CUST-QA-malformed</x:v>
      </x:c>
      <x:c r="B64" s="7" t="str">
        <x:v>QA — données de personnalisation invalides</x:v>
      </x:c>
      <x:c r="C64" s="10" t="str">
        <x:v>Prototype</x:v>
      </x:c>
      <x:c r="D64" s="11" t="str">
        <x:v>Prototype</x:v>
      </x:c>
      <x:c r="E64" s="9" t="str">
        <x:v>P0</x:v>
      </x:c>
      <x:c r="F64" s="9" t="str">
        <x:v>ME1</x:v>
      </x:c>
      <x:c r="G64" s="9" t="str">
        <x:v>Adaptation</x:v>
      </x:c>
      <x:c r="H64" s="7" t="str">
        <x:v>Tester clés inconnues, palettes invalides, valeurs hors type et objets avec accesseurs.</x:v>
      </x:c>
      <x:c r="I64" s="7" t="str">
        <x:v>Chaque entrée non valide est refusée sans exécution de getter ni mutation partielle.</x:v>
      </x:c>
      <x:c r="J64" s="7" t="str">
        <x:v>CUST-SYS-validation</x:v>
      </x:c>
      <x:c r="K64" s="7" t="str">
        <x:v>tests/customization.test.js</x:v>
      </x:c>
      <x:c r="L64" s="7" t="str">
        <x:v>tests/customization.test.js</x:v>
      </x:c>
      <x:c r="M64" s="7" t="str">
        <x:v>customization:QA-malformed</x:v>
      </x:c>
      <x:c r="N64" s="7" t="str">
        <x:v>Atelier de Relay Chronicles. Interface et réglages propres au fan game ; contrôle de fidélité distinct.</x:v>
      </x:c>
      <x:c r="O64" s="7" t="str"/>
      <x:c r="P64" s="7" t="str">
        <x:v>Production ME1</x:v>
      </x:c>
      <x:c r="Q64" s="7" t="str">
        <x:v>Scénario à vérifier avec les rapports de la version 0.3.0. La présence du test ne suffit pas à déclarer la fonctionnalité terminée.</x:v>
      </x:c>
    </x:row>
    <x:row r="65" ht="49" customHeight="1">
      <x:c r="A65" s="13" t="str">
        <x:v>CUST-QA-roundtrip</x:v>
      </x:c>
      <x:c r="B65" s="14" t="str">
        <x:v>QA — sauvegarder et retrouver le personnage</x:v>
      </x:c>
      <x:c r="C65" s="10" t="str">
        <x:v>Prototype</x:v>
      </x:c>
      <x:c r="D65" s="11" t="str">
        <x:v>Prototype</x:v>
      </x:c>
      <x:c r="E65" s="15" t="str">
        <x:v>P0</x:v>
      </x:c>
      <x:c r="F65" s="15" t="str">
        <x:v>ME1</x:v>
      </x:c>
      <x:c r="G65" s="15" t="str">
        <x:v>Adaptation</x:v>
      </x:c>
      <x:c r="H65" s="14" t="str">
        <x:v>Enregistrer, exporter, recharger et importer une configuration personnalisée.</x:v>
      </x:c>
      <x:c r="I65" s="14" t="str">
        <x:v>L’apparence et les neuf emplacements de dotation retrouvés sont identiques aux choix validés.</x:v>
      </x:c>
      <x:c r="J65" s="14" t="str">
        <x:v>CUST-SYS-persistence</x:v>
      </x:c>
      <x:c r="K65" s="14" t="str">
        <x:v>scripts/customization-browser.mjs</x:v>
      </x:c>
      <x:c r="L65" s="14" t="str">
        <x:v>scripts/customization-browser.mjs</x:v>
      </x:c>
      <x:c r="M65" s="14" t="str">
        <x:v>customization:QA-roundtrip</x:v>
      </x:c>
      <x:c r="N65" s="14" t="str">
        <x:v>Atelier de Relay Chronicles. Interface et réglages propres au fan game ; contrôle de fidélité distinct.</x:v>
      </x:c>
      <x:c r="O65" s="14" t="str"/>
      <x:c r="P65" s="14" t="str">
        <x:v>Production ME1</x:v>
      </x:c>
      <x:c r="Q65" s="14" t="str">
        <x:v>Critère actualisé pour les neuf emplacements. Contrôles de cette livraison et limites : docs/qa/customization-comparison-report.json. Le statut reste Prototype.</x:v>
      </x:c>
    </x:row>
    <x:row r="66" ht="49" customHeight="1">
      <x:c r="A66" s="12" t="str">
        <x:v>CUST-QA-ownership</x:v>
      </x:c>
      <x:c r="B66" s="7" t="str">
        <x:v>QA — propriété des objets</x:v>
      </x:c>
      <x:c r="C66" s="10" t="str">
        <x:v>Prototype</x:v>
      </x:c>
      <x:c r="D66" s="11" t="str">
        <x:v>Prototype</x:v>
      </x:c>
      <x:c r="E66" s="9" t="str">
        <x:v>P0</x:v>
      </x:c>
      <x:c r="F66" s="9" t="str">
        <x:v>ME1</x:v>
      </x:c>
      <x:c r="G66" s="9" t="str">
        <x:v>Adaptation</x:v>
      </x:c>
      <x:c r="H66" s="7" t="str">
        <x:v>Essayer un objet absent, incompatible ou déjà attribué à un autre équipier.</x:v>
      </x:c>
      <x:c r="I66" s="7" t="str">
        <x:v>Aucun objet ne se duplique et aucune attribution de l’autre équipier ne disparaît.</x:v>
      </x:c>
      <x:c r="J66" s="7" t="str">
        <x:v>CUST-ARMOR-compatibility</x:v>
      </x:c>
      <x:c r="K66" s="7" t="str">
        <x:v>tests/customization.test.js</x:v>
      </x:c>
      <x:c r="L66" s="7" t="str">
        <x:v>tests/customization.test.js</x:v>
      </x:c>
      <x:c r="M66" s="7" t="str">
        <x:v>customization:QA-ownership</x:v>
      </x:c>
      <x:c r="N66" s="7" t="str">
        <x:v>Atelier de Relay Chronicles. Interface et réglages propres au fan game ; contrôle de fidélité distinct.</x:v>
      </x:c>
      <x:c r="O66" s="7" t="str"/>
      <x:c r="P66" s="7" t="str">
        <x:v>Production ME1</x:v>
      </x:c>
      <x:c r="Q66" s="7" t="str">
        <x:v>Scénario à vérifier avec les rapports de la version 0.3.0. La présence du test ne suffit pas à déclarer la fonctionnalité terminée.</x:v>
      </x:c>
    </x:row>
    <x:row r="67" ht="49" customHeight="1">
      <x:c r="A67" s="13" t="str">
        <x:v>CUST-QA-stats</x:v>
      </x:c>
      <x:c r="B67" s="14" t="str">
        <x:v>QA — comparaison et calcul du combat</x:v>
      </x:c>
      <x:c r="C67" s="10" t="str">
        <x:v>Prototype</x:v>
      </x:c>
      <x:c r="D67" s="11" t="str">
        <x:v>Prototype</x:v>
      </x:c>
      <x:c r="E67" s="15" t="str">
        <x:v>P0</x:v>
      </x:c>
      <x:c r="F67" s="15" t="str">
        <x:v>ME1</x:v>
      </x:c>
      <x:c r="G67" s="15" t="str">
        <x:v>Adaptation</x:v>
      </x:c>
      <x:c r="H67" s="14" t="str">
        <x:v>Comparer les valeurs de l’atelier et de la fiche de pièce au calcul d’acteur, avant préparation puis après application.</x:v>
      </x:c>
      <x:c r="I67" s="14" t="str">
        <x:v>Les multiplicateurs technologiques/biotiques gardent leur précision. Les chiffres projetés et modules restitués concordent avec une dotation valide ; aucun gain n’est projeté pour un refus.</x:v>
      </x:c>
      <x:c r="J67" s="14" t="str">
        <x:v>CUST-WEAPON-effects</x:v>
      </x:c>
      <x:c r="K67" s="14" t="str">
        <x:v>tests/customization.test.js</x:v>
      </x:c>
      <x:c r="L67" s="14" t="str">
        <x:v>tests/customization.test.js</x:v>
      </x:c>
      <x:c r="M67" s="14" t="str">
        <x:v>customization:QA-stats</x:v>
      </x:c>
      <x:c r="N67" s="14" t="str">
        <x:v>Atelier de Relay Chronicles. Interface et réglages propres au fan game ; contrôle de fidélité distinct.</x:v>
      </x:c>
      <x:c r="O67" s="14" t="str"/>
      <x:c r="P67" s="14" t="str">
        <x:v>Production ME1</x:v>
      </x:c>
      <x:c r="Q67" s="14" t="str">
        <x:v>Scénarios de comparaison et de projection : docs/qa/customization-comparison-report.json. Lire les résultats d’exécution dans ce rapport. Statut de prototype conservé.</x:v>
      </x:c>
    </x:row>
    <x:row r="68" ht="49" customHeight="1">
      <x:c r="A68" s="12" t="str">
        <x:v>CUST-QA-layouts</x:v>
      </x:c>
      <x:c r="B68" s="7" t="str">
        <x:v>QA — lisibilité ordinateur et téléphone</x:v>
      </x:c>
      <x:c r="C68" s="10" t="str">
        <x:v>Prototype</x:v>
      </x:c>
      <x:c r="D68" s="11" t="str">
        <x:v>Prototype</x:v>
      </x:c>
      <x:c r="E68" s="9" t="str">
        <x:v>P0</x:v>
      </x:c>
      <x:c r="F68" s="9" t="str">
        <x:v>ME1</x:v>
      </x:c>
      <x:c r="G68" s="9" t="str">
        <x:v>Adaptation</x:v>
      </x:c>
      <x:c r="H68" s="7" t="str">
        <x:v>Parcourir les trois onglets avec de longs noms et plusieurs tailles de fenêtre.</x:v>
      </x:c>
      <x:c r="I68" s="7" t="str">
        <x:v>Aucun défilement horizontal involontaire, contrôle tronqué ou action inaccessible.</x:v>
      </x:c>
      <x:c r="J68" s="7" t="str">
        <x:v>CUST-UI-responsive</x:v>
      </x:c>
      <x:c r="K68" s="7" t="str">
        <x:v>scripts/customization-browser.mjs</x:v>
      </x:c>
      <x:c r="L68" s="7" t="str">
        <x:v>scripts/customization-browser.mjs</x:v>
      </x:c>
      <x:c r="M68" s="7" t="str">
        <x:v>customization:QA-layouts</x:v>
      </x:c>
      <x:c r="N68" s="7" t="str">
        <x:v>Atelier de Relay Chronicles. Interface et réglages propres au fan game ; contrôle de fidélité distinct.</x:v>
      </x:c>
      <x:c r="O68" s="7" t="str"/>
      <x:c r="P68" s="7" t="str">
        <x:v>Production ME1</x:v>
      </x:c>
      <x:c r="Q68" s="7" t="str">
        <x:v>Scénario à vérifier avec les rapports de la version 0.3.0. La présence du test ne suffit pas à déclarer la fonctionnalité terminée.</x:v>
      </x:c>
    </x:row>
    <x:row r="69" ht="49" customHeight="1">
      <x:c r="A69" s="13" t="str">
        <x:v>CUST-QA-keyboard</x:v>
      </x:c>
      <x:c r="B69" s="14" t="str">
        <x:v>QA — navigation clavier et fermeture</x:v>
      </x:c>
      <x:c r="C69" s="10" t="str">
        <x:v>Prototype</x:v>
      </x:c>
      <x:c r="D69" s="11" t="str">
        <x:v>Prototype</x:v>
      </x:c>
      <x:c r="E69" s="15" t="str">
        <x:v>P0</x:v>
      </x:c>
      <x:c r="F69" s="15" t="str">
        <x:v>ME1</x:v>
      </x:c>
      <x:c r="G69" s="15" t="str">
        <x:v>Adaptation</x:v>
      </x:c>
      <x:c r="H69" s="14" t="str">
        <x:v>Parcourir poses, onglets et objets au clavier, préparer une pièce puis annuler ou quitter.</x:v>
      </x:c>
      <x:c r="I69" s="14" t="str">
        <x:v>Le focus reste visible après Préparer et les changements de pose. Échap ferme sans appliquer le brouillon. Le parcours reste possible sans souris.</x:v>
      </x:c>
      <x:c r="J69" s="14" t="str">
        <x:v>CUST-UI-keyboard</x:v>
      </x:c>
      <x:c r="K69" s="14" t="str">
        <x:v>scripts/customization-browser.mjs</x:v>
      </x:c>
      <x:c r="L69" s="14" t="str">
        <x:v>scripts/customization-poses-browser.mjs</x:v>
      </x:c>
      <x:c r="M69" s="14" t="str">
        <x:v>customization:QA-keyboard</x:v>
      </x:c>
      <x:c r="N69" s="14" t="str">
        <x:v>Atelier de Relay Chronicles. Interface et réglages propres au fan game ; contrôle de fidélité distinct.</x:v>
      </x:c>
      <x:c r="O69" s="14" t="str"/>
      <x:c r="P69" s="14" t="str">
        <x:v>Production ME1</x:v>
      </x:c>
      <x:c r="Q69" s="14" t="str">
        <x:v>Scénario des poses et de la continuité du focus : docs/qa/shepard-combat-poses-report.json. Lire les résultats dans ce rapport. Le scénario seul ne valide pas la fonctionnalité.</x:v>
      </x:c>
    </x:row>
    <x:row r="70" ht="36" customHeight="1">
      <x:c r="A70" s="12" t="str">
        <x:v>CUST-QA-art-review</x:v>
      </x:c>
      <x:c r="B70" s="7" t="str">
        <x:v>QA — fidélité artistique de la personnalisation</x:v>
      </x:c>
      <x:c r="C70" s="10" t="str">
        <x:v>Défini</x:v>
      </x:c>
      <x:c r="D70" s="11" t="str">
        <x:v>À produire</x:v>
      </x:c>
      <x:c r="E70" s="9" t="str">
        <x:v>P1</x:v>
      </x:c>
      <x:c r="F70" s="9" t="str">
        <x:v>ME1</x:v>
      </x:c>
      <x:c r="G70" s="9" t="str">
        <x:v>Adaptation</x:v>
      </x:c>
      <x:c r="H70" s="7" t="str">
        <x:v>Comparer chaque silhouette, détail d’armure, arme et coiffure aux références de son opus.</x:v>
      </x:c>
      <x:c r="I70" s="7" t="str">
        <x:v>Documenter les différences et conserver le statut à produire jusqu’au contrôle des vues et animations.</x:v>
      </x:c>
      <x:c r="J70" s="7" t="str">
        <x:v>CUST-ART-faithful-variants</x:v>
      </x:c>
      <x:c r="K70" s="7" t="str">
        <x:v>docs/research/customization-art-review.md</x:v>
      </x:c>
      <x:c r="L70" s="7" t="str"/>
      <x:c r="M70" s="7" t="str">
        <x:v>customization:QA-art-review</x:v>
      </x:c>
      <x:c r="N70" s="7" t="str">
        <x:v>Atelier de Relay Chronicles. Interface et réglages propres au fan game ; contrôle de fidélité distinct.</x:v>
      </x:c>
      <x:c r="O70" s="7" t="str"/>
      <x:c r="P70" s="7" t="str">
        <x:v>Production ME1</x:v>
      </x:c>
      <x:c r="Q70" s="7" t="str">
        <x:v>Revue artistique non réalisée. Aucune certification de fidélité 1:1.</x:v>
      </x:c>
    </x:row>
  </x:sheetData>
  <x:conditionalFormatting sqref="C7:C70">
    <x:cfRule type="cellIs" dxfId="380" priority="1" operator="equal">
      <x:formula>"Prototype"</x:formula>
    </x:cfRule>
    <x:cfRule type="cellIs" dxfId="381" priority="2" operator="equal">
      <x:formula>"Intégré"</x:formula>
    </x:cfRule>
    <x:cfRule type="cellIs" dxfId="382" priority="3" operator="equal">
      <x:formula>"Validé"</x:formula>
    </x:cfRule>
  </x:conditionalFormatting>
  <x:conditionalFormatting sqref="G7:G70">
    <x:cfRule type="cellIs" dxfId="383" priority="4" operator="equal">
      <x:formula>"Référence à vérifier"</x:formula>
    </x:cfRule>
  </x:conditionalFormatting>
  <x:conditionalFormatting sqref="E7:E70">
    <x:cfRule type="cellIs" dxfId="384" priority="5" operator="equal">
      <x:formula>"P0"</x:formula>
    </x:cfRule>
  </x:conditionalFormatting>
  <x:dataValidations count="5">
    <x:dataValidation type="list" sqref="C7:C70">
      <x:formula1>"Défini,Prototype,Intégré,Validé"</x:formula1>
    </x:dataValidation>
    <x:dataValidation type="list" sqref="D7:D70">
      <x:formula1>"À produire,Prototype,Disponible,Validé,Sans objet,Non planifié"</x:formula1>
    </x:dataValidation>
    <x:dataValidation type="list" sqref="E7:E70">
      <x:formula1>"P0,P1,P2"</x:formula1>
    </x:dataValidation>
    <x:dataValidation type="list" sqref="F7:F70">
      <x:formula1>"ME1,ME2,ME3,TRANSVERSE"</x:formula1>
    </x:dataValidation>
    <x:dataValidation type="list" sqref="G7:G70">
      <x:formula1>"Confirmé,Référence à vérifier,Adaptation"</x:formula1>
    </x:dataValidation>
  </x:dataValidations>
  <x:pageMargins left="0.7" right="0.7" top="0.75" bottom="0.75" header="0.3" footer="0.3"/>
  <x:tableParts count="1">
    <x:tablePart xmlns:r="http://schemas.openxmlformats.org/officeDocument/2006/relationships" r:id="R4afd5bf762a6433b"/>
  </x:tableParts>
</x:worksheet>
</file>

<file path=xl/worksheets/sheet27.xml><?xml version="1.0" encoding="utf-8"?>
<x:worksheet xmlns:x="http://schemas.openxmlformats.org/spreadsheetml/2006/main">
  <x:sheetPr>
    <x:tabColor rgb="FF8095A7"/>
  </x:sheetPr>
  <x:sheetViews>
    <x:sheetView showGridLines="0" workbookViewId="0">
      <x:pane xSplit="2" ySplit="6" topLeftCell="C7" activePane="bottomRight" state="frozen"/>
    </x:sheetView>
  </x:sheetViews>
  <x:sheetFormatPr defaultRowHeight="15"/>
  <x:cols>
    <x:col min="1" max="1" width="33" hidden="0" customWidth="1"/>
    <x:col min="2" max="2" width="39" hidden="0" customWidth="1"/>
    <x:col min="3" max="3" width="15" hidden="0" customWidth="1"/>
    <x:col min="4" max="4" width="16" hidden="0" customWidth="1"/>
    <x:col min="5" max="5" width="10" hidden="0" customWidth="1"/>
    <x:col min="6" max="6" width="11" hidden="0" customWidth="1"/>
    <x:col min="7" max="7" width="25" hidden="0" customWidth="1"/>
    <x:col min="8" max="8" width="55" hidden="0" customWidth="1"/>
    <x:col min="9" max="9" width="62" hidden="0" customWidth="1"/>
    <x:col min="10" max="10" width="44" hidden="0" customWidth="1"/>
    <x:col min="11" max="11" width="54" hidden="0" customWidth="1"/>
    <x:col min="12" max="12" width="48" hidden="0" customWidth="1"/>
    <x:col min="13" max="13" width="24" hidden="0" customWidth="1"/>
    <x:col min="14" max="14" width="60" hidden="0" customWidth="1"/>
    <x:col min="15" max="15" width="64" hidden="0" customWidth="1"/>
    <x:col min="16" max="16" width="22" hidden="0" customWidth="1"/>
    <x:col min="17" max="17" width="66"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Trilogie</x:v>
      </x:c>
      <x:c r="B2" s="2"/>
      <x:c r="C2" s="2"/>
      <x:c r="D2" s="2"/>
      <x:c r="E2" s="2"/>
      <x:c r="F2" s="2"/>
      <x:c r="G2" s="2"/>
      <x:c r="H2" s="2"/>
      <x:c r="I2" s="2"/>
      <x:c r="J2" s="2"/>
      <x:c r="K2" s="2"/>
      <x:c r="L2" s="2"/>
      <x:c r="M2" s="2"/>
      <x:c r="N2" s="2"/>
      <x:c r="O2" s="2"/>
      <x:c r="P2" s="2"/>
      <x:c r="Q2" s="2"/>
    </x:row>
    <x:row r="3" ht="22" customHeight="1">
      <x:c r="A3" s="4" t="str">
        <x:v>Extensions ME2 et ME3 séparées de ME1</x:v>
      </x:c>
      <x:c r="B3" s="2"/>
      <x:c r="C3" s="2"/>
      <x:c r="D3" s="2"/>
      <x:c r="E3" s="2"/>
      <x:c r="F3" s="2"/>
      <x:c r="G3" s="2"/>
      <x:c r="H3" s="2"/>
      <x:c r="I3" s="2"/>
      <x:c r="J3" s="2"/>
      <x:c r="K3" s="2"/>
      <x:c r="L3" s="2"/>
      <x:c r="M3" s="2"/>
      <x:c r="N3" s="2"/>
      <x:c r="O3" s="2"/>
      <x:c r="P3" s="2"/>
      <x:c r="Q3" s="2"/>
    </x:row>
    <x:row r="4" ht="22" customHeight="1">
      <x:c r="A4" s="5"/>
      <x:c r="B4" s="5"/>
      <x:c r="C4" s="5"/>
      <x:c r="D4" s="5"/>
      <x:c r="E4" s="5"/>
      <x:c r="F4" s="5"/>
      <x:c r="G4" s="5"/>
      <x:c r="H4" s="5"/>
      <x:c r="I4" s="5"/>
      <x:c r="J4" s="2"/>
      <x:c r="K4" s="2"/>
      <x:c r="L4" s="2"/>
      <x:c r="M4" s="2"/>
      <x:c r="N4" s="2"/>
      <x:c r="O4" s="2"/>
      <x:c r="P4" s="2"/>
      <x:c r="Q4" s="2"/>
    </x:row>
    <x:row r="5" ht="22" customHeight="1">
      <x:c r="A5" s="2"/>
      <x:c r="B5" s="2"/>
      <x:c r="C5" s="2"/>
      <x:c r="D5" s="2"/>
      <x:c r="E5" s="2"/>
      <x:c r="F5" s="2"/>
      <x:c r="G5" s="2"/>
      <x:c r="H5" s="2"/>
      <x:c r="I5" s="2"/>
      <x:c r="J5" s="2"/>
      <x:c r="K5" s="2"/>
      <x:c r="L5" s="2"/>
      <x:c r="M5" s="2"/>
      <x:c r="N5" s="2"/>
      <x:c r="O5" s="2"/>
      <x:c r="P5" s="2"/>
      <x:c r="Q5" s="2"/>
    </x:row>
    <x:row r="6" ht="34" customHeight="1">
      <x:c r="A6" s="20" t="str">
        <x:v>Identifiant</x:v>
      </x:c>
      <x:c r="B6" s="20" t="str">
        <x:v>Élément</x:v>
      </x:c>
      <x:c r="C6" s="20" t="str">
        <x:v>Contenu</x:v>
      </x:c>
      <x:c r="D6" s="20" t="str">
        <x:v>Asset</x:v>
      </x:c>
      <x:c r="E6" s="20" t="str">
        <x:v>Priorité</x:v>
      </x:c>
      <x:c r="F6" s="20" t="str">
        <x:v>Épisode</x:v>
      </x:c>
      <x:c r="G6" s="20" t="str">
        <x:v>Canon</x:v>
      </x:c>
      <x:c r="H6" s="20" t="str">
        <x:v>Description</x:v>
      </x:c>
      <x:c r="I6" s="20" t="str">
        <x:v>Critère d’acceptation</x:v>
      </x:c>
      <x:c r="J6" s="20" t="str">
        <x:v>Dépendances</x:v>
      </x:c>
      <x:c r="K6" s="20" t="str">
        <x:v>Destination prévue</x:v>
      </x:c>
      <x:c r="L6" s="20" t="str">
        <x:v>Fichier existant</x:v>
      </x:c>
      <x:c r="M6" s="20" t="str">
        <x:v>Clé dans le jeu</x:v>
      </x:c>
      <x:c r="N6" s="20" t="str">
        <x:v>Référence à contrôler</x:v>
      </x:c>
      <x:c r="O6" s="20" t="str">
        <x:v>Source URL</x:v>
      </x:c>
      <x:c r="P6" s="20" t="str">
        <x:v>Périmètre</x:v>
      </x:c>
      <x:c r="Q6" s="20" t="str">
        <x:v>Notes</x:v>
      </x:c>
    </x:row>
    <x:row r="7" ht="36" customHeight="1">
      <x:c r="A7" s="13" t="str">
        <x:v>ME2-normandy-sr-2-cerberus</x:v>
      </x:c>
      <x:c r="B7" s="14" t="str">
        <x:v>Normandy SR-2 Cerberus</x:v>
      </x:c>
      <x:c r="C7" s="10" t="str">
        <x:v>Défini</x:v>
      </x:c>
      <x:c r="D7" s="11" t="str">
        <x:v>Non planifié</x:v>
      </x:c>
      <x:c r="E7" s="15" t="str">
        <x:v>P2</x:v>
      </x:c>
      <x:c r="F7" s="15" t="str">
        <x:v>ME2</x:v>
      </x:c>
      <x:c r="G7" s="15" t="str">
        <x:v>Référence à vérifier</x:v>
      </x:c>
      <x:c r="H7" s="14" t="str">
        <x:v>Nouveau vaisseau avec plan et identité propres.</x:v>
      </x:c>
      <x:c r="I7" s="14" t="str">
        <x:v>Extension après campagne ME1 ; aucun remplacement silencieux du SR-1.</x:v>
      </x:c>
      <x:c r="J7" s="14" t="str"/>
      <x:c r="K7" s="14" t="str">
        <x:v>content/trilogy/ME2-normandy-sr-2-cerberus.json</x:v>
      </x:c>
      <x:c r="L7" s="14" t="str"/>
      <x:c r="M7" s="14" t="str"/>
      <x:c r="N7" s="14" t="str">
        <x:v>Plan de couverture ME2 à détailler séparément ; rien de cette liste n’est déclaré jouable.</x:v>
      </x:c>
      <x:c r="O7" s="14" t="str">
        <x:v>https://eaassets-a.akamaihd.net/eahelp/manuals/mass-effect-2-manuals_PC_fr.pdf</x:v>
      </x:c>
      <x:c r="P7" s="14" t="str">
        <x:v>Extension future</x:v>
      </x:c>
      <x:c r="Q7" s="14" t="str"/>
    </x:row>
    <x:row r="8" ht="36" customHeight="1">
      <x:c r="A8" s="12" t="str">
        <x:v>ME2-projet-lazare</x:v>
      </x:c>
      <x:c r="B8" s="7" t="str">
        <x:v>Projet Lazare</x:v>
      </x:c>
      <x:c r="C8" s="10" t="str">
        <x:v>Défini</x:v>
      </x:c>
      <x:c r="D8" s="11" t="str">
        <x:v>Non planifié</x:v>
      </x:c>
      <x:c r="E8" s="9" t="str">
        <x:v>P2</x:v>
      </x:c>
      <x:c r="F8" s="9" t="str">
        <x:v>ME2</x:v>
      </x:c>
      <x:c r="G8" s="9" t="str">
        <x:v>Référence à vérifier</x:v>
      </x:c>
      <x:c r="H8" s="7" t="str">
        <x:v>Prologue et reprise de Shepard.</x:v>
      </x:c>
      <x:c r="I8" s="7" t="str">
        <x:v>Continuité des choix importés explicitée.</x:v>
      </x:c>
      <x:c r="J8" s="7" t="str"/>
      <x:c r="K8" s="7" t="str">
        <x:v>content/trilogy/ME2-projet-lazare.json</x:v>
      </x:c>
      <x:c r="L8" s="7" t="str"/>
      <x:c r="M8" s="7" t="str"/>
      <x:c r="N8" s="7" t="str">
        <x:v>Plan de couverture ME2 à détailler séparément ; rien de cette liste n’est déclaré jouable.</x:v>
      </x:c>
      <x:c r="O8" s="7" t="str">
        <x:v>https://eaassets-a.akamaihd.net/eahelp/manuals/mass-effect-2-manuals_PC_fr.pdf</x:v>
      </x:c>
      <x:c r="P8" s="7" t="str">
        <x:v>Extension future</x:v>
      </x:c>
      <x:c r="Q8" s="7" t="str"/>
    </x:row>
    <x:row r="9" ht="36" customHeight="1">
      <x:c r="A9" s="13" t="str">
        <x:v>ME2-miranda-lawson</x:v>
      </x:c>
      <x:c r="B9" s="14" t="str">
        <x:v>Miranda Lawson</x:v>
      </x:c>
      <x:c r="C9" s="10" t="str">
        <x:v>Défini</x:v>
      </x:c>
      <x:c r="D9" s="11" t="str">
        <x:v>Non planifié</x:v>
      </x:c>
      <x:c r="E9" s="15" t="str">
        <x:v>P2</x:v>
      </x:c>
      <x:c r="F9" s="15" t="str">
        <x:v>ME2</x:v>
      </x:c>
      <x:c r="G9" s="15" t="str">
        <x:v>Référence à vérifier</x:v>
      </x:c>
      <x:c r="H9" s="14" t="str">
        <x:v>Compagnon et recruteuse de Cerberus.</x:v>
      </x:c>
      <x:c r="I9" s="14" t="str">
        <x:v>Tenue, pouvoirs et dialogues de ME2.</x:v>
      </x:c>
      <x:c r="J9" s="14" t="str"/>
      <x:c r="K9" s="14" t="str">
        <x:v>content/trilogy/ME2-miranda-lawson.json</x:v>
      </x:c>
      <x:c r="L9" s="14" t="str"/>
      <x:c r="M9" s="14" t="str"/>
      <x:c r="N9" s="14" t="str">
        <x:v>Plan de couverture ME2 à détailler séparément ; rien de cette liste n’est déclaré jouable.</x:v>
      </x:c>
      <x:c r="O9" s="14" t="str">
        <x:v>https://eaassets-a.akamaihd.net/eahelp/manuals/mass-effect-2-manuals_PC_fr.pdf</x:v>
      </x:c>
      <x:c r="P9" s="14" t="str">
        <x:v>Extension future</x:v>
      </x:c>
      <x:c r="Q9" s="14" t="str"/>
    </x:row>
    <x:row r="10" ht="36" customHeight="1">
      <x:c r="A10" s="12" t="str">
        <x:v>ME2-jacob-taylor</x:v>
      </x:c>
      <x:c r="B10" s="7" t="str">
        <x:v>Jacob Taylor</x:v>
      </x:c>
      <x:c r="C10" s="10" t="str">
        <x:v>Défini</x:v>
      </x:c>
      <x:c r="D10" s="11" t="str">
        <x:v>Non planifié</x:v>
      </x:c>
      <x:c r="E10" s="9" t="str">
        <x:v>P2</x:v>
      </x:c>
      <x:c r="F10" s="9" t="str">
        <x:v>ME2</x:v>
      </x:c>
      <x:c r="G10" s="9" t="str">
        <x:v>Référence à vérifier</x:v>
      </x:c>
      <x:c r="H10" s="7" t="str">
        <x:v>Compagnon militaire de Cerberus.</x:v>
      </x:c>
      <x:c r="I10" s="7" t="str">
        <x:v>Arbre propre à ME2.</x:v>
      </x:c>
      <x:c r="J10" s="7" t="str"/>
      <x:c r="K10" s="7" t="str">
        <x:v>content/trilogy/ME2-jacob-taylor.json</x:v>
      </x:c>
      <x:c r="L10" s="7" t="str"/>
      <x:c r="M10" s="7" t="str"/>
      <x:c r="N10" s="7" t="str">
        <x:v>Plan de couverture ME2 à détailler séparément ; rien de cette liste n’est déclaré jouable.</x:v>
      </x:c>
      <x:c r="O10" s="7" t="str">
        <x:v>https://eaassets-a.akamaihd.net/eahelp/manuals/mass-effect-2-manuals_PC_fr.pdf</x:v>
      </x:c>
      <x:c r="P10" s="7" t="str">
        <x:v>Extension future</x:v>
      </x:c>
      <x:c r="Q10" s="7" t="str"/>
    </x:row>
    <x:row r="11" ht="36" customHeight="1">
      <x:c r="A11" s="13" t="str">
        <x:v>ME2-mordin-solus</x:v>
      </x:c>
      <x:c r="B11" s="14" t="str">
        <x:v>Mordin Solus</x:v>
      </x:c>
      <x:c r="C11" s="10" t="str">
        <x:v>Défini</x:v>
      </x:c>
      <x:c r="D11" s="11" t="str">
        <x:v>Non planifié</x:v>
      </x:c>
      <x:c r="E11" s="15" t="str">
        <x:v>P2</x:v>
      </x:c>
      <x:c r="F11" s="15" t="str">
        <x:v>ME2</x:v>
      </x:c>
      <x:c r="G11" s="15" t="str">
        <x:v>Référence à vérifier</x:v>
      </x:c>
      <x:c r="H11" s="14" t="str">
        <x:v>Médecin galarien et recrutement.</x:v>
      </x:c>
      <x:c r="I11" s="14" t="str">
        <x:v>Mission personnelle et conséquences documentées.</x:v>
      </x:c>
      <x:c r="J11" s="14" t="str"/>
      <x:c r="K11" s="14" t="str">
        <x:v>content/trilogy/ME2-mordin-solus.json</x:v>
      </x:c>
      <x:c r="L11" s="14" t="str"/>
      <x:c r="M11" s="14" t="str"/>
      <x:c r="N11" s="14" t="str">
        <x:v>Plan de couverture ME2 à détailler séparément ; rien de cette liste n’est déclaré jouable.</x:v>
      </x:c>
      <x:c r="O11" s="14" t="str">
        <x:v>https://eaassets-a.akamaihd.net/eahelp/manuals/mass-effect-2-manuals_PC_fr.pdf</x:v>
      </x:c>
      <x:c r="P11" s="14" t="str">
        <x:v>Extension future</x:v>
      </x:c>
      <x:c r="Q11" s="14" t="str"/>
    </x:row>
    <x:row r="12" ht="36" customHeight="1">
      <x:c r="A12" s="12" t="str">
        <x:v>ME2-jack</x:v>
      </x:c>
      <x:c r="B12" s="7" t="str">
        <x:v>Jack</x:v>
      </x:c>
      <x:c r="C12" s="10" t="str">
        <x:v>Défini</x:v>
      </x:c>
      <x:c r="D12" s="11" t="str">
        <x:v>Non planifié</x:v>
      </x:c>
      <x:c r="E12" s="9" t="str">
        <x:v>P2</x:v>
      </x:c>
      <x:c r="F12" s="9" t="str">
        <x:v>ME2</x:v>
      </x:c>
      <x:c r="G12" s="9" t="str">
        <x:v>Référence à vérifier</x:v>
      </x:c>
      <x:c r="H12" s="7" t="str">
        <x:v>Biotique humaine et recrutement.</x:v>
      </x:c>
      <x:c r="I12" s="7" t="str">
        <x:v>Animations et tempérament spécifiques.</x:v>
      </x:c>
      <x:c r="J12" s="7" t="str"/>
      <x:c r="K12" s="7" t="str">
        <x:v>content/trilogy/ME2-jack.json</x:v>
      </x:c>
      <x:c r="L12" s="7" t="str"/>
      <x:c r="M12" s="7" t="str"/>
      <x:c r="N12" s="7" t="str">
        <x:v>Plan de couverture ME2 à détailler séparément ; rien de cette liste n’est déclaré jouable.</x:v>
      </x:c>
      <x:c r="O12" s="7" t="str">
        <x:v>https://eaassets-a.akamaihd.net/eahelp/manuals/mass-effect-2-manuals_PC_fr.pdf</x:v>
      </x:c>
      <x:c r="P12" s="7" t="str">
        <x:v>Extension future</x:v>
      </x:c>
      <x:c r="Q12" s="7" t="str"/>
    </x:row>
    <x:row r="13" ht="36" customHeight="1">
      <x:c r="A13" s="13" t="str">
        <x:v>ME2-grunt</x:v>
      </x:c>
      <x:c r="B13" s="14" t="str">
        <x:v>Grunt</x:v>
      </x:c>
      <x:c r="C13" s="10" t="str">
        <x:v>Défini</x:v>
      </x:c>
      <x:c r="D13" s="11" t="str">
        <x:v>Non planifié</x:v>
      </x:c>
      <x:c r="E13" s="15" t="str">
        <x:v>P2</x:v>
      </x:c>
      <x:c r="F13" s="15" t="str">
        <x:v>ME2</x:v>
      </x:c>
      <x:c r="G13" s="15" t="str">
        <x:v>Référence à vérifier</x:v>
      </x:c>
      <x:c r="H13" s="14" t="str">
        <x:v>Krogan de la nouvelle équipe.</x:v>
      </x:c>
      <x:c r="I13" s="14" t="str">
        <x:v>Ne pas réutiliser Wrex comme simple changement de couleur.</x:v>
      </x:c>
      <x:c r="J13" s="14" t="str"/>
      <x:c r="K13" s="14" t="str">
        <x:v>content/trilogy/ME2-grunt.json</x:v>
      </x:c>
      <x:c r="L13" s="14" t="str"/>
      <x:c r="M13" s="14" t="str"/>
      <x:c r="N13" s="14" t="str">
        <x:v>Plan de couverture ME2 à détailler séparément ; rien de cette liste n’est déclaré jouable.</x:v>
      </x:c>
      <x:c r="O13" s="14" t="str">
        <x:v>https://eaassets-a.akamaihd.net/eahelp/manuals/mass-effect-2-manuals_PC_fr.pdf</x:v>
      </x:c>
      <x:c r="P13" s="14" t="str">
        <x:v>Extension future</x:v>
      </x:c>
      <x:c r="Q13" s="14" t="str"/>
    </x:row>
    <x:row r="14" ht="36" customHeight="1">
      <x:c r="A14" s="12" t="str">
        <x:v>ME2-thane-krios</x:v>
      </x:c>
      <x:c r="B14" s="7" t="str">
        <x:v>Thane Krios</x:v>
      </x:c>
      <x:c r="C14" s="10" t="str">
        <x:v>Défini</x:v>
      </x:c>
      <x:c r="D14" s="11" t="str">
        <x:v>Non planifié</x:v>
      </x:c>
      <x:c r="E14" s="9" t="str">
        <x:v>P2</x:v>
      </x:c>
      <x:c r="F14" s="9" t="str">
        <x:v>ME2</x:v>
      </x:c>
      <x:c r="G14" s="9" t="str">
        <x:v>Référence à vérifier</x:v>
      </x:c>
      <x:c r="H14" s="7" t="str">
        <x:v>Assassin drell.</x:v>
      </x:c>
      <x:c r="I14" s="7" t="str">
        <x:v>Anatomie, gestes et pouvoirs propres.</x:v>
      </x:c>
      <x:c r="J14" s="7" t="str"/>
      <x:c r="K14" s="7" t="str">
        <x:v>content/trilogy/ME2-thane-krios.json</x:v>
      </x:c>
      <x:c r="L14" s="7" t="str"/>
      <x:c r="M14" s="7" t="str"/>
      <x:c r="N14" s="7" t="str">
        <x:v>Plan de couverture ME2 à détailler séparément ; rien de cette liste n’est déclaré jouable.</x:v>
      </x:c>
      <x:c r="O14" s="7" t="str">
        <x:v>https://eaassets-a.akamaihd.net/eahelp/manuals/mass-effect-2-manuals_PC_fr.pdf</x:v>
      </x:c>
      <x:c r="P14" s="7" t="str">
        <x:v>Extension future</x:v>
      </x:c>
      <x:c r="Q14" s="7" t="str"/>
    </x:row>
    <x:row r="15" ht="36" customHeight="1">
      <x:c r="A15" s="13" t="str">
        <x:v>ME2-samara</x:v>
      </x:c>
      <x:c r="B15" s="14" t="str">
        <x:v>Samara</x:v>
      </x:c>
      <x:c r="C15" s="10" t="str">
        <x:v>Défini</x:v>
      </x:c>
      <x:c r="D15" s="11" t="str">
        <x:v>Non planifié</x:v>
      </x:c>
      <x:c r="E15" s="15" t="str">
        <x:v>P2</x:v>
      </x:c>
      <x:c r="F15" s="15" t="str">
        <x:v>ME2</x:v>
      </x:c>
      <x:c r="G15" s="15" t="str">
        <x:v>Référence à vérifier</x:v>
      </x:c>
      <x:c r="H15" s="14" t="str">
        <x:v>Probatrice asari.</x:v>
      </x:c>
      <x:c r="I15" s="14" t="str">
        <x:v>Code moral et relation distincts.</x:v>
      </x:c>
      <x:c r="J15" s="14" t="str"/>
      <x:c r="K15" s="14" t="str">
        <x:v>content/trilogy/ME2-samara.json</x:v>
      </x:c>
      <x:c r="L15" s="14" t="str"/>
      <x:c r="M15" s="14" t="str"/>
      <x:c r="N15" s="14" t="str">
        <x:v>Plan de couverture ME2 à détailler séparément ; rien de cette liste n’est déclaré jouable.</x:v>
      </x:c>
      <x:c r="O15" s="14" t="str">
        <x:v>https://eaassets-a.akamaihd.net/eahelp/manuals/mass-effect-2-manuals_PC_fr.pdf</x:v>
      </x:c>
      <x:c r="P15" s="14" t="str">
        <x:v>Extension future</x:v>
      </x:c>
      <x:c r="Q15" s="14" t="str"/>
    </x:row>
    <x:row r="16" ht="36" customHeight="1">
      <x:c r="A16" s="12" t="str">
        <x:v>ME2-morinth</x:v>
      </x:c>
      <x:c r="B16" s="7" t="str">
        <x:v>Morinth</x:v>
      </x:c>
      <x:c r="C16" s="10" t="str">
        <x:v>Défini</x:v>
      </x:c>
      <x:c r="D16" s="11" t="str">
        <x:v>Non planifié</x:v>
      </x:c>
      <x:c r="E16" s="9" t="str">
        <x:v>P2</x:v>
      </x:c>
      <x:c r="F16" s="9" t="str">
        <x:v>ME2</x:v>
      </x:c>
      <x:c r="G16" s="9" t="str">
        <x:v>Référence à vérifier</x:v>
      </x:c>
      <x:c r="H16" s="7" t="str">
        <x:v>Alternative conditionnelle à Samara.</x:v>
      </x:c>
      <x:c r="I16" s="7" t="str">
        <x:v>Choix et identité dissimulée traités séparément.</x:v>
      </x:c>
      <x:c r="J16" s="7" t="str"/>
      <x:c r="K16" s="7" t="str">
        <x:v>content/trilogy/ME2-morinth.json</x:v>
      </x:c>
      <x:c r="L16" s="7" t="str"/>
      <x:c r="M16" s="7" t="str"/>
      <x:c r="N16" s="7" t="str">
        <x:v>Plan de couverture ME2 à détailler séparément ; rien de cette liste n’est déclaré jouable.</x:v>
      </x:c>
      <x:c r="O16" s="7" t="str">
        <x:v>https://eaassets-a.akamaihd.net/eahelp/manuals/mass-effect-2-manuals_PC_fr.pdf</x:v>
      </x:c>
      <x:c r="P16" s="7" t="str">
        <x:v>Extension future</x:v>
      </x:c>
      <x:c r="Q16" s="7" t="str"/>
    </x:row>
    <x:row r="17" ht="36" customHeight="1">
      <x:c r="A17" s="13" t="str">
        <x:v>ME2-legion</x:v>
      </x:c>
      <x:c r="B17" s="14" t="str">
        <x:v>Legion</x:v>
      </x:c>
      <x:c r="C17" s="10" t="str">
        <x:v>Défini</x:v>
      </x:c>
      <x:c r="D17" s="11" t="str">
        <x:v>Non planifié</x:v>
      </x:c>
      <x:c r="E17" s="15" t="str">
        <x:v>P2</x:v>
      </x:c>
      <x:c r="F17" s="15" t="str">
        <x:v>ME2</x:v>
      </x:c>
      <x:c r="G17" s="15" t="str">
        <x:v>Référence à vérifier</x:v>
      </x:c>
      <x:c r="H17" s="14" t="str">
        <x:v>Plateforme geth alliée.</x:v>
      </x:c>
      <x:c r="I17" s="14" t="str">
        <x:v>Révélations et recrutement au bon moment.</x:v>
      </x:c>
      <x:c r="J17" s="14" t="str"/>
      <x:c r="K17" s="14" t="str">
        <x:v>content/trilogy/ME2-legion.json</x:v>
      </x:c>
      <x:c r="L17" s="14" t="str"/>
      <x:c r="M17" s="14" t="str"/>
      <x:c r="N17" s="14" t="str">
        <x:v>Plan de couverture ME2 à détailler séparément ; rien de cette liste n’est déclaré jouable.</x:v>
      </x:c>
      <x:c r="O17" s="14" t="str">
        <x:v>https://eaassets-a.akamaihd.net/eahelp/manuals/mass-effect-2-manuals_PC_fr.pdf</x:v>
      </x:c>
      <x:c r="P17" s="14" t="str">
        <x:v>Extension future</x:v>
      </x:c>
      <x:c r="Q17" s="14" t="str"/>
    </x:row>
    <x:row r="18" ht="36" customHeight="1">
      <x:c r="A18" s="12" t="str">
        <x:v>ME2-zaeed-massani</x:v>
      </x:c>
      <x:c r="B18" s="7" t="str">
        <x:v>Zaeed Massani</x:v>
      </x:c>
      <x:c r="C18" s="10" t="str">
        <x:v>Défini</x:v>
      </x:c>
      <x:c r="D18" s="11" t="str">
        <x:v>Non planifié</x:v>
      </x:c>
      <x:c r="E18" s="9" t="str">
        <x:v>P2</x:v>
      </x:c>
      <x:c r="F18" s="9" t="str">
        <x:v>ME2</x:v>
      </x:c>
      <x:c r="G18" s="9" t="str">
        <x:v>Référence à vérifier</x:v>
      </x:c>
      <x:c r="H18" s="7" t="str">
        <x:v>Recrutement et mission de DLC.</x:v>
      </x:c>
      <x:c r="I18" s="7" t="str">
        <x:v>Contenu séparé avec source de référence.</x:v>
      </x:c>
      <x:c r="J18" s="7" t="str"/>
      <x:c r="K18" s="7" t="str">
        <x:v>content/trilogy/ME2-zaeed-massani.json</x:v>
      </x:c>
      <x:c r="L18" s="7" t="str"/>
      <x:c r="M18" s="7" t="str"/>
      <x:c r="N18" s="7" t="str">
        <x:v>Plan de couverture ME2 à détailler séparément ; rien de cette liste n’est déclaré jouable.</x:v>
      </x:c>
      <x:c r="O18" s="7" t="str">
        <x:v>https://eaassets-a.akamaihd.net/eahelp/manuals/mass-effect-2-manuals_PC_fr.pdf</x:v>
      </x:c>
      <x:c r="P18" s="7" t="str">
        <x:v>Extension future</x:v>
      </x:c>
      <x:c r="Q18" s="7" t="str"/>
    </x:row>
    <x:row r="19" ht="36" customHeight="1">
      <x:c r="A19" s="13" t="str">
        <x:v>ME2-kasumi-goto</x:v>
      </x:c>
      <x:c r="B19" s="14" t="str">
        <x:v>Kasumi Goto</x:v>
      </x:c>
      <x:c r="C19" s="10" t="str">
        <x:v>Défini</x:v>
      </x:c>
      <x:c r="D19" s="11" t="str">
        <x:v>Non planifié</x:v>
      </x:c>
      <x:c r="E19" s="15" t="str">
        <x:v>P2</x:v>
      </x:c>
      <x:c r="F19" s="15" t="str">
        <x:v>ME2</x:v>
      </x:c>
      <x:c r="G19" s="15" t="str">
        <x:v>Référence à vérifier</x:v>
      </x:c>
      <x:c r="H19" s="14" t="str">
        <x:v>Recrutement et mission de DLC.</x:v>
      </x:c>
      <x:c r="I19" s="14" t="str">
        <x:v>Dissimulation et costume fidèles à l’épisode.</x:v>
      </x:c>
      <x:c r="J19" s="14" t="str"/>
      <x:c r="K19" s="14" t="str">
        <x:v>content/trilogy/ME2-kasumi-goto.json</x:v>
      </x:c>
      <x:c r="L19" s="14" t="str"/>
      <x:c r="M19" s="14" t="str"/>
      <x:c r="N19" s="14" t="str">
        <x:v>Plan de couverture ME2 à détailler séparément ; rien de cette liste n’est déclaré jouable.</x:v>
      </x:c>
      <x:c r="O19" s="14" t="str">
        <x:v>https://eaassets-a.akamaihd.net/eahelp/manuals/mass-effect-2-manuals_PC_fr.pdf</x:v>
      </x:c>
      <x:c r="P19" s="14" t="str">
        <x:v>Extension future</x:v>
      </x:c>
      <x:c r="Q19" s="14" t="str"/>
    </x:row>
    <x:row r="20" ht="36" customHeight="1">
      <x:c r="A20" s="12" t="str">
        <x:v>ME2-garrus-archangel</x:v>
      </x:c>
      <x:c r="B20" s="7" t="str">
        <x:v>Garrus Archangel</x:v>
      </x:c>
      <x:c r="C20" s="10" t="str">
        <x:v>Défini</x:v>
      </x:c>
      <x:c r="D20" s="11" t="str">
        <x:v>Non planifié</x:v>
      </x:c>
      <x:c r="E20" s="9" t="str">
        <x:v>P2</x:v>
      </x:c>
      <x:c r="F20" s="9" t="str">
        <x:v>ME2</x:v>
      </x:c>
      <x:c r="G20" s="9" t="str">
        <x:v>Référence à vérifier</x:v>
      </x:c>
      <x:c r="H20" s="7" t="str">
        <x:v>Retour et identité sur Omega.</x:v>
      </x:c>
      <x:c r="I20" s="7" t="str">
        <x:v>Blessures et apparence de ME2 distinctes du premier jeu.</x:v>
      </x:c>
      <x:c r="J20" s="7" t="str"/>
      <x:c r="K20" s="7" t="str">
        <x:v>content/trilogy/ME2-garrus-archangel.json</x:v>
      </x:c>
      <x:c r="L20" s="7" t="str"/>
      <x:c r="M20" s="7" t="str"/>
      <x:c r="N20" s="7" t="str">
        <x:v>Plan de couverture ME2 à détailler séparément ; rien de cette liste n’est déclaré jouable.</x:v>
      </x:c>
      <x:c r="O20" s="7" t="str">
        <x:v>https://eaassets-a.akamaihd.net/eahelp/manuals/mass-effect-2-manuals_PC_fr.pdf</x:v>
      </x:c>
      <x:c r="P20" s="7" t="str">
        <x:v>Extension future</x:v>
      </x:c>
      <x:c r="Q20" s="7" t="str"/>
    </x:row>
    <x:row r="21" ht="36" customHeight="1">
      <x:c r="A21" s="13" t="str">
        <x:v>ME2-tali-vas-neema</x:v>
      </x:c>
      <x:c r="B21" s="14" t="str">
        <x:v>Tali vas Neema</x:v>
      </x:c>
      <x:c r="C21" s="10" t="str">
        <x:v>Défini</x:v>
      </x:c>
      <x:c r="D21" s="11" t="str">
        <x:v>Non planifié</x:v>
      </x:c>
      <x:c r="E21" s="15" t="str">
        <x:v>P2</x:v>
      </x:c>
      <x:c r="F21" s="15" t="str">
        <x:v>ME2</x:v>
      </x:c>
      <x:c r="G21" s="15" t="str">
        <x:v>Référence à vérifier</x:v>
      </x:c>
      <x:c r="H21" s="14" t="str">
        <x:v>Retour de Tali et contexte de la flotte.</x:v>
      </x:c>
      <x:c r="I21" s="14" t="str">
        <x:v>Nom et progression de sa mission vérifiés.</x:v>
      </x:c>
      <x:c r="J21" s="14" t="str"/>
      <x:c r="K21" s="14" t="str">
        <x:v>content/trilogy/ME2-tali-vas-neema.json</x:v>
      </x:c>
      <x:c r="L21" s="14" t="str"/>
      <x:c r="M21" s="14" t="str"/>
      <x:c r="N21" s="14" t="str">
        <x:v>Plan de couverture ME2 à détailler séparément ; rien de cette liste n’est déclaré jouable.</x:v>
      </x:c>
      <x:c r="O21" s="14" t="str">
        <x:v>https://eaassets-a.akamaihd.net/eahelp/manuals/mass-effect-2-manuals_PC_fr.pdf</x:v>
      </x:c>
      <x:c r="P21" s="14" t="str">
        <x:v>Extension future</x:v>
      </x:c>
      <x:c r="Q21" s="14" t="str"/>
    </x:row>
    <x:row r="22" ht="36" customHeight="1">
      <x:c r="A22" s="12" t="str">
        <x:v>ME2-edi-sr-2</x:v>
      </x:c>
      <x:c r="B22" s="7" t="str">
        <x:v>EDI SR-2</x:v>
      </x:c>
      <x:c r="C22" s="10" t="str">
        <x:v>Défini</x:v>
      </x:c>
      <x:c r="D22" s="11" t="str">
        <x:v>Non planifié</x:v>
      </x:c>
      <x:c r="E22" s="9" t="str">
        <x:v>P2</x:v>
      </x:c>
      <x:c r="F22" s="9" t="str">
        <x:v>ME2</x:v>
      </x:c>
      <x:c r="G22" s="9" t="str">
        <x:v>Référence à vérifier</x:v>
      </x:c>
      <x:c r="H22" s="7" t="str">
        <x:v>Intelligence du vaisseau.</x:v>
      </x:c>
      <x:c r="I22" s="7" t="str">
        <x:v>Pas de corps humanoïde de ME3 dans cette période.</x:v>
      </x:c>
      <x:c r="J22" s="7" t="str"/>
      <x:c r="K22" s="7" t="str">
        <x:v>content/trilogy/ME2-edi-sr-2.json</x:v>
      </x:c>
      <x:c r="L22" s="7" t="str"/>
      <x:c r="M22" s="7" t="str"/>
      <x:c r="N22" s="7" t="str">
        <x:v>Plan de couverture ME2 à détailler séparément ; rien de cette liste n’est déclaré jouable.</x:v>
      </x:c>
      <x:c r="O22" s="7" t="str">
        <x:v>https://eaassets-a.akamaihd.net/eahelp/manuals/mass-effect-2-manuals_PC_fr.pdf</x:v>
      </x:c>
      <x:c r="P22" s="7" t="str">
        <x:v>Extension future</x:v>
      </x:c>
      <x:c r="Q22" s="7" t="str"/>
    </x:row>
    <x:row r="23" ht="36" customHeight="1">
      <x:c r="A23" s="13" t="str">
        <x:v>ME2-homme-trouble</x:v>
      </x:c>
      <x:c r="B23" s="14" t="str">
        <x:v>Homme Trouble</x:v>
      </x:c>
      <x:c r="C23" s="10" t="str">
        <x:v>Défini</x:v>
      </x:c>
      <x:c r="D23" s="11" t="str">
        <x:v>Non planifié</x:v>
      </x:c>
      <x:c r="E23" s="15" t="str">
        <x:v>P2</x:v>
      </x:c>
      <x:c r="F23" s="15" t="str">
        <x:v>ME2</x:v>
      </x:c>
      <x:c r="G23" s="15" t="str">
        <x:v>Référence à vérifier</x:v>
      </x:c>
      <x:c r="H23" s="14" t="str">
        <x:v>Commanditaire et conflit d’intérêts.</x:v>
      </x:c>
      <x:c r="I23" s="14" t="str">
        <x:v>Cadrage et réactions selon la progression.</x:v>
      </x:c>
      <x:c r="J23" s="14" t="str"/>
      <x:c r="K23" s="14" t="str">
        <x:v>content/trilogy/ME2-homme-trouble.json</x:v>
      </x:c>
      <x:c r="L23" s="14" t="str"/>
      <x:c r="M23" s="14" t="str"/>
      <x:c r="N23" s="14" t="str">
        <x:v>Plan de couverture ME2 à détailler séparément ; rien de cette liste n’est déclaré jouable.</x:v>
      </x:c>
      <x:c r="O23" s="14" t="str">
        <x:v>https://eaassets-a.akamaihd.net/eahelp/manuals/mass-effect-2-manuals_PC_fr.pdf</x:v>
      </x:c>
      <x:c r="P23" s="14" t="str">
        <x:v>Extension future</x:v>
      </x:c>
      <x:c r="Q23" s="14" t="str"/>
    </x:row>
    <x:row r="24" ht="36" customHeight="1">
      <x:c r="A24" s="12" t="str">
        <x:v>ME2-omega</x:v>
      </x:c>
      <x:c r="B24" s="7" t="str">
        <x:v>Omega</x:v>
      </x:c>
      <x:c r="C24" s="10" t="str">
        <x:v>Défini</x:v>
      </x:c>
      <x:c r="D24" s="11" t="str">
        <x:v>Non planifié</x:v>
      </x:c>
      <x:c r="E24" s="9" t="str">
        <x:v>P2</x:v>
      </x:c>
      <x:c r="F24" s="9" t="str">
        <x:v>ME2</x:v>
      </x:c>
      <x:c r="G24" s="9" t="str">
        <x:v>Référence à vérifier</x:v>
      </x:c>
      <x:c r="H24" s="7" t="str">
        <x:v>Hub de station criminelle.</x:v>
      </x:c>
      <x:c r="I24" s="7" t="str">
        <x:v>Afterlife et quartiers cartographiés séparément.</x:v>
      </x:c>
      <x:c r="J24" s="7" t="str"/>
      <x:c r="K24" s="7" t="str">
        <x:v>content/trilogy/ME2-omega.json</x:v>
      </x:c>
      <x:c r="L24" s="7" t="str"/>
      <x:c r="M24" s="7" t="str"/>
      <x:c r="N24" s="7" t="str">
        <x:v>Plan de couverture ME2 à détailler séparément ; rien de cette liste n’est déclaré jouable.</x:v>
      </x:c>
      <x:c r="O24" s="7" t="str">
        <x:v>https://eaassets-a.akamaihd.net/eahelp/manuals/mass-effect-2-manuals_PC_fr.pdf</x:v>
      </x:c>
      <x:c r="P24" s="7" t="str">
        <x:v>Extension future</x:v>
      </x:c>
      <x:c r="Q24" s="7" t="str"/>
    </x:row>
    <x:row r="25" ht="36" customHeight="1">
      <x:c r="A25" s="13" t="str">
        <x:v>ME2-illium</x:v>
      </x:c>
      <x:c r="B25" s="14" t="str">
        <x:v>Illium</x:v>
      </x:c>
      <x:c r="C25" s="10" t="str">
        <x:v>Défini</x:v>
      </x:c>
      <x:c r="D25" s="11" t="str">
        <x:v>Non planifié</x:v>
      </x:c>
      <x:c r="E25" s="15" t="str">
        <x:v>P2</x:v>
      </x:c>
      <x:c r="F25" s="15" t="str">
        <x:v>ME2</x:v>
      </x:c>
      <x:c r="G25" s="15" t="str">
        <x:v>Référence à vérifier</x:v>
      </x:c>
      <x:c r="H25" s="14" t="str">
        <x:v>Hub asari commercial.</x:v>
      </x:c>
      <x:c r="I25" s="14" t="str">
        <x:v>Architecture et enjeux propres à l’épisode.</x:v>
      </x:c>
      <x:c r="J25" s="14" t="str"/>
      <x:c r="K25" s="14" t="str">
        <x:v>content/trilogy/ME2-illium.json</x:v>
      </x:c>
      <x:c r="L25" s="14" t="str"/>
      <x:c r="M25" s="14" t="str"/>
      <x:c r="N25" s="14" t="str">
        <x:v>Plan de couverture ME2 à détailler séparément ; rien de cette liste n’est déclaré jouable.</x:v>
      </x:c>
      <x:c r="O25" s="14" t="str">
        <x:v>https://eaassets-a.akamaihd.net/eahelp/manuals/mass-effect-2-manuals_PC_fr.pdf</x:v>
      </x:c>
      <x:c r="P25" s="14" t="str">
        <x:v>Extension future</x:v>
      </x:c>
      <x:c r="Q25" s="14" t="str"/>
    </x:row>
    <x:row r="26" ht="36" customHeight="1">
      <x:c r="A26" s="12" t="str">
        <x:v>ME2-tuchanka</x:v>
      </x:c>
      <x:c r="B26" s="7" t="str">
        <x:v>Tuchanka</x:v>
      </x:c>
      <x:c r="C26" s="10" t="str">
        <x:v>Défini</x:v>
      </x:c>
      <x:c r="D26" s="11" t="str">
        <x:v>Non planifié</x:v>
      </x:c>
      <x:c r="E26" s="9" t="str">
        <x:v>P2</x:v>
      </x:c>
      <x:c r="F26" s="9" t="str">
        <x:v>ME2</x:v>
      </x:c>
      <x:c r="G26" s="9" t="str">
        <x:v>Référence à vérifier</x:v>
      </x:c>
      <x:c r="H26" s="7" t="str">
        <x:v>Monde krogan visitable.</x:v>
      </x:c>
      <x:c r="I26" s="7" t="str">
        <x:v>Clans et situation de Wrex liés à l’import.</x:v>
      </x:c>
      <x:c r="J26" s="7" t="str"/>
      <x:c r="K26" s="7" t="str">
        <x:v>content/trilogy/ME2-tuchanka.json</x:v>
      </x:c>
      <x:c r="L26" s="7" t="str"/>
      <x:c r="M26" s="7" t="str"/>
      <x:c r="N26" s="7" t="str">
        <x:v>Plan de couverture ME2 à détailler séparément ; rien de cette liste n’est déclaré jouable.</x:v>
      </x:c>
      <x:c r="O26" s="7" t="str">
        <x:v>https://eaassets-a.akamaihd.net/eahelp/manuals/mass-effect-2-manuals_PC_fr.pdf</x:v>
      </x:c>
      <x:c r="P26" s="7" t="str">
        <x:v>Extension future</x:v>
      </x:c>
      <x:c r="Q26" s="7" t="str"/>
    </x:row>
    <x:row r="27" ht="36" customHeight="1">
      <x:c r="A27" s="13" t="str">
        <x:v>ME2-flotte-nomade-me2</x:v>
      </x:c>
      <x:c r="B27" s="14" t="str">
        <x:v>Flotte nomade ME2</x:v>
      </x:c>
      <x:c r="C27" s="10" t="str">
        <x:v>Défini</x:v>
      </x:c>
      <x:c r="D27" s="11" t="str">
        <x:v>Non planifié</x:v>
      </x:c>
      <x:c r="E27" s="15" t="str">
        <x:v>P2</x:v>
      </x:c>
      <x:c r="F27" s="15" t="str">
        <x:v>ME2</x:v>
      </x:c>
      <x:c r="G27" s="15" t="str">
        <x:v>Référence à vérifier</x:v>
      </x:c>
      <x:c r="H27" s="14" t="str">
        <x:v>Procès de Tali et installations.</x:v>
      </x:c>
      <x:c r="I27" s="14" t="str">
        <x:v>Condition de mission et sécurité des Quariens.</x:v>
      </x:c>
      <x:c r="J27" s="14" t="str"/>
      <x:c r="K27" s="14" t="str">
        <x:v>content/trilogy/ME2-flotte-nomade-me2.json</x:v>
      </x:c>
      <x:c r="L27" s="14" t="str"/>
      <x:c r="M27" s="14" t="str"/>
      <x:c r="N27" s="14" t="str">
        <x:v>Plan de couverture ME2 à détailler séparément ; rien de cette liste n’est déclaré jouable.</x:v>
      </x:c>
      <x:c r="O27" s="14" t="str">
        <x:v>https://eaassets-a.akamaihd.net/eahelp/manuals/mass-effect-2-manuals_PC_fr.pdf</x:v>
      </x:c>
      <x:c r="P27" s="14" t="str">
        <x:v>Extension future</x:v>
      </x:c>
      <x:c r="Q27" s="14" t="str"/>
    </x:row>
    <x:row r="28" ht="36" customHeight="1">
      <x:c r="A28" s="12" t="str">
        <x:v>ME2-horizon</x:v>
      </x:c>
      <x:c r="B28" s="7" t="str">
        <x:v>Horizon</x:v>
      </x:c>
      <x:c r="C28" s="10" t="str">
        <x:v>Défini</x:v>
      </x:c>
      <x:c r="D28" s="11" t="str">
        <x:v>Non planifié</x:v>
      </x:c>
      <x:c r="E28" s="9" t="str">
        <x:v>P2</x:v>
      </x:c>
      <x:c r="F28" s="9" t="str">
        <x:v>ME2</x:v>
      </x:c>
      <x:c r="G28" s="9" t="str">
        <x:v>Référence à vérifier</x:v>
      </x:c>
      <x:c r="H28" s="7" t="str">
        <x:v>Mission principale liée aux disparitions.</x:v>
      </x:c>
      <x:c r="I28" s="7" t="str">
        <x:v>Rencontre du survivant de Virmire selon import.</x:v>
      </x:c>
      <x:c r="J28" s="7" t="str"/>
      <x:c r="K28" s="7" t="str">
        <x:v>content/trilogy/ME2-horizon.json</x:v>
      </x:c>
      <x:c r="L28" s="7" t="str"/>
      <x:c r="M28" s="7" t="str"/>
      <x:c r="N28" s="7" t="str">
        <x:v>Plan de couverture ME2 à détailler séparément ; rien de cette liste n’est déclaré jouable.</x:v>
      </x:c>
      <x:c r="O28" s="7" t="str">
        <x:v>https://eaassets-a.akamaihd.net/eahelp/manuals/mass-effect-2-manuals_PC_fr.pdf</x:v>
      </x:c>
      <x:c r="P28" s="7" t="str">
        <x:v>Extension future</x:v>
      </x:c>
      <x:c r="Q28" s="7" t="str"/>
    </x:row>
    <x:row r="29" ht="36" customHeight="1">
      <x:c r="A29" s="13" t="str">
        <x:v>ME2-vaisseau-recolteur</x:v>
      </x:c>
      <x:c r="B29" s="14" t="str">
        <x:v>Vaisseau Récolteur</x:v>
      </x:c>
      <x:c r="C29" s="10" t="str">
        <x:v>Défini</x:v>
      </x:c>
      <x:c r="D29" s="11" t="str">
        <x:v>Non planifié</x:v>
      </x:c>
      <x:c r="E29" s="15" t="str">
        <x:v>P2</x:v>
      </x:c>
      <x:c r="F29" s="15" t="str">
        <x:v>ME2</x:v>
      </x:c>
      <x:c r="G29" s="15" t="str">
        <x:v>Référence à vérifier</x:v>
      </x:c>
      <x:c r="H29" s="14" t="str">
        <x:v>Mission d’enquête et combat.</x:v>
      </x:c>
      <x:c r="I29" s="14" t="str">
        <x:v>Bestiaire et architecture spécifiques.</x:v>
      </x:c>
      <x:c r="J29" s="14" t="str"/>
      <x:c r="K29" s="14" t="str">
        <x:v>content/trilogy/ME2-vaisseau-recolteur.json</x:v>
      </x:c>
      <x:c r="L29" s="14" t="str"/>
      <x:c r="M29" s="14" t="str"/>
      <x:c r="N29" s="14" t="str">
        <x:v>Plan de couverture ME2 à détailler séparément ; rien de cette liste n’est déclaré jouable.</x:v>
      </x:c>
      <x:c r="O29" s="14" t="str">
        <x:v>https://eaassets-a.akamaihd.net/eahelp/manuals/mass-effect-2-manuals_PC_fr.pdf</x:v>
      </x:c>
      <x:c r="P29" s="14" t="str">
        <x:v>Extension future</x:v>
      </x:c>
      <x:c r="Q29" s="14" t="str"/>
    </x:row>
    <x:row r="30" ht="36" customHeight="1">
      <x:c r="A30" s="12" t="str">
        <x:v>ME2-reaper-abandonne</x:v>
      </x:c>
      <x:c r="B30" s="7" t="str">
        <x:v>Reaper abandonné</x:v>
      </x:c>
      <x:c r="C30" s="10" t="str">
        <x:v>Défini</x:v>
      </x:c>
      <x:c r="D30" s="11" t="str">
        <x:v>Non planifié</x:v>
      </x:c>
      <x:c r="E30" s="9" t="str">
        <x:v>P2</x:v>
      </x:c>
      <x:c r="F30" s="9" t="str">
        <x:v>ME2</x:v>
      </x:c>
      <x:c r="G30" s="9" t="str">
        <x:v>Référence à vérifier</x:v>
      </x:c>
      <x:c r="H30" s="7" t="str">
        <x:v>Mission d’acquisition du système IFF.</x:v>
      </x:c>
      <x:c r="I30" s="7" t="str">
        <x:v>Révélations et déclencheurs de la suite.</x:v>
      </x:c>
      <x:c r="J30" s="7" t="str"/>
      <x:c r="K30" s="7" t="str">
        <x:v>content/trilogy/ME2-reaper-abandonne.json</x:v>
      </x:c>
      <x:c r="L30" s="7" t="str"/>
      <x:c r="M30" s="7" t="str"/>
      <x:c r="N30" s="7" t="str">
        <x:v>Plan de couverture ME2 à détailler séparément ; rien de cette liste n’est déclaré jouable.</x:v>
      </x:c>
      <x:c r="O30" s="7" t="str">
        <x:v>https://eaassets-a.akamaihd.net/eahelp/manuals/mass-effect-2-manuals_PC_fr.pdf</x:v>
      </x:c>
      <x:c r="P30" s="7" t="str">
        <x:v>Extension future</x:v>
      </x:c>
      <x:c r="Q30" s="7" t="str"/>
    </x:row>
    <x:row r="31" ht="36" customHeight="1">
      <x:c r="A31" s="13" t="str">
        <x:v>ME2-mission-suicide</x:v>
      </x:c>
      <x:c r="B31" s="14" t="str">
        <x:v>Mission suicide</x:v>
      </x:c>
      <x:c r="C31" s="10" t="str">
        <x:v>Défini</x:v>
      </x:c>
      <x:c r="D31" s="11" t="str">
        <x:v>Non planifié</x:v>
      </x:c>
      <x:c r="E31" s="15" t="str">
        <x:v>P2</x:v>
      </x:c>
      <x:c r="F31" s="15" t="str">
        <x:v>ME2</x:v>
      </x:c>
      <x:c r="G31" s="15" t="str">
        <x:v>Référence à vérifier</x:v>
      </x:c>
      <x:c r="H31" s="14" t="str">
        <x:v>Attribution des rôles et conséquences.</x:v>
      </x:c>
      <x:c r="I31" s="14" t="str">
        <x:v>Survie liée aux loyautés, choix et améliorations.</x:v>
      </x:c>
      <x:c r="J31" s="14" t="str"/>
      <x:c r="K31" s="14" t="str">
        <x:v>content/trilogy/ME2-mission-suicide.json</x:v>
      </x:c>
      <x:c r="L31" s="14" t="str"/>
      <x:c r="M31" s="14" t="str"/>
      <x:c r="N31" s="14" t="str">
        <x:v>Plan de couverture ME2 à détailler séparément ; rien de cette liste n’est déclaré jouable.</x:v>
      </x:c>
      <x:c r="O31" s="14" t="str">
        <x:v>https://eaassets-a.akamaihd.net/eahelp/manuals/mass-effect-2-manuals_PC_fr.pdf</x:v>
      </x:c>
      <x:c r="P31" s="14" t="str">
        <x:v>Extension future</x:v>
      </x:c>
      <x:c r="Q31" s="14" t="str"/>
    </x:row>
    <x:row r="32" ht="36" customHeight="1">
      <x:c r="A32" s="12" t="str">
        <x:v>ME2-cartouches-thermiques</x:v>
      </x:c>
      <x:c r="B32" s="7" t="str">
        <x:v>Cartouches thermiques</x:v>
      </x:c>
      <x:c r="C32" s="10" t="str">
        <x:v>Défini</x:v>
      </x:c>
      <x:c r="D32" s="11" t="str">
        <x:v>Non planifié</x:v>
      </x:c>
      <x:c r="E32" s="9" t="str">
        <x:v>P2</x:v>
      </x:c>
      <x:c r="F32" s="9" t="str">
        <x:v>ME2</x:v>
      </x:c>
      <x:c r="G32" s="9" t="str">
        <x:v>Référence à vérifier</x:v>
      </x:c>
      <x:c r="H32" s="7" t="str">
        <x:v>Système d’armes propre à ME2.</x:v>
      </x:c>
      <x:c r="I32" s="7" t="str">
        <x:v>Règle séparée de la chaleur de ME1.</x:v>
      </x:c>
      <x:c r="J32" s="7" t="str"/>
      <x:c r="K32" s="7" t="str">
        <x:v>content/trilogy/ME2-cartouches-thermiques.json</x:v>
      </x:c>
      <x:c r="L32" s="7" t="str"/>
      <x:c r="M32" s="7" t="str"/>
      <x:c r="N32" s="7" t="str">
        <x:v>Plan de couverture ME2 à détailler séparément ; rien de cette liste n’est déclaré jouable.</x:v>
      </x:c>
      <x:c r="O32" s="7" t="str">
        <x:v>https://eaassets-a.akamaihd.net/eahelp/manuals/mass-effect-2-manuals_PC_fr.pdf</x:v>
      </x:c>
      <x:c r="P32" s="7" t="str">
        <x:v>Extension future</x:v>
      </x:c>
      <x:c r="Q32" s="7" t="str"/>
    </x:row>
    <x:row r="33" ht="36" customHeight="1">
      <x:c r="A33" s="13" t="str">
        <x:v>ME2-charge-biotique</x:v>
      </x:c>
      <x:c r="B33" s="14" t="str">
        <x:v>Charge biotique</x:v>
      </x:c>
      <x:c r="C33" s="10" t="str">
        <x:v>Défini</x:v>
      </x:c>
      <x:c r="D33" s="11" t="str">
        <x:v>Non planifié</x:v>
      </x:c>
      <x:c r="E33" s="15" t="str">
        <x:v>P2</x:v>
      </x:c>
      <x:c r="F33" s="15" t="str">
        <x:v>ME2</x:v>
      </x:c>
      <x:c r="G33" s="15" t="str">
        <x:v>Référence à vérifier</x:v>
      </x:c>
      <x:c r="H33" s="14" t="str">
        <x:v>Pouvoir signature du Porte-étendard ME2.</x:v>
      </x:c>
      <x:c r="I33" s="14" t="str">
        <x:v>Déplacement et risque adaptés à l’ATB.</x:v>
      </x:c>
      <x:c r="J33" s="14" t="str"/>
      <x:c r="K33" s="14" t="str">
        <x:v>content/trilogy/ME2-charge-biotique.json</x:v>
      </x:c>
      <x:c r="L33" s="14" t="str"/>
      <x:c r="M33" s="14" t="str"/>
      <x:c r="N33" s="14" t="str">
        <x:v>Plan de couverture ME2 à détailler séparément ; rien de cette liste n’est déclaré jouable.</x:v>
      </x:c>
      <x:c r="O33" s="14" t="str">
        <x:v>https://eaassets-a.akamaihd.net/eahelp/manuals/mass-effect-2-manuals_PC_fr.pdf</x:v>
      </x:c>
      <x:c r="P33" s="14" t="str">
        <x:v>Extension future</x:v>
      </x:c>
      <x:c r="Q33" s="14" t="str"/>
    </x:row>
    <x:row r="34" ht="36" customHeight="1">
      <x:c r="A34" s="12" t="str">
        <x:v>ME2-camouflage-tactique</x:v>
      </x:c>
      <x:c r="B34" s="7" t="str">
        <x:v>Camouflage tactique</x:v>
      </x:c>
      <x:c r="C34" s="10" t="str">
        <x:v>Défini</x:v>
      </x:c>
      <x:c r="D34" s="11" t="str">
        <x:v>Non planifié</x:v>
      </x:c>
      <x:c r="E34" s="9" t="str">
        <x:v>P2</x:v>
      </x:c>
      <x:c r="F34" s="9" t="str">
        <x:v>ME2</x:v>
      </x:c>
      <x:c r="G34" s="9" t="str">
        <x:v>Référence à vérifier</x:v>
      </x:c>
      <x:c r="H34" s="7" t="str">
        <x:v>Pouvoir signature du Franc-tireur ME2.</x:v>
      </x:c>
      <x:c r="I34" s="7" t="str">
        <x:v>Visibilité et bonus limités dans le temps.</x:v>
      </x:c>
      <x:c r="J34" s="7" t="str"/>
      <x:c r="K34" s="7" t="str">
        <x:v>content/trilogy/ME2-camouflage-tactique.json</x:v>
      </x:c>
      <x:c r="L34" s="7" t="str"/>
      <x:c r="M34" s="7" t="str"/>
      <x:c r="N34" s="7" t="str">
        <x:v>Plan de couverture ME2 à détailler séparément ; rien de cette liste n’est déclaré jouable.</x:v>
      </x:c>
      <x:c r="O34" s="7" t="str">
        <x:v>https://eaassets-a.akamaihd.net/eahelp/manuals/mass-effect-2-manuals_PC_fr.pdf</x:v>
      </x:c>
      <x:c r="P34" s="7" t="str">
        <x:v>Extension future</x:v>
      </x:c>
      <x:c r="Q34" s="7" t="str"/>
    </x:row>
    <x:row r="35" ht="36" customHeight="1">
      <x:c r="A35" s="13" t="str">
        <x:v>ME2-technoblindage</x:v>
      </x:c>
      <x:c r="B35" s="14" t="str">
        <x:v>Technoblindage</x:v>
      </x:c>
      <x:c r="C35" s="10" t="str">
        <x:v>Défini</x:v>
      </x:c>
      <x:c r="D35" s="11" t="str">
        <x:v>Non planifié</x:v>
      </x:c>
      <x:c r="E35" s="15" t="str">
        <x:v>P2</x:v>
      </x:c>
      <x:c r="F35" s="15" t="str">
        <x:v>ME2</x:v>
      </x:c>
      <x:c r="G35" s="15" t="str">
        <x:v>Référence à vérifier</x:v>
      </x:c>
      <x:c r="H35" s="14" t="str">
        <x:v>Pouvoir signature de la Sentinelle ME2.</x:v>
      </x:c>
      <x:c r="I35" s="14" t="str">
        <x:v>Défense et détonation documentées.</x:v>
      </x:c>
      <x:c r="J35" s="14" t="str"/>
      <x:c r="K35" s="14" t="str">
        <x:v>content/trilogy/ME2-technoblindage.json</x:v>
      </x:c>
      <x:c r="L35" s="14" t="str"/>
      <x:c r="M35" s="14" t="str"/>
      <x:c r="N35" s="14" t="str">
        <x:v>Plan de couverture ME2 à détailler séparément ; rien de cette liste n’est déclaré jouable.</x:v>
      </x:c>
      <x:c r="O35" s="14" t="str">
        <x:v>https://eaassets-a.akamaihd.net/eahelp/manuals/mass-effect-2-manuals_PC_fr.pdf</x:v>
      </x:c>
      <x:c r="P35" s="14" t="str">
        <x:v>Extension future</x:v>
      </x:c>
      <x:c r="Q35" s="14" t="str"/>
    </x:row>
    <x:row r="36" ht="36" customHeight="1">
      <x:c r="A36" s="12" t="str">
        <x:v>ME2-drone-de-combat</x:v>
      </x:c>
      <x:c r="B36" s="7" t="str">
        <x:v>Drone de combat</x:v>
      </x:c>
      <x:c r="C36" s="10" t="str">
        <x:v>Défini</x:v>
      </x:c>
      <x:c r="D36" s="11" t="str">
        <x:v>Non planifié</x:v>
      </x:c>
      <x:c r="E36" s="9" t="str">
        <x:v>P2</x:v>
      </x:c>
      <x:c r="F36" s="9" t="str">
        <x:v>ME2</x:v>
      </x:c>
      <x:c r="G36" s="9" t="str">
        <x:v>Référence à vérifier</x:v>
      </x:c>
      <x:c r="H36" s="7" t="str">
        <x:v>Pouvoir signature de l’Ingénieur ME2.</x:v>
      </x:c>
      <x:c r="I36" s="7" t="str">
        <x:v>Invocation technologique avec durée et cible.</x:v>
      </x:c>
      <x:c r="J36" s="7" t="str"/>
      <x:c r="K36" s="7" t="str">
        <x:v>content/trilogy/ME2-drone-de-combat.json</x:v>
      </x:c>
      <x:c r="L36" s="7" t="str"/>
      <x:c r="M36" s="7" t="str"/>
      <x:c r="N36" s="7" t="str">
        <x:v>Plan de couverture ME2 à détailler séparément ; rien de cette liste n’est déclaré jouable.</x:v>
      </x:c>
      <x:c r="O36" s="7" t="str">
        <x:v>https://eaassets-a.akamaihd.net/eahelp/manuals/mass-effect-2-manuals_PC_fr.pdf</x:v>
      </x:c>
      <x:c r="P36" s="7" t="str">
        <x:v>Extension future</x:v>
      </x:c>
      <x:c r="Q36" s="7" t="str"/>
    </x:row>
    <x:row r="37" ht="36" customHeight="1">
      <x:c r="A37" s="13" t="str">
        <x:v>ME2-courtier-de-l-ombre-dlc</x:v>
      </x:c>
      <x:c r="B37" s="14" t="str">
        <x:v>Courtier de l’Ombre DLC</x:v>
      </x:c>
      <x:c r="C37" s="10" t="str">
        <x:v>Défini</x:v>
      </x:c>
      <x:c r="D37" s="11" t="str">
        <x:v>Non planifié</x:v>
      </x:c>
      <x:c r="E37" s="15" t="str">
        <x:v>P2</x:v>
      </x:c>
      <x:c r="F37" s="15" t="str">
        <x:v>ME2</x:v>
      </x:c>
      <x:c r="G37" s="15" t="str">
        <x:v>Référence à vérifier</x:v>
      </x:c>
      <x:c r="H37" s="14" t="str">
        <x:v>Mission avec Liara et nouveau contexte.</x:v>
      </x:c>
      <x:c r="I37" s="14" t="str">
        <x:v>Continuité avec sa situation de ME2.</x:v>
      </x:c>
      <x:c r="J37" s="14" t="str"/>
      <x:c r="K37" s="14" t="str">
        <x:v>content/trilogy/ME2-courtier-de-l-ombre-dlc.json</x:v>
      </x:c>
      <x:c r="L37" s="14" t="str"/>
      <x:c r="M37" s="14" t="str"/>
      <x:c r="N37" s="14" t="str">
        <x:v>Plan de couverture ME2 à détailler séparément ; rien de cette liste n’est déclaré jouable.</x:v>
      </x:c>
      <x:c r="O37" s="14" t="str">
        <x:v>https://eaassets-a.akamaihd.net/eahelp/manuals/mass-effect-2-manuals_PC_fr.pdf</x:v>
      </x:c>
      <x:c r="P37" s="14" t="str">
        <x:v>Extension future</x:v>
      </x:c>
      <x:c r="Q37" s="14" t="str"/>
    </x:row>
    <x:row r="38" ht="36" customHeight="1">
      <x:c r="A38" s="12" t="str">
        <x:v>ME2-overlord-dlc</x:v>
      </x:c>
      <x:c r="B38" s="7" t="str">
        <x:v>Overlord DLC</x:v>
      </x:c>
      <x:c r="C38" s="10" t="str">
        <x:v>Défini</x:v>
      </x:c>
      <x:c r="D38" s="11" t="str">
        <x:v>Non planifié</x:v>
      </x:c>
      <x:c r="E38" s="9" t="str">
        <x:v>P2</x:v>
      </x:c>
      <x:c r="F38" s="9" t="str">
        <x:v>ME2</x:v>
      </x:c>
      <x:c r="G38" s="9" t="str">
        <x:v>Référence à vérifier</x:v>
      </x:c>
      <x:c r="H38" s="7" t="str">
        <x:v>Enquête sur une expérience de Cerberus.</x:v>
      </x:c>
      <x:c r="I38" s="7" t="str">
        <x:v>Décision finale exportable.</x:v>
      </x:c>
      <x:c r="J38" s="7" t="str"/>
      <x:c r="K38" s="7" t="str">
        <x:v>content/trilogy/ME2-overlord-dlc.json</x:v>
      </x:c>
      <x:c r="L38" s="7" t="str"/>
      <x:c r="M38" s="7" t="str"/>
      <x:c r="N38" s="7" t="str">
        <x:v>Plan de couverture ME2 à détailler séparément ; rien de cette liste n’est déclaré jouable.</x:v>
      </x:c>
      <x:c r="O38" s="7" t="str">
        <x:v>https://eaassets-a.akamaihd.net/eahelp/manuals/mass-effect-2-manuals_PC_fr.pdf</x:v>
      </x:c>
      <x:c r="P38" s="7" t="str">
        <x:v>Extension future</x:v>
      </x:c>
      <x:c r="Q38" s="7" t="str"/>
    </x:row>
    <x:row r="39" ht="36" customHeight="1">
      <x:c r="A39" s="13" t="str">
        <x:v>ME2-arrival-dlc</x:v>
      </x:c>
      <x:c r="B39" s="14" t="str">
        <x:v>Arrival DLC</x:v>
      </x:c>
      <x:c r="C39" s="10" t="str">
        <x:v>Défini</x:v>
      </x:c>
      <x:c r="D39" s="11" t="str">
        <x:v>Non planifié</x:v>
      </x:c>
      <x:c r="E39" s="15" t="str">
        <x:v>P2</x:v>
      </x:c>
      <x:c r="F39" s="15" t="str">
        <x:v>ME2</x:v>
      </x:c>
      <x:c r="G39" s="15" t="str">
        <x:v>Référence à vérifier</x:v>
      </x:c>
      <x:c r="H39" s="14" t="str">
        <x:v>Mission de transition vers ME3.</x:v>
      </x:c>
      <x:c r="I39" s="14" t="str">
        <x:v>Position dans la chronologie explicitée.</x:v>
      </x:c>
      <x:c r="J39" s="14" t="str"/>
      <x:c r="K39" s="14" t="str">
        <x:v>content/trilogy/ME2-arrival-dlc.json</x:v>
      </x:c>
      <x:c r="L39" s="14" t="str"/>
      <x:c r="M39" s="14" t="str"/>
      <x:c r="N39" s="14" t="str">
        <x:v>Plan de couverture ME2 à détailler séparément ; rien de cette liste n’est déclaré jouable.</x:v>
      </x:c>
      <x:c r="O39" s="14" t="str">
        <x:v>https://eaassets-a.akamaihd.net/eahelp/manuals/mass-effect-2-manuals_PC_fr.pdf</x:v>
      </x:c>
      <x:c r="P39" s="14" t="str">
        <x:v>Extension future</x:v>
      </x:c>
      <x:c r="Q39" s="14" t="str"/>
    </x:row>
    <x:row r="40" ht="36" customHeight="1">
      <x:c r="A40" s="12" t="str">
        <x:v>ME3-normandy-sr-2-alliance</x:v>
      </x:c>
      <x:c r="B40" s="7" t="str">
        <x:v>Normandy SR-2 Alliance</x:v>
      </x:c>
      <x:c r="C40" s="10" t="str">
        <x:v>Défini</x:v>
      </x:c>
      <x:c r="D40" s="11" t="str">
        <x:v>Non planifié</x:v>
      </x:c>
      <x:c r="E40" s="9" t="str">
        <x:v>P2</x:v>
      </x:c>
      <x:c r="F40" s="9" t="str">
        <x:v>ME3</x:v>
      </x:c>
      <x:c r="G40" s="9" t="str">
        <x:v>Référence à vérifier</x:v>
      </x:c>
      <x:c r="H40" s="7" t="str">
        <x:v>Réaménagement du vaisseau sous l’Alliance.</x:v>
      </x:c>
      <x:c r="I40" s="7" t="str">
        <x:v>Plan distinct de la version Cerberus.</x:v>
      </x:c>
      <x:c r="J40" s="7" t="str"/>
      <x:c r="K40" s="7" t="str">
        <x:v>content/trilogy/ME3-normandy-sr-2-alliance.json</x:v>
      </x:c>
      <x:c r="L40" s="7" t="str"/>
      <x:c r="M40" s="7" t="str"/>
      <x:c r="N40" s="7" t="str">
        <x:v>Plan de couverture ME3 non implémenté ; sources et variantes à documenter.</x:v>
      </x:c>
      <x:c r="O40" s="7" t="str">
        <x:v>https://www.ea.com/fr/games/mass-effect/mass-effect-legendary-edition</x:v>
      </x:c>
      <x:c r="P40" s="7" t="str">
        <x:v>Extension future</x:v>
      </x:c>
      <x:c r="Q40" s="7" t="str"/>
    </x:row>
    <x:row r="41" ht="36" customHeight="1">
      <x:c r="A41" s="13" t="str">
        <x:v>ME3-invasion-de-la-terre</x:v>
      </x:c>
      <x:c r="B41" s="14" t="str">
        <x:v>Invasion de la Terre</x:v>
      </x:c>
      <x:c r="C41" s="10" t="str">
        <x:v>Défini</x:v>
      </x:c>
      <x:c r="D41" s="11" t="str">
        <x:v>Non planifié</x:v>
      </x:c>
      <x:c r="E41" s="15" t="str">
        <x:v>P2</x:v>
      </x:c>
      <x:c r="F41" s="15" t="str">
        <x:v>ME3</x:v>
      </x:c>
      <x:c r="G41" s="15" t="str">
        <x:v>Référence à vérifier</x:v>
      </x:c>
      <x:c r="H41" s="14" t="str">
        <x:v>Prologue et fuite.</x:v>
      </x:c>
      <x:c r="I41" s="14" t="str">
        <x:v>Échelle de la guerre respecte la narration.</x:v>
      </x:c>
      <x:c r="J41" s="14" t="str"/>
      <x:c r="K41" s="14" t="str">
        <x:v>content/trilogy/ME3-invasion-de-la-terre.json</x:v>
      </x:c>
      <x:c r="L41" s="14" t="str"/>
      <x:c r="M41" s="14" t="str"/>
      <x:c r="N41" s="14" t="str">
        <x:v>Plan de couverture ME3 non implémenté ; sources et variantes à documenter.</x:v>
      </x:c>
      <x:c r="O41" s="14" t="str">
        <x:v>https://www.ea.com/fr/games/mass-effect/mass-effect-legendary-edition</x:v>
      </x:c>
      <x:c r="P41" s="14" t="str">
        <x:v>Extension future</x:v>
      </x:c>
      <x:c r="Q41" s="14" t="str"/>
    </x:row>
    <x:row r="42" ht="36" customHeight="1">
      <x:c r="A42" s="12" t="str">
        <x:v>ME3-james-vega</x:v>
      </x:c>
      <x:c r="B42" s="7" t="str">
        <x:v>James Vega</x:v>
      </x:c>
      <x:c r="C42" s="10" t="str">
        <x:v>Défini</x:v>
      </x:c>
      <x:c r="D42" s="11" t="str">
        <x:v>Non planifié</x:v>
      </x:c>
      <x:c r="E42" s="9" t="str">
        <x:v>P2</x:v>
      </x:c>
      <x:c r="F42" s="9" t="str">
        <x:v>ME3</x:v>
      </x:c>
      <x:c r="G42" s="9" t="str">
        <x:v>Référence à vérifier</x:v>
      </x:c>
      <x:c r="H42" s="7" t="str">
        <x:v>Nouveau compagnon militaire.</x:v>
      </x:c>
      <x:c r="I42" s="7" t="str">
        <x:v>Silhouette et gestes propres.</x:v>
      </x:c>
      <x:c r="J42" s="7" t="str"/>
      <x:c r="K42" s="7" t="str">
        <x:v>content/trilogy/ME3-james-vega.json</x:v>
      </x:c>
      <x:c r="L42" s="7" t="str"/>
      <x:c r="M42" s="7" t="str"/>
      <x:c r="N42" s="7" t="str">
        <x:v>Plan de couverture ME3 non implémenté ; sources et variantes à documenter.</x:v>
      </x:c>
      <x:c r="O42" s="7" t="str">
        <x:v>https://www.ea.com/fr/games/mass-effect/mass-effect-legendary-edition</x:v>
      </x:c>
      <x:c r="P42" s="7" t="str">
        <x:v>Extension future</x:v>
      </x:c>
      <x:c r="Q42" s="7" t="str"/>
    </x:row>
    <x:row r="43" ht="36" customHeight="1">
      <x:c r="A43" s="13" t="str">
        <x:v>ME3-edi-corps-mobile</x:v>
      </x:c>
      <x:c r="B43" s="14" t="str">
        <x:v>EDI corps mobile</x:v>
      </x:c>
      <x:c r="C43" s="10" t="str">
        <x:v>Défini</x:v>
      </x:c>
      <x:c r="D43" s="11" t="str">
        <x:v>Non planifié</x:v>
      </x:c>
      <x:c r="E43" s="15" t="str">
        <x:v>P2</x:v>
      </x:c>
      <x:c r="F43" s="15" t="str">
        <x:v>ME3</x:v>
      </x:c>
      <x:c r="G43" s="15" t="str">
        <x:v>Référence à vérifier</x:v>
      </x:c>
      <x:c r="H43" s="14" t="str">
        <x:v>Nouvelle incarnation de l’IA.</x:v>
      </x:c>
      <x:c r="I43" s="14" t="str">
        <x:v>Réservée à la période de ME3.</x:v>
      </x:c>
      <x:c r="J43" s="14" t="str"/>
      <x:c r="K43" s="14" t="str">
        <x:v>content/trilogy/ME3-edi-corps-mobile.json</x:v>
      </x:c>
      <x:c r="L43" s="14" t="str"/>
      <x:c r="M43" s="14" t="str"/>
      <x:c r="N43" s="14" t="str">
        <x:v>Plan de couverture ME3 non implémenté ; sources et variantes à documenter.</x:v>
      </x:c>
      <x:c r="O43" s="14" t="str">
        <x:v>https://www.ea.com/fr/games/mass-effect/mass-effect-legendary-edition</x:v>
      </x:c>
      <x:c r="P43" s="14" t="str">
        <x:v>Extension future</x:v>
      </x:c>
      <x:c r="Q43" s="14" t="str"/>
    </x:row>
    <x:row r="44" ht="36" customHeight="1">
      <x:c r="A44" s="12" t="str">
        <x:v>ME3-javik</x:v>
      </x:c>
      <x:c r="B44" s="7" t="str">
        <x:v>Javik</x:v>
      </x:c>
      <x:c r="C44" s="10" t="str">
        <x:v>Défini</x:v>
      </x:c>
      <x:c r="D44" s="11" t="str">
        <x:v>Non planifié</x:v>
      </x:c>
      <x:c r="E44" s="9" t="str">
        <x:v>P2</x:v>
      </x:c>
      <x:c r="F44" s="9" t="str">
        <x:v>ME3</x:v>
      </x:c>
      <x:c r="G44" s="9" t="str">
        <x:v>Référence à vérifier</x:v>
      </x:c>
      <x:c r="H44" s="7" t="str">
        <x:v>Compagnon prothéen du DLC From Ashes.</x:v>
      </x:c>
      <x:c r="I44" s="7" t="str">
        <x:v>Révélations non anticipées dans ME1.</x:v>
      </x:c>
      <x:c r="J44" s="7" t="str"/>
      <x:c r="K44" s="7" t="str">
        <x:v>content/trilogy/ME3-javik.json</x:v>
      </x:c>
      <x:c r="L44" s="7" t="str"/>
      <x:c r="M44" s="7" t="str"/>
      <x:c r="N44" s="7" t="str">
        <x:v>Plan de couverture ME3 non implémenté ; sources et variantes à documenter.</x:v>
      </x:c>
      <x:c r="O44" s="7" t="str">
        <x:v>https://www.ea.com/fr/games/mass-effect/mass-effect-legendary-edition</x:v>
      </x:c>
      <x:c r="P44" s="7" t="str">
        <x:v>Extension future</x:v>
      </x:c>
      <x:c r="Q44" s="7" t="str"/>
    </x:row>
    <x:row r="45" ht="36" customHeight="1">
      <x:c r="A45" s="13" t="str">
        <x:v>ME3-survivant-de-virmire</x:v>
      </x:c>
      <x:c r="B45" s="14" t="str">
        <x:v>Survivant de Virmire</x:v>
      </x:c>
      <x:c r="C45" s="10" t="str">
        <x:v>Défini</x:v>
      </x:c>
      <x:c r="D45" s="11" t="str">
        <x:v>Non planifié</x:v>
      </x:c>
      <x:c r="E45" s="15" t="str">
        <x:v>P2</x:v>
      </x:c>
      <x:c r="F45" s="15" t="str">
        <x:v>ME3</x:v>
      </x:c>
      <x:c r="G45" s="15" t="str">
        <x:v>Référence à vérifier</x:v>
      </x:c>
      <x:c r="H45" s="14" t="str">
        <x:v>Retour d’Ashley ou Kaidan.</x:v>
      </x:c>
      <x:c r="I45" s="14" t="str">
        <x:v>Import et relation déterminent la présence.</x:v>
      </x:c>
      <x:c r="J45" s="14" t="str"/>
      <x:c r="K45" s="14" t="str">
        <x:v>content/trilogy/ME3-survivant-de-virmire.json</x:v>
      </x:c>
      <x:c r="L45" s="14" t="str"/>
      <x:c r="M45" s="14" t="str"/>
      <x:c r="N45" s="14" t="str">
        <x:v>Plan de couverture ME3 non implémenté ; sources et variantes à documenter.</x:v>
      </x:c>
      <x:c r="O45" s="14" t="str">
        <x:v>https://www.ea.com/fr/games/mass-effect/mass-effect-legendary-edition</x:v>
      </x:c>
      <x:c r="P45" s="14" t="str">
        <x:v>Extension future</x:v>
      </x:c>
      <x:c r="Q45" s="14" t="str"/>
    </x:row>
    <x:row r="46" ht="36" customHeight="1">
      <x:c r="A46" s="12" t="str">
        <x:v>ME3-liara-me3</x:v>
      </x:c>
      <x:c r="B46" s="7" t="str">
        <x:v>Liara ME3</x:v>
      </x:c>
      <x:c r="C46" s="10" t="str">
        <x:v>Défini</x:v>
      </x:c>
      <x:c r="D46" s="11" t="str">
        <x:v>Non planifié</x:v>
      </x:c>
      <x:c r="E46" s="9" t="str">
        <x:v>P2</x:v>
      </x:c>
      <x:c r="F46" s="9" t="str">
        <x:v>ME3</x:v>
      </x:c>
      <x:c r="G46" s="9" t="str">
        <x:v>Référence à vérifier</x:v>
      </x:c>
      <x:c r="H46" s="7" t="str">
        <x:v>Rôle et apparence de la fin de trilogie.</x:v>
      </x:c>
      <x:c r="I46" s="7" t="str">
        <x:v>Tenue et connaissances distinctes du premier épisode.</x:v>
      </x:c>
      <x:c r="J46" s="7" t="str"/>
      <x:c r="K46" s="7" t="str">
        <x:v>content/trilogy/ME3-liara-me3.json</x:v>
      </x:c>
      <x:c r="L46" s="7" t="str"/>
      <x:c r="M46" s="7" t="str"/>
      <x:c r="N46" s="7" t="str">
        <x:v>Plan de couverture ME3 non implémenté ; sources et variantes à documenter.</x:v>
      </x:c>
      <x:c r="O46" s="7" t="str">
        <x:v>https://www.ea.com/fr/games/mass-effect/mass-effect-legendary-edition</x:v>
      </x:c>
      <x:c r="P46" s="7" t="str">
        <x:v>Extension future</x:v>
      </x:c>
      <x:c r="Q46" s="7" t="str"/>
    </x:row>
    <x:row r="47" ht="36" customHeight="1">
      <x:c r="A47" s="13" t="str">
        <x:v>ME3-garrus-me3</x:v>
      </x:c>
      <x:c r="B47" s="14" t="str">
        <x:v>Garrus ME3</x:v>
      </x:c>
      <x:c r="C47" s="10" t="str">
        <x:v>Défini</x:v>
      </x:c>
      <x:c r="D47" s="11" t="str">
        <x:v>Non planifié</x:v>
      </x:c>
      <x:c r="E47" s="15" t="str">
        <x:v>P2</x:v>
      </x:c>
      <x:c r="F47" s="15" t="str">
        <x:v>ME3</x:v>
      </x:c>
      <x:c r="G47" s="15" t="str">
        <x:v>Référence à vérifier</x:v>
      </x:c>
      <x:c r="H47" s="14" t="str">
        <x:v>Retour en contexte de guerre.</x:v>
      </x:c>
      <x:c r="I47" s="14" t="str">
        <x:v>Survie ME2 et relation importées.</x:v>
      </x:c>
      <x:c r="J47" s="14" t="str"/>
      <x:c r="K47" s="14" t="str">
        <x:v>content/trilogy/ME3-garrus-me3.json</x:v>
      </x:c>
      <x:c r="L47" s="14" t="str"/>
      <x:c r="M47" s="14" t="str"/>
      <x:c r="N47" s="14" t="str">
        <x:v>Plan de couverture ME3 non implémenté ; sources et variantes à documenter.</x:v>
      </x:c>
      <x:c r="O47" s="14" t="str">
        <x:v>https://www.ea.com/fr/games/mass-effect/mass-effect-legendary-edition</x:v>
      </x:c>
      <x:c r="P47" s="14" t="str">
        <x:v>Extension future</x:v>
      </x:c>
      <x:c r="Q47" s="14" t="str"/>
    </x:row>
    <x:row r="48" ht="36" customHeight="1">
      <x:c r="A48" s="12" t="str">
        <x:v>ME3-tali-me3</x:v>
      </x:c>
      <x:c r="B48" s="7" t="str">
        <x:v>Tali ME3</x:v>
      </x:c>
      <x:c r="C48" s="10" t="str">
        <x:v>Défini</x:v>
      </x:c>
      <x:c r="D48" s="11" t="str">
        <x:v>Non planifié</x:v>
      </x:c>
      <x:c r="E48" s="9" t="str">
        <x:v>P2</x:v>
      </x:c>
      <x:c r="F48" s="9" t="str">
        <x:v>ME3</x:v>
      </x:c>
      <x:c r="G48" s="9" t="str">
        <x:v>Référence à vérifier</x:v>
      </x:c>
      <x:c r="H48" s="7" t="str">
        <x:v>Rôle dans le conflit geth-quarien.</x:v>
      </x:c>
      <x:c r="I48" s="7" t="str">
        <x:v>Survie et choix précédents contrôlés.</x:v>
      </x:c>
      <x:c r="J48" s="7" t="str"/>
      <x:c r="K48" s="7" t="str">
        <x:v>content/trilogy/ME3-tali-me3.json</x:v>
      </x:c>
      <x:c r="L48" s="7" t="str"/>
      <x:c r="M48" s="7" t="str"/>
      <x:c r="N48" s="7" t="str">
        <x:v>Plan de couverture ME3 non implémenté ; sources et variantes à documenter.</x:v>
      </x:c>
      <x:c r="O48" s="7" t="str">
        <x:v>https://www.ea.com/fr/games/mass-effect/mass-effect-legendary-edition</x:v>
      </x:c>
      <x:c r="P48" s="7" t="str">
        <x:v>Extension future</x:v>
      </x:c>
      <x:c r="Q48" s="7" t="str"/>
    </x:row>
    <x:row r="49" ht="36" customHeight="1">
      <x:c r="A49" s="13" t="str">
        <x:v>ME3-mars</x:v>
      </x:c>
      <x:c r="B49" s="14" t="str">
        <x:v>Mars</x:v>
      </x:c>
      <x:c r="C49" s="10" t="str">
        <x:v>Défini</x:v>
      </x:c>
      <x:c r="D49" s="11" t="str">
        <x:v>Non planifié</x:v>
      </x:c>
      <x:c r="E49" s="15" t="str">
        <x:v>P2</x:v>
      </x:c>
      <x:c r="F49" s="15" t="str">
        <x:v>ME3</x:v>
      </x:c>
      <x:c r="G49" s="15" t="str">
        <x:v>Référence à vérifier</x:v>
      </x:c>
      <x:c r="H49" s="14" t="str">
        <x:v>Recherche des archives.</x:v>
      </x:c>
      <x:c r="I49" s="14" t="str">
        <x:v>Prologue de l’intrigue du Creuset.</x:v>
      </x:c>
      <x:c r="J49" s="14" t="str"/>
      <x:c r="K49" s="14" t="str">
        <x:v>content/trilogy/ME3-mars.json</x:v>
      </x:c>
      <x:c r="L49" s="14" t="str"/>
      <x:c r="M49" s="14" t="str"/>
      <x:c r="N49" s="14" t="str">
        <x:v>Plan de couverture ME3 non implémenté ; sources et variantes à documenter.</x:v>
      </x:c>
      <x:c r="O49" s="14" t="str">
        <x:v>https://www.ea.com/fr/games/mass-effect/mass-effect-legendary-edition</x:v>
      </x:c>
      <x:c r="P49" s="14" t="str">
        <x:v>Extension future</x:v>
      </x:c>
      <x:c r="Q49" s="14" t="str"/>
    </x:row>
    <x:row r="50" ht="36" customHeight="1">
      <x:c r="A50" s="12" t="str">
        <x:v>ME3-menae</x:v>
      </x:c>
      <x:c r="B50" s="7" t="str">
        <x:v>Menae</x:v>
      </x:c>
      <x:c r="C50" s="10" t="str">
        <x:v>Défini</x:v>
      </x:c>
      <x:c r="D50" s="11" t="str">
        <x:v>Non planifié</x:v>
      </x:c>
      <x:c r="E50" s="9" t="str">
        <x:v>P2</x:v>
      </x:c>
      <x:c r="F50" s="9" t="str">
        <x:v>ME3</x:v>
      </x:c>
      <x:c r="G50" s="9" t="str">
        <x:v>Référence à vérifier</x:v>
      </x:c>
      <x:c r="H50" s="7" t="str">
        <x:v>Front turien et recrutement.</x:v>
      </x:c>
      <x:c r="I50" s="7" t="str">
        <x:v>Lune et planète Palaven distinguées.</x:v>
      </x:c>
      <x:c r="J50" s="7" t="str"/>
      <x:c r="K50" s="7" t="str">
        <x:v>content/trilogy/ME3-menae.json</x:v>
      </x:c>
      <x:c r="L50" s="7" t="str"/>
      <x:c r="M50" s="7" t="str"/>
      <x:c r="N50" s="7" t="str">
        <x:v>Plan de couverture ME3 non implémenté ; sources et variantes à documenter.</x:v>
      </x:c>
      <x:c r="O50" s="7" t="str">
        <x:v>https://www.ea.com/fr/games/mass-effect/mass-effect-legendary-edition</x:v>
      </x:c>
      <x:c r="P50" s="7" t="str">
        <x:v>Extension future</x:v>
      </x:c>
      <x:c r="Q50" s="7" t="str"/>
    </x:row>
    <x:row r="51" ht="36" customHeight="1">
      <x:c r="A51" s="13" t="str">
        <x:v>ME3-sur-kesh</x:v>
      </x:c>
      <x:c r="B51" s="14" t="str">
        <x:v>Sur'Kesh</x:v>
      </x:c>
      <x:c r="C51" s="10" t="str">
        <x:v>Défini</x:v>
      </x:c>
      <x:c r="D51" s="11" t="str">
        <x:v>Non planifié</x:v>
      </x:c>
      <x:c r="E51" s="15" t="str">
        <x:v>P2</x:v>
      </x:c>
      <x:c r="F51" s="15" t="str">
        <x:v>ME3</x:v>
      </x:c>
      <x:c r="G51" s="15" t="str">
        <x:v>Référence à vérifier</x:v>
      </x:c>
      <x:c r="H51" s="14" t="str">
        <x:v>Mission diplomatique et extraction.</x:v>
      </x:c>
      <x:c r="I51" s="14" t="str">
        <x:v>Enjeux galariens et krogans documentés.</x:v>
      </x:c>
      <x:c r="J51" s="14" t="str"/>
      <x:c r="K51" s="14" t="str">
        <x:v>content/trilogy/ME3-sur-kesh.json</x:v>
      </x:c>
      <x:c r="L51" s="14" t="str"/>
      <x:c r="M51" s="14" t="str"/>
      <x:c r="N51" s="14" t="str">
        <x:v>Plan de couverture ME3 non implémenté ; sources et variantes à documenter.</x:v>
      </x:c>
      <x:c r="O51" s="14" t="str">
        <x:v>https://www.ea.com/fr/games/mass-effect/mass-effect-legendary-edition</x:v>
      </x:c>
      <x:c r="P51" s="14" t="str">
        <x:v>Extension future</x:v>
      </x:c>
      <x:c r="Q51" s="14" t="str"/>
    </x:row>
    <x:row r="52" ht="36" customHeight="1">
      <x:c r="A52" s="12" t="str">
        <x:v>ME3-tuchanka-genophage</x:v>
      </x:c>
      <x:c r="B52" s="7" t="str">
        <x:v>Tuchanka génophage</x:v>
      </x:c>
      <x:c r="C52" s="10" t="str">
        <x:v>Défini</x:v>
      </x:c>
      <x:c r="D52" s="11" t="str">
        <x:v>Non planifié</x:v>
      </x:c>
      <x:c r="E52" s="9" t="str">
        <x:v>P2</x:v>
      </x:c>
      <x:c r="F52" s="9" t="str">
        <x:v>ME3</x:v>
      </x:c>
      <x:c r="G52" s="9" t="str">
        <x:v>Référence à vérifier</x:v>
      </x:c>
      <x:c r="H52" s="7" t="str">
        <x:v>Arc majeur de résolution.</x:v>
      </x:c>
      <x:c r="I52" s="7" t="str">
        <x:v>Choix de Wrex, Mordin et autres imports pris en compte.</x:v>
      </x:c>
      <x:c r="J52" s="7" t="str"/>
      <x:c r="K52" s="7" t="str">
        <x:v>content/trilogy/ME3-tuchanka-genophage.json</x:v>
      </x:c>
      <x:c r="L52" s="7" t="str"/>
      <x:c r="M52" s="7" t="str"/>
      <x:c r="N52" s="7" t="str">
        <x:v>Plan de couverture ME3 non implémenté ; sources et variantes à documenter.</x:v>
      </x:c>
      <x:c r="O52" s="7" t="str">
        <x:v>https://www.ea.com/fr/games/mass-effect/mass-effect-legendary-edition</x:v>
      </x:c>
      <x:c r="P52" s="7" t="str">
        <x:v>Extension future</x:v>
      </x:c>
      <x:c r="Q52" s="7" t="str"/>
    </x:row>
    <x:row r="53" ht="36" customHeight="1">
      <x:c r="A53" s="13" t="str">
        <x:v>ME3-rannoch</x:v>
      </x:c>
      <x:c r="B53" s="14" t="str">
        <x:v>Rannoch</x:v>
      </x:c>
      <x:c r="C53" s="10" t="str">
        <x:v>Défini</x:v>
      </x:c>
      <x:c r="D53" s="11" t="str">
        <x:v>Non planifié</x:v>
      </x:c>
      <x:c r="E53" s="15" t="str">
        <x:v>P2</x:v>
      </x:c>
      <x:c r="F53" s="15" t="str">
        <x:v>ME3</x:v>
      </x:c>
      <x:c r="G53" s="15" t="str">
        <x:v>Référence à vérifier</x:v>
      </x:c>
      <x:c r="H53" s="14" t="str">
        <x:v>Conflit entre geth et Quariens.</x:v>
      </x:c>
      <x:c r="I53" s="14" t="str">
        <x:v>Conditions de résolution détaillées avant développement.</x:v>
      </x:c>
      <x:c r="J53" s="14" t="str"/>
      <x:c r="K53" s="14" t="str">
        <x:v>content/trilogy/ME3-rannoch.json</x:v>
      </x:c>
      <x:c r="L53" s="14" t="str"/>
      <x:c r="M53" s="14" t="str"/>
      <x:c r="N53" s="14" t="str">
        <x:v>Plan de couverture ME3 non implémenté ; sources et variantes à documenter.</x:v>
      </x:c>
      <x:c r="O53" s="14" t="str">
        <x:v>https://www.ea.com/fr/games/mass-effect/mass-effect-legendary-edition</x:v>
      </x:c>
      <x:c r="P53" s="14" t="str">
        <x:v>Extension future</x:v>
      </x:c>
      <x:c r="Q53" s="14" t="str"/>
    </x:row>
    <x:row r="54" ht="36" customHeight="1">
      <x:c r="A54" s="12" t="str">
        <x:v>ME3-thessia</x:v>
      </x:c>
      <x:c r="B54" s="7" t="str">
        <x:v>Thessia</x:v>
      </x:c>
      <x:c r="C54" s="10" t="str">
        <x:v>Défini</x:v>
      </x:c>
      <x:c r="D54" s="11" t="str">
        <x:v>Non planifié</x:v>
      </x:c>
      <x:c r="E54" s="9" t="str">
        <x:v>P2</x:v>
      </x:c>
      <x:c r="F54" s="9" t="str">
        <x:v>ME3</x:v>
      </x:c>
      <x:c r="G54" s="9" t="str">
        <x:v>Référence à vérifier</x:v>
      </x:c>
      <x:c r="H54" s="7" t="str">
        <x:v>Mission dans le monde asari.</x:v>
      </x:c>
      <x:c r="I54" s="7" t="str">
        <x:v>Révélations et issue respectées.</x:v>
      </x:c>
      <x:c r="J54" s="7" t="str"/>
      <x:c r="K54" s="7" t="str">
        <x:v>content/trilogy/ME3-thessia.json</x:v>
      </x:c>
      <x:c r="L54" s="7" t="str"/>
      <x:c r="M54" s="7" t="str"/>
      <x:c r="N54" s="7" t="str">
        <x:v>Plan de couverture ME3 non implémenté ; sources et variantes à documenter.</x:v>
      </x:c>
      <x:c r="O54" s="7" t="str">
        <x:v>https://www.ea.com/fr/games/mass-effect/mass-effect-legendary-edition</x:v>
      </x:c>
      <x:c r="P54" s="7" t="str">
        <x:v>Extension future</x:v>
      </x:c>
      <x:c r="Q54" s="7" t="str"/>
    </x:row>
    <x:row r="55" ht="36" customHeight="1">
      <x:c r="A55" s="13" t="str">
        <x:v>ME3-sanctuary</x:v>
      </x:c>
      <x:c r="B55" s="14" t="str">
        <x:v>Sanctuary</x:v>
      </x:c>
      <x:c r="C55" s="10" t="str">
        <x:v>Défini</x:v>
      </x:c>
      <x:c r="D55" s="11" t="str">
        <x:v>Non planifié</x:v>
      </x:c>
      <x:c r="E55" s="15" t="str">
        <x:v>P2</x:v>
      </x:c>
      <x:c r="F55" s="15" t="str">
        <x:v>ME3</x:v>
      </x:c>
      <x:c r="G55" s="15" t="str">
        <x:v>Référence à vérifier</x:v>
      </x:c>
      <x:c r="H55" s="14" t="str">
        <x:v>Enquête sur Cerberus.</x:v>
      </x:c>
      <x:c r="I55" s="14" t="str">
        <x:v>Personnages et choix antérieurs pris en compte.</x:v>
      </x:c>
      <x:c r="J55" s="14" t="str"/>
      <x:c r="K55" s="14" t="str">
        <x:v>content/trilogy/ME3-sanctuary.json</x:v>
      </x:c>
      <x:c r="L55" s="14" t="str"/>
      <x:c r="M55" s="14" t="str"/>
      <x:c r="N55" s="14" t="str">
        <x:v>Plan de couverture ME3 non implémenté ; sources et variantes à documenter.</x:v>
      </x:c>
      <x:c r="O55" s="14" t="str">
        <x:v>https://www.ea.com/fr/games/mass-effect/mass-effect-legendary-edition</x:v>
      </x:c>
      <x:c r="P55" s="14" t="str">
        <x:v>Extension future</x:v>
      </x:c>
      <x:c r="Q55" s="14" t="str"/>
    </x:row>
    <x:row r="56" ht="36" customHeight="1">
      <x:c r="A56" s="12" t="str">
        <x:v>ME3-base-cerberus</x:v>
      </x:c>
      <x:c r="B56" s="7" t="str">
        <x:v>Base Cerberus</x:v>
      </x:c>
      <x:c r="C56" s="10" t="str">
        <x:v>Défini</x:v>
      </x:c>
      <x:c r="D56" s="11" t="str">
        <x:v>Non planifié</x:v>
      </x:c>
      <x:c r="E56" s="9" t="str">
        <x:v>P2</x:v>
      </x:c>
      <x:c r="F56" s="9" t="str">
        <x:v>ME3</x:v>
      </x:c>
      <x:c r="G56" s="9" t="str">
        <x:v>Référence à vérifier</x:v>
      </x:c>
      <x:c r="H56" s="7" t="str">
        <x:v>Confrontation de fin de campagne.</x:v>
      </x:c>
      <x:c r="I56" s="7" t="str">
        <x:v>Continuité de l’Homme Trouble.</x:v>
      </x:c>
      <x:c r="J56" s="7" t="str"/>
      <x:c r="K56" s="7" t="str">
        <x:v>content/trilogy/ME3-base-cerberus.json</x:v>
      </x:c>
      <x:c r="L56" s="7" t="str"/>
      <x:c r="M56" s="7" t="str"/>
      <x:c r="N56" s="7" t="str">
        <x:v>Plan de couverture ME3 non implémenté ; sources et variantes à documenter.</x:v>
      </x:c>
      <x:c r="O56" s="7" t="str">
        <x:v>https://www.ea.com/fr/games/mass-effect/mass-effect-legendary-edition</x:v>
      </x:c>
      <x:c r="P56" s="7" t="str">
        <x:v>Extension future</x:v>
      </x:c>
      <x:c r="Q56" s="7" t="str"/>
    </x:row>
    <x:row r="57" ht="36" customHeight="1">
      <x:c r="A57" s="13" t="str">
        <x:v>ME3-assaut-terre</x:v>
      </x:c>
      <x:c r="B57" s="14" t="str">
        <x:v>Assaut Terre</x:v>
      </x:c>
      <x:c r="C57" s="10" t="str">
        <x:v>Défini</x:v>
      </x:c>
      <x:c r="D57" s="11" t="str">
        <x:v>Non planifié</x:v>
      </x:c>
      <x:c r="E57" s="15" t="str">
        <x:v>P2</x:v>
      </x:c>
      <x:c r="F57" s="15" t="str">
        <x:v>ME3</x:v>
      </x:c>
      <x:c r="G57" s="15" t="str">
        <x:v>Référence à vérifier</x:v>
      </x:c>
      <x:c r="H57" s="14" t="str">
        <x:v>Clôture de la guerre.</x:v>
      </x:c>
      <x:c r="I57" s="14" t="str">
        <x:v>État des forces et choix importés visibles.</x:v>
      </x:c>
      <x:c r="J57" s="14" t="str"/>
      <x:c r="K57" s="14" t="str">
        <x:v>content/trilogy/ME3-assaut-terre.json</x:v>
      </x:c>
      <x:c r="L57" s="14" t="str"/>
      <x:c r="M57" s="14" t="str"/>
      <x:c r="N57" s="14" t="str">
        <x:v>Plan de couverture ME3 non implémenté ; sources et variantes à documenter.</x:v>
      </x:c>
      <x:c r="O57" s="14" t="str">
        <x:v>https://www.ea.com/fr/games/mass-effect/mass-effect-legendary-edition</x:v>
      </x:c>
      <x:c r="P57" s="14" t="str">
        <x:v>Extension future</x:v>
      </x:c>
      <x:c r="Q57" s="14" t="str"/>
    </x:row>
    <x:row r="58" ht="36" customHeight="1">
      <x:c r="A58" s="12" t="str">
        <x:v>ME3-omni-lame</x:v>
      </x:c>
      <x:c r="B58" s="7" t="str">
        <x:v>Omni-lame</x:v>
      </x:c>
      <x:c r="C58" s="10" t="str">
        <x:v>Défini</x:v>
      </x:c>
      <x:c r="D58" s="11" t="str">
        <x:v>Non planifié</x:v>
      </x:c>
      <x:c r="E58" s="9" t="str">
        <x:v>P2</x:v>
      </x:c>
      <x:c r="F58" s="9" t="str">
        <x:v>ME3</x:v>
      </x:c>
      <x:c r="G58" s="9" t="str">
        <x:v>Référence à vérifier</x:v>
      </x:c>
      <x:c r="H58" s="7" t="str">
        <x:v>Capacités de mêlée de ME3.</x:v>
      </x:c>
      <x:c r="I58" s="7" t="str">
        <x:v>Ne pas rétroporter comme équipement canonique ME1.</x:v>
      </x:c>
      <x:c r="J58" s="7" t="str"/>
      <x:c r="K58" s="7" t="str">
        <x:v>content/trilogy/ME3-omni-lame.json</x:v>
      </x:c>
      <x:c r="L58" s="7" t="str"/>
      <x:c r="M58" s="7" t="str"/>
      <x:c r="N58" s="7" t="str">
        <x:v>Plan de couverture ME3 non implémenté ; sources et variantes à documenter.</x:v>
      </x:c>
      <x:c r="O58" s="7" t="str">
        <x:v>https://www.ea.com/fr/games/mass-effect/mass-effect-legendary-edition</x:v>
      </x:c>
      <x:c r="P58" s="7" t="str">
        <x:v>Extension future</x:v>
      </x:c>
      <x:c r="Q58" s="7" t="str"/>
    </x:row>
    <x:row r="59" ht="36" customHeight="1">
      <x:c r="A59" s="13" t="str">
        <x:v>ME3-nova</x:v>
      </x:c>
      <x:c r="B59" s="14" t="str">
        <x:v>Nova</x:v>
      </x:c>
      <x:c r="C59" s="10" t="str">
        <x:v>Défini</x:v>
      </x:c>
      <x:c r="D59" s="11" t="str">
        <x:v>Non planifié</x:v>
      </x:c>
      <x:c r="E59" s="15" t="str">
        <x:v>P2</x:v>
      </x:c>
      <x:c r="F59" s="15" t="str">
        <x:v>ME3</x:v>
      </x:c>
      <x:c r="G59" s="15" t="str">
        <x:v>Référence à vérifier</x:v>
      </x:c>
      <x:c r="H59" s="14" t="str">
        <x:v>Pouvoir du Porte-étendard ME3.</x:v>
      </x:c>
      <x:c r="I59" s="14" t="str">
        <x:v>Coût et synergies documentés.</x:v>
      </x:c>
      <x:c r="J59" s="14" t="str"/>
      <x:c r="K59" s="14" t="str">
        <x:v>content/trilogy/ME3-nova.json</x:v>
      </x:c>
      <x:c r="L59" s="14" t="str"/>
      <x:c r="M59" s="14" t="str"/>
      <x:c r="N59" s="14" t="str">
        <x:v>Plan de couverture ME3 non implémenté ; sources et variantes à documenter.</x:v>
      </x:c>
      <x:c r="O59" s="14" t="str">
        <x:v>https://www.ea.com/fr/games/mass-effect/mass-effect-legendary-edition</x:v>
      </x:c>
      <x:c r="P59" s="14" t="str">
        <x:v>Extension future</x:v>
      </x:c>
      <x:c r="Q59" s="14" t="str"/>
    </x:row>
    <x:row r="60" ht="36" customHeight="1">
      <x:c r="A60" s="12" t="str">
        <x:v>ME3-leviathan-dlc</x:v>
      </x:c>
      <x:c r="B60" s="7" t="str">
        <x:v>Léviathan DLC</x:v>
      </x:c>
      <x:c r="C60" s="10" t="str">
        <x:v>Défini</x:v>
      </x:c>
      <x:c r="D60" s="11" t="str">
        <x:v>Non planifié</x:v>
      </x:c>
      <x:c r="E60" s="9" t="str">
        <x:v>P2</x:v>
      </x:c>
      <x:c r="F60" s="9" t="str">
        <x:v>ME3</x:v>
      </x:c>
      <x:c r="G60" s="9" t="str">
        <x:v>Référence à vérifier</x:v>
      </x:c>
      <x:c r="H60" s="7" t="str">
        <x:v>Enquête narrative majeure.</x:v>
      </x:c>
      <x:c r="I60" s="7" t="str">
        <x:v>Révélations maintenues dans leur époque.</x:v>
      </x:c>
      <x:c r="J60" s="7" t="str"/>
      <x:c r="K60" s="7" t="str">
        <x:v>content/trilogy/ME3-leviathan-dlc.json</x:v>
      </x:c>
      <x:c r="L60" s="7" t="str"/>
      <x:c r="M60" s="7" t="str"/>
      <x:c r="N60" s="7" t="str">
        <x:v>Plan de couverture ME3 non implémenté ; sources et variantes à documenter.</x:v>
      </x:c>
      <x:c r="O60" s="7" t="str">
        <x:v>https://www.ea.com/fr/games/mass-effect/mass-effect-legendary-edition</x:v>
      </x:c>
      <x:c r="P60" s="7" t="str">
        <x:v>Extension future</x:v>
      </x:c>
      <x:c r="Q60" s="7" t="str"/>
    </x:row>
    <x:row r="61" ht="36" customHeight="1">
      <x:c r="A61" s="13" t="str">
        <x:v>ME3-omega-dlc</x:v>
      </x:c>
      <x:c r="B61" s="14" t="str">
        <x:v>Omega DLC</x:v>
      </x:c>
      <x:c r="C61" s="10" t="str">
        <x:v>Défini</x:v>
      </x:c>
      <x:c r="D61" s="11" t="str">
        <x:v>Non planifié</x:v>
      </x:c>
      <x:c r="E61" s="15" t="str">
        <x:v>P2</x:v>
      </x:c>
      <x:c r="F61" s="15" t="str">
        <x:v>ME3</x:v>
      </x:c>
      <x:c r="G61" s="15" t="str">
        <x:v>Référence à vérifier</x:v>
      </x:c>
      <x:c r="H61" s="14" t="str">
        <x:v>Retour dans la station.</x:v>
      </x:c>
      <x:c r="I61" s="14" t="str">
        <x:v>Casting et missions propres à l’extension.</x:v>
      </x:c>
      <x:c r="J61" s="14" t="str"/>
      <x:c r="K61" s="14" t="str">
        <x:v>content/trilogy/ME3-omega-dlc.json</x:v>
      </x:c>
      <x:c r="L61" s="14" t="str"/>
      <x:c r="M61" s="14" t="str"/>
      <x:c r="N61" s="14" t="str">
        <x:v>Plan de couverture ME3 non implémenté ; sources et variantes à documenter.</x:v>
      </x:c>
      <x:c r="O61" s="14" t="str">
        <x:v>https://www.ea.com/fr/games/mass-effect/mass-effect-legendary-edition</x:v>
      </x:c>
      <x:c r="P61" s="14" t="str">
        <x:v>Extension future</x:v>
      </x:c>
      <x:c r="Q61" s="14" t="str"/>
    </x:row>
    <x:row r="62" ht="36" customHeight="1">
      <x:c r="A62" s="12" t="str">
        <x:v>ME3-citadelle-dlc</x:v>
      </x:c>
      <x:c r="B62" s="7" t="str">
        <x:v>Citadelle DLC</x:v>
      </x:c>
      <x:c r="C62" s="10" t="str">
        <x:v>Défini</x:v>
      </x:c>
      <x:c r="D62" s="11" t="str">
        <x:v>Non planifié</x:v>
      </x:c>
      <x:c r="E62" s="9" t="str">
        <x:v>P2</x:v>
      </x:c>
      <x:c r="F62" s="9" t="str">
        <x:v>ME3</x:v>
      </x:c>
      <x:c r="G62" s="9" t="str">
        <x:v>Référence à vérifier</x:v>
      </x:c>
      <x:c r="H62" s="7" t="str">
        <x:v>Réunion d’équipage et aventures.</x:v>
      </x:c>
      <x:c r="I62" s="7" t="str">
        <x:v>Présences dépendent des survivants et relations.</x:v>
      </x:c>
      <x:c r="J62" s="7" t="str"/>
      <x:c r="K62" s="7" t="str">
        <x:v>content/trilogy/ME3-citadelle-dlc.json</x:v>
      </x:c>
      <x:c r="L62" s="7" t="str"/>
      <x:c r="M62" s="7" t="str"/>
      <x:c r="N62" s="7" t="str">
        <x:v>Plan de couverture ME3 non implémenté ; sources et variantes à documenter.</x:v>
      </x:c>
      <x:c r="O62" s="7" t="str">
        <x:v>https://www.ea.com/fr/games/mass-effect/mass-effect-legendary-edition</x:v>
      </x:c>
      <x:c r="P62" s="7" t="str">
        <x:v>Extension future</x:v>
      </x:c>
      <x:c r="Q62" s="7" t="str"/>
    </x:row>
    <x:row r="63" ht="36" customHeight="1">
      <x:c r="A63" s="13" t="str">
        <x:v>ME3-extended-cut</x:v>
      </x:c>
      <x:c r="B63" s="14" t="str">
        <x:v>Extended Cut</x:v>
      </x:c>
      <x:c r="C63" s="10" t="str">
        <x:v>Défini</x:v>
      </x:c>
      <x:c r="D63" s="11" t="str">
        <x:v>Non planifié</x:v>
      </x:c>
      <x:c r="E63" s="15" t="str">
        <x:v>P2</x:v>
      </x:c>
      <x:c r="F63" s="15" t="str">
        <x:v>ME3</x:v>
      </x:c>
      <x:c r="G63" s="15" t="str">
        <x:v>Référence à vérifier</x:v>
      </x:c>
      <x:c r="H63" s="14" t="str">
        <x:v>Conclusions et conséquences de la trilogie.</x:v>
      </x:c>
      <x:c r="I63" s="14" t="str">
        <x:v>Choix de référence et versions clairement spécifiés.</x:v>
      </x:c>
      <x:c r="J63" s="14" t="str"/>
      <x:c r="K63" s="14" t="str">
        <x:v>content/trilogy/ME3-extended-cut.json</x:v>
      </x:c>
      <x:c r="L63" s="14" t="str"/>
      <x:c r="M63" s="14" t="str"/>
      <x:c r="N63" s="14" t="str">
        <x:v>Plan de couverture ME3 non implémenté ; sources et variantes à documenter.</x:v>
      </x:c>
      <x:c r="O63" s="14" t="str">
        <x:v>https://www.ea.com/fr/games/mass-effect/mass-effect-legendary-edition</x:v>
      </x:c>
      <x:c r="P63" s="14" t="str">
        <x:v>Extension future</x:v>
      </x:c>
      <x:c r="Q63" s="14" t="str"/>
    </x:row>
  </x:sheetData>
  <x:conditionalFormatting sqref="C7:C63">
    <x:cfRule type="cellIs" dxfId="385" priority="1" operator="equal">
      <x:formula>"Prototype"</x:formula>
    </x:cfRule>
    <x:cfRule type="cellIs" dxfId="386" priority="2" operator="equal">
      <x:formula>"Intégré"</x:formula>
    </x:cfRule>
    <x:cfRule type="cellIs" dxfId="387" priority="3" operator="equal">
      <x:formula>"Validé"</x:formula>
    </x:cfRule>
  </x:conditionalFormatting>
  <x:conditionalFormatting sqref="G7:G63">
    <x:cfRule type="cellIs" dxfId="388" priority="4" operator="equal">
      <x:formula>"Référence à vérifier"</x:formula>
    </x:cfRule>
  </x:conditionalFormatting>
  <x:conditionalFormatting sqref="E7:E63">
    <x:cfRule type="cellIs" dxfId="389" priority="5" operator="equal">
      <x:formula>"P0"</x:formula>
    </x:cfRule>
  </x:conditionalFormatting>
  <x:dataValidations count="5">
    <x:dataValidation type="list" sqref="C7:C63">
      <x:formula1>"Défini,Prototype,Intégré,Validé"</x:formula1>
    </x:dataValidation>
    <x:dataValidation type="list" sqref="D7:D63">
      <x:formula1>"À produire,Prototype,Disponible,Validé,Sans objet,Non planifié"</x:formula1>
    </x:dataValidation>
    <x:dataValidation type="list" sqref="E7:E63">
      <x:formula1>"P0,P1,P2"</x:formula1>
    </x:dataValidation>
    <x:dataValidation type="list" sqref="F7:F63">
      <x:formula1>"ME1,ME2,ME3,TRANSVERSE"</x:formula1>
    </x:dataValidation>
    <x:dataValidation type="list" sqref="G7:G63">
      <x:formula1>"Confirmé,Référence à vérifier,Adaptation"</x:formula1>
    </x:dataValidation>
  </x:dataValidations>
  <x:pageMargins left="0.7" right="0.7" top="0.75" bottom="0.75" header="0.3" footer="0.3"/>
  <x:tableParts count="1">
    <x:tablePart xmlns:r="http://schemas.openxmlformats.org/officeDocument/2006/relationships" r:id="Re7139ec8a9ae4fd8"/>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6" hidden="0" customWidth="1"/>
    <x:col min="2" max="2" width="78" hidden="0" customWidth="1"/>
    <x:col min="3" max="3" width="42" hidden="0" customWidth="1"/>
    <x:col min="4" max="4" width="100" hidden="0" customWidth="1"/>
  </x:cols>
  <x:sheetData>
    <x:row r="1" ht="22" customHeight="1">
      <x:c r="A1" s="2"/>
      <x:c r="B1" s="2"/>
      <x:c r="C1" s="2"/>
      <x:c r="D1" s="2"/>
    </x:row>
    <x:row r="2" ht="22" customHeight="1">
      <x:c r="A2" s="3" t="str">
        <x:v>Guide du catalogue</x:v>
      </x:c>
      <x:c r="B2" s="2"/>
      <x:c r="C2" s="2"/>
      <x:c r="D2" s="2"/>
    </x:row>
    <x:row r="3" ht="22" customHeight="1">
      <x:c r="A3" s="4" t="str">
        <x:v>Définitions, périmètre et références de production.</x:v>
      </x:c>
      <x:c r="B3" s="2"/>
      <x:c r="C3" s="2"/>
      <x:c r="D3" s="2"/>
    </x:row>
    <x:row r="4" ht="22" customHeight="1">
      <x:c r="A4" s="5"/>
      <x:c r="B4" s="5"/>
      <x:c r="C4" s="5"/>
      <x:c r="D4" s="5"/>
    </x:row>
    <x:row r="5" ht="22" customHeight="1">
      <x:c r="A5" s="2"/>
      <x:c r="B5" s="2"/>
      <x:c r="C5" s="2"/>
      <x:c r="D5" s="2"/>
    </x:row>
    <x:row r="6" ht="34" customHeight="1">
      <x:c r="A6" s="20" t="str">
        <x:v>Statut du contenu</x:v>
      </x:c>
      <x:c r="B6" s="20" t="str">
        <x:v>Signification</x:v>
      </x:c>
      <x:c r="C6" s="6"/>
      <x:c r="D6" s="6"/>
    </x:row>
    <x:row r="7" ht="42" customHeight="1">
      <x:c r="A7" s="7" t="str">
        <x:v>Défini</x:v>
      </x:c>
      <x:c r="B7" s="7" t="str">
        <x:v>Élément décrit, non vérifié dans le jeu.</x:v>
      </x:c>
      <x:c r="C7" s="7"/>
      <x:c r="D7" s="7"/>
    </x:row>
    <x:row r="8" ht="42" customHeight="1">
      <x:c r="A8" s="7" t="str">
        <x:v>Prototype</x:v>
      </x:c>
      <x:c r="B8" s="7" t="str">
        <x:v>Présent sous une forme simplifiée à reprendre.</x:v>
      </x:c>
      <x:c r="C8" s="7"/>
      <x:c r="D8" s="7"/>
    </x:row>
    <x:row r="9" ht="42" customHeight="1">
      <x:c r="A9" s="7" t="str">
        <x:v>Intégré</x:v>
      </x:c>
      <x:c r="B9" s="7" t="str">
        <x:v>Présent dans le jeu avec chemin et dépendances vérifiés.</x:v>
      </x:c>
      <x:c r="C9" s="7"/>
      <x:c r="D9" s="7"/>
    </x:row>
    <x:row r="10" ht="42" customHeight="1">
      <x:c r="A10" s="7" t="str">
        <x:v>Validé</x:v>
      </x:c>
      <x:c r="B10" s="7" t="str">
        <x:v>Intégré et contrôlé avec preuve de test.</x:v>
      </x:c>
      <x:c r="C10" s="7"/>
      <x:c r="D10" s="7"/>
    </x:row>
    <x:row r="11" ht="42" customHeight="1">
      <x:c r="A11" s="7"/>
      <x:c r="B11" s="7"/>
      <x:c r="C11" s="7"/>
      <x:c r="D11" s="7"/>
    </x:row>
    <x:row r="12" ht="42" customHeight="1">
      <x:c r="A12" s="7"/>
      <x:c r="B12" s="7"/>
      <x:c r="C12" s="7"/>
      <x:c r="D12" s="7"/>
    </x:row>
    <x:row r="13" ht="42" customHeight="1">
      <x:c r="A13" s="31" t="str">
        <x:v>Niveau de canon</x:v>
      </x:c>
      <x:c r="B13" s="31" t="str">
        <x:v>Signification</x:v>
      </x:c>
      <x:c r="C13" s="7"/>
      <x:c r="D13" s="7"/>
    </x:row>
    <x:row r="14" ht="48" customHeight="1">
      <x:c r="A14" s="7" t="str">
        <x:v>Confirmé</x:v>
      </x:c>
      <x:c r="B14" s="7" t="str">
        <x:v>Existence ou règle vérifiée dans la source indiquée. Cela ne valide pas un asset.</x:v>
      </x:c>
      <x:c r="C14" s="7"/>
      <x:c r="D14" s="7"/>
    </x:row>
    <x:row r="15" ht="48" customHeight="1">
      <x:c r="A15" s="7" t="str">
        <x:v>Référence à vérifier</x:v>
      </x:c>
      <x:c r="B15" s="7" t="str">
        <x:v>Nom, rôle, apparence ou conditions à recouper avant production finale.</x:v>
      </x:c>
      <x:c r="C15" s="7"/>
      <x:c r="D15" s="7"/>
    </x:row>
    <x:row r="16" ht="48" customHeight="1">
      <x:c r="A16" s="7" t="str">
        <x:v>Adaptation</x:v>
      </x:c>
      <x:c r="B16" s="7" t="str">
        <x:v>Règle, découpage ou livrable original de ce fan game.</x:v>
      </x:c>
      <x:c r="C16" s="7"/>
      <x:c r="D16" s="7"/>
    </x:row>
    <x:row r="17" ht="42" customHeight="1">
      <x:c r="A17" s="7"/>
      <x:c r="B17" s="7"/>
      <x:c r="C17" s="7"/>
      <x:c r="D17" s="7"/>
    </x:row>
    <x:row r="18" ht="42" customHeight="1">
      <x:c r="A18" s="7"/>
      <x:c r="B18" s="7"/>
      <x:c r="C18" s="7"/>
      <x:c r="D18" s="7"/>
    </x:row>
    <x:row r="19" ht="42" customHeight="1">
      <x:c r="A19" s="31" t="str">
        <x:v>Champ</x:v>
      </x:c>
      <x:c r="B19" s="31" t="str">
        <x:v>Utilisation</x:v>
      </x:c>
      <x:c r="C19" s="7"/>
      <x:c r="D19" s="7"/>
    </x:row>
    <x:row r="20" ht="42" customHeight="1">
      <x:c r="A20" s="7" t="str">
        <x:v>Destination prévue</x:v>
      </x:c>
      <x:c r="B20" s="7" t="str">
        <x:v>Chemin de production envisagé. Il ne prouve pas qu’un fichier existe.</x:v>
      </x:c>
      <x:c r="C20" s="7"/>
      <x:c r="D20" s="7"/>
    </x:row>
    <x:row r="21" ht="42" customHeight="1">
      <x:c r="A21" s="7" t="str">
        <x:v>Fichier existant</x:v>
      </x:c>
      <x:c r="B21" s="7" t="str">
        <x:v>Chemin vers une réalisation réellement présente et contrôlée.</x:v>
      </x:c>
      <x:c r="C21" s="7"/>
      <x:c r="D21" s="7"/>
    </x:row>
    <x:row r="22" ht="42" customHeight="1">
      <x:c r="A22" s="7" t="str">
        <x:v>P0</x:v>
      </x:c>
      <x:c r="B22" s="7" t="str">
        <x:v>Fonctionnement du prototype, cohérence de base et validation.</x:v>
      </x:c>
      <x:c r="C22" s="7"/>
      <x:c r="D22" s="7"/>
    </x:row>
    <x:row r="23" ht="42" customHeight="1">
      <x:c r="A23" s="7" t="str">
        <x:v>P1</x:v>
      </x:c>
      <x:c r="B23" s="7" t="str">
        <x:v>Complétude du premier épisode et qualité artistique.</x:v>
      </x:c>
      <x:c r="C23" s="7"/>
      <x:c r="D23" s="7"/>
    </x:row>
    <x:row r="24" ht="42" customHeight="1">
      <x:c r="A24" s="7" t="str">
        <x:v>P2</x:v>
      </x:c>
      <x:c r="B24" s="7" t="str">
        <x:v>Extensions et contenus ultérieurs.</x:v>
      </x:c>
      <x:c r="C24" s="7"/>
      <x:c r="D24" s="7"/>
    </x:row>
    <x:row r="25" ht="60" customHeight="1">
      <x:c r="A25" s="7" t="str">
        <x:v>Édition du classeur</x:v>
      </x:c>
      <x:c r="B25" s="7" t="str">
        <x:v>Les compteurs se recalculent. Les modifications Excel ne sont pas automatiquement réimportées dans le JSON.</x:v>
      </x:c>
      <x:c r="C25" s="7"/>
      <x:c r="D25" s="7"/>
    </x:row>
    <x:row r="26" ht="60" customHeight="1">
      <x:c r="A26" s="7" t="str">
        <x:v>Régénération</x:v>
      </x:c>
      <x:c r="B26" s="7" t="str">
        <x:v>Le script relit docs/content-catalog.json et remplace le classeur. Reporter les décisions approuvées dans ce JSON avant une régénération.</x:v>
      </x:c>
      <x:c r="C26" s="7"/>
      <x:c r="D26" s="7"/>
    </x:row>
    <x:row r="27" ht="42" customHeight="1">
      <x:c r="A27" s="7"/>
      <x:c r="B27" s="7"/>
      <x:c r="C27" s="7"/>
      <x:c r="D27" s="7"/>
    </x:row>
    <x:row r="28" ht="42" customHeight="1">
      <x:c r="A28" s="7"/>
      <x:c r="B28" s="7"/>
      <x:c r="C28" s="7"/>
      <x:c r="D28" s="7"/>
    </x:row>
    <x:row r="29" ht="42" customHeight="1">
      <x:c r="A29" s="31" t="str">
        <x:v>Source</x:v>
      </x:c>
      <x:c r="B29" s="31" t="str">
        <x:v>Titre</x:v>
      </x:c>
      <x:c r="C29" s="31" t="str">
        <x:v>Périmètre</x:v>
      </x:c>
      <x:c r="D29" s="31" t="str">
        <x:v>URL</x:v>
      </x:c>
    </x:row>
    <x:row r="30" ht="88" customHeight="1">
      <x:c r="A30" s="7" t="str">
        <x:v>ME1-MANUAL</x:v>
      </x:c>
      <x:c r="B30" s="7" t="str">
        <x:v>Manuel officiel Mass Effect PC FR</x:v>
      </x:c>
      <x:c r="C30" s="7" t="str">
        <x:v>Manuel PC FR réellement consulté : familles, formations d’armures et ports/outils pp.20–24 ; existence et règles seulement, pas les chiffres de chaque modèle. Preuve docs/qa/equipment-primary-reference-report.json.</x:v>
      </x:c>
      <x:c r="D30" s="7" t="str">
        <x:v>https://eaassets-a.akamaihd.net/eahelp/manuals/mass-effect-manuals_PC_fr.pdf</x:v>
      </x:c>
    </x:row>
    <x:row r="31" ht="42" customHeight="1">
      <x:c r="A31" s="7" t="str">
        <x:v>ME2-MANUAL</x:v>
      </x:c>
      <x:c r="B31" s="7" t="str">
        <x:v>Manuel officiel Mass Effect 2 PC FR</x:v>
      </x:c>
      <x:c r="C31" s="7" t="str">
        <x:v>Référence des extensions ME2 uniquement</x:v>
      </x:c>
      <x:c r="D31" s="7" t="str">
        <x:v>https://eaassets-a.akamaihd.net/eahelp/manuals/mass-effect-2-manuals_PC_fr.pdf</x:v>
      </x:c>
    </x:row>
    <x:row r="32" ht="75" customHeight="1">
      <x:c r="A32" s="7" t="str">
        <x:v>EA-GAMEPLAY</x:v>
      </x:c>
      <x:c r="B32" s="7" t="str">
        <x:v>EA Gameplay Calibrations</x:v>
      </x:c>
      <x:c r="C32" s="7" t="str">
        <x:v>Article officiel réellement consulté : différences de visée, chauffe et spécialisations original/Legendary Edition, sans certification des valeurs des objets.</x:v>
      </x:c>
      <x:c r="D32" s="7" t="str">
        <x:v>https://www.ea.com/ea-play/news/gameplay-calibrations</x:v>
      </x:c>
    </x:row>
    <x:row r="33" ht="42" customHeight="1">
      <x:c r="A33" s="7" t="str">
        <x:v>EA-VISUAL</x:v>
      </x:c>
      <x:c r="B33" s="7" t="str">
        <x:v>EA Visual Improvements</x:v>
      </x:c>
      <x:c r="C33" s="7" t="str">
        <x:v>Atmosphères des lieux remasterisés</x:v>
      </x:c>
      <x:c r="D33" s="7" t="str">
        <x:v>https://www.ea.com/ea-play/news/visual-improvements</x:v>
      </x:c>
    </x:row>
    <x:row r="34" ht="42" customHeight="1">
      <x:c r="A34" s="7" t="str">
        <x:v>EA-COSPLAY</x:v>
      </x:c>
      <x:c r="B34" s="7" t="str">
        <x:v>EA guides cosplay</x:v>
      </x:c>
      <x:c r="C34" s="7" t="str">
        <x:v>Silhouettes et costumes à classer par épisode</x:v>
      </x:c>
      <x:c r="D34" s="7" t="str">
        <x:v>https://www.ea.com/games/mass-effect/community/cosplay-guides</x:v>
      </x:c>
    </x:row>
    <x:row r="35" ht="42" customHeight="1">
      <x:c r="A35" s="7" t="str">
        <x:v>BIOWARE-SR1</x:v>
      </x:c>
      <x:c r="B35" s="7" t="str">
        <x:v>BioWare Normandy SR-1</x:v>
      </x:c>
      <x:c r="C35" s="7" t="str">
        <x:v>Identification du vaisseau ME1</x:v>
      </x:c>
      <x:c r="D35" s="7" t="str">
        <x:v>https://gear.bioware.com/products/mass-effect-normandy-sr-1-pin-set</x:v>
      </x:c>
    </x:row>
    <x:row r="36" ht="42" customHeight="1">
      <x:c r="A36" s="7" t="str">
        <x:v>BIOWARE-SR2</x:v>
      </x:c>
      <x:c r="B36" s="7" t="str">
        <x:v>BioWare Normandy SR-2 Cerberus</x:v>
      </x:c>
      <x:c r="C36" s="7" t="str">
        <x:v>Référence ME2 uniquement</x:v>
      </x:c>
      <x:c r="D36" s="7" t="str">
        <x:v>https://gear.bioware.com/en-eu/products/mass-effect-cerberus-normandy-sr-2-ship-replica-remaster</x:v>
      </x:c>
    </x:row>
    <x:row r="37" ht="62" customHeight="1">
      <x:c r="A37" s="7" t="str">
        <x:v>PRIMA-PROLOGUE</x:v>
      </x:c>
      <x:c r="B37" s="7" t="str">
        <x:v>Guide officiel Prima, prologue</x:v>
      </x:c>
      <x:c r="C37" s="7" t="str">
        <x:v>Extrait officiel consulté de 23 pages : prologue/Normandy, chauffe p.64 et port/maîtrise p.65. Ne contient pas les tables de tous les objets.</x:v>
      </x:c>
      <x:c r="D37" s="7" t="str">
        <x:v>https://na.llnet.bioware.cdn.ea.com/u/f/eagames/bioware/masseffect/prima/prima_guide_me_pc.pdf</x:v>
      </x:c>
    </x:row>
    <x:row r="38" ht="42" customHeight="1">
      <x:c r="A38" s="7" t="str">
        <x:v>PRIMA-FEROS</x:v>
      </x:c>
      <x:c r="B38" s="7" t="str">
        <x:v>Prima guide Feros</x:v>
      </x:c>
      <x:c r="C38" s="7" t="str">
        <x:v>Missions secondaires de Feros</x:v>
      </x:c>
      <x:c r="D38" s="7" t="str">
        <x:v>https://primagames.com/eguides/mass-effect-pc-eguide/walkthrough/spectre-assignments-noveria-and-feros/feros-assignments</x:v>
      </x:c>
    </x:row>
    <x:row r="39" ht="42" customHeight="1">
      <x:c r="A39" s="7" t="str">
        <x:v>PRIMA-VIRMIRE</x:v>
      </x:c>
      <x:c r="B39" s="7" t="str">
        <x:v>Prima guide Virmire</x:v>
      </x:c>
      <x:c r="C39" s="7" t="str">
        <x:v>Choix et objectifs de Virmire</x:v>
      </x:c>
      <x:c r="D39" s="7" t="str">
        <x:v>https://primagames.com/eguides/mass-effect-pc-eguide/walkthrough/spectra-assignments-virmire-and-citadel-lockdown/virmire-assignments</x:v>
      </x:c>
    </x:row>
    <x:row r="40" ht="42" customHeight="1">
      <x:c r="A40" s="7" t="str">
        <x:v>PRIMA-NORMANDY</x:v>
      </x:c>
      <x:c r="B40" s="7" t="str">
        <x:v>Prima retours au Normandy</x:v>
      </x:c>
      <x:c r="C40" s="7" t="str">
        <x:v>Relations du premier épisode</x:v>
      </x:c>
      <x:c r="D40" s="7" t="str">
        <x:v>https://primagames.com/eguides/mass-effect-pc-eguide/walkthrough/chapter-4-feros/the-normandy-revisited</x:v>
      </x:c>
    </x:row>
    <x:row r="41" ht="42" customHeight="1">
      <x:c r="A41" s="7" t="str">
        <x:v>EA-TRILOGY</x:v>
      </x:c>
      <x:c r="B41" s="7" t="str">
        <x:v>EA Legendary Edition</x:v>
      </x:c>
      <x:c r="C41" s="7" t="str">
        <x:v>Périmètre trilogie et continuité des choix</x:v>
      </x:c>
      <x:c r="D41" s="7" t="str">
        <x:v>https://www.ea.com/fr/games/mass-effect/mass-effect-legendary-edition</x:v>
      </x:c>
    </x:row>
    <x:row r="42" ht="42" customHeight="1">
      <x:c r="A42" s="7" t="str">
        <x:v>SQUAD-INDEX</x:v>
      </x:c>
      <x:c r="B42" s="7" t="str">
        <x:v>Index des équipiers à recouper</x:v>
      </x:c>
      <x:c r="C42" s="7" t="str">
        <x:v>Index secondaire ; capture du jeu requise avant validation</x:v>
      </x:c>
      <x:c r="D42" s="7" t="str">
        <x:v>https://masseffect.fandom.com/wiki/Squad</x:v>
      </x:c>
    </x:row>
    <x:row r="43" ht="42" customHeight="1">
      <x:c r="A43" s="7" t="str">
        <x:v>PROJECT</x:v>
      </x:c>
      <x:c r="B43" s="7" t="str">
        <x:v>Conception Relay Chronicles</x:v>
      </x:c>
      <x:c r="C43" s="7" t="str">
        <x:v>Décisions du fan game ; aucune prétention de canon officiel</x:v>
      </x:c>
      <x:c r="D43" s="7" t="str">
        <x:v>Conception du projet, sans source externe</x:v>
      </x:c>
    </x:row>
    <x:row r="44" ht="75" customHeight="1">
      <x:c r="A44" s="7" t="str">
        <x:v>ME1-CITADEL-ASSIGNMENTS</x:v>
      </x:c>
      <x:c r="B44" s="7" t="str">
        <x:v>Assignations de la Citadelle — index secondaire à vérifier</x:v>
      </x:c>
      <x:c r="C44" s="7" t="str">
        <x:v>Pistes de comparaison pour Homecoming, Family Matter et The Fan. Pages non consultées depuis cet environnement ; contrôle du jeu et de son édition requis.</x:v>
      </x:c>
      <x:c r="D44" s="7" t="str">
        <x:v>https://masseffect.fandom.com/wiki/Assignments</x:v>
      </x:c>
    </x:row>
    <x:row r="45" ht="62" customHeight="1">
      <x:c r="A45" s="7" t="str">
        <x:v>ME1-OP-CITADEL-CONSORT</x:v>
      </x:c>
      <x:c r="B45" s="7" t="str">
        <x:v>Citadelle : La Favorite</x:v>
      </x:c>
      <x:c r="C45" s="7" t="str">
        <x:v>Source communautaire descriptive consultée pour les objectifs. Dialogues, coordonnées et récompenses ATB adaptés.</x:v>
      </x:c>
      <x:c r="D45" s="7" t="str">
        <x:v>https://masseffect.fandom.com/wiki/Citadel%3A_Asari_Consort</x:v>
      </x:c>
    </x:row>
    <x:row r="46" ht="62" customHeight="1">
      <x:c r="A46" s="7" t="str">
        <x:v>ME1-OP-CITADEL-XELTAN</x:v>
      </x:c>
      <x:c r="B46" s="7" t="str">
        <x:v>Citadelle : La plainte de Xeltan</x:v>
      </x:c>
      <x:c r="C46" s="7" t="str">
        <x:v>Source communautaire descriptive consultée pour les objectifs. Dialogues, coordonnées et récompenses ATB adaptés.</x:v>
      </x:c>
      <x:c r="D46" s="7" t="str">
        <x:v>https://masseffect.fandom.com/wiki/Citadel%3A_Xeltan's_Complaint</x:v>
      </x:c>
    </x:row>
    <x:row r="47" ht="62" customHeight="1">
      <x:c r="A47" s="7" t="str">
        <x:v>ME1-OP-CITADEL-REPORTERS-REQUEST</x:v>
      </x:c>
      <x:c r="B47" s="7" t="str">
        <x:v>Citadelle : La demande de la journaliste</x:v>
      </x:c>
      <x:c r="C47" s="7" t="str">
        <x:v>Source communautaire descriptive consultée pour les objectifs. Dialogues, coordonnées et récompenses ATB adaptés.</x:v>
      </x:c>
      <x:c r="D47" s="7" t="str">
        <x:v>https://masseffect.fandom.com/wiki/Citadel%3A_Reporter's_Request</x:v>
      </x:c>
    </x:row>
    <x:row r="48" ht="62" customHeight="1">
      <x:c r="A48" s="7" t="str">
        <x:v>ME1-OP-CITADEL-KEEPERS</x:v>
      </x:c>
      <x:c r="B48" s="7" t="str">
        <x:v>Citadelle : Scanner les veilleurs</x:v>
      </x:c>
      <x:c r="C48" s="7" t="str">
        <x:v>Source communautaire descriptive consultée pour les objectifs. Dialogues, coordonnées et récompenses ATB adaptés.</x:v>
      </x:c>
      <x:c r="D48" s="7" t="str">
        <x:v>https://masseffect.fandom.com/wiki/Citadel%3A_Scan_the_Keepers</x:v>
      </x:c>
    </x:row>
    <x:row r="49" ht="62" customHeight="1">
      <x:c r="A49" s="7" t="str">
        <x:v>ME1-OP-CITADEL-SIGNAL-TRACKING</x:v>
      </x:c>
      <x:c r="B49" s="7" t="str">
        <x:v>Citadelle : Traque du signal</x:v>
      </x:c>
      <x:c r="C49" s="7" t="str">
        <x:v>Source communautaire descriptive consultée pour les objectifs. Dialogues, coordonnées et récompenses ATB adaptés.</x:v>
      </x:c>
      <x:c r="D49" s="7" t="str">
        <x:v>https://masseffect.fandom.com/wiki/Citadel%3A_Signal_Tracking</x:v>
      </x:c>
    </x:row>
    <x:row r="50" ht="62" customHeight="1">
      <x:c r="A50" s="7" t="str">
        <x:v>ME1-OP-CITADEL-PRESIDIUM-PROPHET</x:v>
      </x:c>
      <x:c r="B50" s="7" t="str">
        <x:v>Citadelle : Le prédicateur du Présidium</x:v>
      </x:c>
      <x:c r="C50" s="7" t="str">
        <x:v>Source communautaire descriptive consultée pour les objectifs. Dialogues, coordonnées et récompenses ATB adaptés.</x:v>
      </x:c>
      <x:c r="D50" s="7" t="str">
        <x:v>https://masseffect.fandom.com/wiki/Citadel%3A_Presidium_Prophet</x:v>
      </x:c>
    </x:row>
    <x:row r="51" ht="62" customHeight="1">
      <x:c r="A51" s="7" t="str">
        <x:v>ME1-OP-CITADEL-DOCTOR-MICHEL</x:v>
      </x:c>
      <x:c r="B51" s="7" t="str">
        <x:v>Citadelle : Le docteur Michel</x:v>
      </x:c>
      <x:c r="C51" s="7" t="str">
        <x:v>Source communautaire descriptive consultée pour les objectifs. Dialogues, coordonnées et récompenses ATB adaptés.</x:v>
      </x:c>
      <x:c r="D51" s="7" t="str">
        <x:v>https://masseffect.fandom.com/wiki/Citadel%3A_Doctor_Michel</x:v>
      </x:c>
    </x:row>
    <x:row r="52" ht="62" customHeight="1">
      <x:c r="A52" s="7" t="str">
        <x:v>ME1-OP-FEROS-WATER</x:v>
      </x:c>
      <x:c r="B52" s="7" t="str">
        <x:v>Féros : Rétablir l’eau</x:v>
      </x:c>
      <x:c r="C52" s="7" t="str">
        <x:v>Source communautaire descriptive consultée pour les objectifs. Dialogues, coordonnées et récompenses ATB adaptés.</x:v>
      </x:c>
      <x:c r="D52" s="7" t="str">
        <x:v>https://masseffect.fandom.com/wiki/Feros%3A_Water_Restoration</x:v>
      </x:c>
    </x:row>
    <x:row r="53" ht="62" customHeight="1">
      <x:c r="A53" s="7" t="str">
        <x:v>ME1-OP-FEROS-POWER</x:v>
      </x:c>
      <x:c r="B53" s="7" t="str">
        <x:v>Féros : Cellules énergétiques</x:v>
      </x:c>
      <x:c r="C53" s="7" t="str">
        <x:v>Source communautaire descriptive consultée pour les objectifs. Dialogues, coordonnées et récompenses ATB adaptés.</x:v>
      </x:c>
      <x:c r="D53" s="7" t="str">
        <x:v>https://masseffect.fandom.com/wiki/Feros%3A_Power_Cells</x:v>
      </x:c>
    </x:row>
    <x:row r="54" ht="62" customHeight="1">
      <x:c r="A54" s="7" t="str">
        <x:v>ME1-OP-FEROS-GETH-TUNNELS</x:v>
      </x:c>
      <x:c r="B54" s="7" t="str">
        <x:v>Féros : Les geth dans les tunnels</x:v>
      </x:c>
      <x:c r="C54" s="7" t="str">
        <x:v>Source communautaire descriptive consultée pour les objectifs. Dialogues, coordonnées et récompenses ATB adaptés.</x:v>
      </x:c>
      <x:c r="D54" s="7" t="str">
        <x:v>https://masseffect.fandom.com/wiki/Feros%3A_Geth_in_the_Tunnels</x:v>
      </x:c>
    </x:row>
    <x:row r="55" ht="62" customHeight="1">
      <x:c r="A55" s="7" t="str">
        <x:v>ME1-OP-FEROS-DATA-RECOVERY</x:v>
      </x:c>
      <x:c r="B55" s="7" t="str">
        <x:v>Féros : Récupération des données</x:v>
      </x:c>
      <x:c r="C55" s="7" t="str">
        <x:v>Source communautaire descriptive consultée pour les objectifs. Dialogues, coordonnées et récompenses ATB adaptés.</x:v>
      </x:c>
      <x:c r="D55" s="7" t="str">
        <x:v>https://masseffect.fandom.com/wiki/Feros%3A_Data_Recovery</x:v>
      </x:c>
    </x:row>
    <x:row r="56" ht="62" customHeight="1">
      <x:c r="A56" s="7" t="str">
        <x:v>ME1-GEAR-PISTOLS</x:v>
      </x:c>
      <x:c r="B56" s="7" t="str">
        <x:v>ME1 — Pistols</x:v>
      </x:c>
      <x:c r="C56" s="7" t="str">
        <x:v>Source communautaire sur noms, fabricants et familles. Valeurs de combat et économie du prototype, sans équivalence statistique 1:1.</x:v>
      </x:c>
      <x:c r="D56" s="7" t="str">
        <x:v>https://masseffect.fandom.com/wiki/Pistols</x:v>
      </x:c>
    </x:row>
    <x:row r="57" ht="62" customHeight="1">
      <x:c r="A57" s="7" t="str">
        <x:v>ME1-GEAR-ASSAULT-RIFLES</x:v>
      </x:c>
      <x:c r="B57" s="7" t="str">
        <x:v>ME1 — Assault Rifles</x:v>
      </x:c>
      <x:c r="C57" s="7" t="str">
        <x:v>Source communautaire sur noms, fabricants et familles. Valeurs de combat et économie du prototype, sans équivalence statistique 1:1.</x:v>
      </x:c>
      <x:c r="D57" s="7" t="str">
        <x:v>https://masseffect.fandom.com/wiki/Assault_Rifles</x:v>
      </x:c>
    </x:row>
    <x:row r="58" ht="62" customHeight="1">
      <x:c r="A58" s="7" t="str">
        <x:v>ME1-GEAR-SHOTGUNS</x:v>
      </x:c>
      <x:c r="B58" s="7" t="str">
        <x:v>ME1 — Shotguns</x:v>
      </x:c>
      <x:c r="C58" s="7" t="str">
        <x:v>Source communautaire sur noms, fabricants et familles. Valeurs de combat et économie du prototype, sans équivalence statistique 1:1.</x:v>
      </x:c>
      <x:c r="D58" s="7" t="str">
        <x:v>https://masseffect.fandom.com/wiki/Shotguns</x:v>
      </x:c>
    </x:row>
    <x:row r="59" ht="62" customHeight="1">
      <x:c r="A59" s="7" t="str">
        <x:v>ME1-GEAR-SNIPER-RIFLES</x:v>
      </x:c>
      <x:c r="B59" s="7" t="str">
        <x:v>ME1 — Sniper Rifles</x:v>
      </x:c>
      <x:c r="C59" s="7" t="str">
        <x:v>Source communautaire sur noms, fabricants et familles. Valeurs de combat et économie du prototype, sans équivalence statistique 1:1.</x:v>
      </x:c>
      <x:c r="D59" s="7" t="str">
        <x:v>https://masseffect.fandom.com/wiki/Sniper_Rifles</x:v>
      </x:c>
    </x:row>
    <x:row r="60" ht="62" customHeight="1">
      <x:c r="A60" s="7" t="str">
        <x:v>ME1-GEAR-ONYX-ARMOR</x:v>
      </x:c>
      <x:c r="B60" s="7" t="str">
        <x:v>ME1 — Onyx Armor</x:v>
      </x:c>
      <x:c r="C60" s="7" t="str">
        <x:v>Source communautaire sur noms, fabricants et familles. Valeurs de combat et économie du prototype, sans équivalence statistique 1:1.</x:v>
      </x:c>
      <x:c r="D60" s="7" t="str">
        <x:v>https://masseffect.fandom.com/wiki/Onyx_Armor</x:v>
      </x:c>
    </x:row>
    <x:row r="61" ht="62" customHeight="1">
      <x:c r="A61" s="7" t="str">
        <x:v>ME1-GEAR-PHOENIX-ARMOR</x:v>
      </x:c>
      <x:c r="B61" s="7" t="str">
        <x:v>ME1 — Phoenix Armor</x:v>
      </x:c>
      <x:c r="C61" s="7" t="str">
        <x:v>Source communautaire sur noms, fabricants et familles. Valeurs de combat et économie du prototype, sans équivalence statistique 1:1.</x:v>
      </x:c>
      <x:c r="D61" s="7" t="str">
        <x:v>https://masseffect.fandom.com/wiki/Phoenix_Armor</x:v>
      </x:c>
    </x:row>
    <x:row r="62" ht="62" customHeight="1">
      <x:c r="A62" s="7" t="str">
        <x:v>ME1-GEAR-COLOSSUS-ARMOR</x:v>
      </x:c>
      <x:c r="B62" s="7" t="str">
        <x:v>ME1 — Colossus Armor</x:v>
      </x:c>
      <x:c r="C62" s="7" t="str">
        <x:v>Source communautaire sur noms, fabricants et familles. Valeurs de combat et économie du prototype, sans équivalence statistique 1:1.</x:v>
      </x:c>
      <x:c r="D62" s="7" t="str">
        <x:v>https://masseffect.fandom.com/wiki/Colossus_Armor</x:v>
      </x:c>
    </x:row>
    <x:row r="63" ht="62" customHeight="1">
      <x:c r="A63" s="7" t="str">
        <x:v>ME1-GEAR-H-ARMOR</x:v>
      </x:c>
      <x:c r="B63" s="7" t="str">
        <x:v>ME1 — H Armor</x:v>
      </x:c>
      <x:c r="C63" s="7" t="str">
        <x:v>Source communautaire sur noms, fabricants et familles. Valeurs de combat et économie du prototype, sans équivalence statistique 1:1.</x:v>
      </x:c>
      <x:c r="D63" s="7" t="str">
        <x:v>https://masseffect.fandom.com/wiki/Predator_L/M/H_Armor</x:v>
      </x:c>
    </x:row>
    <x:row r="64" ht="62" customHeight="1">
      <x:c r="A64" s="7" t="str">
        <x:v>ME1-GEAR-LIBERATOR-ARMOR</x:v>
      </x:c>
      <x:c r="B64" s="7" t="str">
        <x:v>ME1 — Liberator Armor</x:v>
      </x:c>
      <x:c r="C64" s="7" t="str">
        <x:v>Source communautaire sur noms, fabricants et familles. Valeurs de combat et économie du prototype, sans équivalence statistique 1:1.</x:v>
      </x:c>
      <x:c r="D64" s="7" t="str">
        <x:v>https://masseffect.fandom.com/wiki/Liberator_Armor</x:v>
      </x:c>
    </x:row>
    <x:row r="65" ht="62" customHeight="1">
      <x:c r="A65" s="7" t="str">
        <x:v>ME1-GEAR-WEAPON-UPGRADES</x:v>
      </x:c>
      <x:c r="B65" s="7" t="str">
        <x:v>ME1 — Weapon Upgrades</x:v>
      </x:c>
      <x:c r="C65" s="7" t="str">
        <x:v>Source communautaire sur noms, fabricants et familles. Valeurs de combat et économie du prototype, sans équivalence statistique 1:1.</x:v>
      </x:c>
      <x:c r="D65" s="7" t="str">
        <x:v>https://masseffect.fandom.com/wiki/Weapon_Upgrades</x:v>
      </x:c>
    </x:row>
    <x:row r="66" ht="62" customHeight="1">
      <x:c r="A66" s="7" t="str">
        <x:v>ME1-GEAR-AMMUNITION-UPGRADES</x:v>
      </x:c>
      <x:c r="B66" s="7" t="str">
        <x:v>ME1 — Ammunition Upgrades</x:v>
      </x:c>
      <x:c r="C66" s="7" t="str">
        <x:v>Source communautaire sur noms, fabricants et familles. Valeurs de combat et économie du prototype, sans équivalence statistique 1:1.</x:v>
      </x:c>
      <x:c r="D66" s="7" t="str">
        <x:v>https://masseffect.fandom.com/wiki/Ammunition_Upgrades</x:v>
      </x:c>
    </x:row>
    <x:row r="67" ht="62" customHeight="1">
      <x:c r="A67" s="7" t="str">
        <x:v>ME1-GEAR-ARMOR-UPGRADES</x:v>
      </x:c>
      <x:c r="B67" s="7" t="str">
        <x:v>ME1 — Armor Upgrades</x:v>
      </x:c>
      <x:c r="C67" s="7" t="str">
        <x:v>Source communautaire sur noms, fabricants et familles. Valeurs de combat et économie du prototype, sans équivalence statistique 1:1.</x:v>
      </x:c>
      <x:c r="D67" s="7" t="str">
        <x:v>https://masseffect.fandom.com/wiki/Armor_Upgrades</x:v>
      </x:c>
    </x:row>
    <x:row r="68" ht="75" customHeight="1">
      <x:c r="A68" s="7" t="str">
        <x:v>EA-LE-FEMSHEP</x:v>
      </x:c>
      <x:c r="B68" s="7" t="str">
        <x:v>EA — apparence féminine de Shepard dans Legendary Edition</x:v>
      </x:c>
      <x:c r="C68" s="7" t="str">
        <x:v>Source primaire du 2 février 2021, consultée le 23 octobre 2026. Confirme la disponibilité du modèle féminin par défaut dans les trois épisodes ; ne valide pas les PNG du projet.</x:v>
      </x:c>
      <x:c r="D68" s="7" t="str">
        <x:v>https://news.ea.com/press-releases/press-releases-details/2021/Relive-the-Award-Winning-Space-Opera-in-Mass-Effect-Legendary-Edition-on-May-14/</x:v>
      </x:c>
    </x:row>
    <x:row r="69" ht="166" customHeight="1">
      <x:c r="A69" s="7" t="str">
        <x:v>ME1-MANUAL-X360-EN</x:v>
      </x:c>
      <x:c r="B69" s="7" t="str">
        <x:v>Mass Effect — manuel Xbox360 anglais officiel</x:v>
      </x:c>
      <x:c r="C69" s="7" t="str">
        <x:v>Manuel réellement téléchargé HTTP 200 le 26/10/2026 : 16 pages, SHA-256 f09cbe3dae03b652299d63f6b4c9340b8d0a9bf4df8b92b83e9bd9545dbceb44. Normandy : page PDF 3, page imprimée 4 ; Mako : page PDF 13, pages imprimées 23–24. Identification et vue seulement ; aucune géométrie, statistique ou fidélité générée certifiée. Preuve : docs/qa/arsenal-visual-reference-report.json. Source distincte du manuel PC français ME1-MANUAL.</x:v>
      </x:c>
      <x:c r="D69" s="7" t="str">
        <x:v>https://eaassets-a.akamaihd.net/eahelp/manuals/mass-effect-manuals_Microsoft%20XBOX360_en_US.pdf</x:v>
      </x:c>
    </x:row>
    <x:row r="70" ht="49" customHeight="1">
      <x:c r="A70" s="7" t="str">
        <x:v>ME1-CUSTOMIZATION-MANUAL</x:v>
      </x:c>
      <x:c r="B70" s="7" t="str">
        <x:v>Mass Effect — manuel Xbox 360 officiel</x:v>
      </x:c>
      <x:c r="C70" s="7" t="str">
        <x:v>Pages imprimées 5–7 et 18–19. Création de Shepard, armures complètes et améliorations spécialisées.</x:v>
      </x:c>
      <x:c r="D70" s="7" t="str">
        <x:v>https://eaassets-a.akamaihd.net/eahelp/manuals/mass-effect-manuals_Microsoft%20XBOX360_en_US.pdf</x:v>
      </x:c>
    </x:row>
    <x:row r="71" ht="49" customHeight="1">
      <x:c r="A71" s="7" t="str">
        <x:v>ME3-CUSTOMIZATION-MANUAL</x:v>
      </x:c>
      <x:c r="B71" s="7" t="str">
        <x:v>Mass Effect 3 — manuel PC officiel</x:v>
      </x:c>
      <x:c r="C71" s="7" t="str">
        <x:v>Pages 12–13. Pièces d’armure, deux mods par arme, charge et recharge. Référence des différences entre opus.</x:v>
      </x:c>
      <x:c r="D71" s="7" t="str">
        <x:v>https://eaassets-a.akamaihd.net/eahelp/manuals/mass-effect-3-manuals_PC.pdf</x:v>
      </x:c>
    </x:row>
    <x:row r="72" ht="49" customHeight="1">
      <x:c r="A72" s="7" t="str">
        <x:v>MEA-CUSTOMIZATION-MANUAL</x:v>
      </x:c>
      <x:c r="B72" s="7" t="str">
        <x:v>Mass Effect Andromeda — manuel PC officiel</x:v>
      </x:c>
      <x:c r="C72" s="7" t="str">
        <x:v>Pages 6 et 15–18. Créateur, recherche, développement, augmentations et équipement. Référence future.</x:v>
      </x:c>
      <x:c r="D72" s="7" t="str">
        <x:v>https://eaassets-a.akamaihd.net/eahelp/manuals/mass-effect-andromeda-pc-en.pdf</x:v>
      </x:c>
    </x:row>
    <x:row r="73" ht="49" customHeight="1">
      <x:c r="A73" s="7" t="str">
        <x:v>MEA-PATCH108</x:v>
      </x:c>
      <x:c r="B73" s="7" t="str">
        <x:v>BioWare — Mass Effect Andromeda Patch 1.08</x:v>
      </x:c>
      <x:c r="C73" s="7" t="str">
        <x:v>Modification d’apparence à bord du Tempest. Ne décrit pas une fonctionnalité native de ME1.</x:v>
      </x:c>
      <x:c r="D73" s="7" t="str">
        <x:v>https://blog.bioware.com/2017/06/06/mass-effect-andromeda-patch-1-08-notes/</x:v>
      </x:c>
    </x:row>
    <x:row r="74" ht="42" customHeight="1">
      <x:c r="A74" s="7"/>
      <x:c r="B74" s="7"/>
      <x:c r="C74" s="7"/>
      <x:c r="D74" s="7"/>
    </x:row>
    <x:row r="75" ht="42" customHeight="1">
      <x:c r="A75" s="7"/>
      <x:c r="B75" s="7"/>
      <x:c r="C75" s="7"/>
      <x:c r="D75" s="7"/>
    </x:row>
    <x:row r="76" ht="68" customHeight="1">
      <x:c r="A76" s="7" t="str">
        <x:v>Périmètre</x:v>
      </x:c>
      <x:c r="B76" s="7" t="str">
        <x:v>Plan de couverture du premier Mass Effect avec extensions ME2 et ME3 séparées. Le prototype jouable condense les lieux et ne constitue pas une reproduction complète. Chroniques indépendantes : références des 28 œuvres et prototypes tactiques isolés pour sept œuvres ; aucun transfert dans la campagne ME1.</x:v>
      </x:c>
      <x:c r="C76" s="7"/>
      <x:c r="D76" s="7"/>
    </x:row>
    <x:row r="77" ht="68" customHeight="1">
      <x:c r="A77" s="7" t="str">
        <x:v>Fidélité</x:v>
      </x:c>
      <x:c r="B77" s="7" t="str">
        <x:v>Aucun asset ni aucune mission n’est déclaré fidèle 1:1 ou terminé sans contrôle explicite.</x:v>
      </x:c>
      <x:c r="C77" s="7"/>
      <x:c r="D77" s="7"/>
    </x:row>
    <x:row r="78" ht="42" customHeight="1">
      <x:c r="A78" s="7" t="str">
        <x:v>Version</x:v>
      </x:c>
      <x:c r="B78" s="7" t="str">
        <x:v>0.3.0</x:v>
      </x:c>
      <x:c r="C78" s="7"/>
      <x:c r="D78" s="7"/>
    </x:row>
    <x:row r="79" ht="42" customHeight="1">
      <x:c r="A79" s="7" t="str">
        <x:v>Date de référence</x:v>
      </x:c>
      <x:c r="B79" s="32" t="d">
        <x:v>2026-10-26T12:00:00.000Z</x:v>
      </x:c>
      <x:c r="C79" s="7"/>
      <x:c r="D79" s="7"/>
    </x:row>
    <x:row r="80" ht="22" customHeight="1">
      <x:c r="A80" s="2"/>
      <x:c r="B80" s="2"/>
      <x:c r="C80" s="2"/>
      <x:c r="D80" s="2"/>
    </x:row>
    <x:row r="81" ht="22" customHeight="1">
      <x:c r="A81" s="2"/>
      <x:c r="B81" s="2"/>
      <x:c r="C81" s="2"/>
      <x:c r="D81" s="2"/>
    </x:row>
    <x:row r="82" ht="22" customHeight="1">
      <x:c r="A82" s="2"/>
      <x:c r="B82" s="2"/>
      <x:c r="C82" s="2"/>
      <x:c r="D82" s="2"/>
    </x:row>
  </x:sheetData>
  <x:pageMargins left="0.7" right="0.7" top="0.75" bottom="0.75" header="0.3" footer="0.3"/>
</x:worksheet>
</file>