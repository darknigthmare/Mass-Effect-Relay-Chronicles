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f09f48501f46f2" /></Relationships>
</file>

<file path=xl/workbook.xml><?xml version="1.0" encoding="utf-8"?>
<x:workbook xmlns:x="http://schemas.openxmlformats.org/spreadsheetml/2006/main">
  <x:sheets>
    <x:sheet xmlns:r="http://schemas.openxmlformats.org/officeDocument/2006/relationships" name="Dashboard" sheetId="1" r:id="R13d483a67b034767"/>
    <x:sheet xmlns:r="http://schemas.openxmlformats.org/officeDocument/2006/relationships" name="Personnages" sheetId="2" r:id="Re58f18e803ca453d"/>
    <x:sheet xmlns:r="http://schemas.openxmlformats.org/officeDocument/2006/relationships" name="PNJ" sheetId="3" r:id="R4f60cab8eece49ec"/>
    <x:sheet xmlns:r="http://schemas.openxmlformats.org/officeDocument/2006/relationships" name="Especes_factions" sheetId="4" r:id="Rc824f8adf5db4420"/>
    <x:sheet xmlns:r="http://schemas.openxmlformats.org/officeDocument/2006/relationships" name="Mondes" sheetId="5" r:id="R95c8a747b0da46c6"/>
    <x:sheet xmlns:r="http://schemas.openxmlformats.org/officeDocument/2006/relationships" name="Zones" sheetId="6" r:id="R8ccbc390580b4234"/>
    <x:sheet xmlns:r="http://schemas.openxmlformats.org/officeDocument/2006/relationships" name="Liaisons" sheetId="7" r:id="R45e6ba578beb492e"/>
    <x:sheet xmlns:r="http://schemas.openxmlformats.org/officeDocument/2006/relationships" name="Decors" sheetId="8" r:id="Rd2134d27d92e4bc5"/>
    <x:sheet xmlns:r="http://schemas.openxmlformats.org/officeDocument/2006/relationships" name="Props" sheetId="9" r:id="R82c7a5b1cf864ad5"/>
    <x:sheet xmlns:r="http://schemas.openxmlformats.org/officeDocument/2006/relationships" name="Ennemis_boss" sheetId="10" r:id="R7bb46d2e086f4f88"/>
    <x:sheet xmlns:r="http://schemas.openxmlformats.org/officeDocument/2006/relationships" name="Missions" sheetId="11" r:id="Rb5d58b675a42408b"/>
    <x:sheet xmlns:r="http://schemas.openxmlformats.org/officeDocument/2006/relationships" name="Secondaires_DLC" sheetId="12" r:id="Rdad45f5b16b046bb"/>
    <x:sheet xmlns:r="http://schemas.openxmlformats.org/officeDocument/2006/relationships" name="Choix_relations" sheetId="13" r:id="Rd1da7858f7074495"/>
    <x:sheet xmlns:r="http://schemas.openxmlformats.org/officeDocument/2006/relationships" name="Dialogues" sheetId="14" r:id="R61984ab036e144a6"/>
    <x:sheet xmlns:r="http://schemas.openxmlformats.org/officeDocument/2006/relationships" name="Cinematiques" sheetId="15" r:id="Rcf37b7813c1a4da6"/>
    <x:sheet xmlns:r="http://schemas.openxmlformats.org/officeDocument/2006/relationships" name="Armes" sheetId="16" r:id="R7a068a36766847df"/>
    <x:sheet xmlns:r="http://schemas.openxmlformats.org/officeDocument/2006/relationships" name="Armures_equipement" sheetId="17" r:id="R2ea009d010a74d29"/>
    <x:sheet xmlns:r="http://schemas.openxmlformats.org/officeDocument/2006/relationships" name="Pouvoirs" sheetId="18" r:id="R1a6217e82a574cd8"/>
    <x:sheet xmlns:r="http://schemas.openxmlformats.org/officeDocument/2006/relationships" name="Movesets_allies" sheetId="19" r:id="R682d333f66b444fa"/>
    <x:sheet xmlns:r="http://schemas.openxmlformats.org/officeDocument/2006/relationships" name="Movesets_ennemis" sheetId="20" r:id="R06576e5bbbc3457f"/>
    <x:sheet xmlns:r="http://schemas.openxmlformats.org/officeDocument/2006/relationships" name="Animations" sheetId="21" r:id="R1bddba02043f4ece"/>
    <x:sheet xmlns:r="http://schemas.openxmlformats.org/officeDocument/2006/relationships" name="Sprites" sheetId="22" r:id="Rda335ad5cede42c1"/>
    <x:sheet xmlns:r="http://schemas.openxmlformats.org/officeDocument/2006/relationships" name="VFX" sheetId="23" r:id="R064730fdef0f4e06"/>
    <x:sheet xmlns:r="http://schemas.openxmlformats.org/officeDocument/2006/relationships" name="Audio" sheetId="24" r:id="R2dad145128e245ff"/>
    <x:sheet xmlns:r="http://schemas.openxmlformats.org/officeDocument/2006/relationships" name="UI_systemes" sheetId="25" r:id="R059515e19f1b4c67"/>
    <x:sheet xmlns:r="http://schemas.openxmlformats.org/officeDocument/2006/relationships" name="QA" sheetId="26" r:id="R3f20d02159ff4dff"/>
    <x:sheet xmlns:r="http://schemas.openxmlformats.org/officeDocument/2006/relationships" name="Trilogie" sheetId="27" r:id="R7e1b9339e56147ad"/>
    <x:sheet xmlns:r="http://schemas.openxmlformats.org/officeDocument/2006/relationships" name="Guide" sheetId="28" r:id="R59bb8f6484da490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10">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
      <x:patternFill patternType="solid">
        <x:fgColor rgb="FFFFF0C7"/>
      </x:patternFill>
    </x:fill>
    <x:fill>
      <x:patternFill patternType="solid">
        <x:fgColor rgb="FFFFF7E1"/>
      </x:patternFill>
    </x:fill>
    <x:fill>
      <x:patternFill patternType="solid">
        <x:fgColor rgb="FFF8FBFC"/>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xf numFmtId="0" fontId="1" fillId="0" borderId="0" xfId="0" applyNumberFormat="1" applyFont="1" applyFill="1" applyBorder="1" applyAlignment="1">
      <x:alignment wrapText="1"/>
    </x:xf>
    <x:xf numFmtId="0" fontId="1" fillId="7" borderId="0" xfId="0" applyNumberFormat="1" applyFont="1" applyFill="1" applyBorder="1" applyAlignment="1">
      <x:alignment horizontal="center" vertical="center" wrapText="1"/>
    </x:xf>
    <x:xf numFmtId="0" fontId="1" fillId="8" borderId="0" xfId="0" applyNumberFormat="1" applyFont="1" applyFill="1" applyBorder="1" applyAlignment="1">
      <x:alignment horizontal="center" vertical="center" wrapText="1"/>
    </x:xf>
    <x:xf numFmtId="0" fontId="4" fillId="9"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9" borderId="0" xfId="0" applyNumberFormat="1" applyFont="1" applyFill="1" applyBorder="1" applyAlignment="1">
      <x:alignment horizontal="center" vertical="center" wrapText="1"/>
    </x:xf>
  </x:cellXfs>
  <x:cellStyles count="1">
    <x:cellStyle name="Normal" xfId="0"/>
  </x:cellStyles>
  <x:dxfs count="290">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x:bgColor rgb="FFFFF1D0"/>
        </x:patternFill>
      </x:fill>
    </x:dxf>
    <x:dxf>
      <x:font>
        <x:b/>
        <x:color rgb="FF0C5966"/>
      </x:font>
      <x:fill>
        <x:patternFill>
          <x:bgColor rgb="FFD9EEF2"/>
        </x:patternFill>
      </x:fill>
    </x:dxf>
    <x:dxf>
      <x:font>
        <x:b/>
        <x:color rgb="FF176A4D"/>
      </x:font>
      <x:fill>
        <x:patternFill>
          <x:bgColor rgb="FFDDF1E8"/>
        </x:patternFill>
      </x:fill>
    </x:dxf>
    <x:dxf>
      <x:font>
        <x:color rgb="FF79520A"/>
      </x:font>
      <x:fill>
        <x:patternFill>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0c059939fc6f4623" /><Relationship Type="http://schemas.openxmlformats.org/officeDocument/2006/relationships/theme" Target="/xl/theme/theme1.xml" Id="R86a960deef344f4a" /><Relationship Type="http://schemas.openxmlformats.org/officeDocument/2006/relationships/sharedStrings" Target="/xl/sharedStrings.xml" Id="R29a5bbbcb4754485" /><Relationship Type="http://schemas.openxmlformats.org/officeDocument/2006/relationships/worksheet" Target="/xl/worksheets/sheet1.xml" Id="R13d483a67b034767" /><Relationship Type="http://schemas.openxmlformats.org/officeDocument/2006/relationships/worksheet" Target="/xl/worksheets/sheet2.xml" Id="Re58f18e803ca453d" /><Relationship Type="http://schemas.openxmlformats.org/officeDocument/2006/relationships/worksheet" Target="/xl/worksheets/sheet3.xml" Id="R4f60cab8eece49ec" /><Relationship Type="http://schemas.openxmlformats.org/officeDocument/2006/relationships/worksheet" Target="/xl/worksheets/sheet4.xml" Id="Rc824f8adf5db4420" /><Relationship Type="http://schemas.openxmlformats.org/officeDocument/2006/relationships/worksheet" Target="/xl/worksheets/sheet5.xml" Id="R95c8a747b0da46c6" /><Relationship Type="http://schemas.openxmlformats.org/officeDocument/2006/relationships/worksheet" Target="/xl/worksheets/sheet6.xml" Id="R8ccbc390580b4234" /><Relationship Type="http://schemas.openxmlformats.org/officeDocument/2006/relationships/worksheet" Target="/xl/worksheets/sheet7.xml" Id="R45e6ba578beb492e" /><Relationship Type="http://schemas.openxmlformats.org/officeDocument/2006/relationships/worksheet" Target="/xl/worksheets/sheet8.xml" Id="Rd2134d27d92e4bc5" /><Relationship Type="http://schemas.openxmlformats.org/officeDocument/2006/relationships/worksheet" Target="/xl/worksheets/sheet9.xml" Id="R82c7a5b1cf864ad5" /><Relationship Type="http://schemas.openxmlformats.org/officeDocument/2006/relationships/worksheet" Target="/xl/worksheets/sheet10.xml" Id="R7bb46d2e086f4f88" /><Relationship Type="http://schemas.openxmlformats.org/officeDocument/2006/relationships/worksheet" Target="/xl/worksheets/sheet11.xml" Id="Rb5d58b675a42408b" /><Relationship Type="http://schemas.openxmlformats.org/officeDocument/2006/relationships/worksheet" Target="/xl/worksheets/sheet12.xml" Id="Rdad45f5b16b046bb" /><Relationship Type="http://schemas.openxmlformats.org/officeDocument/2006/relationships/worksheet" Target="/xl/worksheets/sheet13.xml" Id="Rd1da7858f7074495" /><Relationship Type="http://schemas.openxmlformats.org/officeDocument/2006/relationships/worksheet" Target="/xl/worksheets/sheet14.xml" Id="R61984ab036e144a6" /><Relationship Type="http://schemas.openxmlformats.org/officeDocument/2006/relationships/worksheet" Target="/xl/worksheets/sheet15.xml" Id="Rcf37b7813c1a4da6" /><Relationship Type="http://schemas.openxmlformats.org/officeDocument/2006/relationships/worksheet" Target="/xl/worksheets/sheet16.xml" Id="R7a068a36766847df" /><Relationship Type="http://schemas.openxmlformats.org/officeDocument/2006/relationships/worksheet" Target="/xl/worksheets/sheet17.xml" Id="R2ea009d010a74d29" /><Relationship Type="http://schemas.openxmlformats.org/officeDocument/2006/relationships/worksheet" Target="/xl/worksheets/sheet18.xml" Id="R1a6217e82a574cd8" /><Relationship Type="http://schemas.openxmlformats.org/officeDocument/2006/relationships/worksheet" Target="/xl/worksheets/sheet19.xml" Id="R682d333f66b444fa" /><Relationship Type="http://schemas.openxmlformats.org/officeDocument/2006/relationships/worksheet" Target="/xl/worksheets/sheet20.xml" Id="R06576e5bbbc3457f" /><Relationship Type="http://schemas.openxmlformats.org/officeDocument/2006/relationships/worksheet" Target="/xl/worksheets/sheet21.xml" Id="R1bddba02043f4ece" /><Relationship Type="http://schemas.openxmlformats.org/officeDocument/2006/relationships/worksheet" Target="/xl/worksheets/sheet22.xml" Id="Rda335ad5cede42c1" /><Relationship Type="http://schemas.openxmlformats.org/officeDocument/2006/relationships/worksheet" Target="/xl/worksheets/sheet23.xml" Id="R064730fdef0f4e06" /><Relationship Type="http://schemas.openxmlformats.org/officeDocument/2006/relationships/worksheet" Target="/xl/worksheets/sheet24.xml" Id="R2dad145128e245ff" /><Relationship Type="http://schemas.openxmlformats.org/officeDocument/2006/relationships/worksheet" Target="/xl/worksheets/sheet25.xml" Id="R059515e19f1b4c67" /><Relationship Type="http://schemas.openxmlformats.org/officeDocument/2006/relationships/worksheet" Target="/xl/worksheets/sheet26.xml" Id="R3f20d02159ff4dff" /><Relationship Type="http://schemas.openxmlformats.org/officeDocument/2006/relationships/worksheet" Target="/xl/worksheets/sheet27.xml" Id="R7e1b9339e56147ad" /><Relationship Type="http://schemas.openxmlformats.org/officeDocument/2006/relationships/worksheet" Target="/xl/worksheets/sheet28.xml" Id="R59bb8f6484da4909"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4" headerRowCount="1" totalsRowCount="0" totalsRowShown="0">
  <x:autoFilter ref="A6:Q5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8" headerRowCount="1" totalsRowCount="0" totalsRowShown="0">
  <x:autoFilter ref="A6:Q8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29bd36be7cd4bab" /></Relationships>
</file>

<file path=xl/worksheets/_rels/sheet3.xml.rels>&#65279;<?xml version="1.0" encoding="utf-8"?><Relationships xmlns="http://schemas.openxmlformats.org/package/2006/relationships"><Relationship Type="http://schemas.openxmlformats.org/officeDocument/2006/relationships/table" Target="/xl/tables/table2.xml" Id="R8c740dca57674058" /></Relationships>
</file>

<file path=xl/worksheets/_rels/sheet4.xml.rels>&#65279;<?xml version="1.0" encoding="utf-8"?><Relationships xmlns="http://schemas.openxmlformats.org/package/2006/relationships"><Relationship Type="http://schemas.openxmlformats.org/officeDocument/2006/relationships/table" Target="/xl/tables/table3.xml" Id="R1cdd39d4dbb047cd" /></Relationships>
</file>

<file path=xl/worksheets/_rels/sheet5.xml.rels>&#65279;<?xml version="1.0" encoding="utf-8"?><Relationships xmlns="http://schemas.openxmlformats.org/package/2006/relationships"><Relationship Type="http://schemas.openxmlformats.org/officeDocument/2006/relationships/table" Target="/xl/tables/table4.xml" Id="R5ce2cab462f64c09" /></Relationships>
</file>

<file path=xl/worksheets/_rels/sheet6.xml.rels>&#65279;<?xml version="1.0" encoding="utf-8"?><Relationships xmlns="http://schemas.openxmlformats.org/package/2006/relationships"><Relationship Type="http://schemas.openxmlformats.org/officeDocument/2006/relationships/table" Target="/xl/tables/table5.xml" Id="R031ff5b419384382" /></Relationships>
</file>

<file path=xl/worksheets/_rels/sheet7.xml.rels>&#65279;<?xml version="1.0" encoding="utf-8"?><Relationships xmlns="http://schemas.openxmlformats.org/package/2006/relationships"><Relationship Type="http://schemas.openxmlformats.org/officeDocument/2006/relationships/table" Target="/xl/tables/table6.xml" Id="R73b727d091ab4bb8" /></Relationships>
</file>

<file path=xl/worksheets/_rels/sheet8.xml.rels>&#65279;<?xml version="1.0" encoding="utf-8"?><Relationships xmlns="http://schemas.openxmlformats.org/package/2006/relationships"><Relationship Type="http://schemas.openxmlformats.org/officeDocument/2006/relationships/table" Target="/xl/tables/table7.xml" Id="Rda7246ced1294efc" /></Relationships>
</file>

<file path=xl/worksheets/_rels/sheet9.xml.rels>&#65279;<?xml version="1.0" encoding="utf-8"?><Relationships xmlns="http://schemas.openxmlformats.org/package/2006/relationships"><Relationship Type="http://schemas.openxmlformats.org/officeDocument/2006/relationships/table" Target="/xl/tables/table8.xml" Id="R66a48c9655ce402d" /></Relationships>
</file>

<file path=xl/worksheets/_rels/sheet10.xml.rels>&#65279;<?xml version="1.0" encoding="utf-8"?><Relationships xmlns="http://schemas.openxmlformats.org/package/2006/relationships"><Relationship Type="http://schemas.openxmlformats.org/officeDocument/2006/relationships/table" Target="/xl/tables/table9.xml" Id="R42e3bde374d64424" /></Relationships>
</file>

<file path=xl/worksheets/_rels/sheet11.xml.rels>&#65279;<?xml version="1.0" encoding="utf-8"?><Relationships xmlns="http://schemas.openxmlformats.org/package/2006/relationships"><Relationship Type="http://schemas.openxmlformats.org/officeDocument/2006/relationships/table" Target="/xl/tables/table10.xml" Id="Rf80f5261710e46d5" /></Relationships>
</file>

<file path=xl/worksheets/_rels/sheet12.xml.rels>&#65279;<?xml version="1.0" encoding="utf-8"?><Relationships xmlns="http://schemas.openxmlformats.org/package/2006/relationships"><Relationship Type="http://schemas.openxmlformats.org/officeDocument/2006/relationships/table" Target="/xl/tables/table11.xml" Id="Rcd6cebf992f04cff" /></Relationships>
</file>

<file path=xl/worksheets/_rels/sheet13.xml.rels>&#65279;<?xml version="1.0" encoding="utf-8"?><Relationships xmlns="http://schemas.openxmlformats.org/package/2006/relationships"><Relationship Type="http://schemas.openxmlformats.org/officeDocument/2006/relationships/table" Target="/xl/tables/table12.xml" Id="R1e3d53f6c71b42a1" /></Relationships>
</file>

<file path=xl/worksheets/_rels/sheet14.xml.rels>&#65279;<?xml version="1.0" encoding="utf-8"?><Relationships xmlns="http://schemas.openxmlformats.org/package/2006/relationships"><Relationship Type="http://schemas.openxmlformats.org/officeDocument/2006/relationships/table" Target="/xl/tables/table13.xml" Id="R8f681368f8ea4e72" /></Relationships>
</file>

<file path=xl/worksheets/_rels/sheet15.xml.rels>&#65279;<?xml version="1.0" encoding="utf-8"?><Relationships xmlns="http://schemas.openxmlformats.org/package/2006/relationships"><Relationship Type="http://schemas.openxmlformats.org/officeDocument/2006/relationships/table" Target="/xl/tables/table14.xml" Id="Ra4dc3a20b3274a34" /></Relationships>
</file>

<file path=xl/worksheets/_rels/sheet16.xml.rels>&#65279;<?xml version="1.0" encoding="utf-8"?><Relationships xmlns="http://schemas.openxmlformats.org/package/2006/relationships"><Relationship Type="http://schemas.openxmlformats.org/officeDocument/2006/relationships/table" Target="/xl/tables/table15.xml" Id="R6e20947fef86422d" /></Relationships>
</file>

<file path=xl/worksheets/_rels/sheet17.xml.rels>&#65279;<?xml version="1.0" encoding="utf-8"?><Relationships xmlns="http://schemas.openxmlformats.org/package/2006/relationships"><Relationship Type="http://schemas.openxmlformats.org/officeDocument/2006/relationships/table" Target="/xl/tables/table16.xml" Id="Ra3b89b5fad46490c" /></Relationships>
</file>

<file path=xl/worksheets/_rels/sheet18.xml.rels>&#65279;<?xml version="1.0" encoding="utf-8"?><Relationships xmlns="http://schemas.openxmlformats.org/package/2006/relationships"><Relationship Type="http://schemas.openxmlformats.org/officeDocument/2006/relationships/table" Target="/xl/tables/table17.xml" Id="R29d7cf87bbde4153" /></Relationships>
</file>

<file path=xl/worksheets/_rels/sheet19.xml.rels>&#65279;<?xml version="1.0" encoding="utf-8"?><Relationships xmlns="http://schemas.openxmlformats.org/package/2006/relationships"><Relationship Type="http://schemas.openxmlformats.org/officeDocument/2006/relationships/table" Target="/xl/tables/table18.xml" Id="Rf45669650ae2498c" /></Relationships>
</file>

<file path=xl/worksheets/_rels/sheet20.xml.rels>&#65279;<?xml version="1.0" encoding="utf-8"?><Relationships xmlns="http://schemas.openxmlformats.org/package/2006/relationships"><Relationship Type="http://schemas.openxmlformats.org/officeDocument/2006/relationships/table" Target="/xl/tables/table19.xml" Id="Ra96fac8a5a8142dc" /></Relationships>
</file>

<file path=xl/worksheets/_rels/sheet21.xml.rels>&#65279;<?xml version="1.0" encoding="utf-8"?><Relationships xmlns="http://schemas.openxmlformats.org/package/2006/relationships"><Relationship Type="http://schemas.openxmlformats.org/officeDocument/2006/relationships/table" Target="/xl/tables/table20.xml" Id="R673b25b9482e4b73" /></Relationships>
</file>

<file path=xl/worksheets/_rels/sheet22.xml.rels>&#65279;<?xml version="1.0" encoding="utf-8"?><Relationships xmlns="http://schemas.openxmlformats.org/package/2006/relationships"><Relationship Type="http://schemas.openxmlformats.org/officeDocument/2006/relationships/table" Target="/xl/tables/table21.xml" Id="R46a9e9db69d74eac" /></Relationships>
</file>

<file path=xl/worksheets/_rels/sheet23.xml.rels>&#65279;<?xml version="1.0" encoding="utf-8"?><Relationships xmlns="http://schemas.openxmlformats.org/package/2006/relationships"><Relationship Type="http://schemas.openxmlformats.org/officeDocument/2006/relationships/table" Target="/xl/tables/table22.xml" Id="Rd1f2943e05e84447" /></Relationships>
</file>

<file path=xl/worksheets/_rels/sheet24.xml.rels>&#65279;<?xml version="1.0" encoding="utf-8"?><Relationships xmlns="http://schemas.openxmlformats.org/package/2006/relationships"><Relationship Type="http://schemas.openxmlformats.org/officeDocument/2006/relationships/table" Target="/xl/tables/table23.xml" Id="R29bb3e2c1d5941e6" /></Relationships>
</file>

<file path=xl/worksheets/_rels/sheet25.xml.rels>&#65279;<?xml version="1.0" encoding="utf-8"?><Relationships xmlns="http://schemas.openxmlformats.org/package/2006/relationships"><Relationship Type="http://schemas.openxmlformats.org/officeDocument/2006/relationships/table" Target="/xl/tables/table24.xml" Id="R3da4a3a39c944477" /></Relationships>
</file>

<file path=xl/worksheets/_rels/sheet26.xml.rels>&#65279;<?xml version="1.0" encoding="utf-8"?><Relationships xmlns="http://schemas.openxmlformats.org/package/2006/relationships"><Relationship Type="http://schemas.openxmlformats.org/officeDocument/2006/relationships/table" Target="/xl/tables/table25.xml" Id="R3a02000801f5401e" /></Relationships>
</file>

<file path=xl/worksheets/_rels/sheet27.xml.rels>&#65279;<?xml version="1.0" encoding="utf-8"?><Relationships xmlns="http://schemas.openxmlformats.org/package/2006/relationships"><Relationship Type="http://schemas.openxmlformats.org/officeDocument/2006/relationships/table" Target="/xl/tables/table26.xml" Id="R86f26913cf74493e"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1371</x:v>
      </x:c>
      <x:c r="C5" s="2"/>
      <x:c r="D5" s="2" t="str">
        <x:v>Intégrés</x:v>
      </x:c>
      <x:c r="E5" s="21" t="n">
        <x:f>SUM(E10:F35)</x:f>
        <x:v>6</x:v>
      </x:c>
      <x:c r="F5" s="2"/>
      <x:c r="G5" s="2" t="str">
        <x:v>Références à vérifier</x:v>
      </x:c>
      <x:c r="H5" s="21" t="n">
        <x:f>SUM(H10:H35)</x:f>
        <x:v>524</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COUNTA('Armes'!$A$7:$A$54)</x:f>
        <x:v>48</x:v>
      </x:c>
      <x:c r="C24" s="26" t="n">
        <x:f>COUNTIFS('Armes'!$C$7:$C$54,"Défini")</x:f>
        <x:v>24</x:v>
      </x:c>
      <x:c r="D24" s="26" t="n">
        <x:f>COUNTIFS('Armes'!$C$7:$C$54,"Prototype")</x:f>
        <x:v>24</x:v>
      </x:c>
      <x:c r="E24" s="26" t="n">
        <x:f>COUNTIFS('Armes'!$C$7:$C$54,"Intégré")</x:f>
        <x:v>0</x:v>
      </x:c>
      <x:c r="F24" s="26" t="n">
        <x:f>COUNTIFS('Armes'!$C$7:$C$54,"Validé")</x:f>
        <x:v>0</x:v>
      </x:c>
      <x:c r="G24" s="26" t="n">
        <x:f>COUNTIFS('Armes'!$G$7:$G$54,"Confirmé")</x:f>
        <x:v>0</x:v>
      </x:c>
      <x:c r="H24" s="26" t="n">
        <x:f>COUNTIFS('Armes'!$G$7:$G$54,"Référence à vérifier")</x:f>
        <x:v>24</x:v>
      </x:c>
      <x:c r="I24" s="26" t="n">
        <x:f>COUNTIFS('Armes'!$G$7:$G$54,"Adaptation")</x:f>
        <x:v>24</x:v>
      </x:c>
      <x:c r="J24" s="26" t="n">
        <x:f>COUNTIFS('Armes'!$F$7:$F$54,"ME1")</x:f>
        <x:v>48</x:v>
      </x:c>
      <x:c r="K24" s="26" t="n">
        <x:f>COUNTIFS('Armes'!$P$7:$P$54,"Extension future")</x:f>
        <x:v>0</x:v>
      </x:c>
    </x:row>
    <x:row r="25" ht="22" customHeight="1">
      <x:c r="A25" s="2" t="str">
        <x:v>Armures et équipement</x:v>
      </x:c>
      <x:c r="B25" s="27" t="n">
        <x:f>COUNTA('Armures_equipement'!$A$7:$A$66)</x:f>
        <x:v>60</x:v>
      </x:c>
      <x:c r="C25" s="27" t="n">
        <x:f>COUNTIFS('Armures_equipement'!$C$7:$C$66,"Défini")</x:f>
        <x:v>26</x:v>
      </x:c>
      <x:c r="D25" s="27" t="n">
        <x:f>COUNTIFS('Armures_equipement'!$C$7:$C$66,"Prototype")</x:f>
        <x:v>34</x:v>
      </x:c>
      <x:c r="E25" s="27" t="n">
        <x:f>COUNTIFS('Armures_equipement'!$C$7:$C$66,"Intégré")</x:f>
        <x:v>0</x:v>
      </x:c>
      <x:c r="F25" s="27" t="n">
        <x:f>COUNTIFS('Armures_equipement'!$C$7:$C$66,"Validé")</x:f>
        <x:v>0</x:v>
      </x:c>
      <x:c r="G25" s="27" t="n">
        <x:f>COUNTIFS('Armures_equipement'!$G$7:$G$66,"Confirmé")</x:f>
        <x:v>0</x:v>
      </x:c>
      <x:c r="H25" s="27" t="n">
        <x:f>COUNTIFS('Armures_equipement'!$G$7:$G$66,"Référence à vérifier")</x:f>
        <x:v>26</x:v>
      </x:c>
      <x:c r="I25" s="27" t="n">
        <x:f>COUNTIFS('Armures_equipement'!$G$7:$G$66,"Adaptation")</x:f>
        <x:v>34</x:v>
      </x:c>
      <x:c r="J25" s="27" t="n">
        <x:f>COUNTIFS('Armures_equipement'!$F$7:$F$66,"ME1")</x:f>
        <x:v>60</x:v>
      </x:c>
      <x:c r="K25" s="27" t="n">
        <x:f>COUNTIFS('Armures_equipement'!$P$7:$P$66,"Extension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COUNTA('Animations'!$A$7:$A$69)</x:f>
        <x:v>63</x:v>
      </x:c>
      <x:c r="C29" s="27" t="n">
        <x:f>COUNTIFS('Animations'!$C$7:$C$69,"Défini")</x:f>
        <x:v>40</x:v>
      </x:c>
      <x:c r="D29" s="27" t="n">
        <x:f>COUNTIFS('Animations'!$C$7:$C$69,"Prototype")</x:f>
        <x:v>23</x:v>
      </x:c>
      <x:c r="E29" s="27" t="n">
        <x:f>COUNTIFS('Animations'!$C$7:$C$69,"Intégré")</x:f>
        <x:v>0</x:v>
      </x:c>
      <x:c r="F29" s="27" t="n">
        <x:f>COUNTIFS('Animations'!$C$7:$C$69,"Validé")</x:f>
        <x:v>0</x:v>
      </x:c>
      <x:c r="G29" s="27" t="n">
        <x:f>COUNTIFS('Animations'!$G$7:$G$69,"Confirmé")</x:f>
        <x:v>0</x:v>
      </x:c>
      <x:c r="H29" s="27" t="n">
        <x:f>COUNTIFS('Animations'!$G$7:$G$69,"Référence à vérifier")</x:f>
        <x:v>0</x:v>
      </x:c>
      <x:c r="I29" s="27" t="n">
        <x:f>COUNTIFS('Animations'!$G$7:$G$69,"Adaptation")</x:f>
        <x:v>63</x:v>
      </x:c>
      <x:c r="J29" s="27" t="n">
        <x:f>COUNTIFS('Animations'!$F$7:$F$69,"ME1")</x:f>
        <x:v>63</x:v>
      </x:c>
      <x:c r="K29" s="27" t="n">
        <x:f>COUNTIFS('Animations'!$P$7:$P$69,"Extension future")</x:f>
        <x:v>0</x:v>
      </x:c>
    </x:row>
    <x:row r="30" ht="22" customHeight="1">
      <x:c r="A30" s="22" t="str">
        <x:v>Sprites</x:v>
      </x:c>
      <x:c r="B30" s="26" t="n">
        <x:f>COUNTA('Sprites'!$A$7:$A$88)</x:f>
        <x:v>82</x:v>
      </x:c>
      <x:c r="C30" s="26" t="n">
        <x:f>COUNTIFS('Sprites'!$C$7:$C$88,"Défini")</x:f>
        <x:v>43</x:v>
      </x:c>
      <x:c r="D30" s="26" t="n">
        <x:f>COUNTIFS('Sprites'!$C$7:$C$88,"Prototype")</x:f>
        <x:v>39</x:v>
      </x:c>
      <x:c r="E30" s="26" t="n">
        <x:f>COUNTIFS('Sprites'!$C$7:$C$88,"Intégré")</x:f>
        <x:v>0</x:v>
      </x:c>
      <x:c r="F30" s="26" t="n">
        <x:f>COUNTIFS('Sprites'!$C$7:$C$88,"Validé")</x:f>
        <x:v>0</x:v>
      </x:c>
      <x:c r="G30" s="26" t="n">
        <x:f>COUNTIFS('Sprites'!$G$7:$G$88,"Confirmé")</x:f>
        <x:v>0</x:v>
      </x:c>
      <x:c r="H30" s="26" t="n">
        <x:f>COUNTIFS('Sprites'!$G$7:$G$88,"Référence à vérifier")</x:f>
        <x:v>0</x:v>
      </x:c>
      <x:c r="I30" s="26" t="n">
        <x:f>COUNTIFS('Sprites'!$G$7:$G$88,"Adaptation")</x:f>
        <x:v>82</x:v>
      </x:c>
      <x:c r="J30" s="26" t="n">
        <x:f>COUNTIFS('Sprites'!$F$7:$F$88,"ME1")</x:f>
        <x:v>82</x:v>
      </x:c>
      <x:c r="K30" s="26" t="n">
        <x:f>COUNTIFS('Sprites'!$P$7:$P$88,"Extension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COUNTA('UI_systemes'!$A$7:$A$66)</x:f>
        <x:v>60</x:v>
      </x:c>
      <x:c r="C33" s="27" t="n">
        <x:f>COUNTIFS('UI_systemes'!$C$7:$C$66,"Défini")</x:f>
        <x:v>9</x:v>
      </x:c>
      <x:c r="D33" s="27" t="n">
        <x:f>COUNTIFS('UI_systemes'!$C$7:$C$66,"Prototype")</x:f>
        <x:v>48</x:v>
      </x:c>
      <x:c r="E33" s="27" t="n">
        <x:f>COUNTIFS('UI_systemes'!$C$7:$C$66,"Intégré")</x:f>
        <x:v>0</x:v>
      </x:c>
      <x:c r="F33" s="27" t="n">
        <x:f>COUNTIFS('UI_systemes'!$C$7:$C$66,"Validé")</x:f>
        <x:v>3</x:v>
      </x:c>
      <x:c r="G33" s="27" t="n">
        <x:f>COUNTIFS('UI_systemes'!$G$7:$G$66,"Confirmé")</x:f>
        <x:v>0</x:v>
      </x:c>
      <x:c r="H33" s="27" t="n">
        <x:f>COUNTIFS('UI_systemes'!$G$7:$G$66,"Référence à vérifier")</x:f>
        <x:v>0</x:v>
      </x:c>
      <x:c r="I33" s="27" t="n">
        <x:f>COUNTIFS('UI_systemes'!$G$7:$G$66,"Adaptation")</x:f>
        <x:v>60</x:v>
      </x:c>
      <x:c r="J33" s="27" t="n">
        <x:f>COUNTIFS('UI_systemes'!$F$7:$F$66,"ME1")</x:f>
        <x:v>60</x:v>
      </x:c>
      <x:c r="K33" s="27" t="n">
        <x:f>COUNTIFS('UI_systemes'!$P$7:$P$66,"Extension future")</x:f>
        <x:v>0</x:v>
      </x:c>
    </x:row>
    <x:row r="34" ht="22" customHeight="1">
      <x:c r="A34" s="22" t="str">
        <x:v>QA</x:v>
      </x:c>
      <x:c r="B34" s="26" t="n">
        <x:f>COUNTA('QA'!$A$7:$A$70)</x:f>
        <x:v>64</x:v>
      </x:c>
      <x:c r="C34" s="26" t="n">
        <x:f>COUNTIFS('QA'!$C$7:$C$70,"Défini")</x:f>
        <x:v>53</x:v>
      </x:c>
      <x:c r="D34" s="26" t="n">
        <x:f>COUNTIFS('QA'!$C$7:$C$70,"Prototype")</x:f>
        <x:v>11</x:v>
      </x:c>
      <x:c r="E34" s="26" t="n">
        <x:f>COUNTIFS('QA'!$C$7:$C$70,"Intégré")</x:f>
        <x:v>0</x:v>
      </x:c>
      <x:c r="F34" s="26" t="n">
        <x:f>COUNTIFS('QA'!$C$7:$C$70,"Validé")</x:f>
        <x:v>0</x:v>
      </x:c>
      <x:c r="G34" s="26" t="n">
        <x:f>COUNTIFS('QA'!$G$7:$G$70,"Confirmé")</x:f>
        <x:v>0</x:v>
      </x:c>
      <x:c r="H34" s="26" t="n">
        <x:f>COUNTIFS('QA'!$G$7:$G$70,"Référence à vérifier")</x:f>
        <x:v>0</x:v>
      </x:c>
      <x:c r="I34" s="26" t="n">
        <x:f>COUNTIFS('QA'!$G$7:$G$70,"Adaptation")</x:f>
        <x:v>64</x:v>
      </x:c>
      <x:c r="J34" s="26" t="n">
        <x:f>COUNTIFS('QA'!$F$7:$F$70,"ME1")</x:f>
        <x:v>64</x:v>
      </x:c>
      <x:c r="K34" s="26" t="n">
        <x:f>COUNTIFS('QA'!$P$7:$P$70,"Extension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1371</x:v>
      </x:c>
      <x:c r="C37" s="28" t="n">
        <x:f>SUM(C10:C35)</x:f>
        <x:v>1041</x:v>
      </x:c>
      <x:c r="D37" s="28" t="n">
        <x:f>SUM(D10:D35)</x:f>
        <x:v>324</x:v>
      </x:c>
      <x:c r="E37" s="28" t="n">
        <x:f>SUM(E10:E35)</x:f>
        <x:v>3</x:v>
      </x:c>
      <x:c r="F37" s="28" t="n">
        <x:f>SUM(F10:F35)</x:f>
        <x:v>3</x:v>
      </x:c>
      <x:c r="G37" s="28" t="n">
        <x:f>SUM(G10:G35)</x:f>
        <x:v>15</x:v>
      </x:c>
      <x:c r="H37" s="28" t="n">
        <x:f>SUM(H10:H35)</x:f>
        <x:v>524</x:v>
      </x:c>
      <x:c r="I37" s="28" t="n">
        <x:f>SUM(I10:I35)</x:f>
        <x:v>832</x:v>
      </x:c>
      <x:c r="J37" s="28" t="n">
        <x:f>SUM(J10:J35)</x:f>
        <x:v>1314</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x:v>
      </x:c>
    </x:row>
    <x:row r="8" ht="49"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x:v>
      </x:c>
    </x:row>
    <x:row r="9" ht="49"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x:v>
      </x:c>
    </x:row>
    <x:row r="10" ht="49"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x:v>
      </x:c>
    </x:row>
    <x:row r="11" ht="49"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x:v>
      </x:c>
    </x:row>
    <x:row r="12" ht="49"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x:v>
      </x:c>
    </x:row>
    <x:row r="13" ht="49"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x:v>
      </x:c>
    </x:row>
    <x:row r="14" ht="49"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x:v>
      </x:c>
    </x:row>
  </x:sheetData>
  <x:conditionalFormatting sqref="C7:C14">
    <x:cfRule type="cellIs" dxfId="130" priority="1" operator="equal">
      <x:formula>"Prototype"</x:formula>
    </x:cfRule>
    <x:cfRule type="cellIs" dxfId="131" priority="2" operator="equal">
      <x:formula>"Intégré"</x:formula>
    </x:cfRule>
    <x:cfRule type="cellIs" dxfId="132" priority="3" operator="equal">
      <x:formula>"Validé"</x:formula>
    </x:cfRule>
  </x:conditionalFormatting>
  <x:conditionalFormatting sqref="G7:G14">
    <x:cfRule type="cellIs" dxfId="133" priority="4" operator="equal">
      <x:formula>"Référence à vérifier"</x:formula>
    </x:cfRule>
  </x:conditionalFormatting>
  <x:conditionalFormatting sqref="E7:E14">
    <x:cfRule type="cellIs" dxfId="13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729bd36be7cd4bab"/>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135" priority="1" operator="equal">
      <x:formula>"Prototype"</x:formula>
    </x:cfRule>
    <x:cfRule type="cellIs" dxfId="136" priority="2" operator="equal">
      <x:formula>"Intégré"</x:formula>
    </x:cfRule>
    <x:cfRule type="cellIs" dxfId="137" priority="3" operator="equal">
      <x:formula>"Validé"</x:formula>
    </x:cfRule>
  </x:conditionalFormatting>
  <x:conditionalFormatting sqref="G7:G72">
    <x:cfRule type="cellIs" dxfId="138" priority="4" operator="equal">
      <x:formula>"Référence à vérifier"</x:formula>
    </x:cfRule>
  </x:conditionalFormatting>
  <x:conditionalFormatting sqref="E7:E72">
    <x:cfRule type="cellIs" dxfId="13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8c740dca57674058"/>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40" priority="1" operator="equal">
      <x:formula>"Prototype"</x:formula>
    </x:cfRule>
    <x:cfRule type="cellIs" dxfId="141" priority="2" operator="equal">
      <x:formula>"Intégré"</x:formula>
    </x:cfRule>
    <x:cfRule type="cellIs" dxfId="142" priority="3" operator="equal">
      <x:formula>"Validé"</x:formula>
    </x:cfRule>
  </x:conditionalFormatting>
  <x:conditionalFormatting sqref="G7:G42">
    <x:cfRule type="cellIs" dxfId="143" priority="4" operator="equal">
      <x:formula>"Référence à vérifier"</x:formula>
    </x:cfRule>
  </x:conditionalFormatting>
  <x:conditionalFormatting sqref="E7:E42">
    <x:cfRule type="cellIs" dxfId="14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1cdd39d4dbb047cd"/>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45" priority="1" operator="equal">
      <x:formula>"Prototype"</x:formula>
    </x:cfRule>
    <x:cfRule type="cellIs" dxfId="146" priority="2" operator="equal">
      <x:formula>"Intégré"</x:formula>
    </x:cfRule>
    <x:cfRule type="cellIs" dxfId="147" priority="3" operator="equal">
      <x:formula>"Validé"</x:formula>
    </x:cfRule>
  </x:conditionalFormatting>
  <x:conditionalFormatting sqref="G7:G38">
    <x:cfRule type="cellIs" dxfId="148" priority="4" operator="equal">
      <x:formula>"Référence à vérifier"</x:formula>
    </x:cfRule>
  </x:conditionalFormatting>
  <x:conditionalFormatting sqref="E7:E38">
    <x:cfRule type="cellIs" dxfId="14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5ce2cab462f64c09"/>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150" priority="1" operator="equal">
      <x:formula>"Prototype"</x:formula>
    </x:cfRule>
    <x:cfRule type="cellIs" dxfId="151" priority="2" operator="equal">
      <x:formula>"Intégré"</x:formula>
    </x:cfRule>
    <x:cfRule type="cellIs" dxfId="152" priority="3" operator="equal">
      <x:formula>"Validé"</x:formula>
    </x:cfRule>
  </x:conditionalFormatting>
  <x:conditionalFormatting sqref="G7:G106">
    <x:cfRule type="cellIs" dxfId="153" priority="4" operator="equal">
      <x:formula>"Référence à vérifier"</x:formula>
    </x:cfRule>
  </x:conditionalFormatting>
  <x:conditionalFormatting sqref="E7:E106">
    <x:cfRule type="cellIs" dxfId="15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031ff5b419384382"/>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155" priority="1" operator="equal">
      <x:formula>"Prototype"</x:formula>
    </x:cfRule>
    <x:cfRule type="cellIs" dxfId="156" priority="2" operator="equal">
      <x:formula>"Intégré"</x:formula>
    </x:cfRule>
    <x:cfRule type="cellIs" dxfId="157" priority="3" operator="equal">
      <x:formula>"Validé"</x:formula>
    </x:cfRule>
  </x:conditionalFormatting>
  <x:conditionalFormatting sqref="G7:G97">
    <x:cfRule type="cellIs" dxfId="158" priority="4" operator="equal">
      <x:formula>"Référence à vérifier"</x:formula>
    </x:cfRule>
  </x:conditionalFormatting>
  <x:conditionalFormatting sqref="E7:E97">
    <x:cfRule type="cellIs" dxfId="15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73b727d091ab4bb8"/>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160" priority="1" operator="equal">
      <x:formula>"Prototype"</x:formula>
    </x:cfRule>
    <x:cfRule type="cellIs" dxfId="161" priority="2" operator="equal">
      <x:formula>"Intégré"</x:formula>
    </x:cfRule>
    <x:cfRule type="cellIs" dxfId="162" priority="3" operator="equal">
      <x:formula>"Validé"</x:formula>
    </x:cfRule>
  </x:conditionalFormatting>
  <x:conditionalFormatting sqref="G7:G41">
    <x:cfRule type="cellIs" dxfId="163" priority="4" operator="equal">
      <x:formula>"Référence à vérifier"</x:formula>
    </x:cfRule>
  </x:conditionalFormatting>
  <x:conditionalFormatting sqref="E7:E41">
    <x:cfRule type="cellIs" dxfId="16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da7246ced1294efc"/>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165" priority="1" operator="equal">
      <x:formula>"Prototype"</x:formula>
    </x:cfRule>
    <x:cfRule type="cellIs" dxfId="166" priority="2" operator="equal">
      <x:formula>"Intégré"</x:formula>
    </x:cfRule>
    <x:cfRule type="cellIs" dxfId="167" priority="3" operator="equal">
      <x:formula>"Validé"</x:formula>
    </x:cfRule>
  </x:conditionalFormatting>
  <x:conditionalFormatting sqref="G7:G58">
    <x:cfRule type="cellIs" dxfId="168" priority="4" operator="equal">
      <x:formula>"Référence à vérifier"</x:formula>
    </x:cfRule>
  </x:conditionalFormatting>
  <x:conditionalFormatting sqref="E7:E58">
    <x:cfRule type="cellIs" dxfId="16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66a48c9655ce402d"/>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170" priority="1" operator="equal">
      <x:formula>"Prototype"</x:formula>
    </x:cfRule>
    <x:cfRule type="cellIs" dxfId="171" priority="2" operator="equal">
      <x:formula>"Intégré"</x:formula>
    </x:cfRule>
    <x:cfRule type="cellIs" dxfId="172" priority="3" operator="equal">
      <x:formula>"Validé"</x:formula>
    </x:cfRule>
  </x:conditionalFormatting>
  <x:conditionalFormatting sqref="G7:G45">
    <x:cfRule type="cellIs" dxfId="173" priority="4" operator="equal">
      <x:formula>"Référence à vérifier"</x:formula>
    </x:cfRule>
  </x:conditionalFormatting>
  <x:conditionalFormatting sqref="E7:E45">
    <x:cfRule type="cellIs" dxfId="17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42e3bde374d64424"/>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175" priority="1" operator="equal">
      <x:formula>"Prototype"</x:formula>
    </x:cfRule>
    <x:cfRule type="cellIs" dxfId="176" priority="2" operator="equal">
      <x:formula>"Intégré"</x:formula>
    </x:cfRule>
    <x:cfRule type="cellIs" dxfId="177" priority="3" operator="equal">
      <x:formula>"Validé"</x:formula>
    </x:cfRule>
  </x:conditionalFormatting>
  <x:conditionalFormatting sqref="G7:G69">
    <x:cfRule type="cellIs" dxfId="178" priority="4" operator="equal">
      <x:formula>"Référence à vérifier"</x:formula>
    </x:cfRule>
  </x:conditionalFormatting>
  <x:conditionalFormatting sqref="E7:E69">
    <x:cfRule type="cellIs" dxfId="17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f80f5261710e46d5"/>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180" priority="1" operator="equal">
      <x:formula>"Prototype"</x:formula>
    </x:cfRule>
    <x:cfRule type="cellIs" dxfId="181" priority="2" operator="equal">
      <x:formula>"Intégré"</x:formula>
    </x:cfRule>
    <x:cfRule type="cellIs" dxfId="182" priority="3" operator="equal">
      <x:formula>"Validé"</x:formula>
    </x:cfRule>
  </x:conditionalFormatting>
  <x:conditionalFormatting sqref="G7:G114">
    <x:cfRule type="cellIs" dxfId="183" priority="4" operator="equal">
      <x:formula>"Référence à vérifier"</x:formula>
    </x:cfRule>
  </x:conditionalFormatting>
  <x:conditionalFormatting sqref="E7:E114">
    <x:cfRule type="cellIs" dxfId="18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cd6cebf992f04cff"/>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185" priority="1" operator="equal">
      <x:formula>"Prototype"</x:formula>
    </x:cfRule>
    <x:cfRule type="cellIs" dxfId="186" priority="2" operator="equal">
      <x:formula>"Intégré"</x:formula>
    </x:cfRule>
    <x:cfRule type="cellIs" dxfId="187" priority="3" operator="equal">
      <x:formula>"Validé"</x:formula>
    </x:cfRule>
  </x:conditionalFormatting>
  <x:conditionalFormatting sqref="G7:G40">
    <x:cfRule type="cellIs" dxfId="188" priority="4" operator="equal">
      <x:formula>"Référence à vérifier"</x:formula>
    </x:cfRule>
  </x:conditionalFormatting>
  <x:conditionalFormatting sqref="E7:E40">
    <x:cfRule type="cellIs" dxfId="18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1e3d53f6c71b42a1"/>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190" priority="1" operator="equal">
      <x:formula>"Prototype"</x:formula>
    </x:cfRule>
    <x:cfRule type="cellIs" dxfId="191" priority="2" operator="equal">
      <x:formula>"Intégré"</x:formula>
    </x:cfRule>
    <x:cfRule type="cellIs" dxfId="192" priority="3" operator="equal">
      <x:formula>"Validé"</x:formula>
    </x:cfRule>
  </x:conditionalFormatting>
  <x:conditionalFormatting sqref="G7:G42">
    <x:cfRule type="cellIs" dxfId="193" priority="4" operator="equal">
      <x:formula>"Référence à vérifier"</x:formula>
    </x:cfRule>
  </x:conditionalFormatting>
  <x:conditionalFormatting sqref="E7:E42">
    <x:cfRule type="cellIs" dxfId="19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8f681368f8ea4e72"/>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195" priority="1" operator="equal">
      <x:formula>"Prototype"</x:formula>
    </x:cfRule>
    <x:cfRule type="cellIs" dxfId="196" priority="2" operator="equal">
      <x:formula>"Intégré"</x:formula>
    </x:cfRule>
    <x:cfRule type="cellIs" dxfId="197" priority="3" operator="equal">
      <x:formula>"Validé"</x:formula>
    </x:cfRule>
  </x:conditionalFormatting>
  <x:conditionalFormatting sqref="G7:G32">
    <x:cfRule type="cellIs" dxfId="198" priority="4" operator="equal">
      <x:formula>"Référence à vérifier"</x:formula>
    </x:cfRule>
  </x:conditionalFormatting>
  <x:conditionalFormatting sqref="E7:E32">
    <x:cfRule type="cellIs" dxfId="19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a4dc3a20b3274a34"/>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row r="51" ht="53" customHeight="1">
      <x:c r="A51" s="36" t="str">
        <x:v>CUST-WEAPON-owned</x:v>
      </x:c>
      <x:c r="B51" s="37" t="str">
        <x:v>Arme équipée et armes disponibles</x:v>
      </x:c>
      <x:c r="C51" s="34" t="str">
        <x:v>Prototype</x:v>
      </x:c>
      <x:c r="D51" s="35" t="str">
        <x:v>Prototype</x:v>
      </x:c>
      <x:c r="E51" s="38" t="str">
        <x:v>P0</x:v>
      </x:c>
      <x:c r="F51" s="38" t="str">
        <x:v>ME1</x:v>
      </x:c>
      <x:c r="G51" s="38" t="str">
        <x:v>Adaptation</x:v>
      </x:c>
      <x:c r="H51" s="37" t="str">
        <x:v>Sélection d’un modèle d’arme possédé, avec sa famille et ses limites d’entraînement dans l’adaptation.</x:v>
      </x:c>
      <x:c r="I51" s="37" t="str">
        <x:v>Choisir parmi les armes disponibles sans en créer ni en acheter implicitement. Le modèle équipé reste affiché.</x:v>
      </x:c>
      <x:c r="J51" s="37" t="str">
        <x:v>CUST-UI-weapons</x:v>
      </x:c>
      <x:c r="K51" s="37" t="str">
        <x:v>src/customization-ui.js</x:v>
      </x:c>
      <x:c r="L51" s="37" t="str">
        <x:v>src/customization-ui.js</x:v>
      </x:c>
      <x:c r="M51" s="37" t="str">
        <x:v>customization:WEAPON-owned</x:v>
      </x:c>
      <x:c r="N51" s="37" t="str">
        <x:v>Atelier de Relay Chronicles. Interface et réglages propres au fan game ; contrôle de fidélité distinct.</x:v>
      </x:c>
      <x:c r="O51" s="37" t="str">
        <x:v>https://eaassets-a.akamaihd.net/eahelp/manuals/mass-effect-manuals_Microsoft%20XBOX360_en_US.pdf</x:v>
      </x:c>
      <x:c r="P51" s="37" t="str">
        <x:v>Production ME1</x:v>
      </x:c>
      <x:c r="Q51" s="37" t="str">
        <x:v>Implémentation de prototype. Les valeurs de combat restent celles de l’adaptation ATB.</x:v>
      </x:c>
    </x:row>
    <x:row r="52" ht="53" customHeight="1">
      <x:c r="A52" s="12" t="str">
        <x:v>CUST-WEAPON-upgrade</x:v>
      </x:c>
      <x:c r="B52" s="7" t="str">
        <x:v>Module d’arme séparé des munitions</x:v>
      </x:c>
      <x:c r="C52" s="34" t="str">
        <x:v>Prototype</x:v>
      </x:c>
      <x:c r="D52" s="35" t="str">
        <x:v>Prototype</x:v>
      </x:c>
      <x:c r="E52" s="9" t="str">
        <x:v>P0</x:v>
      </x:c>
      <x:c r="F52" s="9" t="str">
        <x:v>ME1</x:v>
      </x:c>
      <x:c r="G52" s="9" t="str">
        <x:v>Adaptation</x:v>
      </x:c>
      <x:c r="H52" s="7" t="str">
        <x:v>L’emplacement de module d’arme utilise le catalogue de modules existant et ses effets sur la puissance ou la chaleur.</x:v>
      </x:c>
      <x:c r="I52" s="7" t="str">
        <x:v>Un module d’armure ou de munitions ne peut pas entrer dans ce champ. La comparaison reflète l’effet du module.</x:v>
      </x:c>
      <x:c r="J52" s="7" t="str">
        <x:v>CUST-UI-weapons</x:v>
      </x:c>
      <x:c r="K52" s="7" t="str">
        <x:v>src/customization-ui.js</x:v>
      </x:c>
      <x:c r="L52" s="7" t="str">
        <x:v>src/customization-ui.js</x:v>
      </x:c>
      <x:c r="M52" s="7" t="str">
        <x:v>customization:WEAPON-upgrade</x:v>
      </x:c>
      <x:c r="N52" s="7" t="str">
        <x:v>Atelier de Relay Chronicles. Interface et réglages propres au fan game ; contrôle de fidélité distinct.</x:v>
      </x:c>
      <x:c r="O52" s="7" t="str">
        <x:v>https://eaassets-a.akamaihd.net/eahelp/manuals/mass-effect-manuals_Microsoft%20XBOX360_en_US.pdf</x:v>
      </x:c>
      <x:c r="P52" s="7" t="str">
        <x:v>Production ME1</x:v>
      </x:c>
      <x:c r="Q52" s="7" t="str">
        <x:v>Implémentation de prototype. Les valeurs de combat restent celles de l’adaptation ATB.</x:v>
      </x:c>
    </x:row>
    <x:row r="53" ht="53" customHeight="1">
      <x:c r="A53" s="36" t="str">
        <x:v>CUST-WEAPON-ammo</x:v>
      </x:c>
      <x:c r="B53" s="37" t="str">
        <x:v>Munitions spéciales dans le brouillon</x:v>
      </x:c>
      <x:c r="C53" s="34" t="str">
        <x:v>Prototype</x:v>
      </x:c>
      <x:c r="D53" s="35" t="str">
        <x:v>Prototype</x:v>
      </x:c>
      <x:c r="E53" s="38" t="str">
        <x:v>P0</x:v>
      </x:c>
      <x:c r="F53" s="38" t="str">
        <x:v>ME1</x:v>
      </x:c>
      <x:c r="G53" s="38" t="str">
        <x:v>Adaptation</x:v>
      </x:c>
      <x:c r="H53" s="37" t="str">
        <x:v>L’amélioration de munitions est sélectionnée indépendamment du module d’arme.</x:v>
      </x:c>
      <x:c r="I53" s="37" t="str">
        <x:v>Équiper puis retirer des munitions spéciales ne remplace pas le module d’arme et conserve la quantité possédée.</x:v>
      </x:c>
      <x:c r="J53" s="37" t="str">
        <x:v>CUST-UI-weapons</x:v>
      </x:c>
      <x:c r="K53" s="37" t="str">
        <x:v>src/customization-ui.js</x:v>
      </x:c>
      <x:c r="L53" s="37" t="str">
        <x:v>src/customization-ui.js</x:v>
      </x:c>
      <x:c r="M53" s="37" t="str">
        <x:v>customization:WEAPON-ammo</x:v>
      </x:c>
      <x:c r="N53" s="37" t="str">
        <x:v>Atelier de Relay Chronicles. Interface et réglages propres au fan game ; contrôle de fidélité distinct.</x:v>
      </x:c>
      <x:c r="O53" s="37" t="str">
        <x:v>https://eaassets-a.akamaihd.net/eahelp/manuals/mass-effect-manuals_Microsoft%20XBOX360_en_US.pdf</x:v>
      </x:c>
      <x:c r="P53" s="37" t="str">
        <x:v>Production ME1</x:v>
      </x:c>
      <x:c r="Q53" s="37" t="str">
        <x:v>Implémentation de prototype. Les valeurs de combat restent celles de l’adaptation ATB.</x:v>
      </x:c>
    </x:row>
    <x:row r="54" ht="53" customHeight="1">
      <x:c r="A54" s="12" t="str">
        <x:v>CUST-WEAPON-effects</x:v>
      </x:c>
      <x:c r="B54" s="7" t="str">
        <x:v>Effets réels de la nouvelle dotation</x:v>
      </x:c>
      <x:c r="C54" s="34" t="str">
        <x:v>Prototype</x:v>
      </x:c>
      <x:c r="D54" s="35" t="str">
        <x:v>Prototype</x:v>
      </x:c>
      <x:c r="E54" s="9" t="str">
        <x:v>P0</x:v>
      </x:c>
      <x:c r="F54" s="9" t="str">
        <x:v>ME1</x:v>
      </x:c>
      <x:c r="G54" s="9" t="str">
        <x:v>Adaptation</x:v>
      </x:c>
      <x:c r="H54" s="7" t="str">
        <x:v>Après application, l’équipement de l’atelier alimente le calcul d’acteur et les règles de combat déjà présentes.</x:v>
      </x:c>
      <x:c r="I54" s="7" t="str">
        <x:v>Vérifier puissance, chaleur, refroidissement, dégâts spécialisés et résistance avec les mêmes calculs que l’écran Équipement.</x:v>
      </x:c>
      <x:c r="J54" s="7" t="str">
        <x:v>CUST-UI-comparison, CUST-SYS-atomic</x:v>
      </x:c>
      <x:c r="K54" s="7" t="str">
        <x:v>src/customization.js</x:v>
      </x:c>
      <x:c r="L54" s="7" t="str">
        <x:v>src/customization.js</x:v>
      </x:c>
      <x:c r="M54" s="7" t="str">
        <x:v>customization:WEAPON-effects</x:v>
      </x:c>
      <x:c r="N54" s="7" t="str">
        <x:v>Atelier de Relay Chronicles. Interface et réglages propres au fan game ; contrôle de fidélité distinct.</x:v>
      </x:c>
      <x:c r="O54" s="7" t="str"/>
      <x:c r="P54" s="7" t="str">
        <x:v>Production ME1</x:v>
      </x:c>
      <x:c r="Q54" s="7" t="str">
        <x:v>Implémentation de prototype. Les valeurs de combat restent celles de l’adaptation ATB.</x:v>
      </x:c>
    </x:row>
  </x:sheetData>
  <x:conditionalFormatting sqref="C7:C50">
    <x:cfRule type="cellIs" dxfId="200" priority="1" operator="equal">
      <x:formula>"Prototype"</x:formula>
    </x:cfRule>
    <x:cfRule type="cellIs" dxfId="201" priority="2" operator="equal">
      <x:formula>"Intégré"</x:formula>
    </x:cfRule>
    <x:cfRule type="cellIs" dxfId="202" priority="3" operator="equal">
      <x:formula>"Validé"</x:formula>
    </x:cfRule>
  </x:conditionalFormatting>
  <x:conditionalFormatting sqref="G7:G50">
    <x:cfRule type="cellIs" dxfId="203" priority="4" operator="equal">
      <x:formula>"Référence à vérifier"</x:formula>
    </x:cfRule>
  </x:conditionalFormatting>
  <x:conditionalFormatting sqref="E7:E50">
    <x:cfRule type="cellIs" dxfId="204" priority="5" operator="equal">
      <x:formula>"P0"</x:formula>
    </x:cfRule>
  </x:conditionalFormatting>
  <x:conditionalFormatting sqref="C51:C54">
    <x:cfRule type="cellIs" dxfId="205" priority="6" operator="equal">
      <x:formula>"Prototype"</x:formula>
    </x:cfRule>
    <x:cfRule type="cellIs" dxfId="206" priority="7" operator="equal">
      <x:formula>"Intégré"</x:formula>
    </x:cfRule>
    <x:cfRule type="cellIs" dxfId="207" priority="8" operator="equal">
      <x:formula>"Validé"</x:formula>
    </x:cfRule>
  </x:conditionalFormatting>
  <x:conditionalFormatting sqref="G51:G54">
    <x:cfRule type="cellIs" dxfId="208" priority="9" operator="equal">
      <x:formula>"Référence à vérifier"</x:formula>
    </x:cfRule>
  </x:conditionalFormatting>
  <x:conditionalFormatting sqref="E51:E54">
    <x:cfRule type="cellIs" dxfId="209" priority="10" operator="equal">
      <x:formula>"P0"</x:formula>
    </x:cfRule>
  </x:conditionalFormatting>
  <x:dataValidations count="10">
    <x:dataValidation type="list" sqref="C7:C50">
      <x:formula1>"Défini,Prototype,Intégré,Validé"</x:formula1>
    </x:dataValidation>
    <x:dataValidation type="list" sqref="D7:D50">
      <x:formula1>"À produire,Prototype,Disponible,Validé,Sans objet,Non planifié"</x:formula1>
    </x:dataValidation>
    <x:dataValidation type="list" sqref="E7:E50">
      <x:formula1>"P0,P1,P2"</x:formula1>
    </x:dataValidation>
    <x:dataValidation type="list" sqref="F7:F50">
      <x:formula1>"ME1,ME2,ME3"</x:formula1>
    </x:dataValidation>
    <x:dataValidation type="list" sqref="G7:G50">
      <x:formula1>"Confirmé,Référence à vérifier,Adaptation"</x:formula1>
    </x:dataValidation>
    <x:dataValidation type="list" sqref="C51:C54">
      <x:formula1>"Défini,Prototype,Intégré,Validé"</x:formula1>
    </x:dataValidation>
    <x:dataValidation type="list" sqref="D51:D54">
      <x:formula1>"À produire,Prototype,Disponible,Validé,Sans objet,Non planifié"</x:formula1>
    </x:dataValidation>
    <x:dataValidation type="list" sqref="E51:E54">
      <x:formula1>"P0,P1,P2"</x:formula1>
    </x:dataValidation>
    <x:dataValidation type="list" sqref="F51:F54">
      <x:formula1>"ME1,ME2,ME3"</x:formula1>
    </x:dataValidation>
    <x:dataValidation type="list" sqref="G51:G54">
      <x:formula1>"Confirmé,Référence à vérifier,Adaptation"</x:formula1>
    </x:dataValidation>
  </x:dataValidations>
  <x:pageMargins left="0.7" right="0.7" top="0.75" bottom="0.75" header="0.3" footer="0.3"/>
  <x:tableParts count="1">
    <x:tablePart xmlns:r="http://schemas.openxmlformats.org/officeDocument/2006/relationships" r:id="R6e20947fef86422d"/>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36" customHeight="1">
      <x:c r="A21" s="13" t="str">
        <x:v>EQP-omni-outil</x:v>
      </x:c>
      <x:c r="B21" s="14" t="str">
        <x:v>Omni-outil</x:v>
      </x:c>
      <x:c r="C21" s="10" t="str">
        <x:v>Défini</x:v>
      </x:c>
      <x:c r="D21" s="11" t="str">
        <x:v>À produire</x:v>
      </x:c>
      <x:c r="E21" s="15" t="str">
        <x:v>P1</x:v>
      </x:c>
      <x:c r="F21" s="15" t="str">
        <x:v>ME1</x:v>
      </x:c>
      <x:c r="G21" s="15" t="str">
        <x:v>Référence à vérifier</x:v>
      </x:c>
      <x:c r="H21" s="14" t="str">
        <x:v>Interface technologique de l’équipier.</x:v>
      </x:c>
      <x:c r="I21" s="14" t="str">
        <x:v>Effets et modèles compatibles avec sa classe.</x:v>
      </x:c>
      <x:c r="J21" s="14" t="str"/>
      <x:c r="K21" s="14" t="str">
        <x:v>content/equipment/EQP-omni-outil.json</x:v>
      </x:c>
      <x:c r="L21" s="14" t="str"/>
      <x:c r="M21" s="14" t="str"/>
      <x:c r="N21" s="14" t="str">
        <x:v>Catalogue d’équipement à relever dans ME1 ; valeurs non inventées.</x:v>
      </x:c>
      <x:c r="O21" s="14" t="str">
        <x:v>https://eaassets-a.akamaihd.net/eahelp/manuals/mass-effect-manuals_PC_fr.pdf</x:v>
      </x:c>
      <x:c r="P21" s="14" t="str">
        <x:v>Production ME1</x:v>
      </x:c>
      <x:c r="Q21" s="14" t="str"/>
    </x:row>
    <x:row r="22" ht="36" customHeight="1">
      <x:c r="A22" s="12" t="str">
        <x:v>EQP-amplificateur-biotique</x:v>
      </x:c>
      <x:c r="B22" s="7" t="str">
        <x:v>Amplificateur biotique</x:v>
      </x:c>
      <x:c r="C22" s="10" t="str">
        <x:v>Défini</x:v>
      </x:c>
      <x:c r="D22" s="11" t="str">
        <x:v>À produire</x:v>
      </x:c>
      <x:c r="E22" s="9" t="str">
        <x:v>P1</x:v>
      </x:c>
      <x:c r="F22" s="9" t="str">
        <x:v>ME1</x:v>
      </x:c>
      <x:c r="G22" s="9" t="str">
        <x:v>Référence à vérifier</x:v>
      </x:c>
      <x:c r="H22" s="7" t="str">
        <x:v>Équipement réservé aux utilisateurs biotiques.</x:v>
      </x:c>
      <x:c r="I22" s="7" t="str">
        <x:v>N’accorde pas la biotique à un personnage non biotique.</x:v>
      </x:c>
      <x:c r="J22" s="7" t="str"/>
      <x:c r="K22" s="7" t="str">
        <x:v>content/equipment/EQP-amplificateur-biotique.json</x:v>
      </x:c>
      <x:c r="L22" s="7" t="str"/>
      <x:c r="M22" s="7" t="str"/>
      <x:c r="N22" s="7" t="str">
        <x:v>Catalogue d’équipement à relever dans ME1 ; valeurs non inventées.</x:v>
      </x:c>
      <x:c r="O22" s="7" t="str">
        <x:v>https://eaassets-a.akamaihd.net/eahelp/manuals/mass-effect-manuals_PC_fr.pdf</x:v>
      </x:c>
      <x:c r="P22" s="7" t="str">
        <x:v>Production ME1</x:v>
      </x:c>
      <x:c r="Q22" s="7" t="str"/>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53" customHeight="1">
      <x:c r="A61" s="36" t="str">
        <x:v>CUST-ARMOR-full-suit</x:v>
      </x:c>
      <x:c r="B61" s="37" t="str">
        <x:v>Armure complète ME1 dans l’atelier</x:v>
      </x:c>
      <x:c r="C61" s="34" t="str">
        <x:v>Prototype</x:v>
      </x:c>
      <x:c r="D61" s="35" t="str">
        <x:v>Prototype</x:v>
      </x:c>
      <x:c r="E61" s="38" t="str">
        <x:v>P0</x:v>
      </x:c>
      <x:c r="F61" s="38" t="str">
        <x:v>ME1</x:v>
      </x:c>
      <x:c r="G61" s="38" t="str">
        <x:v>Adaptation</x:v>
      </x:c>
      <x:c r="H61" s="37" t="str">
        <x:v>Une seule armure complète remplit l’emplacement armure. Les catégories légère, intermédiaire et lourde restent celles du catalogue existant.</x:v>
      </x:c>
      <x:c r="I61" s="37" t="str">
        <x:v>Ne pas fabriquer de combinaison torse/bras/jambes ME2 dans la dotation ME1. L’objet sélectionné est un identifiant existant de l’inventaire.</x:v>
      </x:c>
      <x:c r="J61" s="37" t="str">
        <x:v>CUST-UI-armor, SYS-inventaire</x:v>
      </x:c>
      <x:c r="K61" s="37" t="str">
        <x:v>src/customization-ui.js</x:v>
      </x:c>
      <x:c r="L61" s="37" t="str">
        <x:v>src/customization-ui.js</x:v>
      </x:c>
      <x:c r="M61" s="37" t="str">
        <x:v>customization:ARMOR-full-suit</x:v>
      </x:c>
      <x:c r="N61" s="37" t="str">
        <x:v>Atelier de Relay Chronicles. Interface et réglages propres au fan game ; contrôle de fidélité distinct.</x:v>
      </x:c>
      <x:c r="O61" s="37" t="str">
        <x:v>https://eaassets-a.akamaihd.net/eahelp/manuals/mass-effect-manuals_Microsoft%20XBOX360_en_US.pdf</x:v>
      </x:c>
      <x:c r="P61" s="37" t="str">
        <x:v>Production ME1</x:v>
      </x:c>
      <x:c r="Q61" s="37" t="str">
        <x:v>Implémentation de prototype. Les valeurs de combat restent celles de l’adaptation ATB.</x:v>
      </x:c>
    </x:row>
    <x:row r="62" ht="53" customHeight="1">
      <x:c r="A62" s="12" t="str">
        <x:v>CUST-ARMOR-compatibility</x:v>
      </x:c>
      <x:c r="B62" s="7" t="str">
        <x:v>Restrictions d’armure et disponibilité</x:v>
      </x:c>
      <x:c r="C62" s="34" t="str">
        <x:v>Prototype</x:v>
      </x:c>
      <x:c r="D62" s="35" t="str">
        <x:v>Prototype</x:v>
      </x:c>
      <x:c r="E62" s="9" t="str">
        <x:v>P0</x:v>
      </x:c>
      <x:c r="F62" s="9" t="str">
        <x:v>ME1</x:v>
      </x:c>
      <x:c r="G62" s="9" t="str">
        <x:v>Adaptation</x:v>
      </x:c>
      <x:c r="H62" s="7" t="str">
        <x:v>La sélection reprend les restrictions d’espèce, d’entraînement et de disponibilité de la dotation existante.</x:v>
      </x:c>
      <x:c r="I62" s="7" t="str">
        <x:v>Une armure incompatible ou réservée par un autre équipier ne peut pas être validée. La raison est compréhensible dans l’écran.</x:v>
      </x:c>
      <x:c r="J62" s="7" t="str">
        <x:v>CUST-ARMOR-full-suit</x:v>
      </x:c>
      <x:c r="K62" s="7" t="str">
        <x:v>src/customization.js</x:v>
      </x:c>
      <x:c r="L62" s="7" t="str">
        <x:v>src/customization.js</x:v>
      </x:c>
      <x:c r="M62" s="7" t="str">
        <x:v>customization:ARMOR-compatibility</x:v>
      </x:c>
      <x:c r="N62" s="7" t="str">
        <x:v>Atelier de Relay Chronicles. Interface et réglages propres au fan game ; contrôle de fidélité distinct.</x:v>
      </x:c>
      <x:c r="O62" s="7" t="str">
        <x:v>https://eaassets-a.akamaihd.net/eahelp/manuals/mass-effect-manuals_Microsoft%20XBOX360_en_US.pdf</x:v>
      </x:c>
      <x:c r="P62" s="7" t="str">
        <x:v>Production ME1</x:v>
      </x:c>
      <x:c r="Q62" s="7" t="str">
        <x:v>Implémentation de prototype. Les valeurs de combat restent celles de l’adaptation ATB.</x:v>
      </x:c>
    </x:row>
    <x:row r="63" ht="53" customHeight="1">
      <x:c r="A63" s="36" t="str">
        <x:v>CUST-ARMOR-module</x:v>
      </x:c>
      <x:c r="B63" s="37" t="str">
        <x:v>Module d’armure dans le brouillon</x:v>
      </x:c>
      <x:c r="C63" s="34" t="str">
        <x:v>Prototype</x:v>
      </x:c>
      <x:c r="D63" s="35" t="str">
        <x:v>Prototype</x:v>
      </x:c>
      <x:c r="E63" s="38" t="str">
        <x:v>P0</x:v>
      </x:c>
      <x:c r="F63" s="38" t="str">
        <x:v>ME1</x:v>
      </x:c>
      <x:c r="G63" s="38" t="str">
        <x:v>Adaptation</x:v>
      </x:c>
      <x:c r="H63" s="37" t="str">
        <x:v>Choisir ou retirer le module d’armure existant, sans ajouter d’emplacement non pris en charge par le moteur.</x:v>
      </x:c>
      <x:c r="I63" s="37" t="str">
        <x:v>La comparaison du bouclier, de la défense ou des résistances suit le module choisi. Retirer le module ne détruit pas l’objet.</x:v>
      </x:c>
      <x:c r="J63" s="37" t="str">
        <x:v>CUST-UI-armor</x:v>
      </x:c>
      <x:c r="K63" s="37" t="str">
        <x:v>src/customization-ui.js</x:v>
      </x:c>
      <x:c r="L63" s="37" t="str">
        <x:v>src/customization-ui.js</x:v>
      </x:c>
      <x:c r="M63" s="37" t="str">
        <x:v>customization:ARMOR-module</x:v>
      </x:c>
      <x:c r="N63" s="37" t="str">
        <x:v>Atelier de Relay Chronicles. Interface et réglages propres au fan game ; contrôle de fidélité distinct.</x:v>
      </x:c>
      <x:c r="O63" s="37" t="str">
        <x:v>https://eaassets-a.akamaihd.net/eahelp/manuals/mass-effect-manuals_Microsoft%20XBOX360_en_US.pdf</x:v>
      </x:c>
      <x:c r="P63" s="37" t="str">
        <x:v>Production ME1</x:v>
      </x:c>
      <x:c r="Q63" s="37" t="str">
        <x:v>Implémentation de prototype. Les valeurs de combat restent celles de l’adaptation ATB.</x:v>
      </x:c>
    </x:row>
    <x:row r="64" ht="53" customHeight="1">
      <x:c r="A64" s="12" t="str">
        <x:v>CUST-ARMOR-colors</x:v>
      </x:c>
      <x:c r="B64" s="7" t="str">
        <x:v>Couleurs de l’armure de Relay Chronicles</x:v>
      </x:c>
      <x:c r="C64" s="34" t="str">
        <x:v>Prototype</x:v>
      </x:c>
      <x:c r="D64" s="35" t="str">
        <x:v>Prototype</x:v>
      </x:c>
      <x:c r="E64" s="9" t="str">
        <x:v>P0</x:v>
      </x:c>
      <x:c r="F64" s="9" t="str">
        <x:v>ME1</x:v>
      </x:c>
      <x:c r="G64" s="9" t="str">
        <x:v>Adaptation</x:v>
      </x:c>
      <x:c r="H64" s="7" t="str">
        <x:v>Couleurs principales, secondaires et d’accent de l’atelier visuel, séparées des propriétés de l’objet équipé.</x:v>
      </x:c>
      <x:c r="I64" s="7" t="str">
        <x:v>Changer une couleur conserve les statistiques et les objets. Afficher qu’il s’agit d’une option de l’adaptation.</x:v>
      </x:c>
      <x:c r="J64" s="7" t="str">
        <x:v>CUST-UI-workshop</x:v>
      </x:c>
      <x:c r="K64" s="7" t="str">
        <x:v>src/customization.js</x:v>
      </x:c>
      <x:c r="L64" s="7" t="str">
        <x:v>src/customization.js</x:v>
      </x:c>
      <x:c r="M64" s="7" t="str">
        <x:v>customization:ARMOR-colors</x:v>
      </x:c>
      <x:c r="N64" s="7" t="str">
        <x:v>Atelier de Relay Chronicles. Interface et réglages propres au fan game ; contrôle de fidélité distinct.</x:v>
      </x:c>
      <x:c r="O64" s="7" t="str">
        <x:v>https://eaassets-a.akamaihd.net/eahelp/manuals/mass-effect-2-manuals_PC_fr.pdf</x:v>
      </x:c>
      <x:c r="P64" s="7" t="str">
        <x:v>Production ME1</x:v>
      </x:c>
      <x:c r="Q64" s="7" t="str">
        <x:v>Personnalisation cosmétique inspirée des opus ultérieurs. Ce n’est pas une fonction native revendiquée de ME1.</x:v>
      </x:c>
    </x:row>
    <x:row r="65" ht="53" customHeight="1">
      <x:c r="A65" s="36" t="str">
        <x:v>CUST-ARMOR-pattern-finish</x:v>
      </x:c>
      <x:c r="B65" s="37" t="str">
        <x:v>Motif et finition de l’armure</x:v>
      </x:c>
      <x:c r="C65" s="34" t="str">
        <x:v>Prototype</x:v>
      </x:c>
      <x:c r="D65" s="35" t="str">
        <x:v>Prototype</x:v>
      </x:c>
      <x:c r="E65" s="38" t="str">
        <x:v>P0</x:v>
      </x:c>
      <x:c r="F65" s="38" t="str">
        <x:v>ME1</x:v>
      </x:c>
      <x:c r="G65" s="38" t="str">
        <x:v>Adaptation</x:v>
      </x:c>
      <x:c r="H65" s="37" t="str">
        <x:v>Options visuelles de motif et de finition dans le personnage présenté par l’atelier.</x:v>
      </x:c>
      <x:c r="I65" s="37" t="str">
        <x:v>Le motif et la finition sont visibles dans l’aperçu, persistent après validation et ne modifient pas les bonus.</x:v>
      </x:c>
      <x:c r="J65" s="37" t="str">
        <x:v>CUST-UI-workshop</x:v>
      </x:c>
      <x:c r="K65" s="37" t="str">
        <x:v>src/customization.js</x:v>
      </x:c>
      <x:c r="L65" s="37" t="str">
        <x:v>src/customization.js</x:v>
      </x:c>
      <x:c r="M65" s="37" t="str">
        <x:v>customization:ARMOR-pattern-finish</x:v>
      </x:c>
      <x:c r="N65" s="37" t="str">
        <x:v>Atelier de Relay Chronicles. Interface et réglages propres au fan game ; contrôle de fidélité distinct.</x:v>
      </x:c>
      <x:c r="O65" s="37" t="str">
        <x:v>https://eaassets-a.akamaihd.net/eahelp/manuals/mass-effect-3-manuals_PC.pdf</x:v>
      </x:c>
      <x:c r="P65" s="37" t="str">
        <x:v>Production ME1</x:v>
      </x:c>
      <x:c r="Q65" s="37" t="str">
        <x:v>Extension de Relay Chronicles ; les règles d’armures spéciales de ME3 ne sont pas importées dans ME1.</x:v>
      </x:c>
    </x:row>
    <x:row r="66" ht="53" customHeight="1">
      <x:c r="A66" s="12" t="str">
        <x:v>CUST-ARMOR-helmet</x:v>
      </x:c>
      <x:c r="B66" s="7" t="str">
        <x:v>Visibilité du casque dans l’atelier</x:v>
      </x:c>
      <x:c r="C66" s="34" t="str">
        <x:v>Prototype</x:v>
      </x:c>
      <x:c r="D66" s="35" t="str">
        <x:v>Prototype</x:v>
      </x:c>
      <x:c r="E66" s="9" t="str">
        <x:v>P0</x:v>
      </x:c>
      <x:c r="F66" s="9" t="str">
        <x:v>ME1</x:v>
      </x:c>
      <x:c r="G66" s="9" t="str">
        <x:v>Adaptation</x:v>
      </x:c>
      <x:c r="H66" s="7" t="str">
        <x:v>Préférence de présentation du casque pour l’aperçu du personnage.</x:v>
      </x:c>
      <x:c r="I66" s="7" t="str">
        <x:v>Activer et masquer le casque laisse l’armure et sa défense inchangées. Décrire la portée réelle de la représentation en jeu.</x:v>
      </x:c>
      <x:c r="J66" s="7" t="str">
        <x:v>CUST-UI-workshop</x:v>
      </x:c>
      <x:c r="K66" s="7" t="str">
        <x:v>src/customization.js</x:v>
      </x:c>
      <x:c r="L66" s="7" t="str">
        <x:v>src/customization.js</x:v>
      </x:c>
      <x:c r="M66" s="7" t="str">
        <x:v>customization:ARMOR-helmet</x:v>
      </x:c>
      <x:c r="N66" s="7" t="str">
        <x:v>Atelier de Relay Chronicles. Interface et réglages propres au fan game ; contrôle de fidélité distinct.</x:v>
      </x:c>
      <x:c r="O66" s="7" t="str"/>
      <x:c r="P66" s="7" t="str">
        <x:v>Production ME1</x:v>
      </x:c>
      <x:c r="Q66" s="7" t="str">
        <x:v>Option visuelle. Le remplacement fidèle du casque sur toutes les images animées demande des assets dédiés.</x:v>
      </x:c>
    </x:row>
  </x:sheetData>
  <x:conditionalFormatting sqref="C7:C60">
    <x:cfRule type="cellIs" dxfId="210" priority="1" operator="equal">
      <x:formula>"Prototype"</x:formula>
    </x:cfRule>
    <x:cfRule type="cellIs" dxfId="211" priority="2" operator="equal">
      <x:formula>"Intégré"</x:formula>
    </x:cfRule>
    <x:cfRule type="cellIs" dxfId="212" priority="3" operator="equal">
      <x:formula>"Validé"</x:formula>
    </x:cfRule>
  </x:conditionalFormatting>
  <x:conditionalFormatting sqref="G7:G60">
    <x:cfRule type="cellIs" dxfId="213" priority="4" operator="equal">
      <x:formula>"Référence à vérifier"</x:formula>
    </x:cfRule>
  </x:conditionalFormatting>
  <x:conditionalFormatting sqref="E7:E60">
    <x:cfRule type="cellIs" dxfId="214" priority="5" operator="equal">
      <x:formula>"P0"</x:formula>
    </x:cfRule>
  </x:conditionalFormatting>
  <x:conditionalFormatting sqref="C61:C66">
    <x:cfRule type="cellIs" dxfId="215" priority="6" operator="equal">
      <x:formula>"Prototype"</x:formula>
    </x:cfRule>
    <x:cfRule type="cellIs" dxfId="216" priority="7" operator="equal">
      <x:formula>"Intégré"</x:formula>
    </x:cfRule>
    <x:cfRule type="cellIs" dxfId="217" priority="8" operator="equal">
      <x:formula>"Validé"</x:formula>
    </x:cfRule>
  </x:conditionalFormatting>
  <x:conditionalFormatting sqref="G61:G66">
    <x:cfRule type="cellIs" dxfId="218" priority="9" operator="equal">
      <x:formula>"Référence à vérifier"</x:formula>
    </x:cfRule>
  </x:conditionalFormatting>
  <x:conditionalFormatting sqref="E61:E66">
    <x:cfRule type="cellIs" dxfId="219" priority="10" operator="equal">
      <x:formula>"P0"</x:formula>
    </x:cfRule>
  </x:conditionalFormatting>
  <x:dataValidations count="10">
    <x:dataValidation type="list" sqref="C7:C60">
      <x:formula1>"Défini,Prototype,Intégré,Validé"</x:formula1>
    </x:dataValidation>
    <x:dataValidation type="list" sqref="D7:D60">
      <x:formula1>"À produire,Prototype,Disponible,Validé,Sans objet,Non planifié"</x:formula1>
    </x:dataValidation>
    <x:dataValidation type="list" sqref="E7:E60">
      <x:formula1>"P0,P1,P2"</x:formula1>
    </x:dataValidation>
    <x:dataValidation type="list" sqref="F7:F60">
      <x:formula1>"ME1,ME2,ME3"</x:formula1>
    </x:dataValidation>
    <x:dataValidation type="list" sqref="G7:G60">
      <x:formula1>"Confirmé,Référence à vérifier,Adaptation"</x:formula1>
    </x:dataValidation>
    <x:dataValidation type="list" sqref="C61:C66">
      <x:formula1>"Défini,Prototype,Intégré,Validé"</x:formula1>
    </x:dataValidation>
    <x:dataValidation type="list" sqref="D61:D66">
      <x:formula1>"À produire,Prototype,Disponible,Validé,Sans objet,Non planifié"</x:formula1>
    </x:dataValidation>
    <x:dataValidation type="list" sqref="E61:E66">
      <x:formula1>"P0,P1,P2"</x:formula1>
    </x:dataValidation>
    <x:dataValidation type="list" sqref="F61:F66">
      <x:formula1>"ME1,ME2,ME3"</x:formula1>
    </x:dataValidation>
    <x:dataValidation type="list" sqref="G61:G66">
      <x:formula1>"Confirmé,Référence à vérifier,Adaptation"</x:formula1>
    </x:dataValidation>
  </x:dataValidations>
  <x:pageMargins left="0.7" right="0.7" top="0.75" bottom="0.75" header="0.3" footer="0.3"/>
  <x:tableParts count="1">
    <x:tablePart xmlns:r="http://schemas.openxmlformats.org/officeDocument/2006/relationships" r:id="Ra3b89b5fad46490c"/>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220" priority="1" operator="equal">
      <x:formula>"Prototype"</x:formula>
    </x:cfRule>
    <x:cfRule type="cellIs" dxfId="221" priority="2" operator="equal">
      <x:formula>"Intégré"</x:formula>
    </x:cfRule>
    <x:cfRule type="cellIs" dxfId="222" priority="3" operator="equal">
      <x:formula>"Validé"</x:formula>
    </x:cfRule>
  </x:conditionalFormatting>
  <x:conditionalFormatting sqref="G7:G36">
    <x:cfRule type="cellIs" dxfId="223" priority="4" operator="equal">
      <x:formula>"Référence à vérifier"</x:formula>
    </x:cfRule>
  </x:conditionalFormatting>
  <x:conditionalFormatting sqref="E7:E36">
    <x:cfRule type="cellIs" dxfId="22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29d7cf87bbde4153"/>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225" priority="1" operator="equal">
      <x:formula>"Prototype"</x:formula>
    </x:cfRule>
    <x:cfRule type="cellIs" dxfId="226" priority="2" operator="equal">
      <x:formula>"Intégré"</x:formula>
    </x:cfRule>
    <x:cfRule type="cellIs" dxfId="227" priority="3" operator="equal">
      <x:formula>"Validé"</x:formula>
    </x:cfRule>
  </x:conditionalFormatting>
  <x:conditionalFormatting sqref="G7:G56">
    <x:cfRule type="cellIs" dxfId="228" priority="4" operator="equal">
      <x:formula>"Référence à vérifier"</x:formula>
    </x:cfRule>
  </x:conditionalFormatting>
  <x:conditionalFormatting sqref="E7:E56">
    <x:cfRule type="cellIs" dxfId="22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f45669650ae2498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230" priority="1" operator="equal">
      <x:formula>"Prototype"</x:formula>
    </x:cfRule>
    <x:cfRule type="cellIs" dxfId="231" priority="2" operator="equal">
      <x:formula>"Intégré"</x:formula>
    </x:cfRule>
    <x:cfRule type="cellIs" dxfId="232" priority="3" operator="equal">
      <x:formula>"Validé"</x:formula>
    </x:cfRule>
  </x:conditionalFormatting>
  <x:conditionalFormatting sqref="G7:G81">
    <x:cfRule type="cellIs" dxfId="233" priority="4" operator="equal">
      <x:formula>"Référence à vérifier"</x:formula>
    </x:cfRule>
  </x:conditionalFormatting>
  <x:conditionalFormatting sqref="E7:E81">
    <x:cfRule type="cellIs" dxfId="23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a96fac8a5a8142dc"/>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row r="67" ht="53" customHeight="1">
      <x:c r="A67" s="36" t="str">
        <x:v>CUST-ANI-walk-colors</x:v>
      </x:c>
      <x:c r="B67" s="37" t="str">
        <x:v>Personnalisation et cycle de marche</x:v>
      </x:c>
      <x:c r="C67" s="34" t="str">
        <x:v>Prototype</x:v>
      </x:c>
      <x:c r="D67" s="35" t="str">
        <x:v>Prototype</x:v>
      </x:c>
      <x:c r="E67" s="38" t="str">
        <x:v>P0</x:v>
      </x:c>
      <x:c r="F67" s="38" t="str">
        <x:v>ME1</x:v>
      </x:c>
      <x:c r="G67" s="38" t="str">
        <x:v>Adaptation</x:v>
      </x:c>
      <x:c r="H67" s="37" t="str">
        <x:v>Conserver la configuration visuelle prise en charge lors du changement de direction, de l’arrêt et de la course de Shepard.</x:v>
      </x:c>
      <x:c r="I67" s="37" t="str">
        <x:v>Parcourir les quatre directions pour les deux apparences sans retour à la palette par défaut entre les frames.</x:v>
      </x:c>
      <x:c r="J67" s="37" t="str">
        <x:v>CUST-UI-workshop</x:v>
      </x:c>
      <x:c r="K67" s="37" t="str">
        <x:v>src/world.js</x:v>
      </x:c>
      <x:c r="L67" s="37" t="str">
        <x:v>src/world.js</x:v>
      </x:c>
      <x:c r="M67" s="37" t="str">
        <x:v>customization:ANI-walk-colors</x:v>
      </x:c>
      <x:c r="N67" s="37" t="str">
        <x:v>Atelier de Relay Chronicles. Interface et réglages propres au fan game ; contrôle de fidélité distinct.</x:v>
      </x:c>
      <x:c r="O67" s="37" t="str"/>
      <x:c r="P67" s="37" t="str">
        <x:v>Production ME1</x:v>
      </x:c>
      <x:c r="Q67" s="37" t="str">
        <x:v>Implémentation de prototype. Les valeurs de combat restent celles de l’adaptation ATB.</x:v>
      </x:c>
    </x:row>
    <x:row r="68" ht="53" customHeight="1">
      <x:c r="A68" s="12" t="str">
        <x:v>CUST-ANI-combat-colors</x:v>
      </x:c>
      <x:c r="B68" s="7" t="str">
        <x:v>Personnalisation et poses de combat</x:v>
      </x:c>
      <x:c r="C68" s="34" t="str">
        <x:v>Prototype</x:v>
      </x:c>
      <x:c r="D68" s="35" t="str">
        <x:v>Prototype</x:v>
      </x:c>
      <x:c r="E68" s="9" t="str">
        <x:v>P0</x:v>
      </x:c>
      <x:c r="F68" s="9" t="str">
        <x:v>ME1</x:v>
      </x:c>
      <x:c r="G68" s="9" t="str">
        <x:v>Adaptation</x:v>
      </x:c>
      <x:c r="H68" s="7" t="str">
        <x:v>Maintenir les options visuelles prises en charge pendant les poses de visée, pouvoir, impact et hors combat.</x:v>
      </x:c>
      <x:c r="I68" s="7" t="str">
        <x:v>Vérifier la persistance de la palette et des ancrages lors du passage exploration/combat puis du retour sur la carte.</x:v>
      </x:c>
      <x:c r="J68" s="7" t="str">
        <x:v>CUST-UI-workshop</x:v>
      </x:c>
      <x:c r="K68" s="7" t="str">
        <x:v>src/world.js</x:v>
      </x:c>
      <x:c r="L68" s="7" t="str">
        <x:v>src/world.js</x:v>
      </x:c>
      <x:c r="M68" s="7" t="str">
        <x:v>customization:ANI-combat-colors</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53" customHeight="1">
      <x:c r="A69" s="36" t="str">
        <x:v>CUST-ANI-equipment-transitions</x:v>
      </x:c>
      <x:c r="B69" s="37" t="str">
        <x:v>Transitions animées propres à l’équipement</x:v>
      </x:c>
      <x:c r="C69" s="34" t="str">
        <x:v>Défini</x:v>
      </x:c>
      <x:c r="D69" s="35" t="str">
        <x:v>À produire</x:v>
      </x:c>
      <x:c r="E69" s="38" t="str">
        <x:v>P1</x:v>
      </x:c>
      <x:c r="F69" s="38" t="str">
        <x:v>ME1</x:v>
      </x:c>
      <x:c r="G69" s="38" t="str">
        <x:v>Adaptation</x:v>
      </x:c>
      <x:c r="H69" s="37" t="str">
        <x:v>Prévoir des poses de sélection, manipulation, mise en joue et rangement pour chaque famille d’arme et catégorie d’armure.</x:v>
      </x:c>
      <x:c r="I69" s="37" t="str">
        <x:v>Les mains suivent les prises de l’arme, les volumes de l’armure restent cohérents et les accessoires n’intersectent pas le corps.</x:v>
      </x:c>
      <x:c r="J69" s="37" t="str">
        <x:v>CUST-UI-workshop</x:v>
      </x:c>
      <x:c r="K69" s="37" t="str">
        <x:v>public/assets/customization/animations/</x:v>
      </x:c>
      <x:c r="L69" s="37" t="str"/>
      <x:c r="M69" s="37" t="str">
        <x:v>customization:ANI-equipment-transitions</x:v>
      </x:c>
      <x:c r="N69" s="37" t="str">
        <x:v>Atelier de Relay Chronicles. Interface et réglages propres au fan game ; contrôle de fidélité distinct.</x:v>
      </x:c>
      <x:c r="O69" s="37" t="str"/>
      <x:c r="P69" s="37" t="str">
        <x:v>Production ME1</x:v>
      </x:c>
      <x:c r="Q69" s="37" t="str">
        <x:v>Backlog. Aucun nouveau cycle dessiné par équipement n’est livré par l’atelier 0.3.0.</x:v>
      </x:c>
    </x:row>
  </x:sheetData>
  <x:conditionalFormatting sqref="C7:C66">
    <x:cfRule type="cellIs" dxfId="235" priority="1" operator="equal">
      <x:formula>"Prototype"</x:formula>
    </x:cfRule>
    <x:cfRule type="cellIs" dxfId="236" priority="2" operator="equal">
      <x:formula>"Intégré"</x:formula>
    </x:cfRule>
    <x:cfRule type="cellIs" dxfId="237" priority="3" operator="equal">
      <x:formula>"Validé"</x:formula>
    </x:cfRule>
  </x:conditionalFormatting>
  <x:conditionalFormatting sqref="G7:G66">
    <x:cfRule type="cellIs" dxfId="238" priority="4" operator="equal">
      <x:formula>"Référence à vérifier"</x:formula>
    </x:cfRule>
  </x:conditionalFormatting>
  <x:conditionalFormatting sqref="E7:E66">
    <x:cfRule type="cellIs" dxfId="239" priority="5" operator="equal">
      <x:formula>"P0"</x:formula>
    </x:cfRule>
  </x:conditionalFormatting>
  <x:conditionalFormatting sqref="C67:C69">
    <x:cfRule type="cellIs" dxfId="240" priority="6" operator="equal">
      <x:formula>"Prototype"</x:formula>
    </x:cfRule>
    <x:cfRule type="cellIs" dxfId="241" priority="7" operator="equal">
      <x:formula>"Intégré"</x:formula>
    </x:cfRule>
    <x:cfRule type="cellIs" dxfId="242" priority="8" operator="equal">
      <x:formula>"Validé"</x:formula>
    </x:cfRule>
  </x:conditionalFormatting>
  <x:conditionalFormatting sqref="G67:G69">
    <x:cfRule type="cellIs" dxfId="243" priority="9" operator="equal">
      <x:formula>"Référence à vérifier"</x:formula>
    </x:cfRule>
  </x:conditionalFormatting>
  <x:conditionalFormatting sqref="E67:E69">
    <x:cfRule type="cellIs" dxfId="244" priority="10" operator="equal">
      <x:formula>"P0"</x:formula>
    </x:cfRule>
  </x:conditionalFormatting>
  <x:dataValidations count="10">
    <x:dataValidation type="list" sqref="C7:C66">
      <x:formula1>"Défini,Prototype,Intégré,Validé"</x:formula1>
    </x:dataValidation>
    <x:dataValidation type="list" sqref="D7:D66">
      <x:formula1>"À produire,Prototype,Disponible,Validé,Sans objet,Non planifié"</x:formula1>
    </x:dataValidation>
    <x:dataValidation type="list" sqref="E7:E66">
      <x:formula1>"P0,P1,P2"</x:formula1>
    </x:dataValidation>
    <x:dataValidation type="list" sqref="F7:F66">
      <x:formula1>"ME1,ME2,ME3"</x:formula1>
    </x:dataValidation>
    <x:dataValidation type="list" sqref="G7:G66">
      <x:formula1>"Confirmé,Référence à vérifier,Adaptation"</x:formula1>
    </x:dataValidation>
    <x:dataValidation type="list" sqref="C67:C69">
      <x:formula1>"Défini,Prototype,Intégré,Validé"</x:formula1>
    </x:dataValidation>
    <x:dataValidation type="list" sqref="D67:D69">
      <x:formula1>"À produire,Prototype,Disponible,Validé,Sans objet,Non planifié"</x:formula1>
    </x:dataValidation>
    <x:dataValidation type="list" sqref="E67:E69">
      <x:formula1>"P0,P1,P2"</x:formula1>
    </x:dataValidation>
    <x:dataValidation type="list" sqref="F67:F69">
      <x:formula1>"ME1,ME2,ME3"</x:formula1>
    </x:dataValidation>
    <x:dataValidation type="list" sqref="G67:G69">
      <x:formula1>"Confirmé,Référence à vérifier,Adaptation"</x:formula1>
    </x:dataValidation>
  </x:dataValidations>
  <x:pageMargins left="0.7" right="0.7" top="0.75" bottom="0.75" header="0.3" footer="0.3"/>
  <x:tableParts count="1">
    <x:tablePart xmlns:r="http://schemas.openxmlformats.org/officeDocument/2006/relationships" r:id="R673b25b9482e4b73"/>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row r="84" ht="53" customHeight="1">
      <x:c r="A84" s="12" t="str">
        <x:v>CUST-ART-face-preview</x:v>
      </x:c>
      <x:c r="B84" s="7" t="str">
        <x:v>Portrait 2D personnalisable</x:v>
      </x:c>
      <x:c r="C84" s="34" t="str">
        <x:v>Prototype</x:v>
      </x:c>
      <x:c r="D84" s="35" t="str">
        <x:v>Prototype</x:v>
      </x:c>
      <x:c r="E84" s="9" t="str">
        <x:v>P0</x:v>
      </x:c>
      <x:c r="F84" s="9" t="str">
        <x:v>ME1</x:v>
      </x:c>
      <x:c r="G84" s="9" t="str">
        <x:v>Adaptation</x:v>
      </x:c>
      <x:c r="H84" s="7" t="str">
        <x:v>Portrait procédural de l’atelier affichant les choix de visage, teint, coiffure et yeux.</x:v>
      </x:c>
      <x:c r="I84" s="7" t="str">
        <x:v>L’aperçu permet de distinguer chaque option. Les libellés n’annoncent pas un modèle facial 3D officiel.</x:v>
      </x:c>
      <x:c r="J84" s="7" t="str">
        <x:v>CUST-UI-workshop</x:v>
      </x:c>
      <x:c r="K84" s="7" t="str">
        <x:v>src/customization-ui.js</x:v>
      </x:c>
      <x:c r="L84" s="7" t="str">
        <x:v>src/customization-ui.js</x:v>
      </x:c>
      <x:c r="M84" s="7" t="str">
        <x:v>customization:ART-face-preview</x:v>
      </x:c>
      <x:c r="N84" s="7" t="str">
        <x:v>Atelier de Relay Chronicles. Interface et réglages propres au fan game ; contrôle de fidélité distinct.</x:v>
      </x:c>
      <x:c r="O84" s="7" t="str">
        <x:v>https://www.ea.com/ea-play/news/gameplay-calibrations</x:v>
      </x:c>
      <x:c r="P84" s="7" t="str">
        <x:v>Production ME1</x:v>
      </x:c>
      <x:c r="Q84" s="7" t="str">
        <x:v>Représentation graphique de prototype. Fidélité des visages officiels à contrôler séparément.</x:v>
      </x:c>
    </x:row>
    <x:row r="85" ht="53" customHeight="1">
      <x:c r="A85" s="36" t="str">
        <x:v>CUST-ART-armor-preview</x:v>
      </x:c>
      <x:c r="B85" s="37" t="str">
        <x:v>Silhouette d’armure dans l’atelier</x:v>
      </x:c>
      <x:c r="C85" s="34" t="str">
        <x:v>Prototype</x:v>
      </x:c>
      <x:c r="D85" s="35" t="str">
        <x:v>Prototype</x:v>
      </x:c>
      <x:c r="E85" s="38" t="str">
        <x:v>P0</x:v>
      </x:c>
      <x:c r="F85" s="38" t="str">
        <x:v>ME1</x:v>
      </x:c>
      <x:c r="G85" s="38" t="str">
        <x:v>Adaptation</x:v>
      </x:c>
      <x:c r="H85" s="37" t="str">
        <x:v>Silhouette inspectable du commandant, indiquant les couleurs, le motif et le casque choisis.</x:v>
      </x:c>
      <x:c r="I85" s="37" t="str">
        <x:v>Le corps reste lisible avec le casque affiché ou masqué et les couleurs de la palette. Les options ne recouvrent pas les commandes.</x:v>
      </x:c>
      <x:c r="J85" s="37" t="str">
        <x:v>CUST-UI-workshop</x:v>
      </x:c>
      <x:c r="K85" s="37" t="str">
        <x:v>src/customization-ui.js</x:v>
      </x:c>
      <x:c r="L85" s="37" t="str">
        <x:v>src/customization-ui.js</x:v>
      </x:c>
      <x:c r="M85" s="37" t="str">
        <x:v>customization:ART-armor-preview</x:v>
      </x:c>
      <x:c r="N85" s="37" t="str">
        <x:v>Atelier de Relay Chronicles. Interface et réglages propres au fan game ; contrôle de fidélité distinct.</x:v>
      </x:c>
      <x:c r="O85" s="37" t="str"/>
      <x:c r="P85" s="37" t="str">
        <x:v>Production ME1</x:v>
      </x:c>
      <x:c r="Q85" s="37" t="str">
        <x:v>Implémentation de prototype. Les valeurs de combat restent celles de l’adaptation ATB.</x:v>
      </x:c>
    </x:row>
    <x:row r="86" ht="53" customHeight="1">
      <x:c r="A86" s="12" t="str">
        <x:v>CUST-ART-weapon-preview</x:v>
      </x:c>
      <x:c r="B86" s="7" t="str">
        <x:v>Aperçu de la famille d’arme</x:v>
      </x:c>
      <x:c r="C86" s="34" t="str">
        <x:v>Prototype</x:v>
      </x:c>
      <x:c r="D86" s="35" t="str">
        <x:v>Prototype</x:v>
      </x:c>
      <x:c r="E86" s="9" t="str">
        <x:v>P0</x:v>
      </x:c>
      <x:c r="F86" s="9" t="str">
        <x:v>ME1</x:v>
      </x:c>
      <x:c r="G86" s="9" t="str">
        <x:v>Adaptation</x:v>
      </x:c>
      <x:c r="H86" s="7" t="str">
        <x:v>Représentation d’inspection et fiche du modèle sélectionné dans l’onglet Armes.</x:v>
      </x:c>
      <x:c r="I86" s="7" t="str">
        <x:v>La famille présentée correspond à l’objet choisi. Ne pas présenter une silhouette générique comme la géométrie exacte d’un modèle ME1.</x:v>
      </x:c>
      <x:c r="J86" s="7" t="str">
        <x:v>CUST-UI-workshop</x:v>
      </x:c>
      <x:c r="K86" s="7" t="str">
        <x:v>src/customization-ui.js</x:v>
      </x:c>
      <x:c r="L86" s="7" t="str">
        <x:v>src/customization-ui.js</x:v>
      </x:c>
      <x:c r="M86" s="7" t="str">
        <x:v>customization:ART-weapon-preview</x:v>
      </x:c>
      <x:c r="N86" s="7" t="str">
        <x:v>Atelier de Relay Chronicles. Interface et réglages propres au fan game ; contrôle de fidélité distinct.</x:v>
      </x:c>
      <x:c r="O86" s="7" t="str"/>
      <x:c r="P86" s="7" t="str">
        <x:v>Production ME1</x:v>
      </x:c>
      <x:c r="Q86" s="7" t="str">
        <x:v>La représentation des familles reste une adaptation. Les modèles détaillés propres à chaque fabricant restent à produire.</x:v>
      </x:c>
    </x:row>
    <x:row r="87" ht="53" customHeight="1">
      <x:c r="A87" s="36" t="str">
        <x:v>CUST-ART-world-palette</x:v>
      </x:c>
      <x:c r="B87" s="37" t="str">
        <x:v>Couleur personnalisée du sprite en jeu</x:v>
      </x:c>
      <x:c r="C87" s="34" t="str">
        <x:v>Prototype</x:v>
      </x:c>
      <x:c r="D87" s="35" t="str">
        <x:v>Prototype</x:v>
      </x:c>
      <x:c r="E87" s="38" t="str">
        <x:v>P0</x:v>
      </x:c>
      <x:c r="F87" s="38" t="str">
        <x:v>ME1</x:v>
      </x:c>
      <x:c r="G87" s="38" t="str">
        <x:v>Adaptation</x:v>
      </x:c>
      <x:c r="H87" s="37" t="str">
        <x:v>Transmettre les couleurs prises en charge par le rendu de Shepard à l’exploration et au combat.</x:v>
      </x:c>
      <x:c r="I87" s="37" t="str">
        <x:v>Vérifier les limites du masque ou de la recoloration sur toutes les directions et poses. Aucun changement d’apparence d’un autre équipier.</x:v>
      </x:c>
      <x:c r="J87" s="37" t="str">
        <x:v>CUST-UI-workshop</x:v>
      </x:c>
      <x:c r="K87" s="37" t="str">
        <x:v>src/world.js</x:v>
      </x:c>
      <x:c r="L87" s="37" t="str">
        <x:v>src/world.js</x:v>
      </x:c>
      <x:c r="M87" s="37" t="str">
        <x:v>customization:ART-world-palette</x:v>
      </x:c>
      <x:c r="N87" s="37" t="str">
        <x:v>Atelier de Relay Chronicles. Interface et réglages propres au fan game ; contrôle de fidélité distinct.</x:v>
      </x:c>
      <x:c r="O87" s="37" t="str"/>
      <x:c r="P87" s="37" t="str">
        <x:v>Production ME1</x:v>
      </x:c>
      <x:c r="Q87" s="37" t="str">
        <x:v>La recoloration d’un atlas ne remplace pas les silhouettes d’armures ou coiffures par des assets dédiés.</x:v>
      </x:c>
    </x:row>
    <x:row r="88" ht="53" customHeight="1">
      <x:c r="A88" s="12" t="str">
        <x:v>CUST-ART-faithful-variants</x:v>
      </x:c>
      <x:c r="B88" s="7" t="str">
        <x:v>Variantes artistiques exactes par armure et arme</x:v>
      </x:c>
      <x:c r="C88" s="34" t="str">
        <x:v>Défini</x:v>
      </x:c>
      <x:c r="D88" s="35" t="str">
        <x:v>À produire</x:v>
      </x:c>
      <x:c r="E88" s="9" t="str">
        <x:v>P1</x:v>
      </x:c>
      <x:c r="F88" s="9" t="str">
        <x:v>ME1</x:v>
      </x:c>
      <x:c r="G88" s="9" t="str">
        <x:v>Adaptation</x:v>
      </x:c>
      <x:c r="H88" s="7" t="str">
        <x:v>Produire des sprites, portraits et détails correspondant à chaque armure, arme, casque et coiffure réellement équipés.</x:v>
      </x:c>
      <x:c r="I88" s="7" t="str">
        <x:v>Comparer les volumes, panneaux, marquages et teintes au modèle de l’opus retenu dans toutes les vues et poses avant validation.</x:v>
      </x:c>
      <x:c r="J88" s="7" t="str">
        <x:v>CUST-UI-workshop</x:v>
      </x:c>
      <x:c r="K88" s="7" t="str">
        <x:v>public/assets/customization/</x:v>
      </x:c>
      <x:c r="L88" s="7" t="str"/>
      <x:c r="M88" s="7" t="str">
        <x:v>customization:ART-faithful-variants</x:v>
      </x:c>
      <x:c r="N88" s="7" t="str">
        <x:v>Atelier de Relay Chronicles. Interface et réglages propres au fan game ; contrôle de fidélité distinct.</x:v>
      </x:c>
      <x:c r="O88" s="7" t="str">
        <x:v>https://www.ea.com/games/mass-effect/community/cosplay-guides</x:v>
      </x:c>
      <x:c r="P88" s="7" t="str">
        <x:v>Production ME1</x:v>
      </x:c>
      <x:c r="Q88" s="7" t="str">
        <x:v>Backlog artistique. Les aperçus procéduraux et teintes d’atlas ne valident pas ces variantes 1:1.</x:v>
      </x:c>
    </x:row>
  </x:sheetData>
  <x:conditionalFormatting sqref="C7:C83">
    <x:cfRule type="cellIs" dxfId="245" priority="1" operator="equal">
      <x:formula>"Prototype"</x:formula>
    </x:cfRule>
    <x:cfRule type="cellIs" dxfId="246" priority="2" operator="equal">
      <x:formula>"Intégré"</x:formula>
    </x:cfRule>
    <x:cfRule type="cellIs" dxfId="247" priority="3" operator="equal">
      <x:formula>"Validé"</x:formula>
    </x:cfRule>
  </x:conditionalFormatting>
  <x:conditionalFormatting sqref="G7:G83">
    <x:cfRule type="cellIs" dxfId="248" priority="4" operator="equal">
      <x:formula>"Référence à vérifier"</x:formula>
    </x:cfRule>
  </x:conditionalFormatting>
  <x:conditionalFormatting sqref="E7:E83">
    <x:cfRule type="cellIs" dxfId="249" priority="5" operator="equal">
      <x:formula>"P0"</x:formula>
    </x:cfRule>
  </x:conditionalFormatting>
  <x:conditionalFormatting sqref="C84:C88">
    <x:cfRule type="cellIs" dxfId="250" priority="6" operator="equal">
      <x:formula>"Prototype"</x:formula>
    </x:cfRule>
    <x:cfRule type="cellIs" dxfId="251" priority="7" operator="equal">
      <x:formula>"Intégré"</x:formula>
    </x:cfRule>
    <x:cfRule type="cellIs" dxfId="252" priority="8" operator="equal">
      <x:formula>"Validé"</x:formula>
    </x:cfRule>
  </x:conditionalFormatting>
  <x:conditionalFormatting sqref="G84:G88">
    <x:cfRule type="cellIs" dxfId="253" priority="9" operator="equal">
      <x:formula>"Référence à vérifier"</x:formula>
    </x:cfRule>
  </x:conditionalFormatting>
  <x:conditionalFormatting sqref="E84:E88">
    <x:cfRule type="cellIs" dxfId="254" priority="10" operator="equal">
      <x:formula>"P0"</x:formula>
    </x:cfRule>
  </x:conditionalFormatting>
  <x:dataValidations count="10">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x:formula1>
    </x:dataValidation>
    <x:dataValidation type="list" sqref="G7:G83">
      <x:formula1>"Confirmé,Référence à vérifier,Adaptation"</x:formula1>
    </x:dataValidation>
    <x:dataValidation type="list" sqref="C84:C88">
      <x:formula1>"Défini,Prototype,Intégré,Validé"</x:formula1>
    </x:dataValidation>
    <x:dataValidation type="list" sqref="D84:D88">
      <x:formula1>"À produire,Prototype,Disponible,Validé,Sans objet,Non planifié"</x:formula1>
    </x:dataValidation>
    <x:dataValidation type="list" sqref="E84:E88">
      <x:formula1>"P0,P1,P2"</x:formula1>
    </x:dataValidation>
    <x:dataValidation type="list" sqref="F84:F88">
      <x:formula1>"ME1,ME2,ME3"</x:formula1>
    </x:dataValidation>
    <x:dataValidation type="list" sqref="G84:G88">
      <x:formula1>"Confirmé,Référence à vérifier,Adaptation"</x:formula1>
    </x:dataValidation>
  </x:dataValidations>
  <x:pageMargins left="0.7" right="0.7" top="0.75" bottom="0.75" header="0.3" footer="0.3"/>
  <x:tableParts count="1">
    <x:tablePart xmlns:r="http://schemas.openxmlformats.org/officeDocument/2006/relationships" r:id="R46a9e9db69d74eac"/>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255" priority="1" operator="equal">
      <x:formula>"Prototype"</x:formula>
    </x:cfRule>
    <x:cfRule type="cellIs" dxfId="256" priority="2" operator="equal">
      <x:formula>"Intégré"</x:formula>
    </x:cfRule>
    <x:cfRule type="cellIs" dxfId="257" priority="3" operator="equal">
      <x:formula>"Validé"</x:formula>
    </x:cfRule>
  </x:conditionalFormatting>
  <x:conditionalFormatting sqref="G7:G32">
    <x:cfRule type="cellIs" dxfId="258" priority="4" operator="equal">
      <x:formula>"Référence à vérifier"</x:formula>
    </x:cfRule>
  </x:conditionalFormatting>
  <x:conditionalFormatting sqref="E7:E32">
    <x:cfRule type="cellIs" dxfId="25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d1f2943e05e84447"/>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260" priority="1" operator="equal">
      <x:formula>"Prototype"</x:formula>
    </x:cfRule>
    <x:cfRule type="cellIs" dxfId="261" priority="2" operator="equal">
      <x:formula>"Intégré"</x:formula>
    </x:cfRule>
    <x:cfRule type="cellIs" dxfId="262" priority="3" operator="equal">
      <x:formula>"Validé"</x:formula>
    </x:cfRule>
  </x:conditionalFormatting>
  <x:conditionalFormatting sqref="G7:G36">
    <x:cfRule type="cellIs" dxfId="263" priority="4" operator="equal">
      <x:formula>"Référence à vérifier"</x:formula>
    </x:cfRule>
  </x:conditionalFormatting>
  <x:conditionalFormatting sqref="E7:E36">
    <x:cfRule type="cellIs" dxfId="26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29bb3e2c1d5941e6"/>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62"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au plus 20 exemplaires par référence. 48 articles et cinq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36" customHeight="1">
      <x:c r="A20" s="12" t="str">
        <x:v>SYS-talents</x:v>
      </x:c>
      <x:c r="B20" s="7" t="str">
        <x:v>Talents</x:v>
      </x:c>
      <x:c r="C20" s="10" t="str">
        <x:v>Défini</x:v>
      </x:c>
      <x:c r="D20" s="11" t="str">
        <x:v>À produire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c r="M20" s="7" t="str"/>
      <x:c r="N20" s="7" t="str">
        <x:v>Décisions du fan game ; aucune prétention de canon officiel</x:v>
      </x:c>
      <x:c r="O20" s="7" t="str"/>
      <x:c r="P20" s="7" t="str">
        <x:v>Production ME1</x:v>
      </x:c>
      <x:c r="Q20" s="7" t="str"/>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53" customHeight="1">
      <x:c r="A47" s="36" t="str">
        <x:v>CUST-UI-workshop</x:v>
      </x:c>
      <x:c r="B47" s="37" t="str">
        <x:v>Atelier de personnalisation de Shepard</x:v>
      </x:c>
      <x:c r="C47" s="34" t="str">
        <x:v>Prototype</x:v>
      </x:c>
      <x:c r="D47" s="35" t="str">
        <x:v>Prototype</x:v>
      </x:c>
      <x:c r="E47" s="38" t="str">
        <x:v>P0</x:v>
      </x:c>
      <x:c r="F47" s="38" t="str">
        <x:v>ME1</x:v>
      </x:c>
      <x:c r="G47" s="38" t="str">
        <x:v>Adaptation</x:v>
      </x:c>
      <x:c r="H47" s="37" t="str">
        <x:v>Écran réunissant trois onglets : Personnage, Armure et Armes. Présentation du personnage, options et dotation partagent un brouillon.</x:v>
      </x:c>
      <x:c r="I47" s="37" t="str">
        <x:v>Ouvrir les trois onglets, modifier des options, puis appliquer ou annuler sans quitter la campagne ni perdre la progression.</x:v>
      </x:c>
      <x:c r="J47" s="37" t="str">
        <x:v>SYS-creation-de-shepard, SYS-inventaire, SYS-sauvegarde-locale</x:v>
      </x:c>
      <x:c r="K47" s="37" t="str">
        <x:v>src/customization-ui.js</x:v>
      </x:c>
      <x:c r="L47" s="37" t="str">
        <x:v>src/customization-ui.js</x:v>
      </x:c>
      <x:c r="M47" s="37" t="str">
        <x:v>customization:UI-workshop</x:v>
      </x:c>
      <x:c r="N47" s="37" t="str">
        <x:v>Atelier de Relay Chronicles. Interface et réglages propres au fan game ; contrôle de fidélité distinct.</x:v>
      </x:c>
      <x:c r="O47" s="37" t="str"/>
      <x:c r="P47" s="37" t="str">
        <x:v>Production ME1</x:v>
      </x:c>
      <x:c r="Q47" s="37" t="str">
        <x:v>Implémentation de prototype. Les valeurs de combat restent celles de l’adaptation ATB.</x:v>
      </x:c>
    </x:row>
    <x:row r="48" ht="53" customHeight="1">
      <x:c r="A48" s="12" t="str">
        <x:v>CUST-UI-entry</x:v>
      </x:c>
      <x:c r="B48" s="7" t="str">
        <x:v>Accès à l’atelier depuis les menus</x:v>
      </x:c>
      <x:c r="C48" s="34" t="str">
        <x:v>Prototype</x:v>
      </x:c>
      <x:c r="D48" s="35" t="str">
        <x:v>Prototype</x:v>
      </x:c>
      <x:c r="E48" s="9" t="str">
        <x:v>P0</x:v>
      </x:c>
      <x:c r="F48" s="9" t="str">
        <x:v>ME1</x:v>
      </x:c>
      <x:c r="G48" s="9" t="str">
        <x:v>Adaptation</x:v>
      </x:c>
      <x:c r="H48" s="7" t="str">
        <x:v>Entrées visibles depuis les menus de Shepard et de l’équipement. Retour à l’écran d’origine après fermeture.</x:v>
      </x:c>
      <x:c r="I48" s="7" t="str">
        <x:v>Atteindre l’atelier sans console ni commande de développement. Le bouton Retour rétablit le menu attendu.</x:v>
      </x:c>
      <x:c r="J48" s="7" t="str">
        <x:v>CUST-UI-workshop</x:v>
      </x:c>
      <x:c r="K48" s="7" t="str">
        <x:v>src/main.js</x:v>
      </x:c>
      <x:c r="L48" s="7" t="str">
        <x:v>src/main.js</x:v>
      </x:c>
      <x:c r="M48" s="7" t="str">
        <x:v>customization:UI-entry</x:v>
      </x:c>
      <x:c r="N48" s="7" t="str">
        <x:v>Atelier de Relay Chronicles. Interface et réglages propres au fan game ; contrôle de fidélité distinct.</x:v>
      </x:c>
      <x:c r="O48" s="7" t="str"/>
      <x:c r="P48" s="7" t="str">
        <x:v>Production ME1</x:v>
      </x:c>
      <x:c r="Q48" s="7" t="str">
        <x:v>Implémentation de prototype. Les valeurs de combat restent celles de l’adaptation ATB.</x:v>
      </x:c>
    </x:row>
    <x:row r="49" ht="53" customHeight="1">
      <x:c r="A49" s="36" t="str">
        <x:v>CUST-UI-character</x:v>
      </x:c>
      <x:c r="B49" s="37" t="str">
        <x:v>Onglet Personnage</x:v>
      </x:c>
      <x:c r="C49" s="34" t="str">
        <x:v>Prototype</x:v>
      </x:c>
      <x:c r="D49" s="35" t="str">
        <x:v>Prototype</x:v>
      </x:c>
      <x:c r="E49" s="38" t="str">
        <x:v>P0</x:v>
      </x:c>
      <x:c r="F49" s="38" t="str">
        <x:v>ME1</x:v>
      </x:c>
      <x:c r="G49" s="38" t="str">
        <x:v>Adaptation</x:v>
      </x:c>
      <x:c r="H49" s="37" t="str">
        <x:v>Choix de l’apparence, des préréglages du visage, du teint, des cheveux et des yeux, avec aperçu immédiat.</x:v>
      </x:c>
      <x:c r="I49" s="37" t="str">
        <x:v>Chaque option modifie le brouillon et son aperçu. Le personnage actif reste inchangé avant validation.</x:v>
      </x:c>
      <x:c r="J49" s="37" t="str">
        <x:v>CUST-UI-workshop</x:v>
      </x:c>
      <x:c r="K49" s="37" t="str">
        <x:v>src/customization-ui.js</x:v>
      </x:c>
      <x:c r="L49" s="37" t="str">
        <x:v>src/customization-ui.js</x:v>
      </x:c>
      <x:c r="M49" s="37" t="str">
        <x:v>customization:UI-character</x:v>
      </x:c>
      <x:c r="N49" s="37" t="str">
        <x:v>Atelier de Relay Chronicles. Interface et réglages propres au fan game ; contrôle de fidélité distinct.</x:v>
      </x:c>
      <x:c r="O49" s="37" t="str">
        <x:v>https://www.ea.com/ea-play/news/gameplay-calibrations</x:v>
      </x:c>
      <x:c r="P49" s="37" t="str">
        <x:v>Production ME1</x:v>
      </x:c>
      <x:c r="Q49" s="37" t="str">
        <x:v>Présentation 2D propre au projet. L’ensemble des curseurs morphologiques du créateur officiel reste à réaliser.</x:v>
      </x:c>
    </x:row>
    <x:row r="50" ht="53" customHeight="1">
      <x:c r="A50" s="12" t="str">
        <x:v>CUST-UI-armor</x:v>
      </x:c>
      <x:c r="B50" s="7" t="str">
        <x:v>Onglet Armure</x:v>
      </x:c>
      <x:c r="C50" s="34" t="str">
        <x:v>Prototype</x:v>
      </x:c>
      <x:c r="D50" s="35" t="str">
        <x:v>Prototype</x:v>
      </x:c>
      <x:c r="E50" s="9" t="str">
        <x:v>P0</x:v>
      </x:c>
      <x:c r="F50" s="9" t="str">
        <x:v>ME1</x:v>
      </x:c>
      <x:c r="G50" s="9" t="str">
        <x:v>Adaptation</x:v>
      </x:c>
      <x:c r="H50" s="7" t="str">
        <x:v>Choix d’une armure complète possédée et d’un module d’armure. Les options visuelles sont regroupées sous l’atelier de Relay Chronicles.</x:v>
      </x:c>
      <x:c r="I50" s="7" t="str">
        <x:v>Afficher la pièce équipée, les autres armures disponibles, leurs restrictions et les différences de statistiques.</x:v>
      </x:c>
      <x:c r="J50" s="7" t="str">
        <x:v>CUST-UI-workshop</x:v>
      </x:c>
      <x:c r="K50" s="7" t="str">
        <x:v>src/customization-ui.js</x:v>
      </x:c>
      <x:c r="L50" s="7" t="str">
        <x:v>src/customization-ui.js</x:v>
      </x:c>
      <x:c r="M50" s="7" t="str">
        <x:v>customization:UI-armor</x:v>
      </x:c>
      <x:c r="N50" s="7" t="str">
        <x:v>Atelier de Relay Chronicles. Interface et réglages propres au fan game ; contrôle de fidélité distinct.</x:v>
      </x:c>
      <x:c r="O50" s="7" t="str">
        <x:v>https://eaassets-a.akamaihd.net/eahelp/manuals/mass-effect-manuals_Microsoft%20XBOX360_en_US.pdf</x:v>
      </x:c>
      <x:c r="P50" s="7" t="str">
        <x:v>Production ME1</x:v>
      </x:c>
      <x:c r="Q50" s="7" t="str">
        <x:v>Implémentation de prototype. Les valeurs de combat restent celles de l’adaptation ATB.</x:v>
      </x:c>
    </x:row>
    <x:row r="51" ht="53" customHeight="1">
      <x:c r="A51" s="36" t="str">
        <x:v>CUST-UI-weapons</x:v>
      </x:c>
      <x:c r="B51" s="37" t="str">
        <x:v>Onglet Armes</x:v>
      </x:c>
      <x:c r="C51" s="34" t="str">
        <x:v>Prototype</x:v>
      </x:c>
      <x:c r="D51" s="35" t="str">
        <x:v>Prototype</x:v>
      </x:c>
      <x:c r="E51" s="38" t="str">
        <x:v>P0</x:v>
      </x:c>
      <x:c r="F51" s="38" t="str">
        <x:v>ME1</x:v>
      </x:c>
      <x:c r="G51" s="38" t="str">
        <x:v>Adaptation</x:v>
      </x:c>
      <x:c r="H51" s="37" t="str">
        <x:v>Choix de l’arme, de son module et de ses munitions spéciales à partir de l’inventaire partagé.</x:v>
      </x:c>
      <x:c r="I51" s="37" t="str">
        <x:v>La sélection respecte les emplacements existants et permet le retour à la dotation précédente avant validation.</x:v>
      </x:c>
      <x:c r="J51" s="37" t="str">
        <x:v>CUST-UI-workshop</x:v>
      </x:c>
      <x:c r="K51" s="37" t="str">
        <x:v>src/customization-ui.js</x:v>
      </x:c>
      <x:c r="L51" s="37" t="str">
        <x:v>src/customization-ui.js</x:v>
      </x:c>
      <x:c r="M51" s="37" t="str">
        <x:v>customization:UI-weapons</x:v>
      </x:c>
      <x:c r="N51" s="37" t="str">
        <x:v>Atelier de Relay Chronicles. Interface et réglages propres au fan game ; contrôle de fidélité distinct.</x:v>
      </x:c>
      <x:c r="O51" s="37" t="str">
        <x:v>https://eaassets-a.akamaihd.net/eahelp/manuals/mass-effect-manuals_Microsoft%20XBOX360_en_US.pdf</x:v>
      </x:c>
      <x:c r="P51" s="37" t="str">
        <x:v>Production ME1</x:v>
      </x:c>
      <x:c r="Q51" s="37" t="str">
        <x:v>Implémentation de prototype. Les valeurs de combat restent celles de l’adaptation ATB.</x:v>
      </x:c>
    </x:row>
    <x:row r="52" ht="53" customHeight="1">
      <x:c r="A52" s="12" t="str">
        <x:v>CUST-FACE-preset</x:v>
      </x:c>
      <x:c r="B52" s="7" t="str">
        <x:v>Préréglages du visage</x:v>
      </x:c>
      <x:c r="C52" s="34" t="str">
        <x:v>Prototype</x:v>
      </x:c>
      <x:c r="D52" s="35" t="str">
        <x:v>Prototype</x:v>
      </x:c>
      <x:c r="E52" s="9" t="str">
        <x:v>P0</x:v>
      </x:c>
      <x:c r="F52" s="9" t="str">
        <x:v>ME1</x:v>
      </x:c>
      <x:c r="G52" s="9" t="str">
        <x:v>Adaptation</x:v>
      </x:c>
      <x:c r="H52" s="7" t="str">
        <x:v>Préréglages visuels adaptés au portrait 2D de Shepard. Les identifiants sont persistants et distincts du sexe d’apparence.</x:v>
      </x:c>
      <x:c r="I52" s="7" t="str">
        <x:v>Changer le préréglage puis revenir au précédent restitue le même aperçu. Une valeur inconnue est rejetée au chargement.</x:v>
      </x:c>
      <x:c r="J52" s="7" t="str">
        <x:v>CUST-UI-workshop</x:v>
      </x:c>
      <x:c r="K52" s="7" t="str">
        <x:v>src/customization.js</x:v>
      </x:c>
      <x:c r="L52" s="7" t="str">
        <x:v>src/customization.js</x:v>
      </x:c>
      <x:c r="M52" s="7" t="str">
        <x:v>customization:FACE-preset</x:v>
      </x:c>
      <x:c r="N52" s="7" t="str">
        <x:v>Atelier de Relay Chronicles. Interface et réglages propres au fan game ; contrôle de fidélité distinct.</x:v>
      </x:c>
      <x:c r="O52" s="7" t="str">
        <x:v>https://www.ea.com/ea-play/news/gameplay-calibrations</x:v>
      </x:c>
      <x:c r="P52" s="7" t="str">
        <x:v>Production ME1</x:v>
      </x:c>
      <x:c r="Q52" s="7" t="str">
        <x:v>Préréglages originaux de l’adaptation ; aucun code visage officiel ni morphing 3D natif.</x:v>
      </x:c>
    </x:row>
    <x:row r="53" ht="53" customHeight="1">
      <x:c r="A53" s="36" t="str">
        <x:v>CUST-FACE-skin</x:v>
      </x:c>
      <x:c r="B53" s="37" t="str">
        <x:v>Palette de teints</x:v>
      </x:c>
      <x:c r="C53" s="34" t="str">
        <x:v>Prototype</x:v>
      </x:c>
      <x:c r="D53" s="35" t="str">
        <x:v>Prototype</x:v>
      </x:c>
      <x:c r="E53" s="38" t="str">
        <x:v>P0</x:v>
      </x:c>
      <x:c r="F53" s="38" t="str">
        <x:v>ME1</x:v>
      </x:c>
      <x:c r="G53" s="38" t="str">
        <x:v>Adaptation</x:v>
      </x:c>
      <x:c r="H53" s="37" t="str">
        <x:v>Choix du teint dans une palette bornée. La palette sert à l’aperçu 2D et à la sauvegarde de l’atelier.</x:v>
      </x:c>
      <x:c r="I53" s="37" t="str">
        <x:v>Les teintes restent distinctes et lisibles sous l’éclairage de l’atelier. La valeur choisie survit à un chargement.</x:v>
      </x:c>
      <x:c r="J53" s="37" t="str">
        <x:v>CUST-UI-workshop</x:v>
      </x:c>
      <x:c r="K53" s="37" t="str">
        <x:v>src/customization.js</x:v>
      </x:c>
      <x:c r="L53" s="37" t="str">
        <x:v>src/customization.js</x:v>
      </x:c>
      <x:c r="M53" s="37" t="str">
        <x:v>customization:FACE-skin</x:v>
      </x:c>
      <x:c r="N53" s="37" t="str">
        <x:v>Atelier de Relay Chronicles. Interface et réglages propres au fan game ; contrôle de fidélité distinct.</x:v>
      </x:c>
      <x:c r="O53" s="37" t="str">
        <x:v>https://www.ea.com/ea-play/news/gameplay-calibrations</x:v>
      </x:c>
      <x:c r="P53" s="37" t="str">
        <x:v>Production ME1</x:v>
      </x:c>
      <x:c r="Q53" s="37" t="str">
        <x:v>Implémentation de prototype. Les valeurs de combat restent celles de l’adaptation ATB.</x:v>
      </x:c>
    </x:row>
    <x:row r="54" ht="53" customHeight="1">
      <x:c r="A54" s="12" t="str">
        <x:v>CUST-FACE-hair</x:v>
      </x:c>
      <x:c r="B54" s="7" t="str">
        <x:v>Coiffure et couleur des cheveux</x:v>
      </x:c>
      <x:c r="C54" s="34" t="str">
        <x:v>Prototype</x:v>
      </x:c>
      <x:c r="D54" s="35" t="str">
        <x:v>Prototype</x:v>
      </x:c>
      <x:c r="E54" s="9" t="str">
        <x:v>P0</x:v>
      </x:c>
      <x:c r="F54" s="9" t="str">
        <x:v>ME1</x:v>
      </x:c>
      <x:c r="G54" s="9" t="str">
        <x:v>Adaptation</x:v>
      </x:c>
      <x:c r="H54" s="7" t="str">
        <x:v>Sélection d’une coiffure et d’une couleur indépendantes, représentées dans le portrait de personnalisation.</x:v>
      </x:c>
      <x:c r="I54" s="7" t="str">
        <x:v>Changer la couleur conserve la coiffure et inversement. Les valeurs invalides ne sont pas importées dans la partie.</x:v>
      </x:c>
      <x:c r="J54" s="7" t="str">
        <x:v>CUST-UI-workshop</x:v>
      </x:c>
      <x:c r="K54" s="7" t="str">
        <x:v>src/customization.js</x:v>
      </x:c>
      <x:c r="L54" s="7" t="str">
        <x:v>src/customization.js</x:v>
      </x:c>
      <x:c r="M54" s="7" t="str">
        <x:v>customization:FACE-hair</x:v>
      </x:c>
      <x:c r="N54" s="7" t="str">
        <x:v>Atelier de Relay Chronicles. Interface et réglages propres au fan game ; contrôle de fidélité distinct.</x:v>
      </x:c>
      <x:c r="O54" s="7" t="str">
        <x:v>https://www.ea.com/ea-play/news/gameplay-calibrations</x:v>
      </x:c>
      <x:c r="P54" s="7" t="str">
        <x:v>Production ME1</x:v>
      </x:c>
      <x:c r="Q54" s="7" t="str">
        <x:v>Les coiffures du portrait ne constituent pas des atlas animés redessinés pour chaque variante.</x:v>
      </x:c>
    </x:row>
    <x:row r="55" ht="53" customHeight="1">
      <x:c r="A55" s="36" t="str">
        <x:v>CUST-FACE-eyes</x:v>
      </x:c>
      <x:c r="B55" s="37" t="str">
        <x:v>Couleur des yeux</x:v>
      </x:c>
      <x:c r="C55" s="34" t="str">
        <x:v>Prototype</x:v>
      </x:c>
      <x:c r="D55" s="35" t="str">
        <x:v>Prototype</x:v>
      </x:c>
      <x:c r="E55" s="38" t="str">
        <x:v>P0</x:v>
      </x:c>
      <x:c r="F55" s="38" t="str">
        <x:v>ME1</x:v>
      </x:c>
      <x:c r="G55" s="38" t="str">
        <x:v>Adaptation</x:v>
      </x:c>
      <x:c r="H55" s="37" t="str">
        <x:v>Palette des yeux visible sur le portrait agrandi, enregistrée dans la configuration du commandant.</x:v>
      </x:c>
      <x:c r="I55" s="37" t="str">
        <x:v>La sélection reste vérifiable dans le portrait et dans la sauvegarde exportée sans modifier les statistiques de combat.</x:v>
      </x:c>
      <x:c r="J55" s="37" t="str">
        <x:v>CUST-UI-workshop</x:v>
      </x:c>
      <x:c r="K55" s="37" t="str">
        <x:v>src/customization.js</x:v>
      </x:c>
      <x:c r="L55" s="37" t="str">
        <x:v>src/customization.js</x:v>
      </x:c>
      <x:c r="M55" s="37" t="str">
        <x:v>customization:FACE-eyes</x:v>
      </x:c>
      <x:c r="N55" s="37" t="str">
        <x:v>Atelier de Relay Chronicles. Interface et réglages propres au fan game ; contrôle de fidélité distinct.</x:v>
      </x:c>
      <x:c r="O55" s="37" t="str">
        <x:v>https://www.ea.com/ea-play/news/gameplay-calibrations</x:v>
      </x:c>
      <x:c r="P55" s="37" t="str">
        <x:v>Production ME1</x:v>
      </x:c>
      <x:c r="Q55" s="37" t="str">
        <x:v>Implémentation de prototype. Les valeurs de combat restent celles de l’adaptation ATB.</x:v>
      </x:c>
    </x:row>
    <x:row r="56" ht="53" customHeight="1">
      <x:c r="A56" s="12" t="str">
        <x:v>CUST-SYS-identity</x:v>
      </x:c>
      <x:c r="B56" s="7" t="str">
        <x:v>Conservation du dossier de Shepard</x:v>
      </x:c>
      <x:c r="C56" s="34" t="str">
        <x:v>Prototype</x:v>
      </x:c>
      <x:c r="D56" s="35" t="str">
        <x:v>Prototype</x:v>
      </x:c>
      <x:c r="E56" s="9" t="str">
        <x:v>P0</x:v>
      </x:c>
      <x:c r="F56" s="9" t="str">
        <x:v>ME1</x:v>
      </x:c>
      <x:c r="G56" s="9" t="str">
        <x:v>Adaptation</x:v>
      </x:c>
      <x:c r="H56" s="7" t="str">
        <x:v>La retouche de l’apparence préserve l’origine, le profil psychologique, la classe et les décisions de campagne déjà enregistrées.</x:v>
      </x:c>
      <x:c r="I56" s="7" t="str">
        <x:v>Comparer le dossier, les quêtes, les crédits, l’XP et les drapeaux narratifs avant et après application d’une retouche.</x:v>
      </x:c>
      <x:c r="J56" s="7" t="str">
        <x:v>CUST-UI-workshop</x:v>
      </x:c>
      <x:c r="K56" s="7" t="str">
        <x:v>src/customization.js</x:v>
      </x:c>
      <x:c r="L56" s="7" t="str">
        <x:v>src/customization.js</x:v>
      </x:c>
      <x:c r="M56" s="7" t="str">
        <x:v>customization:SYS-identity</x:v>
      </x:c>
      <x:c r="N56" s="7" t="str">
        <x:v>Atelier de Relay Chronicles. Interface et réglages propres au fan game ; contrôle de fidélité distinct.</x:v>
      </x:c>
      <x:c r="O56" s="7" t="str"/>
      <x:c r="P56" s="7" t="str">
        <x:v>Production ME1</x:v>
      </x:c>
      <x:c r="Q56" s="7" t="str">
        <x:v>Implémentation de prototype. Les valeurs de combat restent celles de l’adaptation ATB.</x:v>
      </x:c>
    </x:row>
    <x:row r="57" ht="53" customHeight="1">
      <x:c r="A57" s="36" t="str">
        <x:v>CUST-SYS-draft</x:v>
      </x:c>
      <x:c r="B57" s="37" t="str">
        <x:v>Brouillon de personnalisation isolé</x:v>
      </x:c>
      <x:c r="C57" s="34" t="str">
        <x:v>Prototype</x:v>
      </x:c>
      <x:c r="D57" s="35" t="str">
        <x:v>Prototype</x:v>
      </x:c>
      <x:c r="E57" s="38" t="str">
        <x:v>P0</x:v>
      </x:c>
      <x:c r="F57" s="38" t="str">
        <x:v>ME1</x:v>
      </x:c>
      <x:c r="G57" s="38" t="str">
        <x:v>Adaptation</x:v>
      </x:c>
      <x:c r="H57" s="37" t="str">
        <x:v>Les changements sont rassemblés dans une copie de travail avant leur validation. Parcourir des options ne consomme aucun objet.</x:v>
      </x:c>
      <x:c r="I57" s="37" t="str">
        <x:v>Modifier chaque catégorie puis vérifier que l’état de campagne et son inventaire restent identiques à leur état initial.</x:v>
      </x:c>
      <x:c r="J57" s="37" t="str">
        <x:v>CUST-UI-workshop</x:v>
      </x:c>
      <x:c r="K57" s="37" t="str">
        <x:v>src/customization.js</x:v>
      </x:c>
      <x:c r="L57" s="37" t="str">
        <x:v>src/customization.js</x:v>
      </x:c>
      <x:c r="M57" s="37" t="str">
        <x:v>customization:SYS-draft</x:v>
      </x:c>
      <x:c r="N57" s="37" t="str">
        <x:v>Atelier de Relay Chronicles. Interface et réglages propres au fan game ; contrôle de fidélité distinct.</x:v>
      </x:c>
      <x:c r="O57" s="37" t="str"/>
      <x:c r="P57" s="37" t="str">
        <x:v>Production ME1</x:v>
      </x:c>
      <x:c r="Q57" s="37" t="str">
        <x:v>Implémentation de prototype. Les valeurs de combat restent celles de l’adaptation ATB.</x:v>
      </x:c>
    </x:row>
    <x:row r="58" ht="53" customHeight="1">
      <x:c r="A58" s="12" t="str">
        <x:v>CUST-SYS-atomic</x:v>
      </x:c>
      <x:c r="B58" s="7" t="str">
        <x:v>Application atomique du personnage et du matériel</x:v>
      </x:c>
      <x:c r="C58" s="34" t="str">
        <x:v>Prototype</x:v>
      </x:c>
      <x:c r="D58" s="35" t="str">
        <x:v>Prototype</x:v>
      </x:c>
      <x:c r="E58" s="9" t="str">
        <x:v>P0</x:v>
      </x:c>
      <x:c r="F58" s="9" t="str">
        <x:v>ME1</x:v>
      </x:c>
      <x:c r="G58" s="9" t="str">
        <x:v>Adaptation</x:v>
      </x:c>
      <x:c r="H58" s="7" t="str">
        <x:v>Le bouton Appliquer vérifie l’apparence et tous les emplacements de la dotation avant de remplacer l’état actif.</x:v>
      </x:c>
      <x:c r="I58" s="7" t="str">
        <x:v>Si une seule sélection échoue, aucune apparence ni pièce d’équipement n’est modifiée. Une application valide ne duplique aucun objet.</x:v>
      </x:c>
      <x:c r="J58" s="7" t="str">
        <x:v>CUST-UI-workshop</x:v>
      </x:c>
      <x:c r="K58" s="7" t="str">
        <x:v>src/customization.js</x:v>
      </x:c>
      <x:c r="L58" s="7" t="str">
        <x:v>src/customization.js</x:v>
      </x:c>
      <x:c r="M58" s="7" t="str">
        <x:v>customization:SYS-atomic</x:v>
      </x:c>
      <x:c r="N58" s="7" t="str">
        <x:v>Atelier de Relay Chronicles. Interface et réglages propres au fan game ; contrôle de fidélité distinct.</x:v>
      </x:c>
      <x:c r="O58" s="7" t="str"/>
      <x:c r="P58" s="7" t="str">
        <x:v>Production ME1</x:v>
      </x:c>
      <x:c r="Q58" s="7" t="str">
        <x:v>Implémentation de prototype. Les valeurs de combat restent celles de l’adaptation ATB.</x:v>
      </x:c>
    </x:row>
    <x:row r="59" ht="53" customHeight="1">
      <x:c r="A59" s="36" t="str">
        <x:v>CUST-SYS-cancel</x:v>
      </x:c>
      <x:c r="B59" s="37" t="str">
        <x:v>Annuler les retouches</x:v>
      </x:c>
      <x:c r="C59" s="34" t="str">
        <x:v>Prototype</x:v>
      </x:c>
      <x:c r="D59" s="35" t="str">
        <x:v>Prototype</x:v>
      </x:c>
      <x:c r="E59" s="38" t="str">
        <x:v>P0</x:v>
      </x:c>
      <x:c r="F59" s="38" t="str">
        <x:v>ME1</x:v>
      </x:c>
      <x:c r="G59" s="38" t="str">
        <x:v>Adaptation</x:v>
      </x:c>
      <x:c r="H59" s="37" t="str">
        <x:v>Annuler abandonne les modifications du brouillon et retrouve l’apparence et l’équipement effectivement sauvegardés.</x:v>
      </x:c>
      <x:c r="I59" s="37" t="str">
        <x:v>Modifier visage, armure et arme puis annuler. Comparer l’état complet à l’état précédant l’ouverture de l’atelier.</x:v>
      </x:c>
      <x:c r="J59" s="37" t="str">
        <x:v>CUST-UI-workshop</x:v>
      </x:c>
      <x:c r="K59" s="37" t="str">
        <x:v>src/customization-ui.js</x:v>
      </x:c>
      <x:c r="L59" s="37" t="str">
        <x:v>src/customization-ui.js</x:v>
      </x:c>
      <x:c r="M59" s="37" t="str">
        <x:v>customization:SYS-cancel</x:v>
      </x:c>
      <x:c r="N59" s="37" t="str">
        <x:v>Atelier de Relay Chronicles. Interface et réglages propres au fan game ; contrôle de fidélité distinct.</x:v>
      </x:c>
      <x:c r="O59" s="37" t="str"/>
      <x:c r="P59" s="37" t="str">
        <x:v>Production ME1</x:v>
      </x:c>
      <x:c r="Q59" s="37" t="str">
        <x:v>Implémentation de prototype. Les valeurs de combat restent celles de l’adaptation ATB.</x:v>
      </x:c>
    </x:row>
    <x:row r="60" ht="53" customHeight="1">
      <x:c r="A60" s="12" t="str">
        <x:v>CUST-SYS-reset</x:v>
      </x:c>
      <x:c r="B60" s="7" t="str">
        <x:v>Réinitialiser le brouillon</x:v>
      </x:c>
      <x:c r="C60" s="34" t="str">
        <x:v>Prototype</x:v>
      </x:c>
      <x:c r="D60" s="35" t="str">
        <x:v>Prototype</x:v>
      </x:c>
      <x:c r="E60" s="9" t="str">
        <x:v>P0</x:v>
      </x:c>
      <x:c r="F60" s="9" t="str">
        <x:v>ME1</x:v>
      </x:c>
      <x:c r="G60" s="9" t="str">
        <x:v>Adaptation</x:v>
      </x:c>
      <x:c r="H60" s="7" t="str">
        <x:v>Rétablir la configuration courante dans l’atelier afin de recommencer une comparaison sans réinitialiser la campagne.</x:v>
      </x:c>
      <x:c r="I60" s="7" t="str">
        <x:v>Après plusieurs changements, le brouillon réinitialisé correspond au personnage actif et n’affecte ni quête ni inventaire.</x:v>
      </x:c>
      <x:c r="J60" s="7" t="str">
        <x:v>CUST-UI-workshop</x:v>
      </x:c>
      <x:c r="K60" s="7" t="str">
        <x:v>src/customization-ui.js</x:v>
      </x:c>
      <x:c r="L60" s="7" t="str">
        <x:v>src/customization-ui.js</x:v>
      </x:c>
      <x:c r="M60" s="7" t="str">
        <x:v>customization:SYS-reset</x:v>
      </x:c>
      <x:c r="N60" s="7" t="str">
        <x:v>Atelier de Relay Chronicles. Interface et réglages propres au fan game ; contrôle de fidélité distinct.</x:v>
      </x:c>
      <x:c r="O60" s="7" t="str"/>
      <x:c r="P60" s="7" t="str">
        <x:v>Production ME1</x:v>
      </x:c>
      <x:c r="Q60" s="7" t="str">
        <x:v>Implémentation de prototype. Les valeurs de combat restent celles de l’adaptation ATB.</x:v>
      </x:c>
    </x:row>
    <x:row r="61" ht="53" customHeight="1">
      <x:c r="A61" s="36" t="str">
        <x:v>CUST-UI-comparison</x:v>
      </x:c>
      <x:c r="B61" s="37" t="str">
        <x:v>Comparaison des statistiques de dotation</x:v>
      </x:c>
      <x:c r="C61" s="34" t="str">
        <x:v>Prototype</x:v>
      </x:c>
      <x:c r="D61" s="35" t="str">
        <x:v>Prototype</x:v>
      </x:c>
      <x:c r="E61" s="38" t="str">
        <x:v>P0</x:v>
      </x:c>
      <x:c r="F61" s="38" t="str">
        <x:v>ME1</x:v>
      </x:c>
      <x:c r="G61" s="38" t="str">
        <x:v>Adaptation</x:v>
      </x:c>
      <x:c r="H61" s="37" t="str">
        <x:v>L’atelier présente les valeurs équipées et les valeurs projetées du brouillon : santé, bouclier, puissance, défense et effets des modules.</x:v>
      </x:c>
      <x:c r="I61" s="37" t="str">
        <x:v>Les différences affichées correspondent aux règles d’équipement existantes, y compris chaleur, refroidissement et bonus spécialisés.</x:v>
      </x:c>
      <x:c r="J61" s="37" t="str">
        <x:v>CUST-UI-workshop</x:v>
      </x:c>
      <x:c r="K61" s="37" t="str">
        <x:v>src/customization-ui.js</x:v>
      </x:c>
      <x:c r="L61" s="37" t="str">
        <x:v>src/customization-ui.js</x:v>
      </x:c>
      <x:c r="M61" s="37" t="str">
        <x:v>customization:UI-comparison</x:v>
      </x:c>
      <x:c r="N61" s="37" t="str">
        <x:v>Atelier de Relay Chronicles. Interface et réglages propres au fan game ; contrôle de fidélité distinct.</x:v>
      </x:c>
      <x:c r="O61" s="37" t="str"/>
      <x:c r="P61" s="37" t="str">
        <x:v>Production ME1</x:v>
      </x:c>
      <x:c r="Q61" s="37" t="str">
        <x:v>Implémentation de prototype. Les valeurs de combat restent celles de l’adaptation ATB.</x:v>
      </x:c>
    </x:row>
    <x:row r="62" ht="53" customHeight="1">
      <x:c r="A62" s="12" t="str">
        <x:v>CUST-SYS-persistence</x:v>
      </x:c>
      <x:c r="B62" s="7" t="str">
        <x:v>Persistance de la personnalisation</x:v>
      </x:c>
      <x:c r="C62" s="34" t="str">
        <x:v>Prototype</x:v>
      </x:c>
      <x:c r="D62" s="35" t="str">
        <x:v>Prototype</x:v>
      </x:c>
      <x:c r="E62" s="9" t="str">
        <x:v>P0</x:v>
      </x:c>
      <x:c r="F62" s="9" t="str">
        <x:v>ME1</x:v>
      </x:c>
      <x:c r="G62" s="9" t="str">
        <x:v>Adaptation</x:v>
      </x:c>
      <x:c r="H62" s="7" t="str">
        <x:v>L’apparence et la dotation validées sont incluses dans la sauvegarde automatique, les sauvegardes manuelles et les exports JSON.</x:v>
      </x:c>
      <x:c r="I62" s="7" t="str">
        <x:v>Après validation, recharger chaque type de sauvegarde et retrouver exactement la configuration sélectionnée.</x:v>
      </x:c>
      <x:c r="J62" s="7" t="str">
        <x:v>CUST-UI-workshop</x:v>
      </x:c>
      <x:c r="K62" s="7" t="str">
        <x:v>src/state.js</x:v>
      </x:c>
      <x:c r="L62" s="7" t="str">
        <x:v>src/state.js</x:v>
      </x:c>
      <x:c r="M62" s="7" t="str">
        <x:v>customization:SYS-persistence</x:v>
      </x:c>
      <x:c r="N62" s="7" t="str">
        <x:v>Atelier de Relay Chronicles. Interface et réglages propres au fan game ; contrôle de fidélité distinct.</x:v>
      </x:c>
      <x:c r="O62" s="7" t="str"/>
      <x:c r="P62" s="7" t="str">
        <x:v>Production ME1</x:v>
      </x:c>
      <x:c r="Q62" s="7" t="str">
        <x:v>Implémentation de prototype. Les valeurs de combat restent celles de l’adaptation ATB.</x:v>
      </x:c>
    </x:row>
    <x:row r="63" ht="53" customHeight="1">
      <x:c r="A63" s="36" t="str">
        <x:v>CUST-SYS-migration</x:v>
      </x:c>
      <x:c r="B63" s="37" t="str">
        <x:v>Migration des sauvegardes sans personnalisation</x:v>
      </x:c>
      <x:c r="C63" s="34" t="str">
        <x:v>Prototype</x:v>
      </x:c>
      <x:c r="D63" s="35" t="str">
        <x:v>Prototype</x:v>
      </x:c>
      <x:c r="E63" s="38" t="str">
        <x:v>P0</x:v>
      </x:c>
      <x:c r="F63" s="38" t="str">
        <x:v>ME1</x:v>
      </x:c>
      <x:c r="G63" s="38" t="str">
        <x:v>Adaptation</x:v>
      </x:c>
      <x:c r="H63" s="37" t="str">
        <x:v>Une sauvegarde antérieure dépourvue du nouveau champ reçoit une configuration par défaut compatible avec son apparence.</x:v>
      </x:c>
      <x:c r="I63" s="37" t="str">
        <x:v>Importer une sauvegarde 0.2.0 sans le champ puis sauvegarder à nouveau, en conservant progression, inventaire et identité.</x:v>
      </x:c>
      <x:c r="J63" s="37" t="str">
        <x:v>CUST-UI-workshop</x:v>
      </x:c>
      <x:c r="K63" s="37" t="str">
        <x:v>src/state.js</x:v>
      </x:c>
      <x:c r="L63" s="37" t="str">
        <x:v>src/state.js</x:v>
      </x:c>
      <x:c r="M63" s="37" t="str">
        <x:v>customization:SYS-migration</x:v>
      </x:c>
      <x:c r="N63" s="37" t="str">
        <x:v>Atelier de Relay Chronicles. Interface et réglages propres au fan game ; contrôle de fidélité distinct.</x:v>
      </x:c>
      <x:c r="O63" s="37" t="str"/>
      <x:c r="P63" s="37" t="str">
        <x:v>Production ME1</x:v>
      </x:c>
      <x:c r="Q63" s="37" t="str">
        <x:v>Implémentation de prototype. Les valeurs de combat restent celles de l’adaptation ATB.</x:v>
      </x:c>
    </x:row>
    <x:row r="64" ht="53" customHeight="1">
      <x:c r="A64" s="12" t="str">
        <x:v>CUST-SYS-validation</x:v>
      </x:c>
      <x:c r="B64" s="7" t="str">
        <x:v>Validation des données de personnalisation</x:v>
      </x:c>
      <x:c r="C64" s="34" t="str">
        <x:v>Prototype</x:v>
      </x:c>
      <x:c r="D64" s="35" t="str">
        <x:v>Prototype</x:v>
      </x:c>
      <x:c r="E64" s="9" t="str">
        <x:v>P0</x:v>
      </x:c>
      <x:c r="F64" s="9" t="str">
        <x:v>ME1</x:v>
      </x:c>
      <x:c r="G64" s="9" t="str">
        <x:v>Adaptation</x:v>
      </x:c>
      <x:c r="H64" s="7" t="str">
        <x:v>Le chargement contrôle la forme des données, leurs clés et les valeurs des palettes, préréglages et options de l’atelier.</x:v>
      </x:c>
      <x:c r="I64" s="7" t="str">
        <x:v>Refuser une version inconnue, un identifiant interdit ou une structure malformée. Ne pas exécuter de getter fourni par une entrée externe.</x:v>
      </x:c>
      <x:c r="J64" s="7" t="str">
        <x:v>CUST-UI-workshop</x:v>
      </x:c>
      <x:c r="K64" s="7" t="str">
        <x:v>src/customization.js</x:v>
      </x:c>
      <x:c r="L64" s="7" t="str">
        <x:v>src/customization.js</x:v>
      </x:c>
      <x:c r="M64" s="7" t="str">
        <x:v>customization:SYS-validation</x:v>
      </x:c>
      <x:c r="N64" s="7" t="str">
        <x:v>Atelier de Relay Chronicles. Interface et réglages propres au fan game ; contrôle de fidélité distinct.</x:v>
      </x:c>
      <x:c r="O64" s="7" t="str"/>
      <x:c r="P64" s="7" t="str">
        <x:v>Production ME1</x:v>
      </x:c>
      <x:c r="Q64" s="7" t="str">
        <x:v>Implémentation de prototype. Les valeurs de combat restent celles de l’adaptation ATB.</x:v>
      </x:c>
    </x:row>
    <x:row r="65" ht="53" customHeight="1">
      <x:c r="A65" s="36" t="str">
        <x:v>CUST-UI-responsive</x:v>
      </x:c>
      <x:c r="B65" s="37" t="str">
        <x:v>Atelier sur ordinateur et mobile</x:v>
      </x:c>
      <x:c r="C65" s="34" t="str">
        <x:v>Prototype</x:v>
      </x:c>
      <x:c r="D65" s="35" t="str">
        <x:v>Prototype</x:v>
      </x:c>
      <x:c r="E65" s="38" t="str">
        <x:v>P0</x:v>
      </x:c>
      <x:c r="F65" s="38" t="str">
        <x:v>ME1</x:v>
      </x:c>
      <x:c r="G65" s="38" t="str">
        <x:v>Adaptation</x:v>
      </x:c>
      <x:c r="H65" s="37" t="str">
        <x:v>L’aperçu et les options s’adaptent à la largeur disponible. Les libellés, statistiques et actions restent accessibles au défilement.</x:v>
      </x:c>
      <x:c r="I65" s="37" t="str">
        <x:v>Parcourir les trois onglets à largeur de bureau et de téléphone sans débordement horizontal ni bouton masqué.</x:v>
      </x:c>
      <x:c r="J65" s="37" t="str">
        <x:v>CUST-UI-workshop</x:v>
      </x:c>
      <x:c r="K65" s="37" t="str">
        <x:v>src/customization-ui.css</x:v>
      </x:c>
      <x:c r="L65" s="37" t="str">
        <x:v>src/customization-ui.css</x:v>
      </x:c>
      <x:c r="M65" s="37" t="str">
        <x:v>customization:UI-responsive</x:v>
      </x:c>
      <x:c r="N65" s="37" t="str">
        <x:v>Atelier de Relay Chronicles. Interface et réglages propres au fan game ; contrôle de fidélité distinct.</x:v>
      </x:c>
      <x:c r="O65" s="37" t="str"/>
      <x:c r="P65" s="37" t="str">
        <x:v>Production ME1</x:v>
      </x:c>
      <x:c r="Q65" s="37" t="str">
        <x:v>Implémentation de prototype. Les valeurs de combat restent celles de l’adaptation ATB.</x:v>
      </x:c>
    </x:row>
    <x:row r="66" ht="53" customHeight="1">
      <x:c r="A66" s="12" t="str">
        <x:v>CUST-UI-keyboard</x:v>
      </x:c>
      <x:c r="B66" s="7" t="str">
        <x:v>Navigation clavier de l’atelier</x:v>
      </x:c>
      <x:c r="C66" s="34" t="str">
        <x:v>Prototype</x:v>
      </x:c>
      <x:c r="D66" s="35" t="str">
        <x:v>Prototype</x:v>
      </x:c>
      <x:c r="E66" s="9" t="str">
        <x:v>P0</x:v>
      </x:c>
      <x:c r="F66" s="9" t="str">
        <x:v>ME1</x:v>
      </x:c>
      <x:c r="G66" s="9" t="str">
        <x:v>Adaptation</x:v>
      </x:c>
      <x:c r="H66" s="7" t="str">
        <x:v>Contrôles natifs nommés, focus visible et fermeture cohérente avec le reste des menus.</x:v>
      </x:c>
      <x:c r="I66" s="7" t="str">
        <x:v>Sélectionner des options et valider ou annuler au clavier. Échap n’applique aucune modification du brouillon.</x:v>
      </x:c>
      <x:c r="J66" s="7" t="str">
        <x:v>CUST-UI-workshop</x:v>
      </x:c>
      <x:c r="K66" s="7" t="str">
        <x:v>src/customization-ui.js</x:v>
      </x:c>
      <x:c r="L66" s="7" t="str">
        <x:v>src/customization-ui.js</x:v>
      </x:c>
      <x:c r="M66" s="7" t="str">
        <x:v>customization:UI-keyboard</x:v>
      </x:c>
      <x:c r="N66" s="7" t="str">
        <x:v>Atelier de Relay Chronicles. Interface et réglages propres au fan game ; contrôle de fidélité distinct.</x:v>
      </x:c>
      <x:c r="O66" s="7" t="str"/>
      <x:c r="P66" s="7" t="str">
        <x:v>Production ME1</x:v>
      </x:c>
      <x:c r="Q66" s="7" t="str">
        <x:v>Implémentation de prototype. Les valeurs de combat restent celles de l’adaptation ATB.</x:v>
      </x:c>
    </x:row>
  </x:sheetData>
  <x:conditionalFormatting sqref="C7:C46">
    <x:cfRule type="cellIs" dxfId="265" priority="1" operator="equal">
      <x:formula>"Prototype"</x:formula>
    </x:cfRule>
    <x:cfRule type="cellIs" dxfId="266" priority="2" operator="equal">
      <x:formula>"Intégré"</x:formula>
    </x:cfRule>
    <x:cfRule type="cellIs" dxfId="267" priority="3" operator="equal">
      <x:formula>"Validé"</x:formula>
    </x:cfRule>
  </x:conditionalFormatting>
  <x:conditionalFormatting sqref="G7:G46">
    <x:cfRule type="cellIs" dxfId="268" priority="4" operator="equal">
      <x:formula>"Référence à vérifier"</x:formula>
    </x:cfRule>
  </x:conditionalFormatting>
  <x:conditionalFormatting sqref="E7:E46">
    <x:cfRule type="cellIs" dxfId="269" priority="5" operator="equal">
      <x:formula>"P0"</x:formula>
    </x:cfRule>
  </x:conditionalFormatting>
  <x:conditionalFormatting sqref="C47:C66">
    <x:cfRule type="cellIs" dxfId="270" priority="6" operator="equal">
      <x:formula>"Prototype"</x:formula>
    </x:cfRule>
    <x:cfRule type="cellIs" dxfId="271" priority="7" operator="equal">
      <x:formula>"Intégré"</x:formula>
    </x:cfRule>
    <x:cfRule type="cellIs" dxfId="272" priority="8" operator="equal">
      <x:formula>"Validé"</x:formula>
    </x:cfRule>
  </x:conditionalFormatting>
  <x:conditionalFormatting sqref="G47:G66">
    <x:cfRule type="cellIs" dxfId="273" priority="9" operator="equal">
      <x:formula>"Référence à vérifier"</x:formula>
    </x:cfRule>
  </x:conditionalFormatting>
  <x:conditionalFormatting sqref="E47:E66">
    <x:cfRule type="cellIs" dxfId="274" priority="10" operator="equal">
      <x:formula>"P0"</x:formula>
    </x:cfRule>
  </x:conditionalFormatting>
  <x:dataValidations count="10">
    <x:dataValidation type="list" sqref="C7:C46">
      <x:formula1>"Défini,Prototype,Intégré,Validé"</x:formula1>
    </x:dataValidation>
    <x:dataValidation type="list" sqref="D7:D46">
      <x:formula1>"À produire,Prototype,Disponible,Validé,Sans objet,Non planifié"</x:formula1>
    </x:dataValidation>
    <x:dataValidation type="list" sqref="E7:E46">
      <x:formula1>"P0,P1,P2"</x:formula1>
    </x:dataValidation>
    <x:dataValidation type="list" sqref="F7:F46">
      <x:formula1>"ME1,ME2,ME3"</x:formula1>
    </x:dataValidation>
    <x:dataValidation type="list" sqref="G7:G46">
      <x:formula1>"Confirmé,Référence à vérifier,Adaptation"</x:formula1>
    </x:dataValidation>
    <x:dataValidation type="list" sqref="C47:C66">
      <x:formula1>"Défini,Prototype,Intégré,Validé"</x:formula1>
    </x:dataValidation>
    <x:dataValidation type="list" sqref="D47:D66">
      <x:formula1>"À produire,Prototype,Disponible,Validé,Sans objet,Non planifié"</x:formula1>
    </x:dataValidation>
    <x:dataValidation type="list" sqref="E47:E66">
      <x:formula1>"P0,P1,P2"</x:formula1>
    </x:dataValidation>
    <x:dataValidation type="list" sqref="F47:F66">
      <x:formula1>"ME1,ME2,ME3"</x:formula1>
    </x:dataValidation>
    <x:dataValidation type="list" sqref="G47:G66">
      <x:formula1>"Confirmé,Référence à vérifier,Adaptation"</x:formula1>
    </x:dataValidation>
  </x:dataValidations>
  <x:pageMargins left="0.7" right="0.7" top="0.75" bottom="0.75" header="0.3" footer="0.3"/>
  <x:tableParts count="1">
    <x:tablePart xmlns:r="http://schemas.openxmlformats.org/officeDocument/2006/relationships" r:id="R3da4a3a39c944477"/>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row r="59" ht="53" customHeight="1">
      <x:c r="A59" s="36" t="str">
        <x:v>CUST-QA-draft-pure</x:v>
      </x:c>
      <x:c r="B59" s="37" t="str">
        <x:v>QA — aperçu sans mutation</x:v>
      </x:c>
      <x:c r="C59" s="34" t="str">
        <x:v>Prototype</x:v>
      </x:c>
      <x:c r="D59" s="35" t="str">
        <x:v>Prototype</x:v>
      </x:c>
      <x:c r="E59" s="38" t="str">
        <x:v>P0</x:v>
      </x:c>
      <x:c r="F59" s="38" t="str">
        <x:v>ME1</x:v>
      </x:c>
      <x:c r="G59" s="38" t="str">
        <x:v>Adaptation</x:v>
      </x:c>
      <x:c r="H59" s="37" t="str">
        <x:v>Modifier toutes les catégories du brouillon et comparer l’état de campagne avant validation.</x:v>
      </x:c>
      <x:c r="I59" s="37" t="str">
        <x:v>L’état actif et les quantités restent strictement inchangés.</x:v>
      </x:c>
      <x:c r="J59" s="37" t="str">
        <x:v>CUST-SYS-draft</x:v>
      </x:c>
      <x:c r="K59" s="37" t="str">
        <x:v>tests/customization.test.js</x:v>
      </x:c>
      <x:c r="L59" s="37" t="str">
        <x:v>tests/customization.test.js</x:v>
      </x:c>
      <x:c r="M59" s="37" t="str">
        <x:v>customization:QA-draft-pure</x:v>
      </x:c>
      <x:c r="N59" s="37" t="str">
        <x:v>Atelier de Relay Chronicles. Interface et réglages propres au fan game ; contrôle de fidélité distinct.</x:v>
      </x:c>
      <x:c r="O59" s="37" t="str"/>
      <x:c r="P59" s="37" t="str">
        <x:v>Production ME1</x:v>
      </x:c>
      <x:c r="Q59" s="37" t="str">
        <x:v>Scénario à vérifier avec les rapports de la version 0.3.0. La présence du test ne suffit pas à déclarer la fonctionnalité terminée.</x:v>
      </x:c>
    </x:row>
    <x:row r="60" ht="53" customHeight="1">
      <x:c r="A60" s="12" t="str">
        <x:v>CUST-QA-cancel</x:v>
      </x:c>
      <x:c r="B60" s="7" t="str">
        <x:v>QA — annulation complète</x:v>
      </x:c>
      <x:c r="C60" s="34" t="str">
        <x:v>Prototype</x:v>
      </x:c>
      <x:c r="D60" s="35" t="str">
        <x:v>Prototype</x:v>
      </x:c>
      <x:c r="E60" s="9" t="str">
        <x:v>P0</x:v>
      </x:c>
      <x:c r="F60" s="9" t="str">
        <x:v>ME1</x:v>
      </x:c>
      <x:c r="G60" s="9" t="str">
        <x:v>Adaptation</x:v>
      </x:c>
      <x:c r="H60" s="7" t="str">
        <x:v>Modifier l’apparence, l’armure, l’arme et les modules puis annuler depuis l’atelier.</x:v>
      </x:c>
      <x:c r="I60" s="7" t="str">
        <x:v>La configuration antérieure reste affichée après fermeture et réouverture.</x:v>
      </x:c>
      <x:c r="J60" s="7" t="str">
        <x:v>CUST-SYS-cancel</x:v>
      </x:c>
      <x:c r="K60" s="7" t="str">
        <x:v>scripts/customization-browser.mjs</x:v>
      </x:c>
      <x:c r="L60" s="7" t="str">
        <x:v>scripts/customization-browser.mjs</x:v>
      </x:c>
      <x:c r="M60" s="7" t="str">
        <x:v>customization:QA-cancel</x:v>
      </x:c>
      <x:c r="N60" s="7" t="str">
        <x:v>Atelier de Relay Chronicles. Interface et réglages propres au fan game ; contrôle de fidélité distinct.</x:v>
      </x:c>
      <x:c r="O60" s="7" t="str"/>
      <x:c r="P60" s="7" t="str">
        <x:v>Production ME1</x:v>
      </x:c>
      <x:c r="Q60" s="7" t="str">
        <x:v>Scénario à vérifier avec les rapports de la version 0.3.0. La présence du test ne suffit pas à déclarer la fonctionnalité terminée.</x:v>
      </x:c>
    </x:row>
    <x:row r="61" ht="53" customHeight="1">
      <x:c r="A61" s="36" t="str">
        <x:v>CUST-QA-apply</x:v>
      </x:c>
      <x:c r="B61" s="37" t="str">
        <x:v>QA — validation d’une configuration</x:v>
      </x:c>
      <x:c r="C61" s="34" t="str">
        <x:v>Prototype</x:v>
      </x:c>
      <x:c r="D61" s="35" t="str">
        <x:v>Prototype</x:v>
      </x:c>
      <x:c r="E61" s="38" t="str">
        <x:v>P0</x:v>
      </x:c>
      <x:c r="F61" s="38" t="str">
        <x:v>ME1</x:v>
      </x:c>
      <x:c r="G61" s="38" t="str">
        <x:v>Adaptation</x:v>
      </x:c>
      <x:c r="H61" s="37" t="str">
        <x:v>Valider une configuration cohérente et relire l’acteur équipé.</x:v>
      </x:c>
      <x:c r="I61" s="37" t="str">
        <x:v>Toutes les modifications sont appliquées ensemble sans altérer crédits, quêtes ni XP.</x:v>
      </x:c>
      <x:c r="J61" s="37" t="str">
        <x:v>CUST-SYS-atomic</x:v>
      </x:c>
      <x:c r="K61" s="37" t="str">
        <x:v>tests/customization.test.js</x:v>
      </x:c>
      <x:c r="L61" s="37" t="str">
        <x:v>tests/customization.test.js</x:v>
      </x:c>
      <x:c r="M61" s="37" t="str">
        <x:v>customization:QA-apply</x:v>
      </x:c>
      <x:c r="N61" s="37" t="str">
        <x:v>Atelier de Relay Chronicles. Interface et réglages propres au fan game ; contrôle de fidélité distinct.</x:v>
      </x:c>
      <x:c r="O61" s="37" t="str"/>
      <x:c r="P61" s="37" t="str">
        <x:v>Production ME1</x:v>
      </x:c>
      <x:c r="Q61" s="37" t="str">
        <x:v>Scénario à vérifier avec les rapports de la version 0.3.0. La présence du test ne suffit pas à déclarer la fonctionnalité terminée.</x:v>
      </x:c>
    </x:row>
    <x:row r="62" ht="53" customHeight="1">
      <x:c r="A62" s="12" t="str">
        <x:v>CUST-QA-failure</x:v>
      </x:c>
      <x:c r="B62" s="7" t="str">
        <x:v>QA — échec atomique</x:v>
      </x:c>
      <x:c r="C62" s="34" t="str">
        <x:v>Prototype</x:v>
      </x:c>
      <x:c r="D62" s="35" t="str">
        <x:v>Prototype</x:v>
      </x:c>
      <x:c r="E62" s="9" t="str">
        <x:v>P0</x:v>
      </x:c>
      <x:c r="F62" s="9" t="str">
        <x:v>ME1</x:v>
      </x:c>
      <x:c r="G62" s="9" t="str">
        <x:v>Adaptation</x:v>
      </x:c>
      <x:c r="H62" s="7" t="str">
        <x:v>Ajouter une sélection incompatible ou devenue indisponible au brouillon.</x:v>
      </x:c>
      <x:c r="I62" s="7" t="str">
        <x:v>L’opération échoue sans modifier apparence, dotation ou inventaire.</x:v>
      </x:c>
      <x:c r="J62" s="7" t="str">
        <x:v>CUST-SYS-atomic</x:v>
      </x:c>
      <x:c r="K62" s="7" t="str">
        <x:v>tests/customization.test.js</x:v>
      </x:c>
      <x:c r="L62" s="7" t="str">
        <x:v>tests/customization.test.js</x:v>
      </x:c>
      <x:c r="M62" s="7" t="str">
        <x:v>customization:QA-failure</x:v>
      </x:c>
      <x:c r="N62" s="7" t="str">
        <x:v>Atelier de Relay Chronicles. Interface et réglages propres au fan game ; contrôle de fidélité distinct.</x:v>
      </x:c>
      <x:c r="O62" s="7" t="str"/>
      <x:c r="P62" s="7" t="str">
        <x:v>Production ME1</x:v>
      </x:c>
      <x:c r="Q62" s="7" t="str">
        <x:v>Scénario à vérifier avec les rapports de la version 0.3.0. La présence du test ne suffit pas à déclarer la fonctionnalité terminée.</x:v>
      </x:c>
    </x:row>
    <x:row r="63" ht="53" customHeight="1">
      <x:c r="A63" s="36" t="str">
        <x:v>CUST-QA-legacy</x:v>
      </x:c>
      <x:c r="B63" s="37" t="str">
        <x:v>QA — sauvegarde antérieure</x:v>
      </x:c>
      <x:c r="C63" s="34" t="str">
        <x:v>Prototype</x:v>
      </x:c>
      <x:c r="D63" s="35" t="str">
        <x:v>Prototype</x:v>
      </x:c>
      <x:c r="E63" s="38" t="str">
        <x:v>P0</x:v>
      </x:c>
      <x:c r="F63" s="38" t="str">
        <x:v>ME1</x:v>
      </x:c>
      <x:c r="G63" s="38" t="str">
        <x:v>Adaptation</x:v>
      </x:c>
      <x:c r="H63" s="37" t="str">
        <x:v>Charger une sauvegarde 0.2.0 dépourvue du champ de personnalisation.</x:v>
      </x:c>
      <x:c r="I63" s="37" t="str">
        <x:v>Les valeurs par défaut sont ajoutées et les données historiques restent intactes.</x:v>
      </x:c>
      <x:c r="J63" s="37" t="str">
        <x:v>CUST-SYS-migration</x:v>
      </x:c>
      <x:c r="K63" s="37" t="str">
        <x:v>tests/customization.test.js</x:v>
      </x:c>
      <x:c r="L63" s="37" t="str">
        <x:v>tests/customization.test.js</x:v>
      </x:c>
      <x:c r="M63" s="37" t="str">
        <x:v>customization:QA-legacy</x:v>
      </x:c>
      <x:c r="N63" s="37" t="str">
        <x:v>Atelier de Relay Chronicles. Interface et réglages propres au fan game ; contrôle de fidélité distinct.</x:v>
      </x:c>
      <x:c r="O63" s="37" t="str"/>
      <x:c r="P63" s="37" t="str">
        <x:v>Production ME1</x:v>
      </x:c>
      <x:c r="Q63" s="37" t="str">
        <x:v>Scénario à vérifier avec les rapports de la version 0.3.0. La présence du test ne suffit pas à déclarer la fonctionnalité terminée.</x:v>
      </x:c>
    </x:row>
    <x:row r="64" ht="53" customHeight="1">
      <x:c r="A64" s="12" t="str">
        <x:v>CUST-QA-malformed</x:v>
      </x:c>
      <x:c r="B64" s="7" t="str">
        <x:v>QA — données de personnalisation invalides</x:v>
      </x:c>
      <x:c r="C64" s="34" t="str">
        <x:v>Prototype</x:v>
      </x:c>
      <x:c r="D64" s="35" t="str">
        <x:v>Prototype</x:v>
      </x:c>
      <x:c r="E64" s="9" t="str">
        <x:v>P0</x:v>
      </x:c>
      <x:c r="F64" s="9" t="str">
        <x:v>ME1</x:v>
      </x:c>
      <x:c r="G64" s="9" t="str">
        <x:v>Adaptation</x:v>
      </x:c>
      <x:c r="H64" s="7" t="str">
        <x:v>Tester clés inconnues, palettes invalides, valeurs hors type et objets avec accesseurs.</x:v>
      </x:c>
      <x:c r="I64" s="7" t="str">
        <x:v>Chaque entrée non valide est refusée sans exécution de getter ni mutation partielle.</x:v>
      </x:c>
      <x:c r="J64" s="7" t="str">
        <x:v>CUST-SYS-validation</x:v>
      </x:c>
      <x:c r="K64" s="7" t="str">
        <x:v>tests/customization.test.js</x:v>
      </x:c>
      <x:c r="L64" s="7" t="str">
        <x:v>tests/customization.test.js</x:v>
      </x:c>
      <x:c r="M64" s="7" t="str">
        <x:v>customization:QA-malformed</x:v>
      </x:c>
      <x:c r="N64" s="7" t="str">
        <x:v>Atelier de Relay Chronicles. Interface et réglages propres au fan game ; contrôle de fidélité distinct.</x:v>
      </x:c>
      <x:c r="O64" s="7" t="str"/>
      <x:c r="P64" s="7" t="str">
        <x:v>Production ME1</x:v>
      </x:c>
      <x:c r="Q64" s="7" t="str">
        <x:v>Scénario à vérifier avec les rapports de la version 0.3.0. La présence du test ne suffit pas à déclarer la fonctionnalité terminée.</x:v>
      </x:c>
    </x:row>
    <x:row r="65" ht="53" customHeight="1">
      <x:c r="A65" s="36" t="str">
        <x:v>CUST-QA-roundtrip</x:v>
      </x:c>
      <x:c r="B65" s="37" t="str">
        <x:v>QA — sauvegarder et retrouver le personnage</x:v>
      </x:c>
      <x:c r="C65" s="34" t="str">
        <x:v>Prototype</x:v>
      </x:c>
      <x:c r="D65" s="35" t="str">
        <x:v>Prototype</x:v>
      </x:c>
      <x:c r="E65" s="38" t="str">
        <x:v>P0</x:v>
      </x:c>
      <x:c r="F65" s="38" t="str">
        <x:v>ME1</x:v>
      </x:c>
      <x:c r="G65" s="38" t="str">
        <x:v>Adaptation</x:v>
      </x:c>
      <x:c r="H65" s="37" t="str">
        <x:v>Enregistrer, exporter, recharger et importer une configuration personnalisée.</x:v>
      </x:c>
      <x:c r="I65" s="37" t="str">
        <x:v>L’apparence et les cinq emplacements de dotation retrouvés sont identiques aux choix validés.</x:v>
      </x:c>
      <x:c r="J65" s="37" t="str">
        <x:v>CUST-SYS-persistence</x:v>
      </x:c>
      <x:c r="K65" s="37" t="str">
        <x:v>scripts/customization-browser.mjs</x:v>
      </x:c>
      <x:c r="L65" s="37" t="str">
        <x:v>scripts/customization-browser.mjs</x:v>
      </x:c>
      <x:c r="M65" s="37" t="str">
        <x:v>customization:QA-roundtrip</x:v>
      </x:c>
      <x:c r="N65" s="37" t="str">
        <x:v>Atelier de Relay Chronicles. Interface et réglages propres au fan game ; contrôle de fidélité distinct.</x:v>
      </x:c>
      <x:c r="O65" s="37" t="str"/>
      <x:c r="P65" s="37" t="str">
        <x:v>Production ME1</x:v>
      </x:c>
      <x:c r="Q65" s="37" t="str">
        <x:v>Scénario à vérifier avec les rapports de la version 0.3.0. La présence du test ne suffit pas à déclarer la fonctionnalité terminée.</x:v>
      </x:c>
    </x:row>
    <x:row r="66" ht="53" customHeight="1">
      <x:c r="A66" s="12" t="str">
        <x:v>CUST-QA-ownership</x:v>
      </x:c>
      <x:c r="B66" s="7" t="str">
        <x:v>QA — propriété des objets</x:v>
      </x:c>
      <x:c r="C66" s="34" t="str">
        <x:v>Prototype</x:v>
      </x:c>
      <x:c r="D66" s="35" t="str">
        <x:v>Prototype</x:v>
      </x:c>
      <x:c r="E66" s="9" t="str">
        <x:v>P0</x:v>
      </x:c>
      <x:c r="F66" s="9" t="str">
        <x:v>ME1</x:v>
      </x:c>
      <x:c r="G66" s="9" t="str">
        <x:v>Adaptation</x:v>
      </x:c>
      <x:c r="H66" s="7" t="str">
        <x:v>Essayer un objet absent, incompatible ou déjà attribué à un autre équipier.</x:v>
      </x:c>
      <x:c r="I66" s="7" t="str">
        <x:v>Aucun objet ne se duplique et aucune attribution de l’autre équipier ne disparaît.</x:v>
      </x:c>
      <x:c r="J66" s="7" t="str">
        <x:v>CUST-ARMOR-compatibility</x:v>
      </x:c>
      <x:c r="K66" s="7" t="str">
        <x:v>tests/customization.test.js</x:v>
      </x:c>
      <x:c r="L66" s="7" t="str">
        <x:v>tests/customization.test.js</x:v>
      </x:c>
      <x:c r="M66" s="7" t="str">
        <x:v>customization:QA-ownership</x:v>
      </x:c>
      <x:c r="N66" s="7" t="str">
        <x:v>Atelier de Relay Chronicles. Interface et réglages propres au fan game ; contrôle de fidélité distinct.</x:v>
      </x:c>
      <x:c r="O66" s="7" t="str"/>
      <x:c r="P66" s="7" t="str">
        <x:v>Production ME1</x:v>
      </x:c>
      <x:c r="Q66" s="7" t="str">
        <x:v>Scénario à vérifier avec les rapports de la version 0.3.0. La présence du test ne suffit pas à déclarer la fonctionnalité terminée.</x:v>
      </x:c>
    </x:row>
    <x:row r="67" ht="53" customHeight="1">
      <x:c r="A67" s="36" t="str">
        <x:v>CUST-QA-stats</x:v>
      </x:c>
      <x:c r="B67" s="37" t="str">
        <x:v>QA — comparaison et calcul du combat</x:v>
      </x:c>
      <x:c r="C67" s="34" t="str">
        <x:v>Prototype</x:v>
      </x:c>
      <x:c r="D67" s="35" t="str">
        <x:v>Prototype</x:v>
      </x:c>
      <x:c r="E67" s="38" t="str">
        <x:v>P0</x:v>
      </x:c>
      <x:c r="F67" s="38" t="str">
        <x:v>ME1</x:v>
      </x:c>
      <x:c r="G67" s="38" t="str">
        <x:v>Adaptation</x:v>
      </x:c>
      <x:c r="H67" s="37" t="str">
        <x:v>Comparer la projection du brouillon au calcul d’acteur après application.</x:v>
      </x:c>
      <x:c r="I67" s="37" t="str">
        <x:v>Les différences numériques correspondent à la dotation et aux effets des modules.</x:v>
      </x:c>
      <x:c r="J67" s="37" t="str">
        <x:v>CUST-WEAPON-effects</x:v>
      </x:c>
      <x:c r="K67" s="37" t="str">
        <x:v>tests/customization.test.js</x:v>
      </x:c>
      <x:c r="L67" s="37" t="str">
        <x:v>tests/customization.test.js</x:v>
      </x:c>
      <x:c r="M67" s="37" t="str">
        <x:v>customization:QA-stats</x:v>
      </x:c>
      <x:c r="N67" s="37" t="str">
        <x:v>Atelier de Relay Chronicles. Interface et réglages propres au fan game ; contrôle de fidélité distinct.</x:v>
      </x:c>
      <x:c r="O67" s="37" t="str"/>
      <x:c r="P67" s="37" t="str">
        <x:v>Production ME1</x:v>
      </x:c>
      <x:c r="Q67" s="37" t="str">
        <x:v>Scénario à vérifier avec les rapports de la version 0.3.0. La présence du test ne suffit pas à déclarer la fonctionnalité terminée.</x:v>
      </x:c>
    </x:row>
    <x:row r="68" ht="53" customHeight="1">
      <x:c r="A68" s="12" t="str">
        <x:v>CUST-QA-layouts</x:v>
      </x:c>
      <x:c r="B68" s="7" t="str">
        <x:v>QA — lisibilité ordinateur et téléphone</x:v>
      </x:c>
      <x:c r="C68" s="34" t="str">
        <x:v>Prototype</x:v>
      </x:c>
      <x:c r="D68" s="35" t="str">
        <x:v>Prototype</x:v>
      </x:c>
      <x:c r="E68" s="9" t="str">
        <x:v>P0</x:v>
      </x:c>
      <x:c r="F68" s="9" t="str">
        <x:v>ME1</x:v>
      </x:c>
      <x:c r="G68" s="9" t="str">
        <x:v>Adaptation</x:v>
      </x:c>
      <x:c r="H68" s="7" t="str">
        <x:v>Parcourir les trois onglets avec de longs noms et plusieurs tailles de fenêtre.</x:v>
      </x:c>
      <x:c r="I68" s="7" t="str">
        <x:v>Aucun défilement horizontal involontaire, contrôle tronqué ou action inaccessible.</x:v>
      </x:c>
      <x:c r="J68" s="7" t="str">
        <x:v>CUST-UI-responsive</x:v>
      </x:c>
      <x:c r="K68" s="7" t="str">
        <x:v>scripts/customization-browser.mjs</x:v>
      </x:c>
      <x:c r="L68" s="7" t="str">
        <x:v>scripts/customization-browser.mjs</x:v>
      </x:c>
      <x:c r="M68" s="7" t="str">
        <x:v>customization:QA-layouts</x:v>
      </x:c>
      <x:c r="N68" s="7" t="str">
        <x:v>Atelier de Relay Chronicles. Interface et réglages propres au fan game ; contrôle de fidélité distinct.</x:v>
      </x:c>
      <x:c r="O68" s="7" t="str"/>
      <x:c r="P68" s="7" t="str">
        <x:v>Production ME1</x:v>
      </x:c>
      <x:c r="Q68" s="7" t="str">
        <x:v>Scénario à vérifier avec les rapports de la version 0.3.0. La présence du test ne suffit pas à déclarer la fonctionnalité terminée.</x:v>
      </x:c>
    </x:row>
    <x:row r="69" ht="53" customHeight="1">
      <x:c r="A69" s="36" t="str">
        <x:v>CUST-QA-keyboard</x:v>
      </x:c>
      <x:c r="B69" s="37" t="str">
        <x:v>QA — navigation clavier et fermeture</x:v>
      </x:c>
      <x:c r="C69" s="34" t="str">
        <x:v>Prototype</x:v>
      </x:c>
      <x:c r="D69" s="35" t="str">
        <x:v>Prototype</x:v>
      </x:c>
      <x:c r="E69" s="38" t="str">
        <x:v>P0</x:v>
      </x:c>
      <x:c r="F69" s="38" t="str">
        <x:v>ME1</x:v>
      </x:c>
      <x:c r="G69" s="38" t="str">
        <x:v>Adaptation</x:v>
      </x:c>
      <x:c r="H69" s="37" t="str">
        <x:v>Changer les contrôles au clavier, parcourir les onglets puis fermer sans appliquer.</x:v>
      </x:c>
      <x:c r="I69" s="37" t="str">
        <x:v>Le focus reste visible et Échap ne valide pas le brouillon.</x:v>
      </x:c>
      <x:c r="J69" s="37" t="str">
        <x:v>CUST-UI-keyboard</x:v>
      </x:c>
      <x:c r="K69" s="37" t="str">
        <x:v>scripts/customization-browser.mjs</x:v>
      </x:c>
      <x:c r="L69" s="37" t="str">
        <x:v>scripts/customization-browser.mjs</x:v>
      </x:c>
      <x:c r="M69" s="37" t="str">
        <x:v>customization:QA-keyboard</x:v>
      </x:c>
      <x:c r="N69" s="37" t="str">
        <x:v>Atelier de Relay Chronicles. Interface et réglages propres au fan game ; contrôle de fidélité distinct.</x:v>
      </x:c>
      <x:c r="O69" s="37" t="str"/>
      <x:c r="P69" s="37" t="str">
        <x:v>Production ME1</x:v>
      </x:c>
      <x:c r="Q69" s="37" t="str">
        <x:v>Scénario à vérifier avec les rapports de la version 0.3.0. La présence du test ne suffit pas à déclarer la fonctionnalité terminée.</x:v>
      </x:c>
    </x:row>
    <x:row r="70" ht="53" customHeight="1">
      <x:c r="A70" s="12" t="str">
        <x:v>CUST-QA-art-review</x:v>
      </x:c>
      <x:c r="B70" s="7" t="str">
        <x:v>QA — fidélité artistique de la personnalisation</x:v>
      </x:c>
      <x:c r="C70" s="34" t="str">
        <x:v>Défini</x:v>
      </x:c>
      <x:c r="D70" s="35" t="str">
        <x:v>À produire</x:v>
      </x:c>
      <x:c r="E70" s="9" t="str">
        <x:v>P1</x:v>
      </x:c>
      <x:c r="F70" s="9" t="str">
        <x:v>ME1</x:v>
      </x:c>
      <x:c r="G70" s="9" t="str">
        <x:v>Adaptation</x:v>
      </x:c>
      <x:c r="H70" s="7" t="str">
        <x:v>Comparer chaque silhouette, détail d’armure, arme et coiffure aux références de son opus.</x:v>
      </x:c>
      <x:c r="I70" s="7" t="str">
        <x:v>Documenter les différences et conserver le statut à produire jusqu’au contrôle des vues et animations.</x:v>
      </x:c>
      <x:c r="J70" s="7" t="str">
        <x:v>CUST-ART-faithful-variants</x:v>
      </x:c>
      <x:c r="K70" s="7" t="str">
        <x:v>docs/research/customization-art-review.md</x:v>
      </x:c>
      <x:c r="L70" s="7" t="str"/>
      <x:c r="M70" s="7" t="str">
        <x:v>customization:QA-art-review</x:v>
      </x:c>
      <x:c r="N70" s="7" t="str">
        <x:v>Atelier de Relay Chronicles. Interface et réglages propres au fan game ; contrôle de fidélité distinct.</x:v>
      </x:c>
      <x:c r="O70" s="7" t="str"/>
      <x:c r="P70" s="7" t="str">
        <x:v>Production ME1</x:v>
      </x:c>
      <x:c r="Q70" s="7" t="str">
        <x:v>Revue artistique non réalisée. Aucune certification de fidélité 1:1.</x:v>
      </x:c>
    </x:row>
  </x:sheetData>
  <x:conditionalFormatting sqref="C7:C58">
    <x:cfRule type="cellIs" dxfId="275" priority="1" operator="equal">
      <x:formula>"Prototype"</x:formula>
    </x:cfRule>
    <x:cfRule type="cellIs" dxfId="276" priority="2" operator="equal">
      <x:formula>"Intégré"</x:formula>
    </x:cfRule>
    <x:cfRule type="cellIs" dxfId="277" priority="3" operator="equal">
      <x:formula>"Validé"</x:formula>
    </x:cfRule>
  </x:conditionalFormatting>
  <x:conditionalFormatting sqref="G7:G58">
    <x:cfRule type="cellIs" dxfId="278" priority="4" operator="equal">
      <x:formula>"Référence à vérifier"</x:formula>
    </x:cfRule>
  </x:conditionalFormatting>
  <x:conditionalFormatting sqref="E7:E58">
    <x:cfRule type="cellIs" dxfId="279" priority="5" operator="equal">
      <x:formula>"P0"</x:formula>
    </x:cfRule>
  </x:conditionalFormatting>
  <x:conditionalFormatting sqref="C59:C70">
    <x:cfRule type="cellIs" dxfId="280" priority="6" operator="equal">
      <x:formula>"Prototype"</x:formula>
    </x:cfRule>
    <x:cfRule type="cellIs" dxfId="281" priority="7" operator="equal">
      <x:formula>"Intégré"</x:formula>
    </x:cfRule>
    <x:cfRule type="cellIs" dxfId="282" priority="8" operator="equal">
      <x:formula>"Validé"</x:formula>
    </x:cfRule>
  </x:conditionalFormatting>
  <x:conditionalFormatting sqref="G59:G70">
    <x:cfRule type="cellIs" dxfId="283" priority="9" operator="equal">
      <x:formula>"Référence à vérifier"</x:formula>
    </x:cfRule>
  </x:conditionalFormatting>
  <x:conditionalFormatting sqref="E59:E70">
    <x:cfRule type="cellIs" dxfId="284" priority="10" operator="equal">
      <x:formula>"P0"</x:formula>
    </x:cfRule>
  </x:conditionalFormatting>
  <x:dataValidations count="10">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 type="list" sqref="C59:C70">
      <x:formula1>"Défini,Prototype,Intégré,Validé"</x:formula1>
    </x:dataValidation>
    <x:dataValidation type="list" sqref="D59:D70">
      <x:formula1>"À produire,Prototype,Disponible,Validé,Sans objet,Non planifié"</x:formula1>
    </x:dataValidation>
    <x:dataValidation type="list" sqref="E59:E70">
      <x:formula1>"P0,P1,P2"</x:formula1>
    </x:dataValidation>
    <x:dataValidation type="list" sqref="F59:F70">
      <x:formula1>"ME1,ME2,ME3"</x:formula1>
    </x:dataValidation>
    <x:dataValidation type="list" sqref="G59:G70">
      <x:formula1>"Confirmé,Référence à vérifier,Adaptation"</x:formula1>
    </x:dataValidation>
  </x:dataValidations>
  <x:pageMargins left="0.7" right="0.7" top="0.75" bottom="0.75" header="0.3" footer="0.3"/>
  <x:tableParts count="1">
    <x:tablePart xmlns:r="http://schemas.openxmlformats.org/officeDocument/2006/relationships" r:id="R3a02000801f5401e"/>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285" priority="1" operator="equal">
      <x:formula>"Prototype"</x:formula>
    </x:cfRule>
    <x:cfRule type="cellIs" dxfId="286" priority="2" operator="equal">
      <x:formula>"Intégré"</x:formula>
    </x:cfRule>
    <x:cfRule type="cellIs" dxfId="287" priority="3" operator="equal">
      <x:formula>"Validé"</x:formula>
    </x:cfRule>
  </x:conditionalFormatting>
  <x:conditionalFormatting sqref="G7:G63">
    <x:cfRule type="cellIs" dxfId="288" priority="4" operator="equal">
      <x:formula>"Référence à vérifier"</x:formula>
    </x:cfRule>
  </x:conditionalFormatting>
  <x:conditionalFormatting sqref="E7:E63">
    <x:cfRule type="cellIs" dxfId="28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86f26913cf74493e"/>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42" customHeight="1">
      <x:c r="A30" s="7" t="str">
        <x:v>ME1-MANUAL</x:v>
      </x:c>
      <x:c r="B30" s="7" t="str">
        <x:v>Manuel officiel Mass Effect PC FR</x:v>
      </x:c>
      <x:c r="C30" s="7" t="str">
        <x:v>Classes, interface, équipement et pouvoirs ME1</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42" customHeight="1">
      <x:c r="A32" s="7" t="str">
        <x:v>EA-GAMEPLAY</x:v>
      </x:c>
      <x:c r="B32" s="7" t="str">
        <x:v>EA Gameplay Calibrations</x:v>
      </x:c>
      <x:c r="C32" s="7" t="str">
        <x:v>Différences original / Legendary Edition</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42" customHeight="1">
      <x:c r="A37" s="7" t="str">
        <x:v>PRIMA-PROLOGUE</x:v>
      </x:c>
      <x:c r="B37" s="7" t="str">
        <x:v>Guide officiel Prima, prologue</x:v>
      </x:c>
      <x:c r="C37" s="7" t="str">
        <x:v>Prologue ME1, extraits indexés ; PDF complet à contrôler</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53" customHeight="1">
      <x:c r="A69" s="7" t="str">
        <x:v>ME1-CUSTOMIZATION-MANUAL</x:v>
      </x:c>
      <x:c r="B69" s="7" t="str">
        <x:v>Mass Effect — manuel Xbox 360 officiel</x:v>
      </x:c>
      <x:c r="C69" s="7" t="str">
        <x:v>Pages imprimées 5–7 et 18–19. Création de Shepard, armures complètes et améliorations spécialisées.</x:v>
      </x:c>
      <x:c r="D69" s="7" t="str">
        <x:v>https://eaassets-a.akamaihd.net/eahelp/manuals/mass-effect-manuals_Microsoft%20XBOX360_en_US.pdf</x:v>
      </x:c>
    </x:row>
    <x:row r="70" ht="53" customHeight="1">
      <x:c r="A70" s="7" t="str">
        <x:v>ME3-CUSTOMIZATION-MANUAL</x:v>
      </x:c>
      <x:c r="B70" s="7" t="str">
        <x:v>Mass Effect 3 — manuel PC officiel</x:v>
      </x:c>
      <x:c r="C70" s="7" t="str">
        <x:v>Pages 12–13. Pièces d’armure, deux mods par arme, charge et recharge. Référence des différences entre opus.</x:v>
      </x:c>
      <x:c r="D70" s="7" t="str">
        <x:v>https://eaassets-a.akamaihd.net/eahelp/manuals/mass-effect-3-manuals_PC.pdf</x:v>
      </x:c>
    </x:row>
    <x:row r="71" ht="53" customHeight="1">
      <x:c r="A71" s="7" t="str">
        <x:v>MEA-CUSTOMIZATION-MANUAL</x:v>
      </x:c>
      <x:c r="B71" s="7" t="str">
        <x:v>Mass Effect Andromeda — manuel PC officiel</x:v>
      </x:c>
      <x:c r="C71" s="7" t="str">
        <x:v>Pages 6 et 15–18. Créateur, recherche, développement, augmentations et équipement. Référence future.</x:v>
      </x:c>
      <x:c r="D71" s="7" t="str">
        <x:v>https://eaassets-a.akamaihd.net/eahelp/manuals/mass-effect-andromeda-pc-en.pdf</x:v>
      </x:c>
    </x:row>
    <x:row r="72" ht="53" customHeight="1">
      <x:c r="A72" s="7" t="str">
        <x:v>MEA-PATCH108</x:v>
      </x:c>
      <x:c r="B72" s="7" t="str">
        <x:v>BioWare — Mass Effect Andromeda Patch 1.08</x:v>
      </x:c>
      <x:c r="C72" s="7" t="str">
        <x:v>Modification d’apparence à bord du Tempest. Ne décrit pas une fonctionnalité native de ME1.</x:v>
      </x:c>
      <x:c r="D72" s="7" t="str">
        <x:v>https://blog.bioware.com/2017/06/06/mass-effect-andromeda-patch-1-08-notes/</x:v>
      </x:c>
    </x:row>
    <x:row r="73" ht="42" customHeight="1">
      <x:c r="A73"/>
      <x:c r="B73"/>
      <x:c r="C73"/>
      <x:c r="D73"/>
    </x:row>
    <x:row r="74" ht="42" customHeight="1">
      <x:c r="A74"/>
      <x:c r="B74"/>
      <x:c r="C74"/>
      <x:c r="D74"/>
    </x:row>
    <x:row r="75" ht="68" customHeight="1">
      <x:c r="A75" s="7" t="str">
        <x:v>Périmètre</x:v>
      </x:c>
      <x:c r="B75" s="7" t="str">
        <x:v>Plan de couverture du premier Mass Effect avec extensions ME2 et ME3 séparées. Le prototype jouable condense les lieux et ne constitue pas une reproduction complète.</x:v>
      </x:c>
      <x:c r="C75" s="7"/>
      <x:c r="D75" s="7"/>
    </x:row>
    <x:row r="76" ht="68" customHeight="1">
      <x:c r="A76" s="7" t="str">
        <x:v>Fidélité</x:v>
      </x:c>
      <x:c r="B76" s="7" t="str">
        <x:v>Aucun asset ni aucune mission n’est déclaré fidèle 1:1 ou terminé sans contrôle explicite.</x:v>
      </x:c>
      <x:c r="C76" s="7"/>
      <x:c r="D76" s="7"/>
    </x:row>
    <x:row r="77" ht="42" customHeight="1">
      <x:c r="A77" s="7" t="str">
        <x:v>Version</x:v>
      </x:c>
      <x:c r="B77" s="7" t="str">
        <x:v>0.3.0</x:v>
      </x:c>
      <x:c r="C77" s="7"/>
      <x:c r="D77" s="7"/>
    </x:row>
    <x:row r="78" ht="42" customHeight="1">
      <x:c r="A78" s="7" t="str">
        <x:v>Date de référence</x:v>
      </x:c>
      <x:c r="B78" s="32" t="d">
        <x:v>2026-10-23T12:00:00.000Z</x:v>
      </x:c>
      <x:c r="C78" s="7"/>
      <x:c r="D78" s="7"/>
    </x:row>
  </x:sheetData>
  <x:pageMargins left="0.7" right="0.7" top="0.75" bottom="0.75" header="0.3" footer="0.3"/>
</x:worksheet>
</file>