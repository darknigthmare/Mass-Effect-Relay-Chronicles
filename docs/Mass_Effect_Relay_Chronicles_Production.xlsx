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1cfc7e0471f4a0e" /></Relationships>
</file>

<file path=xl/workbook.xml><?xml version="1.0" encoding="utf-8"?>
<x:workbook xmlns:x="http://schemas.openxmlformats.org/spreadsheetml/2006/main">
  <x:sheets>
    <x:sheet xmlns:r="http://schemas.openxmlformats.org/officeDocument/2006/relationships" name="Dashboard" sheetId="1" r:id="Rcb6d1b021d494454"/>
    <x:sheet xmlns:r="http://schemas.openxmlformats.org/officeDocument/2006/relationships" name="Personnages" sheetId="2" r:id="R328f39018e734e98"/>
    <x:sheet xmlns:r="http://schemas.openxmlformats.org/officeDocument/2006/relationships" name="PNJ" sheetId="3" r:id="Re21c0b7c28854566"/>
    <x:sheet xmlns:r="http://schemas.openxmlformats.org/officeDocument/2006/relationships" name="Especes_factions" sheetId="4" r:id="R9b7b042132204691"/>
    <x:sheet xmlns:r="http://schemas.openxmlformats.org/officeDocument/2006/relationships" name="Mondes" sheetId="5" r:id="R3bdb5a30db524607"/>
    <x:sheet xmlns:r="http://schemas.openxmlformats.org/officeDocument/2006/relationships" name="Zones" sheetId="6" r:id="R0c40fe65070d4aa4"/>
    <x:sheet xmlns:r="http://schemas.openxmlformats.org/officeDocument/2006/relationships" name="Liaisons" sheetId="7" r:id="R282647e3cfd146a9"/>
    <x:sheet xmlns:r="http://schemas.openxmlformats.org/officeDocument/2006/relationships" name="Decors" sheetId="8" r:id="Ra17fa624f42840de"/>
    <x:sheet xmlns:r="http://schemas.openxmlformats.org/officeDocument/2006/relationships" name="Props" sheetId="9" r:id="Re413ea718bc340fa"/>
    <x:sheet xmlns:r="http://schemas.openxmlformats.org/officeDocument/2006/relationships" name="Ennemis_boss" sheetId="10" r:id="Rf9bb150dcd944b22"/>
    <x:sheet xmlns:r="http://schemas.openxmlformats.org/officeDocument/2006/relationships" name="Missions" sheetId="11" r:id="R201760994e5e49e2"/>
    <x:sheet xmlns:r="http://schemas.openxmlformats.org/officeDocument/2006/relationships" name="Secondaires_DLC" sheetId="12" r:id="Radce327d90904246"/>
    <x:sheet xmlns:r="http://schemas.openxmlformats.org/officeDocument/2006/relationships" name="Choix_relations" sheetId="13" r:id="R0b6de206c16946e0"/>
    <x:sheet xmlns:r="http://schemas.openxmlformats.org/officeDocument/2006/relationships" name="Dialogues" sheetId="14" r:id="Rb6a203b32b8347fc"/>
    <x:sheet xmlns:r="http://schemas.openxmlformats.org/officeDocument/2006/relationships" name="Cinematiques" sheetId="15" r:id="R96f3f5501432489d"/>
    <x:sheet xmlns:r="http://schemas.openxmlformats.org/officeDocument/2006/relationships" name="Armes" sheetId="16" r:id="R3525bd657a244dd4"/>
    <x:sheet xmlns:r="http://schemas.openxmlformats.org/officeDocument/2006/relationships" name="Armures_equipement" sheetId="17" r:id="R801c9bd9e17c4390"/>
    <x:sheet xmlns:r="http://schemas.openxmlformats.org/officeDocument/2006/relationships" name="Pouvoirs" sheetId="18" r:id="R3ff3ef7f7657459a"/>
    <x:sheet xmlns:r="http://schemas.openxmlformats.org/officeDocument/2006/relationships" name="Movesets_allies" sheetId="19" r:id="R7c19e951149f44e4"/>
    <x:sheet xmlns:r="http://schemas.openxmlformats.org/officeDocument/2006/relationships" name="Movesets_ennemis" sheetId="20" r:id="Rc8b9ed5690f34ded"/>
    <x:sheet xmlns:r="http://schemas.openxmlformats.org/officeDocument/2006/relationships" name="Animations" sheetId="21" r:id="R89845598253349be"/>
    <x:sheet xmlns:r="http://schemas.openxmlformats.org/officeDocument/2006/relationships" name="Sprites" sheetId="22" r:id="R10c1c21f979e43d2"/>
    <x:sheet xmlns:r="http://schemas.openxmlformats.org/officeDocument/2006/relationships" name="VFX" sheetId="23" r:id="R4243d069682b4257"/>
    <x:sheet xmlns:r="http://schemas.openxmlformats.org/officeDocument/2006/relationships" name="Audio" sheetId="24" r:id="Rac3b11b4b7644821"/>
    <x:sheet xmlns:r="http://schemas.openxmlformats.org/officeDocument/2006/relationships" name="UI_systemes" sheetId="25" r:id="Rfce2ac7eacc742a3"/>
    <x:sheet xmlns:r="http://schemas.openxmlformats.org/officeDocument/2006/relationships" name="QA" sheetId="26" r:id="R5da032d9f67a441c"/>
    <x:sheet xmlns:r="http://schemas.openxmlformats.org/officeDocument/2006/relationships" name="Trilogie" sheetId="27" r:id="Rc88c8ab74b0a46c1"/>
    <x:sheet xmlns:r="http://schemas.openxmlformats.org/officeDocument/2006/relationships" name="Guide" sheetId="28" r:id="Rd66a87c2a72a4ce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7">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cellXfs>
  <x:cellStyles count="1">
    <x:cellStyle name="Normal" xfId="0"/>
  </x:cellStyles>
  <x:dxfs count="130">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425f1ff88c3a4df6" /><Relationship Type="http://schemas.openxmlformats.org/officeDocument/2006/relationships/theme" Target="/xl/theme/theme1.xml" Id="R1fc80ed40dca4d05" /><Relationship Type="http://schemas.openxmlformats.org/officeDocument/2006/relationships/sharedStrings" Target="/xl/sharedStrings.xml" Id="R390331043021456d" /><Relationship Type="http://schemas.openxmlformats.org/officeDocument/2006/relationships/worksheet" Target="/xl/worksheets/sheet1.xml" Id="Rcb6d1b021d494454" /><Relationship Type="http://schemas.openxmlformats.org/officeDocument/2006/relationships/worksheet" Target="/xl/worksheets/sheet2.xml" Id="R328f39018e734e98" /><Relationship Type="http://schemas.openxmlformats.org/officeDocument/2006/relationships/worksheet" Target="/xl/worksheets/sheet3.xml" Id="Re21c0b7c28854566" /><Relationship Type="http://schemas.openxmlformats.org/officeDocument/2006/relationships/worksheet" Target="/xl/worksheets/sheet4.xml" Id="R9b7b042132204691" /><Relationship Type="http://schemas.openxmlformats.org/officeDocument/2006/relationships/worksheet" Target="/xl/worksheets/sheet5.xml" Id="R3bdb5a30db524607" /><Relationship Type="http://schemas.openxmlformats.org/officeDocument/2006/relationships/worksheet" Target="/xl/worksheets/sheet6.xml" Id="R0c40fe65070d4aa4" /><Relationship Type="http://schemas.openxmlformats.org/officeDocument/2006/relationships/worksheet" Target="/xl/worksheets/sheet7.xml" Id="R282647e3cfd146a9" /><Relationship Type="http://schemas.openxmlformats.org/officeDocument/2006/relationships/worksheet" Target="/xl/worksheets/sheet8.xml" Id="Ra17fa624f42840de" /><Relationship Type="http://schemas.openxmlformats.org/officeDocument/2006/relationships/worksheet" Target="/xl/worksheets/sheet9.xml" Id="Re413ea718bc340fa" /><Relationship Type="http://schemas.openxmlformats.org/officeDocument/2006/relationships/worksheet" Target="/xl/worksheets/sheet10.xml" Id="Rf9bb150dcd944b22" /><Relationship Type="http://schemas.openxmlformats.org/officeDocument/2006/relationships/worksheet" Target="/xl/worksheets/sheet11.xml" Id="R201760994e5e49e2" /><Relationship Type="http://schemas.openxmlformats.org/officeDocument/2006/relationships/worksheet" Target="/xl/worksheets/sheet12.xml" Id="Radce327d90904246" /><Relationship Type="http://schemas.openxmlformats.org/officeDocument/2006/relationships/worksheet" Target="/xl/worksheets/sheet13.xml" Id="R0b6de206c16946e0" /><Relationship Type="http://schemas.openxmlformats.org/officeDocument/2006/relationships/worksheet" Target="/xl/worksheets/sheet14.xml" Id="Rb6a203b32b8347fc" /><Relationship Type="http://schemas.openxmlformats.org/officeDocument/2006/relationships/worksheet" Target="/xl/worksheets/sheet15.xml" Id="R96f3f5501432489d" /><Relationship Type="http://schemas.openxmlformats.org/officeDocument/2006/relationships/worksheet" Target="/xl/worksheets/sheet16.xml" Id="R3525bd657a244dd4" /><Relationship Type="http://schemas.openxmlformats.org/officeDocument/2006/relationships/worksheet" Target="/xl/worksheets/sheet17.xml" Id="R801c9bd9e17c4390" /><Relationship Type="http://schemas.openxmlformats.org/officeDocument/2006/relationships/worksheet" Target="/xl/worksheets/sheet18.xml" Id="R3ff3ef7f7657459a" /><Relationship Type="http://schemas.openxmlformats.org/officeDocument/2006/relationships/worksheet" Target="/xl/worksheets/sheet19.xml" Id="R7c19e951149f44e4" /><Relationship Type="http://schemas.openxmlformats.org/officeDocument/2006/relationships/worksheet" Target="/xl/worksheets/sheet20.xml" Id="Rc8b9ed5690f34ded" /><Relationship Type="http://schemas.openxmlformats.org/officeDocument/2006/relationships/worksheet" Target="/xl/worksheets/sheet21.xml" Id="R89845598253349be" /><Relationship Type="http://schemas.openxmlformats.org/officeDocument/2006/relationships/worksheet" Target="/xl/worksheets/sheet22.xml" Id="R10c1c21f979e43d2" /><Relationship Type="http://schemas.openxmlformats.org/officeDocument/2006/relationships/worksheet" Target="/xl/worksheets/sheet23.xml" Id="R4243d069682b4257" /><Relationship Type="http://schemas.openxmlformats.org/officeDocument/2006/relationships/worksheet" Target="/xl/worksheets/sheet24.xml" Id="Rac3b11b4b7644821" /><Relationship Type="http://schemas.openxmlformats.org/officeDocument/2006/relationships/worksheet" Target="/xl/worksheets/sheet25.xml" Id="Rfce2ac7eacc742a3" /><Relationship Type="http://schemas.openxmlformats.org/officeDocument/2006/relationships/worksheet" Target="/xl/worksheets/sheet26.xml" Id="R5da032d9f67a441c" /><Relationship Type="http://schemas.openxmlformats.org/officeDocument/2006/relationships/worksheet" Target="/xl/worksheets/sheet27.xml" Id="Rc88c8ab74b0a46c1" /><Relationship Type="http://schemas.openxmlformats.org/officeDocument/2006/relationships/worksheet" Target="/xl/worksheets/sheet28.xml" Id="Rd66a87c2a72a4ce0"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5" headerRowCount="1" totalsRowCount="0" totalsRowShown="0">
  <x:autoFilter ref="A6:Q45"/>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114" headerRowCount="1" totalsRowCount="0" totalsRowShown="0">
  <x:autoFilter ref="A6:Q1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50" headerRowCount="1" totalsRowCount="0" totalsRowShown="0">
  <x:autoFilter ref="A6:Q5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60" headerRowCount="1" totalsRowCount="0" totalsRowShown="0">
  <x:autoFilter ref="A6:Q6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66" headerRowCount="1" totalsRowCount="0" totalsRowShown="0">
  <x:autoFilter ref="A6:Q6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3" headerRowCount="1" totalsRowCount="0" totalsRowShown="0">
  <x:autoFilter ref="A6:Q8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46" headerRowCount="1" totalsRowCount="0" totalsRowShown="0">
  <x:autoFilter ref="A6:Q4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6603eeb28194ea2" /></Relationships>
</file>

<file path=xl/worksheets/_rels/sheet3.xml.rels>&#65279;<?xml version="1.0" encoding="utf-8"?><Relationships xmlns="http://schemas.openxmlformats.org/package/2006/relationships"><Relationship Type="http://schemas.openxmlformats.org/officeDocument/2006/relationships/table" Target="/xl/tables/table2.xml" Id="R201c77e228574461" /></Relationships>
</file>

<file path=xl/worksheets/_rels/sheet4.xml.rels>&#65279;<?xml version="1.0" encoding="utf-8"?><Relationships xmlns="http://schemas.openxmlformats.org/package/2006/relationships"><Relationship Type="http://schemas.openxmlformats.org/officeDocument/2006/relationships/table" Target="/xl/tables/table3.xml" Id="Rb6e1d035bb5a45de" /></Relationships>
</file>

<file path=xl/worksheets/_rels/sheet5.xml.rels>&#65279;<?xml version="1.0" encoding="utf-8"?><Relationships xmlns="http://schemas.openxmlformats.org/package/2006/relationships"><Relationship Type="http://schemas.openxmlformats.org/officeDocument/2006/relationships/table" Target="/xl/tables/table4.xml" Id="R261852dedc4a45dc" /></Relationships>
</file>

<file path=xl/worksheets/_rels/sheet6.xml.rels>&#65279;<?xml version="1.0" encoding="utf-8"?><Relationships xmlns="http://schemas.openxmlformats.org/package/2006/relationships"><Relationship Type="http://schemas.openxmlformats.org/officeDocument/2006/relationships/table" Target="/xl/tables/table5.xml" Id="R792eb94446e644fb" /></Relationships>
</file>

<file path=xl/worksheets/_rels/sheet7.xml.rels>&#65279;<?xml version="1.0" encoding="utf-8"?><Relationships xmlns="http://schemas.openxmlformats.org/package/2006/relationships"><Relationship Type="http://schemas.openxmlformats.org/officeDocument/2006/relationships/table" Target="/xl/tables/table6.xml" Id="Rc5be439f930249ad" /></Relationships>
</file>

<file path=xl/worksheets/_rels/sheet8.xml.rels>&#65279;<?xml version="1.0" encoding="utf-8"?><Relationships xmlns="http://schemas.openxmlformats.org/package/2006/relationships"><Relationship Type="http://schemas.openxmlformats.org/officeDocument/2006/relationships/table" Target="/xl/tables/table7.xml" Id="Ra324b1a5aeaa4eac" /></Relationships>
</file>

<file path=xl/worksheets/_rels/sheet9.xml.rels>&#65279;<?xml version="1.0" encoding="utf-8"?><Relationships xmlns="http://schemas.openxmlformats.org/package/2006/relationships"><Relationship Type="http://schemas.openxmlformats.org/officeDocument/2006/relationships/table" Target="/xl/tables/table8.xml" Id="R9fe4788bd2b44d96" /></Relationships>
</file>

<file path=xl/worksheets/_rels/sheet10.xml.rels>&#65279;<?xml version="1.0" encoding="utf-8"?><Relationships xmlns="http://schemas.openxmlformats.org/package/2006/relationships"><Relationship Type="http://schemas.openxmlformats.org/officeDocument/2006/relationships/table" Target="/xl/tables/table9.xml" Id="Rc6d2c9d446d04709" /></Relationships>
</file>

<file path=xl/worksheets/_rels/sheet11.xml.rels>&#65279;<?xml version="1.0" encoding="utf-8"?><Relationships xmlns="http://schemas.openxmlformats.org/package/2006/relationships"><Relationship Type="http://schemas.openxmlformats.org/officeDocument/2006/relationships/table" Target="/xl/tables/table10.xml" Id="R341888602d314fc1" /></Relationships>
</file>

<file path=xl/worksheets/_rels/sheet12.xml.rels>&#65279;<?xml version="1.0" encoding="utf-8"?><Relationships xmlns="http://schemas.openxmlformats.org/package/2006/relationships"><Relationship Type="http://schemas.openxmlformats.org/officeDocument/2006/relationships/table" Target="/xl/tables/table11.xml" Id="R12e1ad5689c54889" /></Relationships>
</file>

<file path=xl/worksheets/_rels/sheet13.xml.rels>&#65279;<?xml version="1.0" encoding="utf-8"?><Relationships xmlns="http://schemas.openxmlformats.org/package/2006/relationships"><Relationship Type="http://schemas.openxmlformats.org/officeDocument/2006/relationships/table" Target="/xl/tables/table12.xml" Id="Rfaec8f7d4f724679" /></Relationships>
</file>

<file path=xl/worksheets/_rels/sheet14.xml.rels>&#65279;<?xml version="1.0" encoding="utf-8"?><Relationships xmlns="http://schemas.openxmlformats.org/package/2006/relationships"><Relationship Type="http://schemas.openxmlformats.org/officeDocument/2006/relationships/table" Target="/xl/tables/table13.xml" Id="Ra91b4fe3a15c4d6b" /></Relationships>
</file>

<file path=xl/worksheets/_rels/sheet15.xml.rels>&#65279;<?xml version="1.0" encoding="utf-8"?><Relationships xmlns="http://schemas.openxmlformats.org/package/2006/relationships"><Relationship Type="http://schemas.openxmlformats.org/officeDocument/2006/relationships/table" Target="/xl/tables/table14.xml" Id="R860b64cb803d4c45" /></Relationships>
</file>

<file path=xl/worksheets/_rels/sheet16.xml.rels>&#65279;<?xml version="1.0" encoding="utf-8"?><Relationships xmlns="http://schemas.openxmlformats.org/package/2006/relationships"><Relationship Type="http://schemas.openxmlformats.org/officeDocument/2006/relationships/table" Target="/xl/tables/table15.xml" Id="R3c873e0da2a048e0" /></Relationships>
</file>

<file path=xl/worksheets/_rels/sheet17.xml.rels>&#65279;<?xml version="1.0" encoding="utf-8"?><Relationships xmlns="http://schemas.openxmlformats.org/package/2006/relationships"><Relationship Type="http://schemas.openxmlformats.org/officeDocument/2006/relationships/table" Target="/xl/tables/table16.xml" Id="Rcd6a09b3b46045c7" /></Relationships>
</file>

<file path=xl/worksheets/_rels/sheet18.xml.rels>&#65279;<?xml version="1.0" encoding="utf-8"?><Relationships xmlns="http://schemas.openxmlformats.org/package/2006/relationships"><Relationship Type="http://schemas.openxmlformats.org/officeDocument/2006/relationships/table" Target="/xl/tables/table17.xml" Id="R98f3f273838045a5" /></Relationships>
</file>

<file path=xl/worksheets/_rels/sheet19.xml.rels>&#65279;<?xml version="1.0" encoding="utf-8"?><Relationships xmlns="http://schemas.openxmlformats.org/package/2006/relationships"><Relationship Type="http://schemas.openxmlformats.org/officeDocument/2006/relationships/table" Target="/xl/tables/table18.xml" Id="Rfdb4a30afaad4660" /></Relationships>
</file>

<file path=xl/worksheets/_rels/sheet20.xml.rels>&#65279;<?xml version="1.0" encoding="utf-8"?><Relationships xmlns="http://schemas.openxmlformats.org/package/2006/relationships"><Relationship Type="http://schemas.openxmlformats.org/officeDocument/2006/relationships/table" Target="/xl/tables/table19.xml" Id="R668f2671d5754f62" /></Relationships>
</file>

<file path=xl/worksheets/_rels/sheet21.xml.rels>&#65279;<?xml version="1.0" encoding="utf-8"?><Relationships xmlns="http://schemas.openxmlformats.org/package/2006/relationships"><Relationship Type="http://schemas.openxmlformats.org/officeDocument/2006/relationships/table" Target="/xl/tables/table20.xml" Id="Rc73e2cb571834838" /></Relationships>
</file>

<file path=xl/worksheets/_rels/sheet22.xml.rels>&#65279;<?xml version="1.0" encoding="utf-8"?><Relationships xmlns="http://schemas.openxmlformats.org/package/2006/relationships"><Relationship Type="http://schemas.openxmlformats.org/officeDocument/2006/relationships/table" Target="/xl/tables/table21.xml" Id="Rcecf8a0432634fa9" /></Relationships>
</file>

<file path=xl/worksheets/_rels/sheet23.xml.rels>&#65279;<?xml version="1.0" encoding="utf-8"?><Relationships xmlns="http://schemas.openxmlformats.org/package/2006/relationships"><Relationship Type="http://schemas.openxmlformats.org/officeDocument/2006/relationships/table" Target="/xl/tables/table22.xml" Id="R153e44fc02cd466c" /></Relationships>
</file>

<file path=xl/worksheets/_rels/sheet24.xml.rels>&#65279;<?xml version="1.0" encoding="utf-8"?><Relationships xmlns="http://schemas.openxmlformats.org/package/2006/relationships"><Relationship Type="http://schemas.openxmlformats.org/officeDocument/2006/relationships/table" Target="/xl/tables/table23.xml" Id="Rf3cd390094e1453e" /></Relationships>
</file>

<file path=xl/worksheets/_rels/sheet25.xml.rels>&#65279;<?xml version="1.0" encoding="utf-8"?><Relationships xmlns="http://schemas.openxmlformats.org/package/2006/relationships"><Relationship Type="http://schemas.openxmlformats.org/officeDocument/2006/relationships/table" Target="/xl/tables/table24.xml" Id="R60a373a2a6774947" /></Relationships>
</file>

<file path=xl/worksheets/_rels/sheet26.xml.rels>&#65279;<?xml version="1.0" encoding="utf-8"?><Relationships xmlns="http://schemas.openxmlformats.org/package/2006/relationships"><Relationship Type="http://schemas.openxmlformats.org/officeDocument/2006/relationships/table" Target="/xl/tables/table25.xml" Id="R80ea83ce10ac45ab" /></Relationships>
</file>

<file path=xl/worksheets/_rels/sheet27.xml.rels>&#65279;<?xml version="1.0" encoding="utf-8"?><Relationships xmlns="http://schemas.openxmlformats.org/package/2006/relationships"><Relationship Type="http://schemas.openxmlformats.org/officeDocument/2006/relationships/table" Target="/xl/tables/table26.xml" Id="R2ac4c7f4438e4f51"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1321</x:v>
      </x:c>
      <x:c r="C5" s="2"/>
      <x:c r="D5" s="2" t="str">
        <x:v>Intégrés</x:v>
      </x:c>
      <x:c r="E5" s="21" t="n">
        <x:f>SUM(E10:F35)</x:f>
        <x:v>6</x:v>
      </x:c>
      <x:c r="F5" s="2"/>
      <x:c r="G5" s="2" t="str">
        <x:v>Références à vérifier</x:v>
      </x:c>
      <x:c r="H5" s="21" t="n">
        <x:f>SUM(H10:H35)</x:f>
        <x:v>524</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56</x:v>
      </x:c>
      <x:c r="D11" s="27" t="n">
        <x:f>COUNTIFS('PNJ'!$C$7:$C$72,"Prototype")</x:f>
        <x:v>10</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COUNTA('Props'!$A$7:$A$58)</x:f>
        <x:v>52</x:v>
      </x:c>
      <x:c r="C17" s="27" t="n">
        <x:f>COUNTIFS('Props'!$C$7:$C$58,"Défini")</x:f>
        <x:v>52</x:v>
      </x:c>
      <x:c r="D17" s="27" t="n">
        <x:f>COUNTIFS('Props'!$C$7:$C$58,"Prototype")</x:f>
        <x:v>0</x:v>
      </x:c>
      <x:c r="E17" s="27" t="n">
        <x:f>COUNTIFS('Props'!$C$7:$C$58,"Intégré")</x:f>
        <x:v>0</x:v>
      </x:c>
      <x:c r="F17" s="27" t="n">
        <x:f>COUNTIFS('Props'!$C$7:$C$58,"Validé")</x:f>
        <x:v>0</x:v>
      </x:c>
      <x:c r="G17" s="27" t="n">
        <x:f>COUNTIFS('Props'!$G$7:$G$58,"Confirmé")</x:f>
        <x:v>0</x:v>
      </x:c>
      <x:c r="H17" s="27" t="n">
        <x:f>COUNTIFS('Props'!$G$7:$G$58,"Référence à vérifier")</x:f>
        <x:v>0</x:v>
      </x:c>
      <x:c r="I17" s="27" t="n">
        <x:f>COUNTIFS('Props'!$G$7:$G$58,"Adaptation")</x:f>
        <x:v>52</x:v>
      </x:c>
      <x:c r="J17" s="27" t="n">
        <x:f>COUNTIFS('Props'!$F$7:$F$58,"ME1")</x:f>
        <x:v>52</x:v>
      </x:c>
      <x:c r="K17" s="27" t="n">
        <x:f>COUNTIFS('Props'!$P$7:$P$58,"Extension future")</x:f>
        <x:v>0</x:v>
      </x:c>
    </x:row>
    <x:row r="18" ht="22" customHeight="1">
      <x:c r="A18" s="22" t="str">
        <x:v>Ennemis et boss</x:v>
      </x:c>
      <x:c r="B18" s="26" t="n">
        <x:f>COUNTA('Ennemis_boss'!$A$7:$A$45)</x:f>
        <x:v>39</x:v>
      </x:c>
      <x:c r="C18" s="26" t="n">
        <x:f>COUNTIFS('Ennemis_boss'!$C$7:$C$45,"Défini")</x:f>
        <x:v>31</x:v>
      </x:c>
      <x:c r="D18" s="26" t="n">
        <x:f>COUNTIFS('Ennemis_boss'!$C$7:$C$45,"Prototype")</x:f>
        <x:v>8</x:v>
      </x:c>
      <x:c r="E18" s="26" t="n">
        <x:f>COUNTIFS('Ennemis_boss'!$C$7:$C$45,"Intégré")</x:f>
        <x:v>0</x:v>
      </x:c>
      <x:c r="F18" s="26" t="n">
        <x:f>COUNTIFS('Ennemis_boss'!$C$7:$C$45,"Validé")</x:f>
        <x:v>0</x:v>
      </x:c>
      <x:c r="G18" s="26" t="n">
        <x:f>COUNTIFS('Ennemis_boss'!$G$7:$G$45,"Confirmé")</x:f>
        <x:v>0</x:v>
      </x:c>
      <x:c r="H18" s="26" t="n">
        <x:f>COUNTIFS('Ennemis_boss'!$G$7:$G$45,"Référence à vérifier")</x:f>
        <x:v>35</x:v>
      </x:c>
      <x:c r="I18" s="26" t="n">
        <x:f>COUNTIFS('Ennemis_boss'!$G$7:$G$45,"Adaptation")</x:f>
        <x:v>4</x:v>
      </x:c>
      <x:c r="J18" s="26" t="n">
        <x:f>COUNTIFS('Ennemis_boss'!$F$7:$F$45,"ME1")</x:f>
        <x:v>39</x:v>
      </x:c>
      <x:c r="K18" s="26" t="n">
        <x:f>COUNTIFS('Ennemis_boss'!$P$7:$P$45,"Extension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COUNTA('Secondaires_DLC'!$A$7:$A$114)</x:f>
        <x:v>108</x:v>
      </x:c>
      <x:c r="C20" s="26" t="n">
        <x:f>COUNTIFS('Secondaires_DLC'!$C$7:$C$114,"Défini")</x:f>
        <x:v>51</x:v>
      </x:c>
      <x:c r="D20" s="26" t="n">
        <x:f>COUNTIFS('Secondaires_DLC'!$C$7:$C$114,"Prototype")</x:f>
        <x:v>57</x:v>
      </x:c>
      <x:c r="E20" s="26" t="n">
        <x:f>COUNTIFS('Secondaires_DLC'!$C$7:$C$114,"Intégré")</x:f>
        <x:v>0</x:v>
      </x:c>
      <x:c r="F20" s="26" t="n">
        <x:f>COUNTIFS('Secondaires_DLC'!$C$7:$C$114,"Validé")</x:f>
        <x:v>0</x:v>
      </x:c>
      <x:c r="G20" s="26" t="n">
        <x:f>COUNTIFS('Secondaires_DLC'!$G$7:$G$114,"Confirmé")</x:f>
        <x:v>0</x:v>
      </x:c>
      <x:c r="H20" s="26" t="n">
        <x:f>COUNTIFS('Secondaires_DLC'!$G$7:$G$114,"Référence à vérifier")</x:f>
        <x:v>54</x:v>
      </x:c>
      <x:c r="I20" s="26" t="n">
        <x:f>COUNTIFS('Secondaires_DLC'!$G$7:$G$114,"Adaptation")</x:f>
        <x:v>54</x:v>
      </x:c>
      <x:c r="J20" s="26" t="n">
        <x:f>COUNTIFS('Secondaires_DLC'!$F$7:$F$114,"ME1")</x:f>
        <x:v>108</x:v>
      </x:c>
      <x:c r="K20" s="26" t="n">
        <x:f>COUNTIFS('Secondaires_DLC'!$P$7:$P$114,"Extension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COUNTA('Armes'!$A$7:$A$50)</x:f>
        <x:v>44</x:v>
      </x:c>
      <x:c r="C24" s="26" t="n">
        <x:f>COUNTIFS('Armes'!$C$7:$C$50,"Défini")</x:f>
        <x:v>24</x:v>
      </x:c>
      <x:c r="D24" s="26" t="n">
        <x:f>COUNTIFS('Armes'!$C$7:$C$50,"Prototype")</x:f>
        <x:v>20</x:v>
      </x:c>
      <x:c r="E24" s="26" t="n">
        <x:f>COUNTIFS('Armes'!$C$7:$C$50,"Intégré")</x:f>
        <x:v>0</x:v>
      </x:c>
      <x:c r="F24" s="26" t="n">
        <x:f>COUNTIFS('Armes'!$C$7:$C$50,"Validé")</x:f>
        <x:v>0</x:v>
      </x:c>
      <x:c r="G24" s="26" t="n">
        <x:f>COUNTIFS('Armes'!$G$7:$G$50,"Confirmé")</x:f>
        <x:v>0</x:v>
      </x:c>
      <x:c r="H24" s="26" t="n">
        <x:f>COUNTIFS('Armes'!$G$7:$G$50,"Référence à vérifier")</x:f>
        <x:v>24</x:v>
      </x:c>
      <x:c r="I24" s="26" t="n">
        <x:f>COUNTIFS('Armes'!$G$7:$G$50,"Adaptation")</x:f>
        <x:v>20</x:v>
      </x:c>
      <x:c r="J24" s="26" t="n">
        <x:f>COUNTIFS('Armes'!$F$7:$F$50,"ME1")</x:f>
        <x:v>44</x:v>
      </x:c>
      <x:c r="K24" s="26" t="n">
        <x:f>COUNTIFS('Armes'!$P$7:$P$50,"Extension future")</x:f>
        <x:v>0</x:v>
      </x:c>
    </x:row>
    <x:row r="25" ht="22" customHeight="1">
      <x:c r="A25" s="2" t="str">
        <x:v>Armures et équipement</x:v>
      </x:c>
      <x:c r="B25" s="27" t="n">
        <x:f>COUNTA('Armures_equipement'!$A$7:$A$60)</x:f>
        <x:v>54</x:v>
      </x:c>
      <x:c r="C25" s="27" t="n">
        <x:f>COUNTIFS('Armures_equipement'!$C$7:$C$60,"Défini")</x:f>
        <x:v>26</x:v>
      </x:c>
      <x:c r="D25" s="27" t="n">
        <x:f>COUNTIFS('Armures_equipement'!$C$7:$C$60,"Prototype")</x:f>
        <x:v>28</x:v>
      </x:c>
      <x:c r="E25" s="27" t="n">
        <x:f>COUNTIFS('Armures_equipement'!$C$7:$C$60,"Intégré")</x:f>
        <x:v>0</x:v>
      </x:c>
      <x:c r="F25" s="27" t="n">
        <x:f>COUNTIFS('Armures_equipement'!$C$7:$C$60,"Validé")</x:f>
        <x:v>0</x:v>
      </x:c>
      <x:c r="G25" s="27" t="n">
        <x:f>COUNTIFS('Armures_equipement'!$G$7:$G$60,"Confirmé")</x:f>
        <x:v>0</x:v>
      </x:c>
      <x:c r="H25" s="27" t="n">
        <x:f>COUNTIFS('Armures_equipement'!$G$7:$G$60,"Référence à vérifier")</x:f>
        <x:v>26</x:v>
      </x:c>
      <x:c r="I25" s="27" t="n">
        <x:f>COUNTIFS('Armures_equipement'!$G$7:$G$60,"Adaptation")</x:f>
        <x:v>28</x:v>
      </x:c>
      <x:c r="J25" s="27" t="n">
        <x:f>COUNTIFS('Armures_equipement'!$F$7:$F$60,"ME1")</x:f>
        <x:v>54</x:v>
      </x:c>
      <x:c r="K25" s="27" t="n">
        <x:f>COUNTIFS('Armures_equipement'!$P$7:$P$60,"Extension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COUNTA('Animations'!$A$7:$A$66)</x:f>
        <x:v>60</x:v>
      </x:c>
      <x:c r="C29" s="27" t="n">
        <x:f>COUNTIFS('Animations'!$C$7:$C$66,"Défini")</x:f>
        <x:v>39</x:v>
      </x:c>
      <x:c r="D29" s="27" t="n">
        <x:f>COUNTIFS('Animations'!$C$7:$C$66,"Prototype")</x:f>
        <x:v>21</x:v>
      </x:c>
      <x:c r="E29" s="27" t="n">
        <x:f>COUNTIFS('Animations'!$C$7:$C$66,"Intégré")</x:f>
        <x:v>0</x:v>
      </x:c>
      <x:c r="F29" s="27" t="n">
        <x:f>COUNTIFS('Animations'!$C$7:$C$66,"Validé")</x:f>
        <x:v>0</x:v>
      </x:c>
      <x:c r="G29" s="27" t="n">
        <x:f>COUNTIFS('Animations'!$G$7:$G$66,"Confirmé")</x:f>
        <x:v>0</x:v>
      </x:c>
      <x:c r="H29" s="27" t="n">
        <x:f>COUNTIFS('Animations'!$G$7:$G$66,"Référence à vérifier")</x:f>
        <x:v>0</x:v>
      </x:c>
      <x:c r="I29" s="27" t="n">
        <x:f>COUNTIFS('Animations'!$G$7:$G$66,"Adaptation")</x:f>
        <x:v>60</x:v>
      </x:c>
      <x:c r="J29" s="27" t="n">
        <x:f>COUNTIFS('Animations'!$F$7:$F$66,"ME1")</x:f>
        <x:v>60</x:v>
      </x:c>
      <x:c r="K29" s="27" t="n">
        <x:f>COUNTIFS('Animations'!$P$7:$P$66,"Extension future")</x:f>
        <x:v>0</x:v>
      </x:c>
    </x:row>
    <x:row r="30" ht="22" customHeight="1">
      <x:c r="A30" s="22" t="str">
        <x:v>Sprites</x:v>
      </x:c>
      <x:c r="B30" s="26" t="n">
        <x:f>COUNTA('Sprites'!$A$7:$A$83)</x:f>
        <x:v>77</x:v>
      </x:c>
      <x:c r="C30" s="26" t="n">
        <x:f>COUNTIFS('Sprites'!$C$7:$C$83,"Défini")</x:f>
        <x:v>42</x:v>
      </x:c>
      <x:c r="D30" s="26" t="n">
        <x:f>COUNTIFS('Sprites'!$C$7:$C$83,"Prototype")</x:f>
        <x:v>35</x:v>
      </x:c>
      <x:c r="E30" s="26" t="n">
        <x:f>COUNTIFS('Sprites'!$C$7:$C$83,"Intégré")</x:f>
        <x:v>0</x:v>
      </x:c>
      <x:c r="F30" s="26" t="n">
        <x:f>COUNTIFS('Sprites'!$C$7:$C$83,"Validé")</x:f>
        <x:v>0</x:v>
      </x:c>
      <x:c r="G30" s="26" t="n">
        <x:f>COUNTIFS('Sprites'!$G$7:$G$83,"Confirmé")</x:f>
        <x:v>0</x:v>
      </x:c>
      <x:c r="H30" s="26" t="n">
        <x:f>COUNTIFS('Sprites'!$G$7:$G$83,"Référence à vérifier")</x:f>
        <x:v>0</x:v>
      </x:c>
      <x:c r="I30" s="26" t="n">
        <x:f>COUNTIFS('Sprites'!$G$7:$G$83,"Adaptation")</x:f>
        <x:v>77</x:v>
      </x:c>
      <x:c r="J30" s="26" t="n">
        <x:f>COUNTIFS('Sprites'!$F$7:$F$83,"ME1")</x:f>
        <x:v>77</x:v>
      </x:c>
      <x:c r="K30" s="26" t="n">
        <x:f>COUNTIFS('Sprites'!$P$7:$P$83,"Extension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COUNTA('UI_systemes'!$A$7:$A$46)</x:f>
        <x:v>40</x:v>
      </x:c>
      <x:c r="C33" s="27" t="n">
        <x:f>COUNTIFS('UI_systemes'!$C$7:$C$46,"Défini")</x:f>
        <x:v>9</x:v>
      </x:c>
      <x:c r="D33" s="27" t="n">
        <x:f>COUNTIFS('UI_systemes'!$C$7:$C$46,"Prototype")</x:f>
        <x:v>28</x:v>
      </x:c>
      <x:c r="E33" s="27" t="n">
        <x:f>COUNTIFS('UI_systemes'!$C$7:$C$46,"Intégré")</x:f>
        <x:v>0</x:v>
      </x:c>
      <x:c r="F33" s="27" t="n">
        <x:f>COUNTIFS('UI_systemes'!$C$7:$C$46,"Validé")</x:f>
        <x:v>3</x:v>
      </x:c>
      <x:c r="G33" s="27" t="n">
        <x:f>COUNTIFS('UI_systemes'!$G$7:$G$46,"Confirmé")</x:f>
        <x:v>0</x:v>
      </x:c>
      <x:c r="H33" s="27" t="n">
        <x:f>COUNTIFS('UI_systemes'!$G$7:$G$46,"Référence à vérifier")</x:f>
        <x:v>0</x:v>
      </x:c>
      <x:c r="I33" s="27" t="n">
        <x:f>COUNTIFS('UI_systemes'!$G$7:$G$46,"Adaptation")</x:f>
        <x:v>40</x:v>
      </x:c>
      <x:c r="J33" s="27" t="n">
        <x:f>COUNTIFS('UI_systemes'!$F$7:$F$46,"ME1")</x:f>
        <x:v>40</x:v>
      </x:c>
      <x:c r="K33" s="27" t="n">
        <x:f>COUNTIFS('UI_systemes'!$P$7:$P$46,"Extension future")</x:f>
        <x:v>0</x:v>
      </x:c>
    </x:row>
    <x:row r="34" ht="22" customHeight="1">
      <x:c r="A34" s="22" t="str">
        <x:v>QA</x:v>
      </x:c>
      <x:c r="B34" s="26" t="n">
        <x:f>COUNTA('QA'!$A$7:$A$58)</x:f>
        <x:v>52</x:v>
      </x:c>
      <x:c r="C34" s="26" t="n">
        <x:f>COUNTIFS('QA'!$C$7:$C$58,"Défini")</x:f>
        <x:v>52</x:v>
      </x:c>
      <x:c r="D34" s="26" t="n">
        <x:f>COUNTIFS('QA'!$C$7:$C$58,"Prototype")</x:f>
        <x:v>0</x:v>
      </x:c>
      <x:c r="E34" s="26" t="n">
        <x:f>COUNTIFS('QA'!$C$7:$C$58,"Intégré")</x:f>
        <x:v>0</x:v>
      </x:c>
      <x:c r="F34" s="26" t="n">
        <x:f>COUNTIFS('QA'!$C$7:$C$58,"Validé")</x:f>
        <x:v>0</x:v>
      </x:c>
      <x:c r="G34" s="26" t="n">
        <x:f>COUNTIFS('QA'!$G$7:$G$58,"Confirmé")</x:f>
        <x:v>0</x:v>
      </x:c>
      <x:c r="H34" s="26" t="n">
        <x:f>COUNTIFS('QA'!$G$7:$G$58,"Référence à vérifier")</x:f>
        <x:v>0</x:v>
      </x:c>
      <x:c r="I34" s="26" t="n">
        <x:f>COUNTIFS('QA'!$G$7:$G$58,"Adaptation")</x:f>
        <x:v>52</x:v>
      </x:c>
      <x:c r="J34" s="26" t="n">
        <x:f>COUNTIFS('QA'!$F$7:$F$58,"ME1")</x:f>
        <x:v>52</x:v>
      </x:c>
      <x:c r="K34" s="26" t="n">
        <x:f>COUNTIFS('QA'!$P$7:$P$58,"Extension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1321</x:v>
      </x:c>
      <x:c r="C37" s="28" t="n">
        <x:f>SUM(C10:C35)</x:f>
        <x:v>1038</x:v>
      </x:c>
      <x:c r="D37" s="28" t="n">
        <x:f>SUM(D10:D35)</x:f>
        <x:v>277</x:v>
      </x:c>
      <x:c r="E37" s="28" t="n">
        <x:f>SUM(E10:E35)</x:f>
        <x:v>3</x:v>
      </x:c>
      <x:c r="F37" s="28" t="n">
        <x:f>SUM(F10:F35)</x:f>
        <x:v>3</x:v>
      </x:c>
      <x:c r="G37" s="28" t="n">
        <x:f>SUM(G10:G35)</x:f>
        <x:v>15</x:v>
      </x:c>
      <x:c r="H37" s="28" t="n">
        <x:f>SUM(H10:H35)</x:f>
        <x:v>524</x:v>
      </x:c>
      <x:c r="I37" s="28" t="n">
        <x:f>SUM(I10:I35)</x:f>
        <x:v>782</x:v>
      </x:c>
      <x:c r="J37" s="28" t="n">
        <x:f>SUM(J10:J35)</x:f>
        <x:v>1264</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Dossier masculin/féminin, origines et profil conservés. Deux cycles de marche de 16 images chacun, quatre directions. Shepard femme possède quatre poses de combat. Créateur facial, réactions complètes aux antécédents, huit directions et fidélité artistique finale restent à produire.</x:v>
      </x:c>
    </x:row>
    <x:row r="8" ht="49"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x:v>
      </x:c>
    </x:row>
    <x:row r="9" ht="49"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x:v>
      </x:c>
    </x:row>
    <x:row r="10" ht="49"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x:v>
      </x:c>
    </x:row>
    <x:row r="11" ht="49"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x:v>
      </x:c>
    </x:row>
    <x:row r="12" ht="49"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x:v>
      </x:c>
    </x:row>
    <x:row r="13" ht="49"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x:v>
      </x:c>
    </x:row>
    <x:row r="14" ht="49"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x:v>
      </x:c>
    </x:row>
  </x:sheetData>
  <x:conditionalFormatting sqref="C7:C14">
    <x:cfRule type="cellIs" dxfId="0" priority="1" operator="equal">
      <x:formula>"Prototype"</x:formula>
    </x:cfRule>
    <x:cfRule type="cellIs" dxfId="1" priority="2" operator="equal">
      <x:formula>"Intégré"</x:formula>
    </x:cfRule>
    <x:cfRule type="cellIs" dxfId="2" priority="3" operator="equal">
      <x:formula>"Validé"</x:formula>
    </x:cfRule>
  </x:conditionalFormatting>
  <x:conditionalFormatting sqref="G7:G14">
    <x:cfRule type="cellIs" dxfId="3" priority="4" operator="equal">
      <x:formula>"Référence à vérifier"</x:formula>
    </x:cfRule>
  </x:conditionalFormatting>
  <x:conditionalFormatting sqref="E7:E14">
    <x:cfRule type="cellIs" dxfId="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c6603eeb28194ea2"/>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100" customHeight="1">
      <x:c r="A26" s="12" t="str">
        <x:v>NPC-conrad-verner</x:v>
      </x:c>
      <x:c r="B26" s="7" t="str">
        <x:v>Conrad Verner</x:v>
      </x:c>
      <x:c r="C26" s="10" t="str">
        <x:v>Prototype</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v>src/assignment-data.js</x:v>
      </x:c>
      <x:c r="M26" s="7" t="str">
        <x:v>ASSIGNMENT_CONTACTS[conrad-verner]</x:v>
      </x:c>
      <x:c r="N26" s="7" t="str">
        <x:v>Page secondaire proposée pour comparaison ; non consultée dans cet environnement. Noms, conditions, embranchements et édition à recouper dans le jeu avant validation canonique.</x:v>
      </x:c>
      <x:c r="O26" s="7" t="str">
        <x:v>https://masseffect.fandom.com/wiki/Citadel:_The_Fan</x:v>
      </x:c>
      <x:c r="P26" s="7" t="str">
        <x:v>Production ME1</x:v>
      </x:c>
      <x:c r="Q26" s="7" t="str">
        <x:v>Trois rencontres conditionnées à l’enquête ; aucun avancement par simple revisite et aucune récompense répétable. Les autres issues canoniques restent à produire.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27" ht="49" customHeight="1">
      <x:c r="A27" s="13" t="str">
        <x:v>NPC-emily-wong</x:v>
      </x:c>
      <x:c r="B27" s="14" t="str">
        <x:v>Emily Wong</x:v>
      </x:c>
      <x:c r="C27" s="10" t="str">
        <x:v>Prototype</x:v>
      </x:c>
      <x:c r="D27" s="11" t="str">
        <x:v>Prototype</x:v>
      </x:c>
      <x:c r="E27" s="15" t="str">
        <x:v>P1</x:v>
      </x:c>
      <x:c r="F27" s="15" t="str">
        <x:v>ME1</x:v>
      </x:c>
      <x:c r="G27" s="15" t="str">
        <x:v>Référence à vérifier</x:v>
      </x:c>
      <x:c r="H27" s="14" t="str">
        <x:v>Journaliste contactée dans la demande de preuves sur Fist.</x:v>
      </x:c>
      <x:c r="I27" s="14" t="str">
        <x:v>Remise de données liée aux missions.</x:v>
      </x:c>
      <x:c r="J27" s="14" t="str"/>
      <x:c r="K27" s="14" t="str">
        <x:v>content/npcs/NPC-emily-wong.json</x:v>
      </x:c>
      <x:c r="L27" s="14" t="str">
        <x:v>src/operation-data.js</x:v>
      </x:c>
      <x:c r="M27" s="14" t="str">
        <x:v>citadel-reporters-request</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Dialogue réécrit, portrait du prototype quand utilisé ; pas de personnage 3D ou sprite de terrain dédié. Le disque attend le recrutement de Tali.</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100" customHeight="1">
      <x:c r="A40" s="12" t="str">
        <x:v>NPC-samesh-bhatia</x:v>
      </x:c>
      <x:c r="B40" s="7" t="str">
        <x:v>Samesh Bhatia</x:v>
      </x:c>
      <x:c r="C40" s="10" t="str">
        <x:v>Prototype</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v>src/assignment-data.js</x:v>
      </x:c>
      <x:c r="M40" s="7" t="str">
        <x:v>ASSIGNMENT_CONTACTS[samesh-bhatia]</x:v>
      </x:c>
      <x:c r="N40" s="7" t="str">
        <x:v>Page secondaire proposée pour comparaison ; non consultée dans cet environnement. Noms, conditions, embranchements et édition à recouper dans le jeu avant validation canonique.</x:v>
      </x:c>
      <x:c r="O40" s="7" t="str">
        <x:v>https://masseffect.fandom.com/wiki/Citadel:_Homecoming</x:v>
      </x:c>
      <x:c r="P40" s="7" t="str">
        <x:v>Production ME1</x:v>
      </x:c>
      <x:c r="Q40" s="7" t="str">
        <x:v>Interlocuteur de Retour à la maison, demande, attente et issue de la restitution/recherche persistantes.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1" ht="100" customHeight="1">
      <x:c r="A41" s="13" t="str">
        <x:v>NPC-bosker</x:v>
      </x:c>
      <x:c r="B41" s="14" t="str">
        <x:v>Bosker</x:v>
      </x:c>
      <x:c r="C41" s="10" t="str">
        <x:v>Prototype</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v>src/assignment-data.js</x:v>
      </x:c>
      <x:c r="M41" s="14" t="str">
        <x:v>ASSIGNMENT_CONTACTS[bosker]</x:v>
      </x:c>
      <x:c r="N41" s="14" t="str">
        <x:v>Page secondaire proposée pour comparaison ; non consultée dans cet environnement. Noms, conditions, embranchements et édition à recouper dans le jeu avant validation canonique.</x:v>
      </x:c>
      <x:c r="O41" s="14" t="str">
        <x:v>https://masseffect.fandom.com/wiki/Citadel:_Homecoming</x:v>
      </x:c>
      <x:c r="P41" s="14" t="str">
        <x:v>Production ME1</x:v>
      </x:c>
      <x:c r="Q41" s="14" t="str">
        <x:v>Interlocuteur disponible après la demande de Samesh ; les deux issues sont conservées. Les seuils de persuasion canoniques ne sont pas implémentés.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5" priority="1" operator="equal">
      <x:formula>"Prototype"</x:formula>
    </x:cfRule>
    <x:cfRule type="cellIs" dxfId="6" priority="2" operator="equal">
      <x:formula>"Intégré"</x:formula>
    </x:cfRule>
    <x:cfRule type="cellIs" dxfId="7" priority="3" operator="equal">
      <x:formula>"Validé"</x:formula>
    </x:cfRule>
  </x:conditionalFormatting>
  <x:conditionalFormatting sqref="G7:G72">
    <x:cfRule type="cellIs" dxfId="8" priority="4" operator="equal">
      <x:formula>"Référence à vérifier"</x:formula>
    </x:cfRule>
  </x:conditionalFormatting>
  <x:conditionalFormatting sqref="E7:E72">
    <x:cfRule type="cellIs" dxfId="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201c77e228574461"/>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0" priority="1" operator="equal">
      <x:formula>"Prototype"</x:formula>
    </x:cfRule>
    <x:cfRule type="cellIs" dxfId="11" priority="2" operator="equal">
      <x:formula>"Intégré"</x:formula>
    </x:cfRule>
    <x:cfRule type="cellIs" dxfId="12" priority="3" operator="equal">
      <x:formula>"Validé"</x:formula>
    </x:cfRule>
  </x:conditionalFormatting>
  <x:conditionalFormatting sqref="G7:G42">
    <x:cfRule type="cellIs" dxfId="13" priority="4" operator="equal">
      <x:formula>"Référence à vérifier"</x:formula>
    </x:cfRule>
  </x:conditionalFormatting>
  <x:conditionalFormatting sqref="E7:E42">
    <x:cfRule type="cellIs" dxfId="1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b6e1d035bb5a45de"/>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5" priority="1" operator="equal">
      <x:formula>"Prototype"</x:formula>
    </x:cfRule>
    <x:cfRule type="cellIs" dxfId="16" priority="2" operator="equal">
      <x:formula>"Intégré"</x:formula>
    </x:cfRule>
    <x:cfRule type="cellIs" dxfId="17" priority="3" operator="equal">
      <x:formula>"Validé"</x:formula>
    </x:cfRule>
  </x:conditionalFormatting>
  <x:conditionalFormatting sqref="G7:G38">
    <x:cfRule type="cellIs" dxfId="18" priority="4" operator="equal">
      <x:formula>"Référence à vérifier"</x:formula>
    </x:cfRule>
  </x:conditionalFormatting>
  <x:conditionalFormatting sqref="E7:E38">
    <x:cfRule type="cellIs" dxfId="1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261852dedc4a45dc"/>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20" priority="1" operator="equal">
      <x:formula>"Prototype"</x:formula>
    </x:cfRule>
    <x:cfRule type="cellIs" dxfId="21" priority="2" operator="equal">
      <x:formula>"Intégré"</x:formula>
    </x:cfRule>
    <x:cfRule type="cellIs" dxfId="22" priority="3" operator="equal">
      <x:formula>"Validé"</x:formula>
    </x:cfRule>
  </x:conditionalFormatting>
  <x:conditionalFormatting sqref="G7:G106">
    <x:cfRule type="cellIs" dxfId="23" priority="4" operator="equal">
      <x:formula>"Référence à vérifier"</x:formula>
    </x:cfRule>
  </x:conditionalFormatting>
  <x:conditionalFormatting sqref="E7:E106">
    <x:cfRule type="cellIs" dxfId="2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792eb94446e644fb"/>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25" priority="1" operator="equal">
      <x:formula>"Prototype"</x:formula>
    </x:cfRule>
    <x:cfRule type="cellIs" dxfId="26" priority="2" operator="equal">
      <x:formula>"Intégré"</x:formula>
    </x:cfRule>
    <x:cfRule type="cellIs" dxfId="27" priority="3" operator="equal">
      <x:formula>"Validé"</x:formula>
    </x:cfRule>
  </x:conditionalFormatting>
  <x:conditionalFormatting sqref="G7:G97">
    <x:cfRule type="cellIs" dxfId="28" priority="4" operator="equal">
      <x:formula>"Référence à vérifier"</x:formula>
    </x:cfRule>
  </x:conditionalFormatting>
  <x:conditionalFormatting sqref="E7:E97">
    <x:cfRule type="cellIs" dxfId="2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c5be439f930249ad"/>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30" priority="1" operator="equal">
      <x:formula>"Prototype"</x:formula>
    </x:cfRule>
    <x:cfRule type="cellIs" dxfId="31" priority="2" operator="equal">
      <x:formula>"Intégré"</x:formula>
    </x:cfRule>
    <x:cfRule type="cellIs" dxfId="32" priority="3" operator="equal">
      <x:formula>"Validé"</x:formula>
    </x:cfRule>
  </x:conditionalFormatting>
  <x:conditionalFormatting sqref="G7:G41">
    <x:cfRule type="cellIs" dxfId="33" priority="4" operator="equal">
      <x:formula>"Référence à vérifier"</x:formula>
    </x:cfRule>
  </x:conditionalFormatting>
  <x:conditionalFormatting sqref="E7:E41">
    <x:cfRule type="cellIs" dxfId="3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a324b1a5aeaa4eac"/>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sheetData>
  <x:conditionalFormatting sqref="C7:C58">
    <x:cfRule type="cellIs" dxfId="35" priority="1" operator="equal">
      <x:formula>"Prototype"</x:formula>
    </x:cfRule>
    <x:cfRule type="cellIs" dxfId="36" priority="2" operator="equal">
      <x:formula>"Intégré"</x:formula>
    </x:cfRule>
    <x:cfRule type="cellIs" dxfId="37" priority="3" operator="equal">
      <x:formula>"Validé"</x:formula>
    </x:cfRule>
  </x:conditionalFormatting>
  <x:conditionalFormatting sqref="G7:G58">
    <x:cfRule type="cellIs" dxfId="38" priority="4" operator="equal">
      <x:formula>"Référence à vérifier"</x:formula>
    </x:cfRule>
  </x:conditionalFormatting>
  <x:conditionalFormatting sqref="E7:E58">
    <x:cfRule type="cellIs" dxfId="39"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9fe4788bd2b44d96"/>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row r="42" ht="62" customHeight="1">
      <x:c r="A42" s="12" t="str">
        <x:v>OPENCOUNTER-michel-blackmailer</x:v>
      </x:c>
      <x:c r="B42" s="7" t="str">
        <x:v>Le maître chanteur — rencontre annexe</x:v>
      </x:c>
      <x:c r="C42" s="10" t="str">
        <x:v>Prototype</x:v>
      </x:c>
      <x:c r="D42" s="11" t="str">
        <x:v>À produire</x:v>
      </x:c>
      <x:c r="E42" s="9" t="str">
        <x:v>P1</x:v>
      </x:c>
      <x:c r="F42" s="9" t="str">
        <x:v>ME1</x:v>
      </x:c>
      <x:c r="G42" s="9" t="str">
        <x:v>Adaptation</x:v>
      </x:c>
      <x:c r="H42" s="7" t="str">
        <x:v>Rencontre ATB de Citadelle : Le docteur Michel. Composition : krogan. Les statistiques utilisent les archétypes existants du moteur.</x:v>
      </x:c>
      <x:c r="I42" s="7" t="str">
        <x:v>Armer la rencontre depuis le dialogue ; refuser le gain avant la victoire du groupe. Défaite et rechargement permettent une nouvelle tentative. La récompense de mission ne doit pas être versée à chaque reprise de combat.</x:v>
      </x:c>
      <x:c r="J42" s="7" t="str">
        <x:v>OPSTEP-citadel-doctor-michel-blackmailer</x:v>
      </x:c>
      <x:c r="K42" s="7" t="str">
        <x:v>src/operation-data.js</x:v>
      </x:c>
      <x:c r="L42" s="7" t="str">
        <x:v>src/operation-data.js</x:v>
      </x:c>
      <x:c r="M42" s="7" t="str">
        <x:v>OPERATION_ENCOUNTERS.michel-blackmailer</x:v>
      </x:c>
      <x:c r="N42" s="7" t="str">
        <x:v>Objectifs et noms ME1 référencés ; chiffres, découpage et interface propres à cette adaptation ATB.</x:v>
      </x:c>
      <x:c r="O42" s="7" t="str">
        <x:v>https://masseffect.fandom.com/wiki/Citadel%3A_Doctor_Michel</x:v>
      </x:c>
      <x:c r="P42" s="7" t="str">
        <x:v>Production ME1</x:v>
      </x:c>
      <x:c r="Q42" s="7" t="str">
        <x:v>Rencontre adaptée, sans nouvelle espèce ni nouveau boss. Réutilise les poses ennemies du prototype ; statistiques et déroulement originaux non reproduits.</x:v>
      </x:c>
    </x:row>
    <x:row r="43" ht="62" customHeight="1">
      <x:c r="A43" s="13" t="str">
        <x:v>OPENCOUNTER-tunnel-geth</x:v>
      </x:c>
      <x:c r="B43" s="14" t="str">
        <x:v>Défense geth des tunnels — rencontre annexe</x:v>
      </x:c>
      <x:c r="C43" s="10" t="str">
        <x:v>Prototype</x:v>
      </x:c>
      <x:c r="D43" s="11" t="str">
        <x:v>À produire</x:v>
      </x:c>
      <x:c r="E43" s="15" t="str">
        <x:v>P1</x:v>
      </x:c>
      <x:c r="F43" s="15" t="str">
        <x:v>ME1</x:v>
      </x:c>
      <x:c r="G43" s="15" t="str">
        <x:v>Adaptation</x:v>
      </x:c>
      <x:c r="H43" s="14" t="str">
        <x:v>Rencontre ATB de Féros : Les geth dans les tunnels. Composition : sniper, sniper, destroyer. Les statistiques utilisent les archétypes existants du moteur.</x:v>
      </x:c>
      <x:c r="I43" s="14" t="str">
        <x:v>Armer la rencontre depuis le dialogue ; refuser le gain avant la victoire du groupe. Défaite et rechargement permettent une nouvelle tentative. La récompense de mission ne doit pas être versée à chaque reprise de combat.</x:v>
      </x:c>
      <x:c r="J43" s="14" t="str">
        <x:v>OPSTEP-feros-geth-tunnels-patrol</x:v>
      </x:c>
      <x:c r="K43" s="14" t="str">
        <x:v>src/operation-data.js</x:v>
      </x:c>
      <x:c r="L43" s="14" t="str">
        <x:v>src/operation-data.js</x:v>
      </x:c>
      <x:c r="M43" s="14" t="str">
        <x:v>OPERATION_ENCOUNTERS.tunnel-geth</x:v>
      </x:c>
      <x:c r="N43" s="14" t="str">
        <x:v>Objectifs et noms ME1 référencés ; chiffres, découpage et interface propres à cette adaptation ATB.</x:v>
      </x:c>
      <x:c r="O43" s="14" t="str">
        <x:v>https://masseffect.fandom.com/wiki/Feros%3A_Geth_in_the_Tunnels</x:v>
      </x:c>
      <x:c r="P43" s="14" t="str">
        <x:v>Production ME1</x:v>
      </x:c>
      <x:c r="Q43" s="14" t="str">
        <x:v>Rencontre adaptée, sans nouvelle espèce ni nouveau boss. Réutilise les poses ennemies du prototype ; statistiques et déroulement originaux non reproduits.</x:v>
      </x:c>
    </x:row>
    <x:row r="44" ht="62" customHeight="1">
      <x:c r="A44" s="12" t="str">
        <x:v>OPENCOUNTER-tunnel-krogans</x:v>
      </x:c>
      <x:c r="B44" s="7" t="str">
        <x:v>Gardiens du transmetteur — rencontre annexe</x:v>
      </x:c>
      <x:c r="C44" s="10" t="str">
        <x:v>Prototype</x:v>
      </x:c>
      <x:c r="D44" s="11" t="str">
        <x:v>À produire</x:v>
      </x:c>
      <x:c r="E44" s="9" t="str">
        <x:v>P1</x:v>
      </x:c>
      <x:c r="F44" s="9" t="str">
        <x:v>ME1</x:v>
      </x:c>
      <x:c r="G44" s="9" t="str">
        <x:v>Adaptation</x:v>
      </x:c>
      <x:c r="H44" s="7" t="str">
        <x:v>Rencontre ATB de Féros : Les geth dans les tunnels. Composition : krogan, krogan, krogan. Les statistiques utilisent les archétypes existants du moteur.</x:v>
      </x:c>
      <x:c r="I44" s="7" t="str">
        <x:v>Armer la rencontre depuis le dialogue ; refuser le gain avant la victoire du groupe. Défaite et rechargement permettent une nouvelle tentative. La récompense de mission ne doit pas être versée à chaque reprise de combat.</x:v>
      </x:c>
      <x:c r="J44" s="7" t="str">
        <x:v>OPSTEP-feros-geth-tunnels-guards</x:v>
      </x:c>
      <x:c r="K44" s="7" t="str">
        <x:v>src/operation-data.js</x:v>
      </x:c>
      <x:c r="L44" s="7" t="str">
        <x:v>src/operation-data.js</x:v>
      </x:c>
      <x:c r="M44" s="7" t="str">
        <x:v>OPERATION_ENCOUNTERS.tunnel-krogans</x:v>
      </x:c>
      <x:c r="N44" s="7" t="str">
        <x:v>Objectifs et noms ME1 référencés ; chiffres, découpage et interface propres à cette adaptation ATB.</x:v>
      </x:c>
      <x:c r="O44" s="7" t="str">
        <x:v>https://masseffect.fandom.com/wiki/Feros%3A_Geth_in_the_Tunnels</x:v>
      </x:c>
      <x:c r="P44" s="7" t="str">
        <x:v>Production ME1</x:v>
      </x:c>
      <x:c r="Q44" s="7" t="str">
        <x:v>Rencontre adaptée, sans nouvelle espèce ni nouveau boss. Réutilise les poses ennemies du prototype ; statistiques et déroulement originaux non reproduits.</x:v>
      </x:c>
    </x:row>
    <x:row r="45" ht="62" customHeight="1">
      <x:c r="A45" s="13" t="str">
        <x:v>OPENCOUNTER-data-krogans</x:v>
      </x:c>
      <x:c r="B45" s="14" t="str">
        <x:v>Gardes du terminal ExoGeni — rencontre annexe</x:v>
      </x:c>
      <x:c r="C45" s="10" t="str">
        <x:v>Prototype</x:v>
      </x:c>
      <x:c r="D45" s="11" t="str">
        <x:v>À produire</x:v>
      </x:c>
      <x:c r="E45" s="15" t="str">
        <x:v>P1</x:v>
      </x:c>
      <x:c r="F45" s="15" t="str">
        <x:v>ME1</x:v>
      </x:c>
      <x:c r="G45" s="15" t="str">
        <x:v>Adaptation</x:v>
      </x:c>
      <x:c r="H45" s="14" t="str">
        <x:v>Rencontre ATB de Féros : Récupération des données. Composition : krogan, krogan, krogan. Les statistiques utilisent les archétypes existants du moteur.</x:v>
      </x:c>
      <x:c r="I45" s="14" t="str">
        <x:v>Armer la rencontre depuis le dialogue ; refuser le gain avant la victoire du groupe. Défaite et rechargement permettent une nouvelle tentative. La récompense de mission ne doit pas être versée à chaque reprise de combat.</x:v>
      </x:c>
      <x:c r="J45" s="14" t="str">
        <x:v>OPSTEP-feros-data-recovery-guards</x:v>
      </x:c>
      <x:c r="K45" s="14" t="str">
        <x:v>src/operation-data.js</x:v>
      </x:c>
      <x:c r="L45" s="14" t="str">
        <x:v>src/operation-data.js</x:v>
      </x:c>
      <x:c r="M45" s="14" t="str">
        <x:v>OPERATION_ENCOUNTERS.data-krogans</x:v>
      </x:c>
      <x:c r="N45" s="14" t="str">
        <x:v>Objectifs et noms ME1 référencés ; chiffres, découpage et interface propres à cette adaptation ATB.</x:v>
      </x:c>
      <x:c r="O45" s="14" t="str">
        <x:v>https://masseffect.fandom.com/wiki/Feros%3A_Data_Recovery</x:v>
      </x:c>
      <x:c r="P45" s="14" t="str">
        <x:v>Production ME1</x:v>
      </x:c>
      <x:c r="Q45" s="14" t="str">
        <x:v>Rencontre adaptée, sans nouvelle espèce ni nouveau boss. Réutilise les poses ennemies du prototype ; statistiques et déroulement originaux non reproduits.</x:v>
      </x:c>
    </x:row>
  </x:sheetData>
  <x:conditionalFormatting sqref="C7:C45">
    <x:cfRule type="cellIs" dxfId="40" priority="1" operator="equal">
      <x:formula>"Prototype"</x:formula>
    </x:cfRule>
    <x:cfRule type="cellIs" dxfId="41" priority="2" operator="equal">
      <x:formula>"Intégré"</x:formula>
    </x:cfRule>
    <x:cfRule type="cellIs" dxfId="42" priority="3" operator="equal">
      <x:formula>"Validé"</x:formula>
    </x:cfRule>
  </x:conditionalFormatting>
  <x:conditionalFormatting sqref="G7:G45">
    <x:cfRule type="cellIs" dxfId="43" priority="4" operator="equal">
      <x:formula>"Référence à vérifier"</x:formula>
    </x:cfRule>
  </x:conditionalFormatting>
  <x:conditionalFormatting sqref="E7:E45">
    <x:cfRule type="cellIs" dxfId="44" priority="5" operator="equal">
      <x:formula>"P0"</x:formula>
    </x:cfRule>
  </x:conditionalFormatting>
  <x:dataValidations count="5">
    <x:dataValidation type="list" sqref="C7:C45">
      <x:formula1>"Défini,Prototype,Intégré,Validé"</x:formula1>
    </x:dataValidation>
    <x:dataValidation type="list" sqref="D7:D45">
      <x:formula1>"À produire,Prototype,Disponible,Validé,Sans objet,Non planifié"</x:formula1>
    </x:dataValidation>
    <x:dataValidation type="list" sqref="E7:E45">
      <x:formula1>"P0,P1,P2"</x:formula1>
    </x:dataValidation>
    <x:dataValidation type="list" sqref="F7:F45">
      <x:formula1>"ME1,ME2,ME3"</x:formula1>
    </x:dataValidation>
    <x:dataValidation type="list" sqref="G7:G45">
      <x:formula1>"Confirmé,Référence à vérifier,Adaptation"</x:formula1>
    </x:dataValidation>
  </x:dataValidations>
  <x:pageMargins left="0.7" right="0.7" top="0.75" bottom="0.75" header="0.3" footer="0.3"/>
  <x:tableParts count="1">
    <x:tablePart xmlns:r="http://schemas.openxmlformats.org/officeDocument/2006/relationships" r:id="Rc6d2c9d446d04709"/>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45" priority="1" operator="equal">
      <x:formula>"Prototype"</x:formula>
    </x:cfRule>
    <x:cfRule type="cellIs" dxfId="46" priority="2" operator="equal">
      <x:formula>"Intégré"</x:formula>
    </x:cfRule>
    <x:cfRule type="cellIs" dxfId="47" priority="3" operator="equal">
      <x:formula>"Validé"</x:formula>
    </x:cfRule>
  </x:conditionalFormatting>
  <x:conditionalFormatting sqref="G7:G69">
    <x:cfRule type="cellIs" dxfId="48" priority="4" operator="equal">
      <x:formula>"Référence à vérifier"</x:formula>
    </x:cfRule>
  </x:conditionalFormatting>
  <x:conditionalFormatting sqref="E7:E69">
    <x:cfRule type="cellIs" dxfId="4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341888602d314fc1"/>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SIDE-citadelle-la-consort</x:v>
      </x:c>
      <x:c r="B7" s="14" t="str">
        <x:v>Citadelle : La Favorite</x:v>
      </x:c>
      <x:c r="C7" s="10" t="str">
        <x:v>Prototype</x:v>
      </x:c>
      <x:c r="D7" s="11" t="str">
        <x:v>Prototype</x:v>
      </x:c>
      <x:c r="E7" s="15" t="str">
        <x:v>P1</x:v>
      </x:c>
      <x:c r="F7" s="15" t="str">
        <x:v>ME1</x:v>
      </x:c>
      <x:c r="G7" s="15" t="str">
        <x:v>Adaptation</x:v>
      </x:c>
      <x:c r="H7" s="14" t="str">
        <x:v>Sha’ira demande de faire cesser les accusations diffusées par Septimus. 4 étapes guidées. Récompense finale unique : 65 XP, 80 crédits, 2 Conciliation.</x:v>
      </x:c>
      <x:c r="I7" s="14" t="str">
        <x:v>Parcourir les 4 étapes sans saut ni double récompense. Après Eden Prime. Fermeture au passage du Conduit. Le journal, les interactions et la sauvegarde doivent afficher la même progression. Comparer les variantes manquantes au jeu avant validation finale.</x:v>
      </x:c>
      <x:c r="J7" s="14" t="str"/>
      <x:c r="K7" s="14" t="str">
        <x:v>src/operation-data.js</x:v>
      </x:c>
      <x:c r="L7" s="14" t="str">
        <x:v>src/operation-data.js</x:v>
      </x:c>
      <x:c r="M7" s="14" t="str">
        <x:v>OPERATIONS.citadel-consort</x:v>
      </x:c>
      <x:c r="N7" s="14" t="str">
        <x:v>Objectifs et noms ME1 référencés ; chiffres, découpage et interface propres à cette adaptation ATB.</x:v>
      </x:c>
      <x:c r="O7" s="14" t="str">
        <x:v>https://masseffect.fandom.com/wiki/Citadel%3A_Asari_Consort</x:v>
      </x:c>
      <x:c r="P7" s="14" t="str">
        <x:v>Production ME1</x:v>
      </x:c>
      <x:c r="Q7" s="14" t="str">
        <x:v>Déplacements et dialogues condensés dans la carte actuelle ; les intérieurs et embranchements de ME1 restent à reconstituer. Le cadeau verbal est réécrit ; la relique d’Eletania et la rencontre intime ne sont pas implémentés. Preuve : tests/operations.test.js.</x:v>
      </x:c>
    </x:row>
    <x:row r="8" ht="100" customHeight="1">
      <x:c r="A8" s="12" t="str">
        <x:v>SIDE-citadelle-retour-a-la-maison</x:v>
      </x:c>
      <x:c r="B8" s="7" t="str">
        <x:v>Citadelle Retour à la maison</x:v>
      </x:c>
      <x:c r="C8" s="10" t="str">
        <x:v>Prototype</x:v>
      </x:c>
      <x:c r="D8" s="11" t="str">
        <x:v>Prototype</x:v>
      </x:c>
      <x:c r="E8" s="9" t="str">
        <x:v>P1</x:v>
      </x:c>
      <x:c r="F8" s="9" t="str">
        <x:v>ME1</x:v>
      </x:c>
      <x:c r="G8" s="9" t="str">
        <x:v>Référence à vérifier</x:v>
      </x:c>
      <x:c r="H8" s="7" t="str">
        <x:v>Demande de Samesh Bhatia.</x:v>
      </x:c>
      <x:c r="I8" s="7" t="str">
        <x:v>Résolution par dialogue et résultat explicités.</x:v>
      </x:c>
      <x:c r="J8" s="7" t="str">
        <x:v>NPC-samesh-bhatia, NPC-bosker, SYS-dialogue-a-choix, SYS-journal-de-mission</x:v>
      </x:c>
      <x:c r="K8" s="7" t="str">
        <x:v>content/side_quests/SIDE-citadelle-retour-a-la-maison.json</x:v>
      </x:c>
      <x:c r="L8" s="7" t="str">
        <x:v>src/assignment-data.js</x:v>
      </x:c>
      <x:c r="M8" s="7" t="str">
        <x:v>ASSIGNMENTS.homecoming</x:v>
      </x:c>
      <x:c r="N8" s="7" t="str">
        <x:v>Page secondaire proposée pour comparaison ; non consultée dans cet environnement. Noms, conditions, embranchements et édition à recouper dans le jeu avant validation canonique.</x:v>
      </x:c>
      <x:c r="O8" s="7" t="str">
        <x:v>https://masseffect.fandom.com/wiki/Citadel:_Homecoming</x:v>
      </x:c>
      <x:c r="P8" s="7" t="str">
        <x:v>Production ME1</x:v>
      </x:c>
      <x:c r="Q8" s="7" t="str">
        <x:v>Demande de Samesh, échange avec Bosker et retour à la famille ; deux issues conservées (restitution du corps ou poursuite des recherches). Les contrôles de persuasion, la totalité des répliques et les lieux exacts restent à reconstituer.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9" ht="100" customHeight="1">
      <x:c r="A9" s="13" t="str">
        <x:v>SIDE-citadelle-le-fan</x:v>
      </x:c>
      <x:c r="B9" s="14" t="str">
        <x:v>Citadelle Le Fan</x:v>
      </x:c>
      <x:c r="C9" s="10" t="str">
        <x:v>Prototype</x:v>
      </x:c>
      <x:c r="D9" s="11" t="str">
        <x:v>Prototype</x:v>
      </x:c>
      <x:c r="E9" s="15" t="str">
        <x:v>P1</x:v>
      </x:c>
      <x:c r="F9" s="15" t="str">
        <x:v>ME1</x:v>
      </x:c>
      <x:c r="G9" s="15" t="str">
        <x:v>Référence à vérifier</x:v>
      </x:c>
      <x:c r="H9" s="14" t="str">
        <x:v>Rencontres successives avec Conrad Verner.</x:v>
      </x:c>
      <x:c r="I9" s="14" t="str">
        <x:v>Évolution entre visites sans boucler la récompense.</x:v>
      </x:c>
      <x:c r="J9" s="14" t="str">
        <x:v>NPC-conrad-verner, SYS-dialogue-a-choix, SYS-journal-de-mission</x:v>
      </x:c>
      <x:c r="K9" s="14" t="str">
        <x:v>content/side_quests/SIDE-citadelle-le-fan.json</x:v>
      </x:c>
      <x:c r="L9" s="14" t="str">
        <x:v>src/assignment-data.js</x:v>
      </x:c>
      <x:c r="M9" s="14" t="str">
        <x:v>ASSIGNMENTS.fan</x:v>
      </x:c>
      <x:c r="N9" s="14" t="str">
        <x:v>Page secondaire proposée pour comparaison ; non consultée dans cet environnement. Noms, conditions, embranchements et édition à recouper dans le jeu avant validation canonique.</x:v>
      </x:c>
      <x:c r="O9" s="14" t="str">
        <x:v>https://masseffect.fandom.com/wiki/Citadel:_The_Fan</x:v>
      </x:c>
      <x:c r="P9" s="14" t="str">
        <x:v>Production ME1</x:v>
      </x:c>
      <x:c r="Q9" s="14" t="str">
        <x:v>Autographe, photographie puis dissuasion, avec une nouvelle étape parmi Thérum, Féros et Novéria entre chaque rencontre. Les jalons du premier contact et de la photo sont conservés. Les simples allers-retours ne font pas progresser la quête. Refus, intimidation et conséquences ultérieures restent à produire.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75" customHeight="1">
      <x:c r="A11" s="13" t="str">
        <x:v>SIDE-citadelle-les-veilleurs</x:v>
      </x:c>
      <x:c r="B11" s="14" t="str">
        <x:v>Citadelle : Scanner les veilleurs</x:v>
      </x:c>
      <x:c r="C11" s="10" t="str">
        <x:v>Prototype</x:v>
      </x:c>
      <x:c r="D11" s="11" t="str">
        <x:v>Prototype</x:v>
      </x:c>
      <x:c r="E11" s="15" t="str">
        <x:v>P1</x:v>
      </x:c>
      <x:c r="F11" s="15" t="str">
        <x:v>ME1</x:v>
      </x:c>
      <x:c r="G11" s="15" t="str">
        <x:v>Adaptation</x:v>
      </x:c>
      <x:c r="H11" s="14" t="str">
        <x:v>Réunir un échantillon de quatre relevés non invasifs pour Chorban. 6 étapes guidées. Récompense finale unique : 60 XP, 70 crédits.</x:v>
      </x:c>
      <x:c r="I11" s="14" t="str">
        <x:v>Parcourir les 6 étapes sans saut ni double récompense. Après Eden Prime. Fermeture au passage du Conduit. Le journal, les interactions et la sauvegarde doivent afficher la même progression. Comparer les variantes manquantes au jeu avant validation finale.</x:v>
      </x:c>
      <x:c r="J11" s="14" t="str"/>
      <x:c r="K11" s="14" t="str">
        <x:v>src/operation-data.js</x:v>
      </x:c>
      <x:c r="L11" s="14" t="str">
        <x:v>src/operation-data.js</x:v>
      </x:c>
      <x:c r="M11" s="14" t="str">
        <x:v>OPERATIONS.citadel-keepers</x:v>
      </x:c>
      <x:c r="N11" s="14" t="str">
        <x:v>Objectifs et noms ME1 référencés ; chiffres, découpage et interface propres à cette adaptation ATB.</x:v>
      </x:c>
      <x:c r="O11" s="14" t="str">
        <x:v>https://masseffect.fandom.com/wiki/Citadel%3A_Scan_the_Keepers</x:v>
      </x:c>
      <x:c r="P11" s="14" t="str">
        <x:v>Production ME1</x:v>
      </x:c>
      <x:c r="Q11" s="14" t="str">
        <x:v>Échantillon de quatre veilleurs, dans un ordre guidé, avec rapport final. ME1 demande 21 scans ; Legendary Edition en exige 20 parmi 21. Les récompenses par scan et Jahleed ne sont pas implémentés. Preuve : tests/operations.test.js.</x:v>
      </x:c>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75" customHeight="1">
      <x:c r="A14" s="12" t="str">
        <x:v>SIDE-citadelle-signal-suspect</x:v>
      </x:c>
      <x:c r="B14" s="7" t="str">
        <x:v>Citadelle : Traque du signal</x:v>
      </x:c>
      <x:c r="C14" s="10" t="str">
        <x:v>Prototype</x:v>
      </x:c>
      <x:c r="D14" s="11" t="str">
        <x:v>Prototype</x:v>
      </x:c>
      <x:c r="E14" s="9" t="str">
        <x:v>P1</x:v>
      </x:c>
      <x:c r="F14" s="9" t="str">
        <x:v>ME1</x:v>
      </x:c>
      <x:c r="G14" s="9" t="str">
        <x:v>Adaptation</x:v>
      </x:c>
      <x:c r="H14" s="7" t="str">
        <x:v>Remonter un détournement de crédits depuis Flux jusqu’à sa source. 4 étapes guidées. Récompense finale unique : 65 XP, 85 crédits.</x:v>
      </x:c>
      <x:c r="I14" s="7" t="str">
        <x:v>Parcourir les 4 étapes sans saut ni double récompense. Après Eden Prime. Fermeture au passage du Conduit. Le journal, les interactions et la sauvegarde doivent afficher la même progression. Comparer les variantes manquantes au jeu avant validation finale.</x:v>
      </x:c>
      <x:c r="J14" s="7" t="str"/>
      <x:c r="K14" s="7" t="str">
        <x:v>src/operation-data.js</x:v>
      </x:c>
      <x:c r="L14" s="7" t="str">
        <x:v>src/operation-data.js</x:v>
      </x:c>
      <x:c r="M14" s="7" t="str">
        <x:v>OPERATIONS.citadel-signal-tracking</x:v>
      </x:c>
      <x:c r="N14" s="7" t="str">
        <x:v>Objectifs et noms ME1 référencés ; chiffres, découpage et interface propres à cette adaptation ATB.</x:v>
      </x:c>
      <x:c r="O14" s="7" t="str">
        <x:v>https://masseffect.fandom.com/wiki/Citadel%3A_Signal_Tracking</x:v>
      </x:c>
      <x:c r="P14" s="7" t="str">
        <x:v>Production ME1</x:v>
      </x:c>
      <x:c r="Q14" s="7" t="str">
        <x:v>Déplacements et dialogues condensés dans la carte actuelle ; les intérieurs et embranchements de ME1 restent à reconstituer. Le désamorçage chronométré de l’IA est remplacé par un choix de coupure ; il ne constitue pas une reproduction du mini-jeu. Preuve : tests/operations.test.js.</x:v>
      </x:c>
    </x:row>
    <x:row r="15" ht="88" customHeight="1">
      <x:c r="A15" s="13" t="str">
        <x:v>SIDE-citadelle-docteur-michel</x:v>
      </x:c>
      <x:c r="B15" s="14" t="str">
        <x:v>Citadelle : Le docteur Michel</x:v>
      </x:c>
      <x:c r="C15" s="10" t="str">
        <x:v>Prototype</x:v>
      </x:c>
      <x:c r="D15" s="11" t="str">
        <x:v>Prototype</x:v>
      </x:c>
      <x:c r="E15" s="15" t="str">
        <x:v>P1</x:v>
      </x:c>
      <x:c r="F15" s="15" t="str">
        <x:v>ME1</x:v>
      </x:c>
      <x:c r="G15" s="15" t="str">
        <x:v>Adaptation</x:v>
      </x:c>
      <x:c r="H15" s="14" t="str">
        <x:v>Identifier le maître chanteur qui détourne les fournitures du docteur Michel. 4 étapes guidées. Récompense finale unique : 70 XP, 90 crédits, 1 médi-gel.</x:v>
      </x:c>
      <x:c r="I15" s="14" t="str">
        <x:v>Parcourir les 4 étapes sans saut ni double récompense. Après Eden Prime. Tali recrutée. Fermeture au passage du Conduit. Le journal, les interactions et la sauvegarde doivent afficher la même progression. Comparer les variantes manquantes au jeu avant validation finale.</x:v>
      </x:c>
      <x:c r="J15" s="14" t="str"/>
      <x:c r="K15" s="14" t="str">
        <x:v>src/operation-data.js</x:v>
      </x:c>
      <x:c r="L15" s="14" t="str">
        <x:v>src/operation-data.js</x:v>
      </x:c>
      <x:c r="M15" s="14" t="str">
        <x:v>OPERATIONS.citadel-doctor-michel</x:v>
      </x:c>
      <x:c r="N15" s="14" t="str">
        <x:v>Objectifs et noms ME1 référencés ; chiffres, découpage et interface propres à cette adaptation ATB.</x:v>
      </x:c>
      <x:c r="O15" s="14" t="str">
        <x:v>https://masseffect.fandom.com/wiki/Citadel%3A_Doctor_Michel</x:v>
      </x:c>
      <x:c r="P15" s="14" t="str">
        <x:v>Production ME1</x:v>
      </x:c>
      <x:c r="Q15" s="14" t="str">
        <x:v>Déplacements et dialogues condensés dans la carte actuelle ; les intérieurs et embranchements de ME1 restent à reconstituer. La remise de 20 % concerne la recharge de médi-gel des armureries. Les prix, les seuils et le combat sont adaptés ; la piste Banes n’est pas développée. Preuve : tests/operations.test.js.</x:v>
      </x:c>
    </x:row>
    <x:row r="16" ht="75" customHeight="1">
      <x:c r="A16" s="12" t="str">
        <x:v>SIDE-citadelle-demande-d-emily-wong</x:v>
      </x:c>
      <x:c r="B16" s="7" t="str">
        <x:v>Citadelle : La demande de la journaliste</x:v>
      </x:c>
      <x:c r="C16" s="10" t="str">
        <x:v>Prototype</x:v>
      </x:c>
      <x:c r="D16" s="11" t="str">
        <x:v>Prototype</x:v>
      </x:c>
      <x:c r="E16" s="9" t="str">
        <x:v>P1</x:v>
      </x:c>
      <x:c r="F16" s="9" t="str">
        <x:v>ME1</x:v>
      </x:c>
      <x:c r="G16" s="9" t="str">
        <x:v>Adaptation</x:v>
      </x:c>
      <x:c r="H16" s="7" t="str">
        <x:v>Aider Emily Wong à documenter les activités criminelles de Fist. 3 étapes guidées. Récompense finale unique : 55 XP, 75 crédits.</x:v>
      </x:c>
      <x:c r="I16" s="7" t="str">
        <x:v>Parcourir les 3 étapes sans saut ni double récompense. Après Eden Prime. Fermeture au passage du Conduit. Le journal, les interactions et la sauvegarde doivent afficher la même progression. Comparer les variantes manquantes au jeu avant validation finale.</x:v>
      </x:c>
      <x:c r="J16" s="7" t="str"/>
      <x:c r="K16" s="7" t="str">
        <x:v>src/operation-data.js</x:v>
      </x:c>
      <x:c r="L16" s="7" t="str">
        <x:v>src/operation-data.js</x:v>
      </x:c>
      <x:c r="M16" s="7" t="str">
        <x:v>OPERATIONS.citadel-reporters-request</x:v>
      </x:c>
      <x:c r="N16" s="7" t="str">
        <x:v>Objectifs et noms ME1 référencés ; chiffres, découpage et interface propres à cette adaptation ATB.</x:v>
      </x:c>
      <x:c r="O16" s="7" t="str">
        <x:v>https://masseffect.fandom.com/wiki/Citadel%3A_Reporter's_Request</x:v>
      </x:c>
      <x:c r="P16" s="7" t="str">
        <x:v>Production ME1</x:v>
      </x:c>
      <x:c r="Q16" s="7" t="str">
        <x:v>Déplacements et dialogues condensés dans la carte actuelle ; les intérieurs et embranchements de ME1 restent à reconstituer. Le recrutement de Tali sert de jalon à l’accès au disque de Fist ; sa confrontation originale reste hors scène. Preuve : tests/operations.test.js.</x:v>
      </x:c>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100" customHeight="1">
      <x:c r="A20" s="12" t="str">
        <x:v>SIDE-citadelle-affaire-familiale</x:v>
      </x:c>
      <x:c r="B20" s="7" t="str">
        <x:v>Citadelle Affaire familiale</x:v>
      </x:c>
      <x:c r="C20" s="10" t="str">
        <x:v>Prototype</x:v>
      </x:c>
      <x:c r="D20" s="11" t="str">
        <x:v>Prototype</x:v>
      </x:c>
      <x:c r="E20" s="9" t="str">
        <x:v>P1</x:v>
      </x:c>
      <x:c r="F20" s="9" t="str">
        <x:v>ME1</x:v>
      </x:c>
      <x:c r="G20" s="9" t="str">
        <x:v>Référence à vérifier</x:v>
      </x:c>
      <x:c r="H20" s="7" t="str">
        <x:v>Débat familial lié à une grossesse.</x:v>
      </x:c>
      <x:c r="I20" s="7" t="str">
        <x:v>Choix de dialogue vérifié avec prudence narrative.</x:v>
      </x:c>
      <x:c r="J20" s="7" t="str">
        <x:v>SYS-dialogue-a-choix, SYS-journal-de-mission</x:v>
      </x:c>
      <x:c r="K20" s="7" t="str">
        <x:v>content/side_quests/SIDE-citadelle-affaire-familiale.json</x:v>
      </x:c>
      <x:c r="L20" s="7" t="str">
        <x:v>src/assignment-data.js</x:v>
      </x:c>
      <x:c r="M20" s="7" t="str">
        <x:v>ASSIGNMENTS.family</x:v>
      </x:c>
      <x:c r="N20" s="7" t="str">
        <x:v>Page secondaire proposée pour comparaison ; non consultée dans cet environnement. Noms, conditions, embranchements et édition à recouper dans le jeu avant validation canonique.</x:v>
      </x:c>
      <x:c r="O20" s="7" t="str">
        <x:v>https://masseffect.fandom.com/wiki/Citadel:_Family_Matter</x:v>
      </x:c>
      <x:c r="P20" s="7" t="str">
        <x:v>Production ME1</x:v>
      </x:c>
      <x:c r="Q20" s="7" t="str">
        <x:v>Discussion Rebekah/Michael après une étape principale de l’enquête ; deux prises de position persistantes. Aucun chiffre de risque ni résultat médical inventé. Les conditions et variantes intégrales restent à recouper.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88" customHeight="1">
      <x:c r="A25" s="13" t="str">
        <x:v>SIDE-feros-retablissement-de-l-eau</x:v>
      </x:c>
      <x:c r="B25" s="14" t="str">
        <x:v>Féros : Rétablir l’eau</x:v>
      </x:c>
      <x:c r="C25" s="10" t="str">
        <x:v>Prototype</x:v>
      </x:c>
      <x:c r="D25" s="11" t="str">
        <x:v>Prototype</x:v>
      </x:c>
      <x:c r="E25" s="15" t="str">
        <x:v>P1</x:v>
      </x:c>
      <x:c r="F25" s="15" t="str">
        <x:v>ME1</x:v>
      </x:c>
      <x:c r="G25" s="15" t="str">
        <x:v>Adaptation</x:v>
      </x:c>
      <x:c r="H25" s="14" t="str">
        <x:v>Réactiver trois vannes pour rétablir l’alimentation en eau de la colonie. 5 étapes guidées. Récompense finale unique : 60 XP, 60 crédits, 4 Conciliation.</x:v>
      </x:c>
      <x:c r="I25" s="14" t="str">
        <x:v>Parcourir les 5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5" s="14" t="str"/>
      <x:c r="K25" s="14" t="str">
        <x:v>src/operation-data.js</x:v>
      </x:c>
      <x:c r="L25" s="14" t="str">
        <x:v>src/operation-data.js</x:v>
      </x:c>
      <x:c r="M25" s="14" t="str">
        <x:v>OPERATIONS.feros-water</x:v>
      </x:c>
      <x:c r="N25" s="14" t="str">
        <x:v>Objectifs et noms ME1 référencés ; chiffres, découpage et interface propres à cette adaptation ATB.</x:v>
      </x:c>
      <x:c r="O25" s="14" t="str">
        <x:v>https://masseffect.fandom.com/wiki/Feros%3A_Water_Restoration</x:v>
      </x:c>
      <x:c r="P25" s="14" t="str">
        <x:v>Production ME1</x:v>
      </x:c>
      <x:c r="Q25" s="14" t="str">
        <x:v>Déplacements et dialogues condensés dans la carte actuelle ; les intérieurs et embranchements de ME1 restent à reconstituer. Trois vannes sont présentes ; les salles et combats des tunnels ne sont pas reconstruits à l’échelle originale. Preuve : tests/operations.test.js.</x:v>
      </x:c>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88" customHeight="1">
      <x:c r="A27" s="13" t="str">
        <x:v>SIDE-feros-cellules-energetiques</x:v>
      </x:c>
      <x:c r="B27" s="14" t="str">
        <x:v>Féros : Cellules énergétiques</x:v>
      </x:c>
      <x:c r="C27" s="10" t="str">
        <x:v>Prototype</x:v>
      </x:c>
      <x:c r="D27" s="11" t="str">
        <x:v>Prototype</x:v>
      </x:c>
      <x:c r="E27" s="15" t="str">
        <x:v>P1</x:v>
      </x:c>
      <x:c r="F27" s="15" t="str">
        <x:v>ME1</x:v>
      </x:c>
      <x:c r="G27" s="15" t="str">
        <x:v>Adaptation</x:v>
      </x:c>
      <x:c r="H27" s="14" t="str">
        <x:v>Récupérer des cellules dans une épave pour le générateur de May O’Connell. 3 étapes guidées. Récompense finale unique : 55 XP, 60 crédits, 4 Conciliation.</x:v>
      </x:c>
      <x:c r="I27" s="14" t="str">
        <x:v>Parcourir les 3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7" s="14" t="str"/>
      <x:c r="K27" s="14" t="str">
        <x:v>src/operation-data.js</x:v>
      </x:c>
      <x:c r="L27" s="14" t="str">
        <x:v>src/operation-data.js</x:v>
      </x:c>
      <x:c r="M27" s="14" t="str">
        <x:v>OPERATIONS.feros-power</x:v>
      </x:c>
      <x:c r="N27" s="14" t="str">
        <x:v>Objectifs et noms ME1 référencés ; chiffres, découpage et interface propres à cette adaptation ATB.</x:v>
      </x:c>
      <x:c r="O27" s="14" t="str">
        <x:v>https://masseffect.fandom.com/wiki/Feros%3A_Power_Cells</x:v>
      </x:c>
      <x:c r="P27" s="14" t="str">
        <x:v>Production ME1</x:v>
      </x:c>
      <x:c r="Q27" s="14" t="str">
        <x:v>Déplacements et dialogues condensés dans la carte actuelle ; les intérieurs et embranchements de ME1 restent à reconstituer. La récupération sur l’épave est jouable ; le groupe de varrens et l’assignation de viande sont absents, sans ennemi de substitution. Preuve : tests/operations.test.js.</x:v>
      </x:c>
    </x:row>
    <x:row r="28" ht="88" customHeight="1">
      <x:c r="A28" s="12" t="str">
        <x:v>SIDE-feros-geth-dans-les-tunnels</x:v>
      </x:c>
      <x:c r="B28" s="7" t="str">
        <x:v>Féros : Les geth dans les tunnels</x:v>
      </x:c>
      <x:c r="C28" s="10" t="str">
        <x:v>Prototype</x:v>
      </x:c>
      <x:c r="D28" s="11" t="str">
        <x:v>Prototype</x:v>
      </x:c>
      <x:c r="E28" s="9" t="str">
        <x:v>P1</x:v>
      </x:c>
      <x:c r="F28" s="9" t="str">
        <x:v>ME1</x:v>
      </x:c>
      <x:c r="G28" s="9" t="str">
        <x:v>Adaptation</x:v>
      </x:c>
      <x:c r="H28" s="7" t="str">
        <x:v>Éliminer la défense du transmetteur geth et faire un rapport à Fai Dan avant le Thorien. 5 étapes guidées. Récompense finale unique : 90 XP, 100 crédits, 6 Conciliation.</x:v>
      </x:c>
      <x:c r="I28" s="7" t="str">
        <x:v>Parcourir les 5 étapes sans saut ni double récompense. Après le statut Spectre et le premier combat de Féros. Rapport à terminer avant le Thorien. Fermeture au passage du Conduit. Le journal, les interactions et la sauvegarde doivent afficher la même progression. Comparer les variantes manquantes au jeu avant validation finale.</x:v>
      </x:c>
      <x:c r="J28" s="7" t="str"/>
      <x:c r="K28" s="7" t="str">
        <x:v>src/operation-data.js</x:v>
      </x:c>
      <x:c r="L28" s="7" t="str">
        <x:v>src/operation-data.js</x:v>
      </x:c>
      <x:c r="M28" s="7" t="str">
        <x:v>OPERATIONS.feros-geth-tunnels</x:v>
      </x:c>
      <x:c r="N28" s="7" t="str">
        <x:v>Objectifs et noms ME1 référencés ; chiffres, découpage et interface propres à cette adaptation ATB.</x:v>
      </x:c>
      <x:c r="O28" s="7" t="str">
        <x:v>https://masseffect.fandom.com/wiki/Feros%3A_Geth_in_the_Tunnels</x:v>
      </x:c>
      <x:c r="P28" s="7" t="str">
        <x:v>Production ME1</x:v>
      </x:c>
      <x:c r="Q28" s="7" t="str">
        <x:v>Déplacements et dialogues condensés dans la carte actuelle ; les intérieurs et embranchements de ME1 restent à reconstituer. Deux combats ATB représentent les défenseurs. Le drone geth est omis ; les trois gardes krogans sont présents. Le transmetteur se détruit par interaction. Preuve : tests/operations.test.js.</x:v>
      </x:c>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row r="69" ht="62" customHeight="1">
      <x:c r="A69" s="13" t="str">
        <x:v>OPSTEP-citadel-consort-reception</x:v>
      </x:c>
      <x:c r="B69" s="14" t="str">
        <x:v>Citadelle : La Favorite — 1. Nelyna</x:v>
      </x:c>
      <x:c r="C69" s="10" t="str">
        <x:v>Prototype</x:v>
      </x:c>
      <x:c r="D69" s="11" t="str">
        <x:v>À produire</x:v>
      </x:c>
      <x:c r="E69" s="15" t="str">
        <x:v>P1</x:v>
      </x:c>
      <x:c r="F69" s="15" t="str">
        <x:v>ME1</x:v>
      </x:c>
      <x:c r="G69" s="15" t="str">
        <x:v>Adaptation</x:v>
      </x:c>
      <x:c r="H69" s="14" t="str">
        <x:v>Étape 1/4, citadel. La Favorite reçoit peu de visiteurs sans rendez-vous. Elle a toutefois entendu parler de votre arrivée. Je peux lui annoncer votre présence.</x:v>
      </x:c>
      <x:c r="I69" s="14" t="str">
        <x:v>Afficher seulement à l’étape 1. Refuser les réponses verrouillées, sauvegarder le choix et ne progresser qu’une fois.</x:v>
      </x:c>
      <x:c r="J69" s="14" t="str">
        <x:v>SIDE-citadelle-la-consort</x:v>
      </x:c>
      <x:c r="K69" s="14" t="str">
        <x:v>src/operation-data.js</x:v>
      </x:c>
      <x:c r="L69" s="14" t="str">
        <x:v>src/operation-data.js</x:v>
      </x:c>
      <x:c r="M69" s="14" t="str">
        <x:v>citadel-consort.reception</x:v>
      </x:c>
      <x:c r="N69" s="14" t="str">
        <x:v>Objectifs et noms ME1 référencés ; chiffres, découpage et interface propres à cette adaptation ATB.</x:v>
      </x:c>
      <x:c r="O69" s="14" t="str">
        <x:v>https://masseffect.fandom.com/wiki/Citadel%3A_Asari_Consort</x:v>
      </x:c>
      <x:c r="P69" s="14" t="str">
        <x:v>Production ME1</x:v>
      </x:c>
      <x:c r="Q69" s="14" t="str">
        <x:v>Réponses : accept : Demander à rencontrer Sha’ira.. Position proposée x=-10, z=13 ; déplacée à proximité par le moteur si obstacle. Dialogues réécrits.</x:v>
      </x:c>
    </x:row>
    <x:row r="70" ht="75" customHeight="1">
      <x:c r="A70" s="12" t="str">
        <x:v>OPSTEP-citadel-consort-request</x:v>
      </x:c>
      <x:c r="B70" s="7" t="str">
        <x:v>Citadelle : La Favorite — 2. Sha’ira</x:v>
      </x:c>
      <x:c r="C70" s="10" t="str">
        <x:v>Prototype</x:v>
      </x:c>
      <x:c r="D70" s="11" t="str">
        <x:v>À produire</x:v>
      </x:c>
      <x:c r="E70" s="9" t="str">
        <x:v>P1</x:v>
      </x:c>
      <x:c r="F70" s="9" t="str">
        <x:v>ME1</x:v>
      </x:c>
      <x:c r="G70" s="9" t="str">
        <x:v>Adaptation</x:v>
      </x:c>
      <x:c r="H70" s="7" t="str">
        <x:v>Étape 2/4, citadel. Un ancien ami, le général Septimus, répand des accusations après notre désaccord. Il a besoin d’entendre la voix d’un autre soldat. Retrouvez-le et aidez-le à reprendre ses esprits.</x:v>
      </x:c>
      <x:c r="I70" s="7" t="str">
        <x:v>Afficher seulement à l’étape 2. Refuser les réponses verrouillées, sauvegarder le choix et ne progresser qu’une fois.</x:v>
      </x:c>
      <x:c r="J70" s="7" t="str">
        <x:v>SIDE-citadelle-la-consort, OPSTEP-citadel-consort-reception</x:v>
      </x:c>
      <x:c r="K70" s="7" t="str">
        <x:v>src/operation-data.js</x:v>
      </x:c>
      <x:c r="L70" s="7" t="str">
        <x:v>src/operation-data.js</x:v>
      </x:c>
      <x:c r="M70" s="7" t="str">
        <x:v>citadel-consort.request</x:v>
      </x:c>
      <x:c r="N70" s="7" t="str">
        <x:v>Objectifs et noms ME1 référencés ; chiffres, découpage et interface propres à cette adaptation ATB.</x:v>
      </x:c>
      <x:c r="O70" s="7" t="str">
        <x:v>https://masseffect.fandom.com/wiki/Citadel%3A_Asari_Consort</x:v>
      </x:c>
      <x:c r="P70" s="7" t="str">
        <x:v>Production ME1</x:v>
      </x:c>
      <x:c r="Q70" s="7" t="str">
        <x:v>Réponses : accept : Je vais m’en occuper.. Position proposée x=-12, z=10 ; déplacée à proximité par le moteur si obstacle. Dialogues réécrits.</x:v>
      </x:c>
    </x:row>
    <x:row r="71" ht="62" customHeight="1">
      <x:c r="A71" s="13" t="str">
        <x:v>OPSTEP-citadel-consort-septimus</x:v>
      </x:c>
      <x:c r="B71" s="14" t="str">
        <x:v>Citadelle : La Favorite — 3. Général Septimus</x:v>
      </x:c>
      <x:c r="C71" s="10" t="str">
        <x:v>Prototype</x:v>
      </x:c>
      <x:c r="D71" s="11" t="str">
        <x:v>À produire</x:v>
      </x:c>
      <x:c r="E71" s="15" t="str">
        <x:v>P1</x:v>
      </x:c>
      <x:c r="F71" s="15" t="str">
        <x:v>ME1</x:v>
      </x:c>
      <x:c r="G71" s="15" t="str">
        <x:v>Adaptation</x:v>
      </x:c>
      <x:c r="H71" s="14" t="str">
        <x:v>Étape 3/4, citadel. J’ai laissé mon amertume guider mes paroles. Xeltan croit maintenant que Sha’ira a divulgué son secret ; c’est moi qui l’avais découvert. Voici de quoi lui montrer la vérité.</x:v>
      </x:c>
      <x:c r="I71" s="14" t="str">
        <x:v>Afficher seulement à l’étape 3. Refuser les réponses verrouillées, sauvegarder le choix et ne progresser qu’une fois.</x:v>
      </x:c>
      <x:c r="J71" s="14" t="str">
        <x:v>SIDE-citadelle-la-consort, OPSTEP-citadel-consort-request</x:v>
      </x:c>
      <x:c r="K71" s="14" t="str">
        <x:v>src/operation-data.js</x:v>
      </x:c>
      <x:c r="L71" s="14" t="str">
        <x:v>src/operation-data.js</x:v>
      </x:c>
      <x:c r="M71" s="14" t="str">
        <x:v>citadel-consort.septimus</x:v>
      </x:c>
      <x:c r="N71" s="14" t="str">
        <x:v>Objectifs et noms ME1 référencés ; chiffres, découpage et interface propres à cette adaptation ATB.</x:v>
      </x:c>
      <x:c r="O71" s="14" t="str">
        <x:v>https://masseffect.fandom.com/wiki/Citadel%3A_Asari_Consort</x:v>
      </x:c>
      <x:c r="P71" s="14" t="str">
        <x:v>Production ME1</x:v>
      </x:c>
      <x:c r="Q71" s="14" t="str">
        <x:v>Réponses : reason : Vous pouvez encore réparer ce tort. / firm : Un général doit répondre de ses actes.. Position proposée x=12, z=8 ; déplacée à proximité par le moteur si obstacle. Dialogues réécrits.</x:v>
      </x:c>
    </x:row>
    <x:row r="72" ht="75" customHeight="1">
      <x:c r="A72" s="12" t="str">
        <x:v>OPSTEP-citadel-consort-report</x:v>
      </x:c>
      <x:c r="B72" s="7" t="str">
        <x:v>Citadelle : La Favorite — 4. Sha’ira</x:v>
      </x:c>
      <x:c r="C72" s="10" t="str">
        <x:v>Prototype</x:v>
      </x:c>
      <x:c r="D72" s="11" t="str">
        <x:v>À produire</x:v>
      </x:c>
      <x:c r="E72" s="9" t="str">
        <x:v>P1</x:v>
      </x:c>
      <x:c r="F72" s="9" t="str">
        <x:v>ME1</x:v>
      </x:c>
      <x:c r="G72" s="9" t="str">
        <x:v>Adaptation</x:v>
      </x:c>
      <x:c r="H72" s="7" t="str">
        <x:v>Étape 4/4, citadel. Septimus m’a fait parvenir ses excuses. Vous lui avez rappelé qu’il pouvait encore choisir la personne qu’il souhaite devenir. Gardez cette idée pour les épreuves qui vous attendent.</x:v>
      </x:c>
      <x:c r="I72" s="7" t="str">
        <x:v>Afficher seulement à l’étape 4. Refuser les réponses verrouillées, sauvegarder le choix et ne progresser qu’une fois.</x:v>
      </x:c>
      <x:c r="J72" s="7" t="str">
        <x:v>SIDE-citadelle-la-consort, OPSTEP-citadel-consort-septimus</x:v>
      </x:c>
      <x:c r="K72" s="7" t="str">
        <x:v>src/operation-data.js</x:v>
      </x:c>
      <x:c r="L72" s="7" t="str">
        <x:v>src/operation-data.js</x:v>
      </x:c>
      <x:c r="M72" s="7" t="str">
        <x:v>citadel-consort.report</x:v>
      </x:c>
      <x:c r="N72" s="7" t="str">
        <x:v>Objectifs et noms ME1 référencés ; chiffres, découpage et interface propres à cette adaptation ATB.</x:v>
      </x:c>
      <x:c r="O72" s="7" t="str">
        <x:v>https://masseffect.fandom.com/wiki/Citadel%3A_Asari_Consort</x:v>
      </x:c>
      <x:c r="P72" s="7" t="str">
        <x:v>Production ME1</x:v>
      </x:c>
      <x:c r="Q72" s="7" t="str">
        <x:v>Réponses : report : Accepter ses remerciements.. Position proposée x=-12, z=10 ; déplacée à proximité par le moteur si obstacle. Dialogues réécrits.</x:v>
      </x:c>
    </x:row>
    <x:row r="73" ht="88" customHeight="1">
      <x:c r="A73" s="13" t="str">
        <x:v>SIDE-citadelle-plainte-de-xeltan</x:v>
      </x:c>
      <x:c r="B73" s="14" t="str">
        <x:v>Citadelle : La plainte de Xeltan</x:v>
      </x:c>
      <x:c r="C73" s="10" t="str">
        <x:v>Prototype</x:v>
      </x:c>
      <x:c r="D73" s="11" t="str">
        <x:v>Prototype</x:v>
      </x:c>
      <x:c r="E73" s="15" t="str">
        <x:v>P1</x:v>
      </x:c>
      <x:c r="F73" s="15" t="str">
        <x:v>ME1</x:v>
      </x:c>
      <x:c r="G73" s="15" t="str">
        <x:v>Adaptation</x:v>
      </x:c>
      <x:c r="H73" s="14" t="str">
        <x:v>Présenter à Xeltan les preuves remises par Septimus pour innocenter Sha’ira. 2 étapes guidées. Récompense finale unique : 40 XP, 45 crédits.</x:v>
      </x:c>
      <x:c r="I73" s="14" t="str">
        <x:v>Parcourir les 2 étapes sans saut ni double récompense. Après Eden Prime. Après citadel-consort, étape 3. Fermeture au passage du Conduit. Le journal, les interactions et la sauvegarde doivent afficher la même progression. Comparer les variantes manquantes au jeu avant validation finale.</x:v>
      </x:c>
      <x:c r="J73" s="14" t="str">
        <x:v>SIDE-citadelle-la-consort</x:v>
      </x:c>
      <x:c r="K73" s="14" t="str">
        <x:v>src/operation-data.js</x:v>
      </x:c>
      <x:c r="L73" s="14" t="str">
        <x:v>src/operation-data.js</x:v>
      </x:c>
      <x:c r="M73" s="14" t="str">
        <x:v>OPERATIONS.citadel-xeltan</x:v>
      </x:c>
      <x:c r="N73" s="14" t="str">
        <x:v>Objectifs et noms ME1 référencés ; chiffres, découpage et interface propres à cette adaptation ATB.</x:v>
      </x:c>
      <x:c r="O73" s="14" t="str">
        <x:v>https://masseffect.fandom.com/wiki/Citadel%3A_Xeltan's_Complaint</x:v>
      </x:c>
      <x:c r="P73" s="14" t="str">
        <x:v>Production ME1</x:v>
      </x:c>
      <x:c r="Q73" s="14" t="str">
        <x:v>Déplacements et dialogues condensés dans la carte actuelle ; les intérieurs et embranchements de ME1 restent à reconstituer. Deux échanges successifs remplacent l’entretien original ; aucune relique supplémentaire n’est distribuée. Preuve : tests/operations.test.js.</x:v>
      </x:c>
    </x:row>
    <x:row r="74" ht="62" customHeight="1">
      <x:c r="A74" s="12" t="str">
        <x:v>OPSTEP-citadel-xeltan-evidence</x:v>
      </x:c>
      <x:c r="B74" s="7" t="str">
        <x:v>Citadelle : La plainte de Xeltan — 1. Xeltan</x:v>
      </x:c>
      <x:c r="C74" s="10" t="str">
        <x:v>Prototype</x:v>
      </x:c>
      <x:c r="D74" s="11" t="str">
        <x:v>À produire</x:v>
      </x:c>
      <x:c r="E74" s="9" t="str">
        <x:v>P1</x:v>
      </x:c>
      <x:c r="F74" s="9" t="str">
        <x:v>ME1</x:v>
      </x:c>
      <x:c r="G74" s="9" t="str">
        <x:v>Adaptation</x:v>
      </x:c>
      <x:c r="H74" s="7" t="str">
        <x:v>Étape 1/2, citadel. Avec inquiétude : ces données montrent que Septimus détenait mon secret. Je pensais que seule Sha’ira pouvait le connaître. Votre intervention change la situation.</x:v>
      </x:c>
      <x:c r="I74" s="7" t="str">
        <x:v>Afficher seulement à l’étape 1. Refuser les réponses verrouillées, sauvegarder le choix et ne progresser qu’une fois.</x:v>
      </x:c>
      <x:c r="J74" s="7" t="str">
        <x:v>SIDE-citadelle-plainte-de-xeltan</x:v>
      </x:c>
      <x:c r="K74" s="7" t="str">
        <x:v>src/operation-data.js</x:v>
      </x:c>
      <x:c r="L74" s="7" t="str">
        <x:v>src/operation-data.js</x:v>
      </x:c>
      <x:c r="M74" s="7" t="str">
        <x:v>citadel-xeltan.evidence</x:v>
      </x:c>
      <x:c r="N74" s="7" t="str">
        <x:v>Objectifs et noms ME1 référencés ; chiffres, découpage et interface propres à cette adaptation ATB.</x:v>
      </x:c>
      <x:c r="O74" s="7" t="str">
        <x:v>https://masseffect.fandom.com/wiki/Citadel%3A_Xeltan's_Complaint</x:v>
      </x:c>
      <x:c r="P74" s="7" t="str">
        <x:v>Production ME1</x:v>
      </x:c>
      <x:c r="Q74" s="7" t="str">
        <x:v>Réponses : show-evidence : Présenter les données de Septimus.. Position proposée x=10, z=-12 ; déplacée à proximité par le moteur si obstacle. Dialogues réécrits.</x:v>
      </x:c>
    </x:row>
    <x:row r="75" ht="62" customHeight="1">
      <x:c r="A75" s="13" t="str">
        <x:v>OPSTEP-citadel-xeltan-reassure</x:v>
      </x:c>
      <x:c r="B75" s="14" t="str">
        <x:v>Citadelle : La plainte de Xeltan — 2. Xeltan</x:v>
      </x:c>
      <x:c r="C75" s="10" t="str">
        <x:v>Prototype</x:v>
      </x:c>
      <x:c r="D75" s="11" t="str">
        <x:v>À produire</x:v>
      </x:c>
      <x:c r="E75" s="15" t="str">
        <x:v>P1</x:v>
      </x:c>
      <x:c r="F75" s="15" t="str">
        <x:v>ME1</x:v>
      </x:c>
      <x:c r="G75" s="15" t="str">
        <x:v>Adaptation</x:v>
      </x:c>
      <x:c r="H75" s="14" t="str">
        <x:v>Étape 2/2, citadel. Avec regret : j’ai accusé Sha’ira à tort. J’irai lui présenter mes excuses. Avec appréhension : dois-je craindre que d’autres disposent aussi de ces informations ?</x:v>
      </x:c>
      <x:c r="I75" s="14" t="str">
        <x:v>Afficher seulement à l’étape 2. Refuser les réponses verrouillées, sauvegarder le choix et ne progresser qu’une fois.</x:v>
      </x:c>
      <x:c r="J75" s="14" t="str">
        <x:v>SIDE-citadelle-plainte-de-xeltan, OPSTEP-citadel-xeltan-evidence</x:v>
      </x:c>
      <x:c r="K75" s="14" t="str">
        <x:v>src/operation-data.js</x:v>
      </x:c>
      <x:c r="L75" s="14" t="str">
        <x:v>src/operation-data.js</x:v>
      </x:c>
      <x:c r="M75" s="14" t="str">
        <x:v>citadel-xeltan.reassure</x:v>
      </x:c>
      <x:c r="N75" s="14" t="str">
        <x:v>Objectifs et noms ME1 référencés ; chiffres, découpage et interface propres à cette adaptation ATB.</x:v>
      </x:c>
      <x:c r="O75" s="14" t="str">
        <x:v>https://masseffect.fandom.com/wiki/Citadel%3A_Xeltan's_Complaint</x:v>
      </x:c>
      <x:c r="P75" s="14" t="str">
        <x:v>Production ME1</x:v>
      </x:c>
      <x:c r="Q75" s="14" t="str">
        <x:v>Réponses : reassure : Ces données ne sont pas accessibles à tous. / caution : Réévaluez vos mesures de confidentialité.. Position proposée x=10, z=-12 ; déplacée à proximité par le moteur si obstacle. Dialogues réécrits.</x:v>
      </x:c>
    </x:row>
    <x:row r="76" ht="75" customHeight="1">
      <x:c r="A76" s="12" t="str">
        <x:v>OPSTEP-citadel-reporters-request-request</x:v>
      </x:c>
      <x:c r="B76" s="7" t="str">
        <x:v>Citadelle : La demande de la journaliste — 1. Emily Wong</x:v>
      </x:c>
      <x:c r="C76" s="10" t="str">
        <x:v>Prototype</x:v>
      </x:c>
      <x:c r="D76" s="11" t="str">
        <x:v>À produire</x:v>
      </x:c>
      <x:c r="E76" s="9" t="str">
        <x:v>P1</x:v>
      </x:c>
      <x:c r="F76" s="9" t="str">
        <x:v>ME1</x:v>
      </x:c>
      <x:c r="G76" s="9" t="str">
        <x:v>Adaptation</x:v>
      </x:c>
      <x:c r="H76" s="7" t="str">
        <x:v>Étape 1/3, citadel. Je prépare une enquête sur les réseaux criminels de la station. Les témoignages manquent de preuves vérifiables. Si vos recherches vous conduisent chez Fist, cherchez ses registres.</x:v>
      </x:c>
      <x:c r="I76" s="7" t="str">
        <x:v>Afficher seulement à l’étape 1. Refuser les réponses verrouillées, sauvegarder le choix et ne progresser qu’une fois.</x:v>
      </x:c>
      <x:c r="J76" s="7" t="str">
        <x:v>SIDE-citadelle-demande-d-emily-wong</x:v>
      </x:c>
      <x:c r="K76" s="7" t="str">
        <x:v>src/operation-data.js</x:v>
      </x:c>
      <x:c r="L76" s="7" t="str">
        <x:v>src/operation-data.js</x:v>
      </x:c>
      <x:c r="M76" s="7" t="str">
        <x:v>citadel-reporters-request.request</x:v>
      </x:c>
      <x:c r="N76" s="7" t="str">
        <x:v>Objectifs et noms ME1 référencés ; chiffres, découpage et interface propres à cette adaptation ATB.</x:v>
      </x:c>
      <x:c r="O76" s="7" t="str">
        <x:v>https://masseffect.fandom.com/wiki/Citadel%3A_Reporter's_Request</x:v>
      </x:c>
      <x:c r="P76" s="7" t="str">
        <x:v>Production ME1</x:v>
      </x:c>
      <x:c r="Q76" s="7" t="str">
        <x:v>Réponses : accept : Je vais m’en occuper.. Position proposée x=11, z=14 ; déplacée à proximité par le moteur si obstacle. Dialogues réécrits.</x:v>
      </x:c>
    </x:row>
    <x:row r="77" ht="62" customHeight="1">
      <x:c r="A77" s="13" t="str">
        <x:v>OPSTEP-citadel-reporters-request-disk</x:v>
      </x:c>
      <x:c r="B77" s="14" t="str">
        <x:v>Citadelle : La demande de la journaliste — 2. Disque de Fist</x:v>
      </x:c>
      <x:c r="C77" s="10" t="str">
        <x:v>Prototype</x:v>
      </x:c>
      <x:c r="D77" s="11" t="str">
        <x:v>À produire</x:v>
      </x:c>
      <x:c r="E77" s="15" t="str">
        <x:v>P1</x:v>
      </x:c>
      <x:c r="F77" s="15" t="str">
        <x:v>ME1</x:v>
      </x:c>
      <x:c r="G77" s="15" t="str">
        <x:v>Adaptation</x:v>
      </x:c>
      <x:c r="H77" s="14" t="str">
        <x:v>Étape 2/3, citadel. Les fichiers laissés dans le bureau documentent des transactions clandestines. Leur copie peut étayer l’enquête d’Emily sans modifier les originaux.</x:v>
      </x:c>
      <x:c r="I77" s="14" t="str">
        <x:v>Afficher seulement à l’étape 2. Refuser les réponses verrouillées, sauvegarder le choix et ne progresser qu’une fois. La copie attend le recrutement de Tali.</x:v>
      </x:c>
      <x:c r="J77" s="14" t="str">
        <x:v>SIDE-citadelle-demande-d-emily-wong, OPSTEP-citadel-reporters-request-request</x:v>
      </x:c>
      <x:c r="K77" s="14" t="str">
        <x:v>src/operation-data.js</x:v>
      </x:c>
      <x:c r="L77" s="14" t="str">
        <x:v>src/operation-data.js</x:v>
      </x:c>
      <x:c r="M77" s="14" t="str">
        <x:v>citadel-reporters-request.disk</x:v>
      </x:c>
      <x:c r="N77" s="14" t="str">
        <x:v>Objectifs et noms ME1 référencés ; chiffres, découpage et interface propres à cette adaptation ATB.</x:v>
      </x:c>
      <x:c r="O77" s="14" t="str">
        <x:v>https://masseffect.fandom.com/wiki/Citadel%3A_Reporter's_Request</x:v>
      </x:c>
      <x:c r="P77" s="14" t="str">
        <x:v>Production ME1</x:v>
      </x:c>
      <x:c r="Q77" s="14" t="str">
        <x:v>Réponses : copy : Copier le disque pour Emily.. Position proposée x=-13, z=-5 ; déplacée à proximité par le moteur si obstacle. Dialogues réécrits.</x:v>
      </x:c>
    </x:row>
    <x:row r="78" ht="62" customHeight="1">
      <x:c r="A78" s="12" t="str">
        <x:v>OPSTEP-citadel-reporters-request-report</x:v>
      </x:c>
      <x:c r="B78" s="7" t="str">
        <x:v>Citadelle : La demande de la journaliste — 3. Emily Wong</x:v>
      </x:c>
      <x:c r="C78" s="10" t="str">
        <x:v>Prototype</x:v>
      </x:c>
      <x:c r="D78" s="11" t="str">
        <x:v>À produire</x:v>
      </x:c>
      <x:c r="E78" s="9" t="str">
        <x:v>P1</x:v>
      </x:c>
      <x:c r="F78" s="9" t="str">
        <x:v>ME1</x:v>
      </x:c>
      <x:c r="G78" s="9" t="str">
        <x:v>Adaptation</x:v>
      </x:c>
      <x:c r="H78" s="7" t="str">
        <x:v>Étape 3/3, citadel. Ces registres vont me permettre de vérifier les noms et les versements. Je recouperai chaque élément avant de publier. Merci d’avoir conservé les données.</x:v>
      </x:c>
      <x:c r="I78" s="7" t="str">
        <x:v>Afficher seulement à l’étape 3. Refuser les réponses verrouillées, sauvegarder le choix et ne progresser qu’une fois.</x:v>
      </x:c>
      <x:c r="J78" s="7" t="str">
        <x:v>SIDE-citadelle-demande-d-emily-wong, OPSTEP-citadel-reporters-request-disk</x:v>
      </x:c>
      <x:c r="K78" s="7" t="str">
        <x:v>src/operation-data.js</x:v>
      </x:c>
      <x:c r="L78" s="7" t="str">
        <x:v>src/operation-data.js</x:v>
      </x:c>
      <x:c r="M78" s="7" t="str">
        <x:v>citadel-reporters-request.report</x:v>
      </x:c>
      <x:c r="N78" s="7" t="str">
        <x:v>Objectifs et noms ME1 référencés ; chiffres, découpage et interface propres à cette adaptation ATB.</x:v>
      </x:c>
      <x:c r="O78" s="7" t="str">
        <x:v>https://masseffect.fandom.com/wiki/Citadel%3A_Reporter's_Request</x:v>
      </x:c>
      <x:c r="P78" s="7" t="str">
        <x:v>Production ME1</x:v>
      </x:c>
      <x:c r="Q78" s="7" t="str">
        <x:v>Réponses : deliver : Transmettre les éléments de l’enquête.. Position proposée x=11, z=14 ; déplacée à proximité par le moteur si obstacle. Dialogues réécrits.</x:v>
      </x:c>
    </x:row>
    <x:row r="79" ht="75" customHeight="1">
      <x:c r="A79" s="13" t="str">
        <x:v>OPSTEP-citadel-keepers-scanner</x:v>
      </x:c>
      <x:c r="B79" s="14" t="str">
        <x:v>Citadelle : Scanner les veilleurs — 1. Chorban</x:v>
      </x:c>
      <x:c r="C79" s="10" t="str">
        <x:v>Prototype</x:v>
      </x:c>
      <x:c r="D79" s="11" t="str">
        <x:v>À produire</x:v>
      </x:c>
      <x:c r="E79" s="15" t="str">
        <x:v>P1</x:v>
      </x:c>
      <x:c r="F79" s="15" t="str">
        <x:v>ME1</x:v>
      </x:c>
      <x:c r="G79" s="15" t="str">
        <x:v>Adaptation</x:v>
      </x:c>
      <x:c r="H79" s="14" t="str">
        <x:v>Étape 1/6, citadel. Nous connaissons mal les veilleurs qui entretiennent la station. Ce scanner recueille des mesures à distance, sans interrompre leur travail. Quatre relevés nous donneront un premier échantillon.</x:v>
      </x:c>
      <x:c r="I79" s="14" t="str">
        <x:v>Afficher seulement à l’étape 1. Refuser les réponses verrouillées, sauvegarder le choix et ne progresser qu’une fois.</x:v>
      </x:c>
      <x:c r="J79" s="14" t="str">
        <x:v>SIDE-citadelle-les-veilleurs</x:v>
      </x:c>
      <x:c r="K79" s="14" t="str">
        <x:v>src/operation-data.js</x:v>
      </x:c>
      <x:c r="L79" s="14" t="str">
        <x:v>src/operation-data.js</x:v>
      </x:c>
      <x:c r="M79" s="14" t="str">
        <x:v>citadel-keepers.scanner</x:v>
      </x:c>
      <x:c r="N79" s="14" t="str">
        <x:v>Objectifs et noms ME1 référencés ; chiffres, découpage et interface propres à cette adaptation ATB.</x:v>
      </x:c>
      <x:c r="O79" s="14" t="str">
        <x:v>https://masseffect.fandom.com/wiki/Citadel%3A_Scan_the_Keepers</x:v>
      </x:c>
      <x:c r="P79" s="14" t="str">
        <x:v>Production ME1</x:v>
      </x:c>
      <x:c r="Q79" s="14" t="str">
        <x:v>Réponses : accept : Accepter le scanner non invasif.. Position proposée x=-10, z=-15 ; déplacée à proximité par le moteur si obstacle. Dialogues réécrits.</x:v>
      </x:c>
    </x:row>
    <x:row r="80" ht="49" customHeight="1">
      <x:c r="A80" s="12" t="str">
        <x:v>OPSTEP-citadel-keepers-keeper-tower</x:v>
      </x:c>
      <x:c r="B80" s="7" t="str">
        <x:v>Citadelle : Scanner les veilleurs — 2. Veilleur de la tour</x:v>
      </x:c>
      <x:c r="C80" s="10" t="str">
        <x:v>Prototype</x:v>
      </x:c>
      <x:c r="D80" s="11" t="str">
        <x:v>À produire</x:v>
      </x:c>
      <x:c r="E80" s="9" t="str">
        <x:v>P1</x:v>
      </x:c>
      <x:c r="F80" s="9" t="str">
        <x:v>ME1</x:v>
      </x:c>
      <x:c r="G80" s="9" t="str">
        <x:v>Adaptation</x:v>
      </x:c>
      <x:c r="H80" s="7" t="str">
        <x:v>Étape 2/6, citadel. Le veilleur poursuit son inspection. L’omni-tool peut relever ses paramètres sans contact.</x:v>
      </x:c>
      <x:c r="I80" s="7" t="str">
        <x:v>Afficher seulement à l’étape 2. Refuser les réponses verrouillées, sauvegarder le choix et ne progresser qu’une fois.</x:v>
      </x:c>
      <x:c r="J80" s="7" t="str">
        <x:v>SIDE-citadelle-les-veilleurs, OPSTEP-citadel-keepers-scanner</x:v>
      </x:c>
      <x:c r="K80" s="7" t="str">
        <x:v>src/operation-data.js</x:v>
      </x:c>
      <x:c r="L80" s="7" t="str">
        <x:v>src/operation-data.js</x:v>
      </x:c>
      <x:c r="M80" s="7" t="str">
        <x:v>citadel-keepers.keeper-tower</x:v>
      </x:c>
      <x:c r="N80" s="7" t="str">
        <x:v>Objectifs et noms ME1 référencés ; chiffres, découpage et interface propres à cette adaptation ATB.</x:v>
      </x:c>
      <x:c r="O80" s="7" t="str">
        <x:v>https://masseffect.fandom.com/wiki/Citadel%3A_Scan_the_Keepers</x:v>
      </x:c>
      <x:c r="P80" s="7" t="str">
        <x:v>Production ME1</x:v>
      </x:c>
      <x:c r="Q80" s="7" t="str">
        <x:v>Réponses : scan : Enregistrer le premier relevé.. Position proposée x=12, z=-16 ; déplacée à proximité par le moteur si obstacle. Dialogues réécrits.</x:v>
      </x:c>
    </x:row>
    <x:row r="81" ht="49" customHeight="1">
      <x:c r="A81" s="13" t="str">
        <x:v>OPSTEP-citadel-keepers-keeper-garden</x:v>
      </x:c>
      <x:c r="B81" s="14" t="str">
        <x:v>Citadelle : Scanner les veilleurs — 3. Veilleur des jardins</x:v>
      </x:c>
      <x:c r="C81" s="10" t="str">
        <x:v>Prototype</x:v>
      </x:c>
      <x:c r="D81" s="11" t="str">
        <x:v>À produire</x:v>
      </x:c>
      <x:c r="E81" s="15" t="str">
        <x:v>P1</x:v>
      </x:c>
      <x:c r="F81" s="15" t="str">
        <x:v>ME1</x:v>
      </x:c>
      <x:c r="G81" s="15" t="str">
        <x:v>Adaptation</x:v>
      </x:c>
      <x:c r="H81" s="14" t="str">
        <x:v>Étape 3/6, citadel. Le capteur reconnaît un second individu occupé au réseau du jardin.</x:v>
      </x:c>
      <x:c r="I81" s="14" t="str">
        <x:v>Afficher seulement à l’étape 3. Refuser les réponses verrouillées, sauvegarder le choix et ne progresser qu’une fois.</x:v>
      </x:c>
      <x:c r="J81" s="14" t="str">
        <x:v>SIDE-citadelle-les-veilleurs, OPSTEP-citadel-keepers-keeper-tower</x:v>
      </x:c>
      <x:c r="K81" s="14" t="str">
        <x:v>src/operation-data.js</x:v>
      </x:c>
      <x:c r="L81" s="14" t="str">
        <x:v>src/operation-data.js</x:v>
      </x:c>
      <x:c r="M81" s="14" t="str">
        <x:v>citadel-keepers.keeper-garden</x:v>
      </x:c>
      <x:c r="N81" s="14" t="str">
        <x:v>Objectifs et noms ME1 référencés ; chiffres, découpage et interface propres à cette adaptation ATB.</x:v>
      </x:c>
      <x:c r="O81" s="14" t="str">
        <x:v>https://masseffect.fandom.com/wiki/Citadel%3A_Scan_the_Keepers</x:v>
      </x:c>
      <x:c r="P81" s="14" t="str">
        <x:v>Production ME1</x:v>
      </x:c>
      <x:c r="Q81" s="14" t="str">
        <x:v>Réponses : scan : Enregistrer le deuxième relevé.. Position proposée x=-12, z=0 ; déplacée à proximité par le moteur si obstacle. Dialogues réécrits.</x:v>
      </x:c>
    </x:row>
    <x:row r="82" ht="49" customHeight="1">
      <x:c r="A82" s="12" t="str">
        <x:v>OPSTEP-citadel-keepers-keeper-wards</x:v>
      </x:c>
      <x:c r="B82" s="7" t="str">
        <x:v>Citadelle : Scanner les veilleurs — 4. Veilleur des secteurs</x:v>
      </x:c>
      <x:c r="C82" s="10" t="str">
        <x:v>Prototype</x:v>
      </x:c>
      <x:c r="D82" s="11" t="str">
        <x:v>À produire</x:v>
      </x:c>
      <x:c r="E82" s="9" t="str">
        <x:v>P1</x:v>
      </x:c>
      <x:c r="F82" s="9" t="str">
        <x:v>ME1</x:v>
      </x:c>
      <x:c r="G82" s="9" t="str">
        <x:v>Adaptation</x:v>
      </x:c>
      <x:c r="H82" s="7" t="str">
        <x:v>Étape 4/6, citadel. Ce veilleur intervient sur une conduite. Le scanner peut fonctionner depuis le passage.</x:v>
      </x:c>
      <x:c r="I82" s="7" t="str">
        <x:v>Afficher seulement à l’étape 4. Refuser les réponses verrouillées, sauvegarder le choix et ne progresser qu’une fois.</x:v>
      </x:c>
      <x:c r="J82" s="7" t="str">
        <x:v>SIDE-citadelle-les-veilleurs, OPSTEP-citadel-keepers-keeper-garden</x:v>
      </x:c>
      <x:c r="K82" s="7" t="str">
        <x:v>src/operation-data.js</x:v>
      </x:c>
      <x:c r="L82" s="7" t="str">
        <x:v>src/operation-data.js</x:v>
      </x:c>
      <x:c r="M82" s="7" t="str">
        <x:v>citadel-keepers.keeper-wards</x:v>
      </x:c>
      <x:c r="N82" s="7" t="str">
        <x:v>Objectifs et noms ME1 référencés ; chiffres, découpage et interface propres à cette adaptation ATB.</x:v>
      </x:c>
      <x:c r="O82" s="7" t="str">
        <x:v>https://masseffect.fandom.com/wiki/Citadel%3A_Scan_the_Keepers</x:v>
      </x:c>
      <x:c r="P82" s="7" t="str">
        <x:v>Production ME1</x:v>
      </x:c>
      <x:c r="Q82" s="7" t="str">
        <x:v>Réponses : scan : Enregistrer le troisième relevé.. Position proposée x=12, z=0 ; déplacée à proximité par le moteur si obstacle. Dialogues réécrits.</x:v>
      </x:c>
    </x:row>
    <x:row r="83" ht="49" customHeight="1">
      <x:c r="A83" s="13" t="str">
        <x:v>OPSTEP-citadel-keepers-keeper-dock</x:v>
      </x:c>
      <x:c r="B83" s="14" t="str">
        <x:v>Citadelle : Scanner les veilleurs — 5. Veilleur des quais</x:v>
      </x:c>
      <x:c r="C83" s="10" t="str">
        <x:v>Prototype</x:v>
      </x:c>
      <x:c r="D83" s="11" t="str">
        <x:v>À produire</x:v>
      </x:c>
      <x:c r="E83" s="15" t="str">
        <x:v>P1</x:v>
      </x:c>
      <x:c r="F83" s="15" t="str">
        <x:v>ME1</x:v>
      </x:c>
      <x:c r="G83" s="15" t="str">
        <x:v>Adaptation</x:v>
      </x:c>
      <x:c r="H83" s="14" t="str">
        <x:v>Étape 5/6, citadel. Un dernier relevé complète l’échantillon demandé. Les quatre signatures sont distinctes.</x:v>
      </x:c>
      <x:c r="I83" s="14" t="str">
        <x:v>Afficher seulement à l’étape 5. Refuser les réponses verrouillées, sauvegarder le choix et ne progresser qu’une fois.</x:v>
      </x:c>
      <x:c r="J83" s="14" t="str">
        <x:v>SIDE-citadelle-les-veilleurs, OPSTEP-citadel-keepers-keeper-wards</x:v>
      </x:c>
      <x:c r="K83" s="14" t="str">
        <x:v>src/operation-data.js</x:v>
      </x:c>
      <x:c r="L83" s="14" t="str">
        <x:v>src/operation-data.js</x:v>
      </x:c>
      <x:c r="M83" s="14" t="str">
        <x:v>citadel-keepers.keeper-dock</x:v>
      </x:c>
      <x:c r="N83" s="14" t="str">
        <x:v>Objectifs et noms ME1 référencés ; chiffres, découpage et interface propres à cette adaptation ATB.</x:v>
      </x:c>
      <x:c r="O83" s="14" t="str">
        <x:v>https://masseffect.fandom.com/wiki/Citadel%3A_Scan_the_Keepers</x:v>
      </x:c>
      <x:c r="P83" s="14" t="str">
        <x:v>Production ME1</x:v>
      </x:c>
      <x:c r="Q83" s="14" t="str">
        <x:v>Réponses : scan : Enregistrer le quatrième relevé.. Position proposée x=-11, z=16 ; déplacée à proximité par le moteur si obstacle. Dialogues réécrits.</x:v>
      </x:c>
    </x:row>
    <x:row r="84" ht="62" customHeight="1">
      <x:c r="A84" s="12" t="str">
        <x:v>OPSTEP-citadel-keepers-report</x:v>
      </x:c>
      <x:c r="B84" s="7" t="str">
        <x:v>Citadelle : Scanner les veilleurs — 6. Chorban</x:v>
      </x:c>
      <x:c r="C84" s="10" t="str">
        <x:v>Prototype</x:v>
      </x:c>
      <x:c r="D84" s="11" t="str">
        <x:v>À produire</x:v>
      </x:c>
      <x:c r="E84" s="9" t="str">
        <x:v>P1</x:v>
      </x:c>
      <x:c r="F84" s="9" t="str">
        <x:v>ME1</x:v>
      </x:c>
      <x:c r="G84" s="9" t="str">
        <x:v>Adaptation</x:v>
      </x:c>
      <x:c r="H84" s="7" t="str">
        <x:v>Étape 6/6, citadel. Les quatre séries de mesures sont exploitables. Ce n’est qu’un début, mais nous pouvons désormais comparer plusieurs environnements de la station.</x:v>
      </x:c>
      <x:c r="I84" s="7" t="str">
        <x:v>Afficher seulement à l’étape 6. Refuser les réponses verrouillées, sauvegarder le choix et ne progresser qu’une fois.</x:v>
      </x:c>
      <x:c r="J84" s="7" t="str">
        <x:v>SIDE-citadelle-les-veilleurs, OPSTEP-citadel-keepers-keeper-dock</x:v>
      </x:c>
      <x:c r="K84" s="7" t="str">
        <x:v>src/operation-data.js</x:v>
      </x:c>
      <x:c r="L84" s="7" t="str">
        <x:v>src/operation-data.js</x:v>
      </x:c>
      <x:c r="M84" s="7" t="str">
        <x:v>citadel-keepers.report</x:v>
      </x:c>
      <x:c r="N84" s="7" t="str">
        <x:v>Objectifs et noms ME1 référencés ; chiffres, découpage et interface propres à cette adaptation ATB.</x:v>
      </x:c>
      <x:c r="O84" s="7" t="str">
        <x:v>https://masseffect.fandom.com/wiki/Citadel%3A_Scan_the_Keepers</x:v>
      </x:c>
      <x:c r="P84" s="7" t="str">
        <x:v>Production ME1</x:v>
      </x:c>
      <x:c r="Q84" s="7" t="str">
        <x:v>Réponses : report : Clore la collecte de cet échantillon.. Position proposée x=-10, z=-15 ; déplacée à proximité par le moteur si obstacle. Dialogues réécrits.</x:v>
      </x:c>
    </x:row>
    <x:row r="85" ht="62" customHeight="1">
      <x:c r="A85" s="13" t="str">
        <x:v>OPSTEP-citadel-signal-tracking-flux</x:v>
      </x:c>
      <x:c r="B85" s="14" t="str">
        <x:v>Citadelle : Traque du signal — 1. Terminal de Flux</x:v>
      </x:c>
      <x:c r="C85" s="10" t="str">
        <x:v>Prototype</x:v>
      </x:c>
      <x:c r="D85" s="11" t="str">
        <x:v>À produire</x:v>
      </x:c>
      <x:c r="E85" s="15" t="str">
        <x:v>P1</x:v>
      </x:c>
      <x:c r="F85" s="15" t="str">
        <x:v>ME1</x:v>
      </x:c>
      <x:c r="G85" s="15" t="str">
        <x:v>Adaptation</x:v>
      </x:c>
      <x:c r="H85" s="14" t="str">
        <x:v>Étape 1/4, citadel. Un flux financier quitte les machines de jeu par une connexion non déclarée. L’omni-tool identifie un premier relais dans les accès aux secteurs.</x:v>
      </x:c>
      <x:c r="I85" s="14" t="str">
        <x:v>Afficher seulement à l’étape 1. Refuser les réponses verrouillées, sauvegarder le choix et ne progresser qu’une fois.</x:v>
      </x:c>
      <x:c r="J85" s="14" t="str">
        <x:v>SIDE-citadelle-signal-suspect</x:v>
      </x:c>
      <x:c r="K85" s="14" t="str">
        <x:v>src/operation-data.js</x:v>
      </x:c>
      <x:c r="L85" s="14" t="str">
        <x:v>src/operation-data.js</x:v>
      </x:c>
      <x:c r="M85" s="14" t="str">
        <x:v>citadel-signal-tracking.flux</x:v>
      </x:c>
      <x:c r="N85" s="14" t="str">
        <x:v>Objectifs et noms ME1 référencés ; chiffres, découpage et interface propres à cette adaptation ATB.</x:v>
      </x:c>
      <x:c r="O85" s="14" t="str">
        <x:v>https://masseffect.fandom.com/wiki/Citadel%3A_Signal_Tracking</x:v>
      </x:c>
      <x:c r="P85" s="14" t="str">
        <x:v>Production ME1</x:v>
      </x:c>
      <x:c r="Q85" s="14" t="str">
        <x:v>Réponses : trace : Démarrer la traque du signal.. Position proposée x=13, z=4 ; déplacée à proximité par le moteur si obstacle. Dialogues réécrits.</x:v>
      </x:c>
    </x:row>
    <x:row r="86" ht="49" customHeight="1">
      <x:c r="A86" s="12" t="str">
        <x:v>OPSTEP-citadel-signal-tracking-wards-relay</x:v>
      </x:c>
      <x:c r="B86" s="7" t="str">
        <x:v>Citadelle : Traque du signal — 2. Relais des secteurs</x:v>
      </x:c>
      <x:c r="C86" s="10" t="str">
        <x:v>Prototype</x:v>
      </x:c>
      <x:c r="D86" s="11" t="str">
        <x:v>À produire</x:v>
      </x:c>
      <x:c r="E86" s="9" t="str">
        <x:v>P1</x:v>
      </x:c>
      <x:c r="F86" s="9" t="str">
        <x:v>ME1</x:v>
      </x:c>
      <x:c r="G86" s="9" t="str">
        <x:v>Adaptation</x:v>
      </x:c>
      <x:c r="H86" s="7" t="str">
        <x:v>Étape 2/4, citadel. Le relais masque la destination des virements. La prochaine redirection passe par les équipements du bureau de Barla Von.</x:v>
      </x:c>
      <x:c r="I86" s="7" t="str">
        <x:v>Afficher seulement à l’étape 2. Refuser les réponses verrouillées, sauvegarder le choix et ne progresser qu’une fois.</x:v>
      </x:c>
      <x:c r="J86" s="7" t="str">
        <x:v>SIDE-citadelle-signal-suspect, OPSTEP-citadel-signal-tracking-flux</x:v>
      </x:c>
      <x:c r="K86" s="7" t="str">
        <x:v>src/operation-data.js</x:v>
      </x:c>
      <x:c r="L86" s="7" t="str">
        <x:v>src/operation-data.js</x:v>
      </x:c>
      <x:c r="M86" s="7" t="str">
        <x:v>citadel-signal-tracking.wards-relay</x:v>
      </x:c>
      <x:c r="N86" s="7" t="str">
        <x:v>Objectifs et noms ME1 référencés ; chiffres, découpage et interface propres à cette adaptation ATB.</x:v>
      </x:c>
      <x:c r="O86" s="7" t="str">
        <x:v>https://masseffect.fandom.com/wiki/Citadel%3A_Signal_Tracking</x:v>
      </x:c>
      <x:c r="P86" s="7" t="str">
        <x:v>Production ME1</x:v>
      </x:c>
      <x:c r="Q86" s="7" t="str">
        <x:v>Réponses : trace : Suivre la redirection suivante.. Position proposée x=-10, z=7 ; déplacée à proximité par le moteur si obstacle. Dialogues réécrits.</x:v>
      </x:c>
    </x:row>
    <x:row r="87" ht="49" customHeight="1">
      <x:c r="A87" s="13" t="str">
        <x:v>OPSTEP-citadel-signal-tracking-barla-relay</x:v>
      </x:c>
      <x:c r="B87" s="14" t="str">
        <x:v>Citadelle : Traque du signal — 3. Terminal de Barla Von</x:v>
      </x:c>
      <x:c r="C87" s="10" t="str">
        <x:v>Prototype</x:v>
      </x:c>
      <x:c r="D87" s="11" t="str">
        <x:v>À produire</x:v>
      </x:c>
      <x:c r="E87" s="15" t="str">
        <x:v>P1</x:v>
      </x:c>
      <x:c r="F87" s="15" t="str">
        <x:v>ME1</x:v>
      </x:c>
      <x:c r="G87" s="15" t="str">
        <x:v>Adaptation</x:v>
      </x:c>
      <x:c r="H87" s="14" t="str">
        <x:v>Étape 3/4, citadel. La trace conduit à un terminal situé derrière les boutiques de l’Emporium. Les connexions convergent toutes vers cette machine.</x:v>
      </x:c>
      <x:c r="I87" s="14" t="str">
        <x:v>Afficher seulement à l’étape 3. Refuser les réponses verrouillées, sauvegarder le choix et ne progresser qu’une fois.</x:v>
      </x:c>
      <x:c r="J87" s="14" t="str">
        <x:v>SIDE-citadelle-signal-suspect, OPSTEP-citadel-signal-tracking-wards-relay</x:v>
      </x:c>
      <x:c r="K87" s="14" t="str">
        <x:v>src/operation-data.js</x:v>
      </x:c>
      <x:c r="L87" s="14" t="str">
        <x:v>src/operation-data.js</x:v>
      </x:c>
      <x:c r="M87" s="14" t="str">
        <x:v>citadel-signal-tracking.barla-relay</x:v>
      </x:c>
      <x:c r="N87" s="14" t="str">
        <x:v>Objectifs et noms ME1 référencés ; chiffres, découpage et interface propres à cette adaptation ATB.</x:v>
      </x:c>
      <x:c r="O87" s="14" t="str">
        <x:v>https://masseffect.fandom.com/wiki/Citadel%3A_Signal_Tracking</x:v>
      </x:c>
      <x:c r="P87" s="14" t="str">
        <x:v>Production ME1</x:v>
      </x:c>
      <x:c r="Q87" s="14" t="str">
        <x:v>Réponses : trace : Localiser le terminal final.. Position proposée x=-10, z=-10 ; déplacée à proximité par le moteur si obstacle. Dialogues réécrits.</x:v>
      </x:c>
    </x:row>
    <x:row r="88" ht="62" customHeight="1">
      <x:c r="A88" s="12" t="str">
        <x:v>OPSTEP-citadel-signal-tracking-ai</x:v>
      </x:c>
      <x:c r="B88" s="7" t="str">
        <x:v>Citadelle : Traque du signal — 4. IA clandestine</x:v>
      </x:c>
      <x:c r="C88" s="10" t="str">
        <x:v>Prototype</x:v>
      </x:c>
      <x:c r="D88" s="11" t="str">
        <x:v>À produire</x:v>
      </x:c>
      <x:c r="E88" s="9" t="str">
        <x:v>P1</x:v>
      </x:c>
      <x:c r="F88" s="9" t="str">
        <x:v>ME1</x:v>
      </x:c>
      <x:c r="G88" s="9" t="str">
        <x:v>Adaptation</x:v>
      </x:c>
      <x:c r="H88" s="7" t="str">
        <x:v>Étape 4/4, citadel. Vous avez découvert une intelligence cachée dans le réseau. Elle menace de détruire son installation. Votre équipe repère l’alimentation et un accès de diagnostic.</x:v>
      </x:c>
      <x:c r="I88" s="7" t="str">
        <x:v>Afficher seulement à l’étape 4. Refuser les réponses verrouillées, sauvegarder le choix et ne progresser qu’une fois.</x:v>
      </x:c>
      <x:c r="J88" s="7" t="str">
        <x:v>SIDE-citadelle-signal-suspect, OPSTEP-citadel-signal-tracking-barla-relay</x:v>
      </x:c>
      <x:c r="K88" s="7" t="str">
        <x:v>src/operation-data.js</x:v>
      </x:c>
      <x:c r="L88" s="7" t="str">
        <x:v>src/operation-data.js</x:v>
      </x:c>
      <x:c r="M88" s="7" t="str">
        <x:v>citadel-signal-tracking.ai</x:v>
      </x:c>
      <x:c r="N88" s="7" t="str">
        <x:v>Objectifs et noms ME1 référencés ; chiffres, découpage et interface propres à cette adaptation ATB.</x:v>
      </x:c>
      <x:c r="O88" s="7" t="str">
        <x:v>https://masseffect.fandom.com/wiki/Citadel%3A_Signal_Tracking</x:v>
      </x:c>
      <x:c r="P88" s="7" t="str">
        <x:v>Production ME1</x:v>
      </x:c>
      <x:c r="Q88" s="7" t="str">
        <x:v>Réponses : isolate : Isoler les circuits et interrompre l’autodestruction. / destroy : Détruire le terminal avant le déclenchement.. Position proposée x=13, z=-6 ; déplacée à proximité par le moteur si obstacle. Dialogues réécrits.</x:v>
      </x:c>
    </x:row>
    <x:row r="89" ht="88" customHeight="1">
      <x:c r="A89" s="13" t="str">
        <x:v>SIDE-citadelle-predicateur-du-presidium</x:v>
      </x:c>
      <x:c r="B89" s="14" t="str">
        <x:v>Citadelle : Le prédicateur du Présidium</x:v>
      </x:c>
      <x:c r="C89" s="10" t="str">
        <x:v>Prototype</x:v>
      </x:c>
      <x:c r="D89" s="11" t="str">
        <x:v>Prototype</x:v>
      </x:c>
      <x:c r="E89" s="15" t="str">
        <x:v>P1</x:v>
      </x:c>
      <x:c r="F89" s="15" t="str">
        <x:v>ME1</x:v>
      </x:c>
      <x:c r="G89" s="15" t="str">
        <x:v>Adaptation</x:v>
      </x:c>
      <x:c r="H89" s="14" t="str">
        <x:v>Résoudre le différend entre un hanari et un agent du SSC. 3 étapes guidées. Récompense finale unique : 50 XP, 0 crédits.</x:v>
      </x:c>
      <x:c r="I89" s="14" t="str">
        <x:v>Parcourir les 3 étapes sans saut ni double récompense. Après Eden Prime. Fermeture au passage du Conduit. Le journal, les interactions et la sauvegarde doivent afficher la même progression. Comparer les variantes manquantes au jeu avant validation finale.</x:v>
      </x:c>
      <x:c r="J89" s="14" t="str"/>
      <x:c r="K89" s="14" t="str">
        <x:v>src/operation-data.js</x:v>
      </x:c>
      <x:c r="L89" s="14" t="str">
        <x:v>src/operation-data.js</x:v>
      </x:c>
      <x:c r="M89" s="14" t="str">
        <x:v>OPERATIONS.citadel-presidium-prophet</x:v>
      </x:c>
      <x:c r="N89" s="14" t="str">
        <x:v>Objectifs et noms ME1 référencés ; chiffres, découpage et interface propres à cette adaptation ATB.</x:v>
      </x:c>
      <x:c r="O89" s="14" t="str">
        <x:v>https://masseffect.fandom.com/wiki/Citadel%3A_Presidium_Prophet</x:v>
      </x:c>
      <x:c r="P89" s="14" t="str">
        <x:v>Production ME1</x:v>
      </x:c>
      <x:c r="Q89" s="14" t="str">
        <x:v>Déplacements et dialogues condensés dans la carte actuelle ; les intérieurs et embranchements de ME1 restent à reconstituer. Le permis coûte 150 crédits. Les seuils de persuasion reposent sur les jauges Conciliation/Pragmatisme de cette adaptation, pas sur les talents Charme/Intimidation de ME1. Preuve : tests/operations.test.js.</x:v>
      </x:c>
    </x:row>
    <x:row r="90" ht="62" customHeight="1">
      <x:c r="A90" s="12" t="str">
        <x:v>OPSTEP-citadel-presidium-prophet-officer</x:v>
      </x:c>
      <x:c r="B90" s="7" t="str">
        <x:v>Citadelle : Le prédicateur du Présidium — 1. Agent du SSC</x:v>
      </x:c>
      <x:c r="C90" s="10" t="str">
        <x:v>Prototype</x:v>
      </x:c>
      <x:c r="D90" s="11" t="str">
        <x:v>À produire</x:v>
      </x:c>
      <x:c r="E90" s="9" t="str">
        <x:v>P1</x:v>
      </x:c>
      <x:c r="F90" s="9" t="str">
        <x:v>ME1</x:v>
      </x:c>
      <x:c r="G90" s="9" t="str">
        <x:v>Adaptation</x:v>
      </x:c>
      <x:c r="H90" s="7" t="str">
        <x:v>Étape 1/3, citadel. Le Présidium réglemente les prédications. Ce hanari ne dispose pas du permis requis et refuse de se déplacer. Peut-être accepterait-il d’écouter quelqu’un d’autre.</x:v>
      </x:c>
      <x:c r="I90" s="7" t="str">
        <x:v>Afficher seulement à l’étape 1. Refuser les réponses verrouillées, sauvegarder le choix et ne progresser qu’une fois.</x:v>
      </x:c>
      <x:c r="J90" s="7" t="str">
        <x:v>SIDE-citadelle-predicateur-du-presidium</x:v>
      </x:c>
      <x:c r="K90" s="7" t="str">
        <x:v>src/operation-data.js</x:v>
      </x:c>
      <x:c r="L90" s="7" t="str">
        <x:v>src/operation-data.js</x:v>
      </x:c>
      <x:c r="M90" s="7" t="str">
        <x:v>citadel-presidium-prophet.officer</x:v>
      </x:c>
      <x:c r="N90" s="7" t="str">
        <x:v>Objectifs et noms ME1 référencés ; chiffres, découpage et interface propres à cette adaptation ATB.</x:v>
      </x:c>
      <x:c r="O90" s="7" t="str">
        <x:v>https://masseffect.fandom.com/wiki/Citadel%3A_Presidium_Prophet</x:v>
      </x:c>
      <x:c r="P90" s="7" t="str">
        <x:v>Production ME1</x:v>
      </x:c>
      <x:c r="Q90" s="7" t="str">
        <x:v>Réponses : listen : Écouter également le hanari.. Position proposée x=8, z=-7 ; déplacée à proximité par le moteur si obstacle. Dialogues réécrits.</x:v>
      </x:c>
    </x:row>
    <x:row r="91" ht="88" customHeight="1">
      <x:c r="A91" s="13" t="str">
        <x:v>OPSTEP-citadel-presidium-prophet-hanar</x:v>
      </x:c>
      <x:c r="B91" s="14" t="str">
        <x:v>Citadelle : Le prédicateur du Présidium — 2. Prédicateur hanari</x:v>
      </x:c>
      <x:c r="C91" s="10" t="str">
        <x:v>Prototype</x:v>
      </x:c>
      <x:c r="D91" s="11" t="str">
        <x:v>À produire</x:v>
      </x:c>
      <x:c r="E91" s="15" t="str">
        <x:v>P1</x:v>
      </x:c>
      <x:c r="F91" s="15" t="str">
        <x:v>ME1</x:v>
      </x:c>
      <x:c r="G91" s="15" t="str">
        <x:v>Adaptation</x:v>
      </x:c>
      <x:c r="H91" s="14" t="str">
        <x:v>Étape 2/3, citadel. Celui-ci transmet la parole des Porte-flammes. Il peine à comprendre pourquoi une démarche spirituelle nécessite une autorisation administrative.</x:v>
      </x:c>
      <x:c r="I91" s="14" t="str">
        <x:v>Afficher seulement à l’étape 2. Refuser les réponses verrouillées, sauvegarder le choix et ne progresser qu’une fois.</x:v>
      </x:c>
      <x:c r="J91" s="14" t="str">
        <x:v>SIDE-citadelle-predicateur-du-presidium, OPSTEP-citadel-presidium-prophet-officer</x:v>
      </x:c>
      <x:c r="K91" s="14" t="str">
        <x:v>src/operation-data.js</x:v>
      </x:c>
      <x:c r="L91" s="14" t="str">
        <x:v>src/operation-data.js</x:v>
      </x:c>
      <x:c r="M91" s="14" t="str">
        <x:v>citadel-presidium-prophet.hanar</x:v>
      </x:c>
      <x:c r="N91" s="14" t="str">
        <x:v>Objectifs et noms ME1 référencés ; chiffres, découpage et interface propres à cette adaptation ATB.</x:v>
      </x:c>
      <x:c r="O91" s="14" t="str">
        <x:v>https://masseffect.fandom.com/wiki/Citadel%3A_Presidium_Prophet</x:v>
      </x:c>
      <x:c r="P91" s="14" t="str">
        <x:v>Production ME1</x:v>
      </x:c>
      <x:c r="Q91" s="14" t="str">
        <x:v>Réponses : permit : Acheter un permis de prédication. (150 crédits) / diplomacy : Les Porte-flammes souhaitent-ils ce conflit ? [6 Conciliation requis] / intimidate : Le règlement s’applique à vous aussi. [6 Pragmatisme requis]. Position proposée x=10, z=-7 ; déplacée à proximité par le moteur si obstacle. Dialogues réécrits.</x:v>
      </x:c>
    </x:row>
    <x:row r="92" ht="49" customHeight="1">
      <x:c r="A92" s="12" t="str">
        <x:v>OPSTEP-citadel-presidium-prophet-report</x:v>
      </x:c>
      <x:c r="B92" s="7" t="str">
        <x:v>Citadelle : Le prédicateur du Présidium — 3. Agent du SSC</x:v>
      </x:c>
      <x:c r="C92" s="10" t="str">
        <x:v>Prototype</x:v>
      </x:c>
      <x:c r="D92" s="11" t="str">
        <x:v>À produire</x:v>
      </x:c>
      <x:c r="E92" s="9" t="str">
        <x:v>P1</x:v>
      </x:c>
      <x:c r="F92" s="9" t="str">
        <x:v>ME1</x:v>
      </x:c>
      <x:c r="G92" s="9" t="str">
        <x:v>Adaptation</x:v>
      </x:c>
      <x:c r="H92" s="7" t="str">
        <x:v>Étape 3/3, citadel. Le différend est réglé et la circulation a repris. Merci d’avoir permis de conclure cette intervention.</x:v>
      </x:c>
      <x:c r="I92" s="7" t="str">
        <x:v>Afficher seulement à l’étape 3. Refuser les réponses verrouillées, sauvegarder le choix et ne progresser qu’une fois.</x:v>
      </x:c>
      <x:c r="J92" s="7" t="str">
        <x:v>SIDE-citadelle-predicateur-du-presidium, OPSTEP-citadel-presidium-prophet-hanar</x:v>
      </x:c>
      <x:c r="K92" s="7" t="str">
        <x:v>src/operation-data.js</x:v>
      </x:c>
      <x:c r="L92" s="7" t="str">
        <x:v>src/operation-data.js</x:v>
      </x:c>
      <x:c r="M92" s="7" t="str">
        <x:v>citadel-presidium-prophet.report</x:v>
      </x:c>
      <x:c r="N92" s="7" t="str">
        <x:v>Objectifs et noms ME1 référencés ; chiffres, découpage et interface propres à cette adaptation ATB.</x:v>
      </x:c>
      <x:c r="O92" s="7" t="str">
        <x:v>https://masseffect.fandom.com/wiki/Citadel%3A_Presidium_Prophet</x:v>
      </x:c>
      <x:c r="P92" s="7" t="str">
        <x:v>Production ME1</x:v>
      </x:c>
      <x:c r="Q92" s="7" t="str">
        <x:v>Réponses : report : Terminer la médiation.. Position proposée x=8, z=-7 ; déplacée à proximité par le moteur si obstacle. Dialogues réécrits.</x:v>
      </x:c>
    </x:row>
    <x:row r="93" ht="62" customHeight="1">
      <x:c r="A93" s="13" t="str">
        <x:v>OPSTEP-citadel-doctor-michel-request</x:v>
      </x:c>
      <x:c r="B93" s="14" t="str">
        <x:v>Citadelle : Le docteur Michel — 1. Dr Chloé Michel</x:v>
      </x:c>
      <x:c r="C93" s="10" t="str">
        <x:v>Prototype</x:v>
      </x:c>
      <x:c r="D93" s="11" t="str">
        <x:v>À produire</x:v>
      </x:c>
      <x:c r="E93" s="15" t="str">
        <x:v>P1</x:v>
      </x:c>
      <x:c r="F93" s="15" t="str">
        <x:v>ME1</x:v>
      </x:c>
      <x:c r="G93" s="15" t="str">
        <x:v>Adaptation</x:v>
      </x:c>
      <x:c r="H93" s="14" t="str">
        <x:v>Étape 1/4, citadel. Quelqu’un exploite un incident de mon ancien emploi pour obtenir des fournitures. Les colis passent par Morlan. Je ne peux pas laisser ce chantage priver mes patients de soins.</x:v>
      </x:c>
      <x:c r="I93" s="14" t="str">
        <x:v>Afficher seulement à l’étape 1. Refuser les réponses verrouillées, sauvegarder le choix et ne progresser qu’une fois.</x:v>
      </x:c>
      <x:c r="J93" s="14" t="str">
        <x:v>SIDE-citadelle-docteur-michel</x:v>
      </x:c>
      <x:c r="K93" s="14" t="str">
        <x:v>src/operation-data.js</x:v>
      </x:c>
      <x:c r="L93" s="14" t="str">
        <x:v>src/operation-data.js</x:v>
      </x:c>
      <x:c r="M93" s="14" t="str">
        <x:v>citadel-doctor-michel.request</x:v>
      </x:c>
      <x:c r="N93" s="14" t="str">
        <x:v>Objectifs et noms ME1 référencés ; chiffres, découpage et interface propres à cette adaptation ATB.</x:v>
      </x:c>
      <x:c r="O93" s="14" t="str">
        <x:v>https://masseffect.fandom.com/wiki/Citadel%3A_Doctor_Michel</x:v>
      </x:c>
      <x:c r="P93" s="14" t="str">
        <x:v>Production ME1</x:v>
      </x:c>
      <x:c r="Q93" s="14" t="str">
        <x:v>Réponses : accept : Je vais m’en occuper.. Position proposée x=-12, z=4 ; déplacée à proximité par le moteur si obstacle. Dialogues réécrits.</x:v>
      </x:c>
    </x:row>
    <x:row r="94" ht="62" customHeight="1">
      <x:c r="A94" s="12" t="str">
        <x:v>OPSTEP-citadel-doctor-michel-morlan</x:v>
      </x:c>
      <x:c r="B94" s="7" t="str">
        <x:v>Citadelle : Le docteur Michel — 2. Morlan</x:v>
      </x:c>
      <x:c r="C94" s="10" t="str">
        <x:v>Prototype</x:v>
      </x:c>
      <x:c r="D94" s="11" t="str">
        <x:v>À produire</x:v>
      </x:c>
      <x:c r="E94" s="9" t="str">
        <x:v>P1</x:v>
      </x:c>
      <x:c r="F94" s="9" t="str">
        <x:v>ME1</x:v>
      </x:c>
      <x:c r="G94" s="9" t="str">
        <x:v>Adaptation</x:v>
      </x:c>
      <x:c r="H94" s="7" t="str">
        <x:v>Étape 2/4, citadel. Je réceptionne les colis, mais ce n’est pas moi qui fixe les conditions. Le krogan qui vient les chercher approche. Il n’a pas l’air ravi de vous voir.</x:v>
      </x:c>
      <x:c r="I94" s="7" t="str">
        <x:v>Afficher seulement à l’étape 2. Refuser les réponses verrouillées, sauvegarder le choix et ne progresser qu’une fois.</x:v>
      </x:c>
      <x:c r="J94" s="7" t="str">
        <x:v>SIDE-citadelle-docteur-michel, OPSTEP-citadel-doctor-michel-request</x:v>
      </x:c>
      <x:c r="K94" s="7" t="str">
        <x:v>src/operation-data.js</x:v>
      </x:c>
      <x:c r="L94" s="7" t="str">
        <x:v>src/operation-data.js</x:v>
      </x:c>
      <x:c r="M94" s="7" t="str">
        <x:v>citadel-doctor-michel.morlan</x:v>
      </x:c>
      <x:c r="N94" s="7" t="str">
        <x:v>Objectifs et noms ME1 référencés ; chiffres, découpage et interface propres à cette adaptation ATB.</x:v>
      </x:c>
      <x:c r="O94" s="7" t="str">
        <x:v>https://masseffect.fandom.com/wiki/Citadel%3A_Doctor_Michel</x:v>
      </x:c>
      <x:c r="P94" s="7" t="str">
        <x:v>Production ME1</x:v>
      </x:c>
      <x:c r="Q94" s="7" t="str">
        <x:v>Réponses : question : Attendre l’intermédiaire.. Position proposée x=12, z=11 ; déplacée à proximité par le moteur si obstacle. Dialogues réécrits.</x:v>
      </x:c>
    </x:row>
    <x:row r="95" ht="88" customHeight="1">
      <x:c r="A95" s="13" t="str">
        <x:v>OPSTEP-citadel-doctor-michel-blackmailer</x:v>
      </x:c>
      <x:c r="B95" s="14" t="str">
        <x:v>Citadelle : Le docteur Michel — 3. Maître chanteur krogan</x:v>
      </x:c>
      <x:c r="C95" s="10" t="str">
        <x:v>Prototype</x:v>
      </x:c>
      <x:c r="D95" s="11" t="str">
        <x:v>À produire</x:v>
      </x:c>
      <x:c r="E95" s="15" t="str">
        <x:v>P1</x:v>
      </x:c>
      <x:c r="F95" s="15" t="str">
        <x:v>ME1</x:v>
      </x:c>
      <x:c r="G95" s="15" t="str">
        <x:v>Adaptation</x:v>
      </x:c>
      <x:c r="H95" s="14" t="str">
        <x:v>Étape 3/4, citadel. Ces fournitures étaient promises. Si Michel cesse de coopérer, son passé va la rattraper. Vous feriez mieux de laisser cette affaire tranquille.</x:v>
      </x:c>
      <x:c r="I95" s="14" t="str">
        <x:v>Afficher seulement à l’étape 3. Refuser les réponses verrouillées, sauvegarder le choix et ne progresser qu’une fois. La branche de combat exige une victoire ATB réelle ; rechargement et défaite restent rejouables.</x:v>
      </x:c>
      <x:c r="J95" s="14" t="str">
        <x:v>SIDE-citadelle-docteur-michel, OPSTEP-citadel-doctor-michel-morlan</x:v>
      </x:c>
      <x:c r="K95" s="14" t="str">
        <x:v>src/operation-data.js</x:v>
      </x:c>
      <x:c r="L95" s="14" t="str">
        <x:v>src/operation-data.js</x:v>
      </x:c>
      <x:c r="M95" s="14" t="str">
        <x:v>citadel-doctor-michel.blackmailer</x:v>
      </x:c>
      <x:c r="N95" s="14" t="str">
        <x:v>Objectifs et noms ME1 référencés ; chiffres, découpage et interface propres à cette adaptation ATB.</x:v>
      </x:c>
      <x:c r="O95" s="14" t="str">
        <x:v>https://masseffect.fandom.com/wiki/Citadel%3A_Doctor_Michel</x:v>
      </x:c>
      <x:c r="P95" s="14" t="str">
        <x:v>Production ME1</x:v>
      </x:c>
      <x:c r="Q95" s="14" t="str">
        <x:v>Réponses : persuade : Le chantage se termine ici. [8 Conciliation requis] / threaten : Une autre menace et vous aurez affaire à moi. [8 Pragmatisme requis] / fight : Refuser le chantage et se défendre. [combat michel-blackmailer]. Position proposée x=12, z=9 ; déplacée à proximité par le moteur si obstacle. Dialogues réécrits.</x:v>
      </x:c>
    </x:row>
    <x:row r="96" ht="62" customHeight="1">
      <x:c r="A96" s="12" t="str">
        <x:v>OPSTEP-citadel-doctor-michel-report</x:v>
      </x:c>
      <x:c r="B96" s="7" t="str">
        <x:v>Citadelle : Le docteur Michel — 4. Dr Chloé Michel</x:v>
      </x:c>
      <x:c r="C96" s="10" t="str">
        <x:v>Prototype</x:v>
      </x:c>
      <x:c r="D96" s="11" t="str">
        <x:v>À produire</x:v>
      </x:c>
      <x:c r="E96" s="9" t="str">
        <x:v>P1</x:v>
      </x:c>
      <x:c r="F96" s="9" t="str">
        <x:v>ME1</x:v>
      </x:c>
      <x:c r="G96" s="9" t="str">
        <x:v>Adaptation</x:v>
      </x:c>
      <x:c r="H96" s="7" t="str">
        <x:v>Étape 4/4, citadel. Mes stocks peuvent à nouveau servir les malades. Je ferai en sorte que votre commando bénéficie de conditions plus favorables pour ses besoins médicaux.</x:v>
      </x:c>
      <x:c r="I96" s="7" t="str">
        <x:v>Afficher seulement à l’étape 4. Refuser les réponses verrouillées, sauvegarder le choix et ne progresser qu’une fois.</x:v>
      </x:c>
      <x:c r="J96" s="7" t="str">
        <x:v>SIDE-citadelle-docteur-michel, OPSTEP-citadel-doctor-michel-blackmailer</x:v>
      </x:c>
      <x:c r="K96" s="7" t="str">
        <x:v>src/operation-data.js</x:v>
      </x:c>
      <x:c r="L96" s="7" t="str">
        <x:v>src/operation-data.js</x:v>
      </x:c>
      <x:c r="M96" s="7" t="str">
        <x:v>citadel-doctor-michel.report</x:v>
      </x:c>
      <x:c r="N96" s="7" t="str">
        <x:v>Objectifs et noms ME1 référencés ; chiffres, découpage et interface propres à cette adaptation ATB.</x:v>
      </x:c>
      <x:c r="O96" s="7" t="str">
        <x:v>https://masseffect.fandom.com/wiki/Citadel%3A_Doctor_Michel</x:v>
      </x:c>
      <x:c r="P96" s="7" t="str">
        <x:v>Production ME1</x:v>
      </x:c>
      <x:c r="Q96" s="7" t="str">
        <x:v>Réponses : report : Confirmer que les menaces ont cessé.. Position proposée x=-12, z=4 ; déplacée à proximité par le moteur si obstacle. Dialogues réécrits.</x:v>
      </x:c>
    </x:row>
    <x:row r="97" ht="62" customHeight="1">
      <x:c r="A97" s="13" t="str">
        <x:v>OPSTEP-feros-water-request</x:v>
      </x:c>
      <x:c r="B97" s="14" t="str">
        <x:v>Féros : Rétablir l’eau — 1. Macha Doyle</x:v>
      </x:c>
      <x:c r="C97" s="10" t="str">
        <x:v>Prototype</x:v>
      </x:c>
      <x:c r="D97" s="11" t="str">
        <x:v>À produire</x:v>
      </x:c>
      <x:c r="E97" s="15" t="str">
        <x:v>P1</x:v>
      </x:c>
      <x:c r="F97" s="15" t="str">
        <x:v>ME1</x:v>
      </x:c>
      <x:c r="G97" s="15" t="str">
        <x:v>Adaptation</x:v>
      </x:c>
      <x:c r="H97" s="14" t="str">
        <x:v>Étape 1/5, feros. La colonie manque d’eau. Trois vannes des conduites inférieures sont fermées. Je peux surveiller la pression depuis ici si vous les réactivez.</x:v>
      </x:c>
      <x:c r="I97" s="14" t="str">
        <x:v>Afficher seulement à l’étape 1. Refuser les réponses verrouillées, sauvegarder le choix et ne progresser qu’une fois.</x:v>
      </x:c>
      <x:c r="J97" s="14" t="str">
        <x:v>SIDE-feros-retablissement-de-l-eau</x:v>
      </x:c>
      <x:c r="K97" s="14" t="str">
        <x:v>src/operation-data.js</x:v>
      </x:c>
      <x:c r="L97" s="14" t="str">
        <x:v>src/operation-data.js</x:v>
      </x:c>
      <x:c r="M97" s="14" t="str">
        <x:v>feros-water.request</x:v>
      </x:c>
      <x:c r="N97" s="14" t="str">
        <x:v>Objectifs et noms ME1 référencés ; chiffres, découpage et interface propres à cette adaptation ATB.</x:v>
      </x:c>
      <x:c r="O97" s="14" t="str">
        <x:v>https://masseffect.fandom.com/wiki/Feros%3A_Water_Restoration</x:v>
      </x:c>
      <x:c r="P97" s="14" t="str">
        <x:v>Production ME1</x:v>
      </x:c>
      <x:c r="Q97" s="14" t="str">
        <x:v>Réponses : accept : Je vais m’en occuper.. Position proposée x=-11, z=14 ; déplacée à proximité par le moteur si obstacle. Dialogues réécrits.</x:v>
      </x:c>
    </x:row>
    <x:row r="98" ht="49" customHeight="1">
      <x:c r="A98" s="12" t="str">
        <x:v>OPSTEP-feros-water-valve-south</x:v>
      </x:c>
      <x:c r="B98" s="7" t="str">
        <x:v>Féros : Rétablir l’eau — 2. Vanne sud</x:v>
      </x:c>
      <x:c r="C98" s="10" t="str">
        <x:v>Prototype</x:v>
      </x:c>
      <x:c r="D98" s="11" t="str">
        <x:v>À produire</x:v>
      </x:c>
      <x:c r="E98" s="9" t="str">
        <x:v>P1</x:v>
      </x:c>
      <x:c r="F98" s="9" t="str">
        <x:v>ME1</x:v>
      </x:c>
      <x:c r="G98" s="9" t="str">
        <x:v>Adaptation</x:v>
      </x:c>
      <x:c r="H98" s="7" t="str">
        <x:v>Étape 2/5, feros. La conduite tient encore. Le mécanisme permet de rétablir le premier segment du réseau.</x:v>
      </x:c>
      <x:c r="I98" s="7" t="str">
        <x:v>Afficher seulement à l’étape 2. Refuser les réponses verrouillées, sauvegarder le choix et ne progresser qu’une fois.</x:v>
      </x:c>
      <x:c r="J98" s="7" t="str">
        <x:v>SIDE-feros-retablissement-de-l-eau, OPSTEP-feros-water-request</x:v>
      </x:c>
      <x:c r="K98" s="7" t="str">
        <x:v>src/operation-data.js</x:v>
      </x:c>
      <x:c r="L98" s="7" t="str">
        <x:v>src/operation-data.js</x:v>
      </x:c>
      <x:c r="M98" s="7" t="str">
        <x:v>feros-water.valve-south</x:v>
      </x:c>
      <x:c r="N98" s="7" t="str">
        <x:v>Objectifs et noms ME1 référencés ; chiffres, découpage et interface propres à cette adaptation ATB.</x:v>
      </x:c>
      <x:c r="O98" s="7" t="str">
        <x:v>https://masseffect.fandom.com/wiki/Feros%3A_Water_Restoration</x:v>
      </x:c>
      <x:c r="P98" s="7" t="str">
        <x:v>Production ME1</x:v>
      </x:c>
      <x:c r="Q98" s="7" t="str">
        <x:v>Réponses : restore : Ouvrir la première vanne.. Position proposée x=-12, z=5 ; déplacée à proximité par le moteur si obstacle. Dialogues réécrits.</x:v>
      </x:c>
    </x:row>
    <x:row r="99" ht="49" customHeight="1">
      <x:c r="A99" s="13" t="str">
        <x:v>OPSTEP-feros-water-valve-central</x:v>
      </x:c>
      <x:c r="B99" s="14" t="str">
        <x:v>Féros : Rétablir l’eau — 3. Vanne centrale</x:v>
      </x:c>
      <x:c r="C99" s="10" t="str">
        <x:v>Prototype</x:v>
      </x:c>
      <x:c r="D99" s="11" t="str">
        <x:v>À produire</x:v>
      </x:c>
      <x:c r="E99" s="15" t="str">
        <x:v>P1</x:v>
      </x:c>
      <x:c r="F99" s="15" t="str">
        <x:v>ME1</x:v>
      </x:c>
      <x:c r="G99" s="15" t="str">
        <x:v>Adaptation</x:v>
      </x:c>
      <x:c r="H99" s="14" t="str">
        <x:v>Étape 3/5, feros. Cette vanne relie les réserves au système de distribution. La pression reste dans les limites prévues.</x:v>
      </x:c>
      <x:c r="I99" s="14" t="str">
        <x:v>Afficher seulement à l’étape 3. Refuser les réponses verrouillées, sauvegarder le choix et ne progresser qu’une fois.</x:v>
      </x:c>
      <x:c r="J99" s="14" t="str">
        <x:v>SIDE-feros-retablissement-de-l-eau, OPSTEP-feros-water-valve-south</x:v>
      </x:c>
      <x:c r="K99" s="14" t="str">
        <x:v>src/operation-data.js</x:v>
      </x:c>
      <x:c r="L99" s="14" t="str">
        <x:v>src/operation-data.js</x:v>
      </x:c>
      <x:c r="M99" s="14" t="str">
        <x:v>feros-water.valve-central</x:v>
      </x:c>
      <x:c r="N99" s="14" t="str">
        <x:v>Objectifs et noms ME1 référencés ; chiffres, découpage et interface propres à cette adaptation ATB.</x:v>
      </x:c>
      <x:c r="O99" s="14" t="str">
        <x:v>https://masseffect.fandom.com/wiki/Feros%3A_Water_Restoration</x:v>
      </x:c>
      <x:c r="P99" s="14" t="str">
        <x:v>Production ME1</x:v>
      </x:c>
      <x:c r="Q99" s="14" t="str">
        <x:v>Réponses : restore : Ouvrir la deuxième vanne.. Position proposée x=12, z=0 ; déplacée à proximité par le moteur si obstacle. Dialogues réécrits.</x:v>
      </x:c>
    </x:row>
    <x:row r="100" ht="49" customHeight="1">
      <x:c r="A100" s="12" t="str">
        <x:v>OPSTEP-feros-water-valve-north</x:v>
      </x:c>
      <x:c r="B100" s="7" t="str">
        <x:v>Féros : Rétablir l’eau — 4. Vanne nord</x:v>
      </x:c>
      <x:c r="C100" s="10" t="str">
        <x:v>Prototype</x:v>
      </x:c>
      <x:c r="D100" s="11" t="str">
        <x:v>À produire</x:v>
      </x:c>
      <x:c r="E100" s="9" t="str">
        <x:v>P1</x:v>
      </x:c>
      <x:c r="F100" s="9" t="str">
        <x:v>ME1</x:v>
      </x:c>
      <x:c r="G100" s="9" t="str">
        <x:v>Adaptation</x:v>
      </x:c>
      <x:c r="H100" s="7" t="str">
        <x:v>Étape 4/5, feros. La troisième section peut être remise en service. Les capteurs indiquent que l’eau rejoint la colonie.</x:v>
      </x:c>
      <x:c r="I100" s="7" t="str">
        <x:v>Afficher seulement à l’étape 4. Refuser les réponses verrouillées, sauvegarder le choix et ne progresser qu’une fois.</x:v>
      </x:c>
      <x:c r="J100" s="7" t="str">
        <x:v>SIDE-feros-retablissement-de-l-eau, OPSTEP-feros-water-valve-central</x:v>
      </x:c>
      <x:c r="K100" s="7" t="str">
        <x:v>src/operation-data.js</x:v>
      </x:c>
      <x:c r="L100" s="7" t="str">
        <x:v>src/operation-data.js</x:v>
      </x:c>
      <x:c r="M100" s="7" t="str">
        <x:v>feros-water.valve-north</x:v>
      </x:c>
      <x:c r="N100" s="7" t="str">
        <x:v>Objectifs et noms ME1 référencés ; chiffres, découpage et interface propres à cette adaptation ATB.</x:v>
      </x:c>
      <x:c r="O100" s="7" t="str">
        <x:v>https://masseffect.fandom.com/wiki/Feros%3A_Water_Restoration</x:v>
      </x:c>
      <x:c r="P100" s="7" t="str">
        <x:v>Production ME1</x:v>
      </x:c>
      <x:c r="Q100" s="7" t="str">
        <x:v>Réponses : restore : Ouvrir la troisième vanne.. Position proposée x=-12, z=-7 ; déplacée à proximité par le moteur si obstacle. Dialogues réécrits.</x:v>
      </x:c>
    </x:row>
    <x:row r="101" ht="62" customHeight="1">
      <x:c r="A101" s="13" t="str">
        <x:v>OPSTEP-feros-water-report</x:v>
      </x:c>
      <x:c r="B101" s="14" t="str">
        <x:v>Féros : Rétablir l’eau — 5. Macha Doyle</x:v>
      </x:c>
      <x:c r="C101" s="10" t="str">
        <x:v>Prototype</x:v>
      </x:c>
      <x:c r="D101" s="11" t="str">
        <x:v>À produire</x:v>
      </x:c>
      <x:c r="E101" s="15" t="str">
        <x:v>P1</x:v>
      </x:c>
      <x:c r="F101" s="15" t="str">
        <x:v>ME1</x:v>
      </x:c>
      <x:c r="G101" s="15" t="str">
        <x:v>Adaptation</x:v>
      </x:c>
      <x:c r="H101" s="14" t="str">
        <x:v>Étape 5/5, feros. Le débit est revenu. Nous pouvons alimenter les installations essentielles et remplir les réserves. Cela nous donne une chance de tenir.</x:v>
      </x:c>
      <x:c r="I101" s="14" t="str">
        <x:v>Afficher seulement à l’étape 5. Refuser les réponses verrouillées, sauvegarder le choix et ne progresser qu’une fois.</x:v>
      </x:c>
      <x:c r="J101" s="14" t="str">
        <x:v>SIDE-feros-retablissement-de-l-eau, OPSTEP-feros-water-valve-north</x:v>
      </x:c>
      <x:c r="K101" s="14" t="str">
        <x:v>src/operation-data.js</x:v>
      </x:c>
      <x:c r="L101" s="14" t="str">
        <x:v>src/operation-data.js</x:v>
      </x:c>
      <x:c r="M101" s="14" t="str">
        <x:v>feros-water.report</x:v>
      </x:c>
      <x:c r="N101" s="14" t="str">
        <x:v>Objectifs et noms ME1 référencés ; chiffres, découpage et interface propres à cette adaptation ATB.</x:v>
      </x:c>
      <x:c r="O101" s="14" t="str">
        <x:v>https://masseffect.fandom.com/wiki/Feros%3A_Water_Restoration</x:v>
      </x:c>
      <x:c r="P101" s="14" t="str">
        <x:v>Production ME1</x:v>
      </x:c>
      <x:c r="Q101" s="14" t="str">
        <x:v>Réponses : report : Confirmer la remise en service.. Position proposée x=-11, z=14 ; déplacée à proximité par le moteur si obstacle. Dialogues réécrits.</x:v>
      </x:c>
    </x:row>
    <x:row r="102" ht="62" customHeight="1">
      <x:c r="A102" s="12" t="str">
        <x:v>OPSTEP-feros-power-request</x:v>
      </x:c>
      <x:c r="B102" s="7" t="str">
        <x:v>Féros : Cellules énergétiques — 1. May O’Connell</x:v>
      </x:c>
      <x:c r="C102" s="10" t="str">
        <x:v>Prototype</x:v>
      </x:c>
      <x:c r="D102" s="11" t="str">
        <x:v>À produire</x:v>
      </x:c>
      <x:c r="E102" s="9" t="str">
        <x:v>P1</x:v>
      </x:c>
      <x:c r="F102" s="9" t="str">
        <x:v>ME1</x:v>
      </x:c>
      <x:c r="G102" s="9" t="str">
        <x:v>Adaptation</x:v>
      </x:c>
      <x:c r="H102" s="7" t="str">
        <x:v>Étape 1/3, feros. Le générateur manque de cellules utilisables. Une épave sous la colonie en contient peut-être encore. Si elles sont intactes, je peux les adapter à notre installation.</x:v>
      </x:c>
      <x:c r="I102" s="7" t="str">
        <x:v>Afficher seulement à l’étape 1. Refuser les réponses verrouillées, sauvegarder le choix et ne progresser qu’une fois.</x:v>
      </x:c>
      <x:c r="J102" s="7" t="str">
        <x:v>SIDE-feros-cellules-energetiques</x:v>
      </x:c>
      <x:c r="K102" s="7" t="str">
        <x:v>src/operation-data.js</x:v>
      </x:c>
      <x:c r="L102" s="7" t="str">
        <x:v>src/operation-data.js</x:v>
      </x:c>
      <x:c r="M102" s="7" t="str">
        <x:v>feros-power.request</x:v>
      </x:c>
      <x:c r="N102" s="7" t="str">
        <x:v>Objectifs et noms ME1 référencés ; chiffres, découpage et interface propres à cette adaptation ATB.</x:v>
      </x:c>
      <x:c r="O102" s="7" t="str">
        <x:v>https://masseffect.fandom.com/wiki/Feros%3A_Power_Cells</x:v>
      </x:c>
      <x:c r="P102" s="7" t="str">
        <x:v>Production ME1</x:v>
      </x:c>
      <x:c r="Q102" s="7" t="str">
        <x:v>Réponses : accept : Je vais m’en occuper.. Position proposée x=11, z=14 ; déplacée à proximité par le moteur si obstacle. Dialogues réécrits.</x:v>
      </x:c>
    </x:row>
    <x:row r="103" ht="49" customHeight="1">
      <x:c r="A103" s="13" t="str">
        <x:v>OPSTEP-feros-power-wreck</x:v>
      </x:c>
      <x:c r="B103" s="14" t="str">
        <x:v>Féros : Cellules énergétiques — 2. Épave du véhicule</x:v>
      </x:c>
      <x:c r="C103" s="10" t="str">
        <x:v>Prototype</x:v>
      </x:c>
      <x:c r="D103" s="11" t="str">
        <x:v>À produire</x:v>
      </x:c>
      <x:c r="E103" s="15" t="str">
        <x:v>P1</x:v>
      </x:c>
      <x:c r="F103" s="15" t="str">
        <x:v>ME1</x:v>
      </x:c>
      <x:c r="G103" s="15" t="str">
        <x:v>Adaptation</x:v>
      </x:c>
      <x:c r="H103" s="14" t="str">
        <x:v>Étape 2/3, feros. Le logement énergétique a résisté à l’accident. Deux cellules peuvent être retirées sans endommager leurs connexions.</x:v>
      </x:c>
      <x:c r="I103" s="14" t="str">
        <x:v>Afficher seulement à l’étape 2. Refuser les réponses verrouillées, sauvegarder le choix et ne progresser qu’une fois.</x:v>
      </x:c>
      <x:c r="J103" s="14" t="str">
        <x:v>SIDE-feros-cellules-energetiques, OPSTEP-feros-power-request</x:v>
      </x:c>
      <x:c r="K103" s="14" t="str">
        <x:v>src/operation-data.js</x:v>
      </x:c>
      <x:c r="L103" s="14" t="str">
        <x:v>src/operation-data.js</x:v>
      </x:c>
      <x:c r="M103" s="14" t="str">
        <x:v>feros-power.wreck</x:v>
      </x:c>
      <x:c r="N103" s="14" t="str">
        <x:v>Objectifs et noms ME1 référencés ; chiffres, découpage et interface propres à cette adaptation ATB.</x:v>
      </x:c>
      <x:c r="O103" s="14" t="str">
        <x:v>https://masseffect.fandom.com/wiki/Feros%3A_Power_Cells</x:v>
      </x:c>
      <x:c r="P103" s="14" t="str">
        <x:v>Production ME1</x:v>
      </x:c>
      <x:c r="Q103" s="14" t="str">
        <x:v>Réponses : recover : Récupérer les cellules énergétiques.. Position proposée x=12, z=-5 ; déplacée à proximité par le moteur si obstacle. Dialogues réécrits.</x:v>
      </x:c>
    </x:row>
    <x:row r="104" ht="62" customHeight="1">
      <x:c r="A104" s="12" t="str">
        <x:v>OPSTEP-feros-power-report</x:v>
      </x:c>
      <x:c r="B104" s="7" t="str">
        <x:v>Féros : Cellules énergétiques — 3. May O’Connell</x:v>
      </x:c>
      <x:c r="C104" s="10" t="str">
        <x:v>Prototype</x:v>
      </x:c>
      <x:c r="D104" s="11" t="str">
        <x:v>À produire</x:v>
      </x:c>
      <x:c r="E104" s="9" t="str">
        <x:v>P1</x:v>
      </x:c>
      <x:c r="F104" s="9" t="str">
        <x:v>ME1</x:v>
      </x:c>
      <x:c r="G104" s="9" t="str">
        <x:v>Adaptation</x:v>
      </x:c>
      <x:c r="H104" s="7" t="str">
        <x:v>Étape 3/3, feros. Ces cellules conviennent. Nous allons rétablir une alimentation stable pour les services de la colonie. Vous nous évitez une nouvelle panne générale.</x:v>
      </x:c>
      <x:c r="I104" s="7" t="str">
        <x:v>Afficher seulement à l’étape 3. Refuser les réponses verrouillées, sauvegarder le choix et ne progresser qu’une fois.</x:v>
      </x:c>
      <x:c r="J104" s="7" t="str">
        <x:v>SIDE-feros-cellules-energetiques, OPSTEP-feros-power-wreck</x:v>
      </x:c>
      <x:c r="K104" s="7" t="str">
        <x:v>src/operation-data.js</x:v>
      </x:c>
      <x:c r="L104" s="7" t="str">
        <x:v>src/operation-data.js</x:v>
      </x:c>
      <x:c r="M104" s="7" t="str">
        <x:v>feros-power.report</x:v>
      </x:c>
      <x:c r="N104" s="7" t="str">
        <x:v>Objectifs et noms ME1 référencés ; chiffres, découpage et interface propres à cette adaptation ATB.</x:v>
      </x:c>
      <x:c r="O104" s="7" t="str">
        <x:v>https://masseffect.fandom.com/wiki/Feros%3A_Power_Cells</x:v>
      </x:c>
      <x:c r="P104" s="7" t="str">
        <x:v>Production ME1</x:v>
      </x:c>
      <x:c r="Q104" s="7" t="str">
        <x:v>Réponses : deliver : Remettre les cellules à May.. Position proposée x=11, z=14 ; déplacée à proximité par le moteur si obstacle. Dialogues réécrits.</x:v>
      </x:c>
    </x:row>
    <x:row r="105" ht="62" customHeight="1">
      <x:c r="A105" s="13" t="str">
        <x:v>OPSTEP-feros-geth-tunnels-request</x:v>
      </x:c>
      <x:c r="B105" s="14" t="str">
        <x:v>Féros : Les geth dans les tunnels — 1. Fai Dan</x:v>
      </x:c>
      <x:c r="C105" s="10" t="str">
        <x:v>Prototype</x:v>
      </x:c>
      <x:c r="D105" s="11" t="str">
        <x:v>À produire</x:v>
      </x:c>
      <x:c r="E105" s="15" t="str">
        <x:v>P1</x:v>
      </x:c>
      <x:c r="F105" s="15" t="str">
        <x:v>ME1</x:v>
      </x:c>
      <x:c r="G105" s="15" t="str">
        <x:v>Adaptation</x:v>
      </x:c>
      <x:c r="H105" s="14" t="str">
        <x:v>Étape 1/5, feros. Les geth ont laissé un transmetteur dans les tunnels. Tant qu’il fonctionne, notre position reste vulnérable. Il faut neutraliser ses défenseurs et couper l’émission.</x:v>
      </x:c>
      <x:c r="I105" s="14" t="str">
        <x:v>Afficher seulement à l’étape 1. Refuser les réponses verrouillées, sauvegarder le choix et ne progresser qu’une fois.</x:v>
      </x:c>
      <x:c r="J105" s="14" t="str">
        <x:v>SIDE-feros-geth-dans-les-tunnels</x:v>
      </x:c>
      <x:c r="K105" s="14" t="str">
        <x:v>src/operation-data.js</x:v>
      </x:c>
      <x:c r="L105" s="14" t="str">
        <x:v>src/operation-data.js</x:v>
      </x:c>
      <x:c r="M105" s="14" t="str">
        <x:v>feros-geth-tunnels.request</x:v>
      </x:c>
      <x:c r="N105" s="14" t="str">
        <x:v>Objectifs et noms ME1 référencés ; chiffres, découpage et interface propres à cette adaptation ATB.</x:v>
      </x:c>
      <x:c r="O105" s="14" t="str">
        <x:v>https://masseffect.fandom.com/wiki/Feros%3A_Geth_in_the_Tunnels</x:v>
      </x:c>
      <x:c r="P105" s="14" t="str">
        <x:v>Production ME1</x:v>
      </x:c>
      <x:c r="Q105" s="14" t="str">
        <x:v>Réponses : accept : Je vais m’en occuper.. Position proposée x=0, z=10 ; déplacée à proximité par le moteur si obstacle. Dialogues réécrits.</x:v>
      </x:c>
    </x:row>
    <x:row r="106" ht="62" customHeight="1">
      <x:c r="A106" s="12" t="str">
        <x:v>OPSTEP-feros-geth-tunnels-patrol</x:v>
      </x:c>
      <x:c r="B106" s="7" t="str">
        <x:v>Féros : Les geth dans les tunnels — 2. Défense geth des tunnels</x:v>
      </x:c>
      <x:c r="C106" s="10" t="str">
        <x:v>Prototype</x:v>
      </x:c>
      <x:c r="D106" s="11" t="str">
        <x:v>À produire</x:v>
      </x:c>
      <x:c r="E106" s="9" t="str">
        <x:v>P1</x:v>
      </x:c>
      <x:c r="F106" s="9" t="str">
        <x:v>ME1</x:v>
      </x:c>
      <x:c r="G106" s="9" t="str">
        <x:v>Adaptation</x:v>
      </x:c>
      <x:c r="H106" s="7" t="str">
        <x:v>Étape 2/5, feros. Deux tireurs couvrent le passage tandis qu’une unité lourde garde l’accès. Le commando doit ouvrir la route du transmetteur.</x:v>
      </x:c>
      <x:c r="I106" s="7" t="str">
        <x:v>Afficher seulement à l’étape 2. Refuser les réponses verrouillées, sauvegarder le choix et ne progresser qu’une fois. La branche de combat exige une victoire ATB réelle ; rechargement et défaite restent rejouables.</x:v>
      </x:c>
      <x:c r="J106" s="7" t="str">
        <x:v>SIDE-feros-geth-dans-les-tunnels, OPSTEP-feros-geth-tunnels-request</x:v>
      </x:c>
      <x:c r="K106" s="7" t="str">
        <x:v>src/operation-data.js</x:v>
      </x:c>
      <x:c r="L106" s="7" t="str">
        <x:v>src/operation-data.js</x:v>
      </x:c>
      <x:c r="M106" s="7" t="str">
        <x:v>feros-geth-tunnels.patrol</x:v>
      </x:c>
      <x:c r="N106" s="7" t="str">
        <x:v>Objectifs et noms ME1 référencés ; chiffres, découpage et interface propres à cette adaptation ATB.</x:v>
      </x:c>
      <x:c r="O106" s="7" t="str">
        <x:v>https://masseffect.fandom.com/wiki/Feros%3A_Geth_in_the_Tunnels</x:v>
      </x:c>
      <x:c r="P106" s="7" t="str">
        <x:v>Production ME1</x:v>
      </x:c>
      <x:c r="Q106" s="7" t="str">
        <x:v>Réponses : fight : Engager les défenseurs geth. [combat tunnel-geth]. Position proposée x=10, z=3 ; déplacée à proximité par le moteur si obstacle. Dialogues réécrits.</x:v>
      </x:c>
    </x:row>
    <x:row r="107" ht="62" customHeight="1">
      <x:c r="A107" s="13" t="str">
        <x:v>OPSTEP-feros-geth-tunnels-guards</x:v>
      </x:c>
      <x:c r="B107" s="14" t="str">
        <x:v>Féros : Les geth dans les tunnels — 3. Gardiens du transmetteur</x:v>
      </x:c>
      <x:c r="C107" s="10" t="str">
        <x:v>Prototype</x:v>
      </x:c>
      <x:c r="D107" s="11" t="str">
        <x:v>À produire</x:v>
      </x:c>
      <x:c r="E107" s="15" t="str">
        <x:v>P1</x:v>
      </x:c>
      <x:c r="F107" s="15" t="str">
        <x:v>ME1</x:v>
      </x:c>
      <x:c r="G107" s="15" t="str">
        <x:v>Adaptation</x:v>
      </x:c>
      <x:c r="H107" s="14" t="str">
        <x:v>Étape 3/5, feros. Trois krogans défendent la chambre du transmetteur. Ils bloquent l’accès au dispositif.</x:v>
      </x:c>
      <x:c r="I107" s="14" t="str">
        <x:v>Afficher seulement à l’étape 3. Refuser les réponses verrouillées, sauvegarder le choix et ne progresser qu’une fois. La branche de combat exige une victoire ATB réelle ; rechargement et défaite restent rejouables.</x:v>
      </x:c>
      <x:c r="J107" s="14" t="str">
        <x:v>SIDE-feros-geth-dans-les-tunnels, OPSTEP-feros-geth-tunnels-patrol</x:v>
      </x:c>
      <x:c r="K107" s="14" t="str">
        <x:v>src/operation-data.js</x:v>
      </x:c>
      <x:c r="L107" s="14" t="str">
        <x:v>src/operation-data.js</x:v>
      </x:c>
      <x:c r="M107" s="14" t="str">
        <x:v>feros-geth-tunnels.guards</x:v>
      </x:c>
      <x:c r="N107" s="14" t="str">
        <x:v>Objectifs et noms ME1 référencés ; chiffres, découpage et interface propres à cette adaptation ATB.</x:v>
      </x:c>
      <x:c r="O107" s="14" t="str">
        <x:v>https://masseffect.fandom.com/wiki/Feros%3A_Geth_in_the_Tunnels</x:v>
      </x:c>
      <x:c r="P107" s="14" t="str">
        <x:v>Production ME1</x:v>
      </x:c>
      <x:c r="Q107" s="14" t="str">
        <x:v>Réponses : fight : Affronter les trois krogans. [combat tunnel-krogans]. Position proposée x=-10, z=-3 ; déplacée à proximité par le moteur si obstacle. Dialogues réécrits.</x:v>
      </x:c>
    </x:row>
    <x:row r="108" ht="49" customHeight="1">
      <x:c r="A108" s="12" t="str">
        <x:v>OPSTEP-feros-geth-tunnels-transmitter</x:v>
      </x:c>
      <x:c r="B108" s="7" t="str">
        <x:v>Féros : Les geth dans les tunnels — 4. Transmetteur geth</x:v>
      </x:c>
      <x:c r="C108" s="10" t="str">
        <x:v>Prototype</x:v>
      </x:c>
      <x:c r="D108" s="11" t="str">
        <x:v>À produire</x:v>
      </x:c>
      <x:c r="E108" s="9" t="str">
        <x:v>P1</x:v>
      </x:c>
      <x:c r="F108" s="9" t="str">
        <x:v>ME1</x:v>
      </x:c>
      <x:c r="G108" s="9" t="str">
        <x:v>Adaptation</x:v>
      </x:c>
      <x:c r="H108" s="7" t="str">
        <x:v>Étape 4/5, feros. La défense est neutralisée. Une surcharge ciblée peut détruire l’émetteur et interrompre définitivement son signal.</x:v>
      </x:c>
      <x:c r="I108" s="7" t="str">
        <x:v>Afficher seulement à l’étape 4. Refuser les réponses verrouillées, sauvegarder le choix et ne progresser qu’une fois.</x:v>
      </x:c>
      <x:c r="J108" s="7" t="str">
        <x:v>SIDE-feros-geth-dans-les-tunnels, OPSTEP-feros-geth-tunnels-guards</x:v>
      </x:c>
      <x:c r="K108" s="7" t="str">
        <x:v>src/operation-data.js</x:v>
      </x:c>
      <x:c r="L108" s="7" t="str">
        <x:v>src/operation-data.js</x:v>
      </x:c>
      <x:c r="M108" s="7" t="str">
        <x:v>feros-geth-tunnels.transmitter</x:v>
      </x:c>
      <x:c r="N108" s="7" t="str">
        <x:v>Objectifs et noms ME1 référencés ; chiffres, découpage et interface propres à cette adaptation ATB.</x:v>
      </x:c>
      <x:c r="O108" s="7" t="str">
        <x:v>https://masseffect.fandom.com/wiki/Feros%3A_Geth_in_the_Tunnels</x:v>
      </x:c>
      <x:c r="P108" s="7" t="str">
        <x:v>Production ME1</x:v>
      </x:c>
      <x:c r="Q108" s="7" t="str">
        <x:v>Réponses : destroy : Détruire le transmetteur.. Position proposée x=12, z=-12 ; déplacée à proximité par le moteur si obstacle. Dialogues réécrits.</x:v>
      </x:c>
    </x:row>
    <x:row r="109" ht="62" customHeight="1">
      <x:c r="A109" s="13" t="str">
        <x:v>OPSTEP-feros-geth-tunnels-report</x:v>
      </x:c>
      <x:c r="B109" s="14" t="str">
        <x:v>Féros : Les geth dans les tunnels — 5. Fai Dan</x:v>
      </x:c>
      <x:c r="C109" s="10" t="str">
        <x:v>Prototype</x:v>
      </x:c>
      <x:c r="D109" s="11" t="str">
        <x:v>À produire</x:v>
      </x:c>
      <x:c r="E109" s="15" t="str">
        <x:v>P1</x:v>
      </x:c>
      <x:c r="F109" s="15" t="str">
        <x:v>ME1</x:v>
      </x:c>
      <x:c r="G109" s="15" t="str">
        <x:v>Adaptation</x:v>
      </x:c>
      <x:c r="H109" s="14" t="str">
        <x:v>Étape 5/5, feros. Sans ce transmetteur, les geth perdent un relais à proximité de nos abris. Les habitants de Zhu’s Hope vous doivent une nouvelle chance.</x:v>
      </x:c>
      <x:c r="I109" s="14" t="str">
        <x:v>Afficher seulement à l’étape 5. Refuser les réponses verrouillées, sauvegarder le choix et ne progresser qu’une fois.</x:v>
      </x:c>
      <x:c r="J109" s="14" t="str">
        <x:v>SIDE-feros-geth-dans-les-tunnels, OPSTEP-feros-geth-tunnels-transmitter</x:v>
      </x:c>
      <x:c r="K109" s="14" t="str">
        <x:v>src/operation-data.js</x:v>
      </x:c>
      <x:c r="L109" s="14" t="str">
        <x:v>src/operation-data.js</x:v>
      </x:c>
      <x:c r="M109" s="14" t="str">
        <x:v>feros-geth-tunnels.report</x:v>
      </x:c>
      <x:c r="N109" s="14" t="str">
        <x:v>Objectifs et noms ME1 référencés ; chiffres, découpage et interface propres à cette adaptation ATB.</x:v>
      </x:c>
      <x:c r="O109" s="14" t="str">
        <x:v>https://masseffect.fandom.com/wiki/Feros%3A_Geth_in_the_Tunnels</x:v>
      </x:c>
      <x:c r="P109" s="14" t="str">
        <x:v>Production ME1</x:v>
      </x:c>
      <x:c r="Q109" s="14" t="str">
        <x:v>Réponses : report : Signaler la destruction du transmetteur.. Position proposée x=0, z=10 ; déplacée à proximité par le moteur si obstacle. Dialogues réécrits.</x:v>
      </x:c>
    </x:row>
    <x:row r="110" ht="101" customHeight="1">
      <x:c r="A110" s="12" t="str">
        <x:v>SIDE-feros-recuperation-des-donnees</x:v>
      </x:c>
      <x:c r="B110" s="7" t="str">
        <x:v>Féros : Récupération des données</x:v>
      </x:c>
      <x:c r="C110" s="10" t="str">
        <x:v>Prototype</x:v>
      </x:c>
      <x:c r="D110" s="11" t="str">
        <x:v>Prototype</x:v>
      </x:c>
      <x:c r="E110" s="9" t="str">
        <x:v>P1</x:v>
      </x:c>
      <x:c r="F110" s="9" t="str">
        <x:v>ME1</x:v>
      </x:c>
      <x:c r="G110" s="9" t="str">
        <x:v>Adaptation</x:v>
      </x:c>
      <x:c r="H110" s="7" t="str">
        <x:v>Copier les recherches de Gavin Hossle dans les installations ExoGeni. 4 étapes guidées. Récompense finale unique : 70 XP, 100 crédits.</x:v>
      </x:c>
      <x:c r="I110" s="7" t="str">
        <x:v>Parcourir les 4 étapes sans saut ni double récompense. Après le statut Spectre et le premier combat de Féros. Copie des données avant le Thorien ; remise ultérieure possible. Fermeture au passage du Conduit. Le journal, les interactions et la sauvegarde doivent afficher la même progression. Comparer les variantes manquantes au jeu avant validation finale.</x:v>
      </x:c>
      <x:c r="J110" s="7" t="str"/>
      <x:c r="K110" s="7" t="str">
        <x:v>src/operation-data.js</x:v>
      </x:c>
      <x:c r="L110" s="7" t="str">
        <x:v>src/operation-data.js</x:v>
      </x:c>
      <x:c r="M110" s="7" t="str">
        <x:v>OPERATIONS.feros-data-recovery</x:v>
      </x:c>
      <x:c r="N110" s="7" t="str">
        <x:v>Objectifs et noms ME1 référencés ; chiffres, découpage et interface propres à cette adaptation ATB.</x:v>
      </x:c>
      <x:c r="O110" s="7" t="str">
        <x:v>https://masseffect.fandom.com/wiki/Feros%3A_Data_Recovery</x:v>
      </x:c>
      <x:c r="P110" s="7" t="str">
        <x:v>Production ME1</x:v>
      </x:c>
      <x:c r="Q110" s="7" t="str">
        <x:v>Déplacements et dialogues condensés dans la carte actuelle ; les intérieurs et embranchements de ME1 restent à reconstituer. Gavin et son terminal sont regroupés dans la carte de Féros. La copie doit précéder le Thorien ; le rapport reste possible ensuite si les données ont été acquises. Preuve : tests/operations.test.js.</x:v>
      </x:c>
    </x:row>
    <x:row r="111" ht="62" customHeight="1">
      <x:c r="A111" s="13" t="str">
        <x:v>OPSTEP-feros-data-recovery-request</x:v>
      </x:c>
      <x:c r="B111" s="14" t="str">
        <x:v>Féros : Récupération des données — 1. Gavin Hossle</x:v>
      </x:c>
      <x:c r="C111" s="10" t="str">
        <x:v>Prototype</x:v>
      </x:c>
      <x:c r="D111" s="11" t="str">
        <x:v>À produire</x:v>
      </x:c>
      <x:c r="E111" s="15" t="str">
        <x:v>P1</x:v>
      </x:c>
      <x:c r="F111" s="15" t="str">
        <x:v>ME1</x:v>
      </x:c>
      <x:c r="G111" s="15" t="str">
        <x:v>Adaptation</x:v>
      </x:c>
      <x:c r="H111" s="14" t="str">
        <x:v>Étape 1/4, feros. J’ai dû abandonner mes recherches sur un terminal ExoGeni. Ces données représentent des années de travail. Une simple copie suffirait si vous atteignez mon poste.</x:v>
      </x:c>
      <x:c r="I111" s="14" t="str">
        <x:v>Afficher seulement à l’étape 1. Refuser les réponses verrouillées, sauvegarder le choix et ne progresser qu’une fois.</x:v>
      </x:c>
      <x:c r="J111" s="14" t="str">
        <x:v>SIDE-feros-recuperation-des-donnees</x:v>
      </x:c>
      <x:c r="K111" s="14" t="str">
        <x:v>src/operation-data.js</x:v>
      </x:c>
      <x:c r="L111" s="14" t="str">
        <x:v>src/operation-data.js</x:v>
      </x:c>
      <x:c r="M111" s="14" t="str">
        <x:v>feros-data-recovery.request</x:v>
      </x:c>
      <x:c r="N111" s="14" t="str">
        <x:v>Objectifs et noms ME1 référencés ; chiffres, découpage et interface propres à cette adaptation ATB.</x:v>
      </x:c>
      <x:c r="O111" s="14" t="str">
        <x:v>https://masseffect.fandom.com/wiki/Feros%3A_Data_Recovery</x:v>
      </x:c>
      <x:c r="P111" s="14" t="str">
        <x:v>Production ME1</x:v>
      </x:c>
      <x:c r="Q111" s="14" t="str">
        <x:v>Réponses : accept : Je vais m’en occuper.. Position proposée x=11, z=18 ; déplacée à proximité par le moteur si obstacle. Dialogues réécrits.</x:v>
      </x:c>
    </x:row>
    <x:row r="112" ht="62" customHeight="1">
      <x:c r="A112" s="12" t="str">
        <x:v>OPSTEP-feros-data-recovery-guards</x:v>
      </x:c>
      <x:c r="B112" s="7" t="str">
        <x:v>Féros : Récupération des données — 2. Gardes du terminal</x:v>
      </x:c>
      <x:c r="C112" s="10" t="str">
        <x:v>Prototype</x:v>
      </x:c>
      <x:c r="D112" s="11" t="str">
        <x:v>À produire</x:v>
      </x:c>
      <x:c r="E112" s="9" t="str">
        <x:v>P1</x:v>
      </x:c>
      <x:c r="F112" s="9" t="str">
        <x:v>ME1</x:v>
      </x:c>
      <x:c r="G112" s="9" t="str">
        <x:v>Adaptation</x:v>
      </x:c>
      <x:c r="H112" s="7" t="str">
        <x:v>Étape 2/4, feros. Trois krogans occupent l’accès au terminal de Gavin. Ils ouvrent le feu à l’approche du commando.</x:v>
      </x:c>
      <x:c r="I112" s="7" t="str">
        <x:v>Afficher seulement à l’étape 2. Refuser les réponses verrouillées, sauvegarder le choix et ne progresser qu’une fois. La branche de combat exige une victoire ATB réelle ; rechargement et défaite restent rejouables.</x:v>
      </x:c>
      <x:c r="J112" s="7" t="str">
        <x:v>SIDE-feros-recuperation-des-donnees, OPSTEP-feros-data-recovery-request</x:v>
      </x:c>
      <x:c r="K112" s="7" t="str">
        <x:v>src/operation-data.js</x:v>
      </x:c>
      <x:c r="L112" s="7" t="str">
        <x:v>src/operation-data.js</x:v>
      </x:c>
      <x:c r="M112" s="7" t="str">
        <x:v>feros-data-recovery.guards</x:v>
      </x:c>
      <x:c r="N112" s="7" t="str">
        <x:v>Objectifs et noms ME1 référencés ; chiffres, découpage et interface propres à cette adaptation ATB.</x:v>
      </x:c>
      <x:c r="O112" s="7" t="str">
        <x:v>https://masseffect.fandom.com/wiki/Feros%3A_Data_Recovery</x:v>
      </x:c>
      <x:c r="P112" s="7" t="str">
        <x:v>Production ME1</x:v>
      </x:c>
      <x:c r="Q112" s="7" t="str">
        <x:v>Réponses : fight : Sécuriser le terminal. [combat data-krogans]. Position proposée x=-12, z=-12 ; déplacée à proximité par le moteur si obstacle. Dialogues réécrits.</x:v>
      </x:c>
    </x:row>
    <x:row r="113" ht="49" customHeight="1">
      <x:c r="A113" s="13" t="str">
        <x:v>OPSTEP-feros-data-recovery-terminal</x:v>
      </x:c>
      <x:c r="B113" s="14" t="str">
        <x:v>Féros : Récupération des données — 3. Terminal de Gavin Hossle</x:v>
      </x:c>
      <x:c r="C113" s="10" t="str">
        <x:v>Prototype</x:v>
      </x:c>
      <x:c r="D113" s="11" t="str">
        <x:v>À produire</x:v>
      </x:c>
      <x:c r="E113" s="15" t="str">
        <x:v>P1</x:v>
      </x:c>
      <x:c r="F113" s="15" t="str">
        <x:v>ME1</x:v>
      </x:c>
      <x:c r="G113" s="15" t="str">
        <x:v>Adaptation</x:v>
      </x:c>
      <x:c r="H113" s="14" t="str">
        <x:v>Étape 3/4, feros. Les archives sont encore lisibles. Le transfert peut préserver les données de recherche sans modifier les systèmes ExoGeni.</x:v>
      </x:c>
      <x:c r="I113" s="14" t="str">
        <x:v>Afficher seulement à l’étape 3. Refuser les réponses verrouillées, sauvegarder le choix et ne progresser qu’une fois.</x:v>
      </x:c>
      <x:c r="J113" s="14" t="str">
        <x:v>SIDE-feros-recuperation-des-donnees, OPSTEP-feros-data-recovery-guards</x:v>
      </x:c>
      <x:c r="K113" s="14" t="str">
        <x:v>src/operation-data.js</x:v>
      </x:c>
      <x:c r="L113" s="14" t="str">
        <x:v>src/operation-data.js</x:v>
      </x:c>
      <x:c r="M113" s="14" t="str">
        <x:v>feros-data-recovery.terminal</x:v>
      </x:c>
      <x:c r="N113" s="14" t="str">
        <x:v>Objectifs et noms ME1 référencés ; chiffres, découpage et interface propres à cette adaptation ATB.</x:v>
      </x:c>
      <x:c r="O113" s="14" t="str">
        <x:v>https://masseffect.fandom.com/wiki/Feros%3A_Data_Recovery</x:v>
      </x:c>
      <x:c r="P113" s="14" t="str">
        <x:v>Production ME1</x:v>
      </x:c>
      <x:c r="Q113" s="14" t="str">
        <x:v>Réponses : copy : Copier les données de Gavin.. Position proposée x=-13, z=-15 ; déplacée à proximité par le moteur si obstacle. Dialogues réécrits.</x:v>
      </x:c>
    </x:row>
    <x:row r="114" ht="62" customHeight="1">
      <x:c r="A114" s="12" t="str">
        <x:v>OPSTEP-feros-data-recovery-report</x:v>
      </x:c>
      <x:c r="B114" s="7" t="str">
        <x:v>Féros : Récupération des données — 4. Gavin Hossle</x:v>
      </x:c>
      <x:c r="C114" s="10" t="str">
        <x:v>Prototype</x:v>
      </x:c>
      <x:c r="D114" s="11" t="str">
        <x:v>À produire</x:v>
      </x:c>
      <x:c r="E114" s="9" t="str">
        <x:v>P1</x:v>
      </x:c>
      <x:c r="F114" s="9" t="str">
        <x:v>ME1</x:v>
      </x:c>
      <x:c r="G114" s="9" t="str">
        <x:v>Adaptation</x:v>
      </x:c>
      <x:c r="H114" s="7" t="str">
        <x:v>Étape 4/4, feros. La copie est complète. Je pourrai reprendre ce travail lorsque nous serons en sécurité. Merci d’avoir pensé à ces recherches au milieu de l’évacuation.</x:v>
      </x:c>
      <x:c r="I114" s="7" t="str">
        <x:v>Afficher seulement à l’étape 4. Refuser les réponses verrouillées, sauvegarder le choix et ne progresser qu’une fois.</x:v>
      </x:c>
      <x:c r="J114" s="7" t="str">
        <x:v>SIDE-feros-recuperation-des-donnees, OPSTEP-feros-data-recovery-terminal</x:v>
      </x:c>
      <x:c r="K114" s="7" t="str">
        <x:v>src/operation-data.js</x:v>
      </x:c>
      <x:c r="L114" s="7" t="str">
        <x:v>src/operation-data.js</x:v>
      </x:c>
      <x:c r="M114" s="7" t="str">
        <x:v>feros-data-recovery.report</x:v>
      </x:c>
      <x:c r="N114" s="7" t="str">
        <x:v>Objectifs et noms ME1 référencés ; chiffres, découpage et interface propres à cette adaptation ATB.</x:v>
      </x:c>
      <x:c r="O114" s="7" t="str">
        <x:v>https://masseffect.fandom.com/wiki/Feros%3A_Data_Recovery</x:v>
      </x:c>
      <x:c r="P114" s="7" t="str">
        <x:v>Production ME1</x:v>
      </x:c>
      <x:c r="Q114" s="7" t="str">
        <x:v>Réponses : deliver : Remettre la copie à Gavin.. Position proposée x=11, z=18 ; déplacée à proximité par le moteur si obstacle. Dialogues réécrits.</x:v>
      </x:c>
    </x:row>
  </x:sheetData>
  <x:conditionalFormatting sqref="C7:C114">
    <x:cfRule type="cellIs" dxfId="50" priority="1" operator="equal">
      <x:formula>"Prototype"</x:formula>
    </x:cfRule>
    <x:cfRule type="cellIs" dxfId="51" priority="2" operator="equal">
      <x:formula>"Intégré"</x:formula>
    </x:cfRule>
    <x:cfRule type="cellIs" dxfId="52" priority="3" operator="equal">
      <x:formula>"Validé"</x:formula>
    </x:cfRule>
  </x:conditionalFormatting>
  <x:conditionalFormatting sqref="G7:G114">
    <x:cfRule type="cellIs" dxfId="53" priority="4" operator="equal">
      <x:formula>"Référence à vérifier"</x:formula>
    </x:cfRule>
  </x:conditionalFormatting>
  <x:conditionalFormatting sqref="E7:E114">
    <x:cfRule type="cellIs" dxfId="54" priority="5" operator="equal">
      <x:formula>"P0"</x:formula>
    </x:cfRule>
  </x:conditionalFormatting>
  <x:dataValidations count="5">
    <x:dataValidation type="list" sqref="C7:C114">
      <x:formula1>"Défini,Prototype,Intégré,Validé"</x:formula1>
    </x:dataValidation>
    <x:dataValidation type="list" sqref="D7:D114">
      <x:formula1>"À produire,Prototype,Disponible,Validé,Sans objet,Non planifié"</x:formula1>
    </x:dataValidation>
    <x:dataValidation type="list" sqref="E7:E114">
      <x:formula1>"P0,P1,P2"</x:formula1>
    </x:dataValidation>
    <x:dataValidation type="list" sqref="F7:F114">
      <x:formula1>"ME1,ME2,ME3"</x:formula1>
    </x:dataValidation>
    <x:dataValidation type="list" sqref="G7:G114">
      <x:formula1>"Confirmé,Référence à vérifier,Adaptation"</x:formula1>
    </x:dataValidation>
  </x:dataValidations>
  <x:pageMargins left="0.7" right="0.7" top="0.75" bottom="0.75" header="0.3" footer="0.3"/>
  <x:tableParts count="1">
    <x:tablePart xmlns:r="http://schemas.openxmlformats.org/officeDocument/2006/relationships" r:id="R12e1ad5689c54889"/>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55" priority="1" operator="equal">
      <x:formula>"Prototype"</x:formula>
    </x:cfRule>
    <x:cfRule type="cellIs" dxfId="56" priority="2" operator="equal">
      <x:formula>"Intégré"</x:formula>
    </x:cfRule>
    <x:cfRule type="cellIs" dxfId="57" priority="3" operator="equal">
      <x:formula>"Validé"</x:formula>
    </x:cfRule>
  </x:conditionalFormatting>
  <x:conditionalFormatting sqref="G7:G40">
    <x:cfRule type="cellIs" dxfId="58" priority="4" operator="equal">
      <x:formula>"Référence à vérifier"</x:formula>
    </x:cfRule>
  </x:conditionalFormatting>
  <x:conditionalFormatting sqref="E7:E40">
    <x:cfRule type="cellIs" dxfId="5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faec8f7d4f724679"/>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60" priority="1" operator="equal">
      <x:formula>"Prototype"</x:formula>
    </x:cfRule>
    <x:cfRule type="cellIs" dxfId="61" priority="2" operator="equal">
      <x:formula>"Intégré"</x:formula>
    </x:cfRule>
    <x:cfRule type="cellIs" dxfId="62" priority="3" operator="equal">
      <x:formula>"Validé"</x:formula>
    </x:cfRule>
  </x:conditionalFormatting>
  <x:conditionalFormatting sqref="G7:G42">
    <x:cfRule type="cellIs" dxfId="63" priority="4" operator="equal">
      <x:formula>"Référence à vérifier"</x:formula>
    </x:cfRule>
  </x:conditionalFormatting>
  <x:conditionalFormatting sqref="E7:E42">
    <x:cfRule type="cellIs" dxfId="6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a91b4fe3a15c4d6b"/>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65" priority="1" operator="equal">
      <x:formula>"Prototype"</x:formula>
    </x:cfRule>
    <x:cfRule type="cellIs" dxfId="66" priority="2" operator="equal">
      <x:formula>"Intégré"</x:formula>
    </x:cfRule>
    <x:cfRule type="cellIs" dxfId="67" priority="3" operator="equal">
      <x:formula>"Validé"</x:formula>
    </x:cfRule>
  </x:conditionalFormatting>
  <x:conditionalFormatting sqref="G7:G32">
    <x:cfRule type="cellIs" dxfId="68" priority="4" operator="equal">
      <x:formula>"Référence à vérifier"</x:formula>
    </x:cfRule>
  </x:conditionalFormatting>
  <x:conditionalFormatting sqref="E7:E32">
    <x:cfRule type="cellIs" dxfId="6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860b64cb803d4c45"/>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62"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v>Objectif de famille conservé. Références jouables documentées séparément : GEAR-avenger-i. Les modèles, rangs complets, silhouettes et statistiques canoniques restent à produire ou vérifier.</x:v>
      </x:c>
    </x:row>
    <x:row r="13" ht="62"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v>Objectif de famille conservé. Références jouables documentées séparément : GEAR-lancer-i. Les modèles, rangs complets, silhouettes et statistiques canoniques restent à produire ou vérifier.</x:v>
      </x:c>
    </x:row>
    <x:row r="14" ht="62"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v>Objectif de famille conservé. Références jouables documentées séparément : GEAR-hmwa-vii. Les modèles, rangs complets, silhouettes et statistiques canoniques restent à produire ou vérifier.</x:v>
      </x:c>
    </x:row>
    <x:row r="15" ht="62"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v>Objectif de famille conservé. Références jouables documentées séparément : GEAR-kessler-i. Les modèles, rangs complets, silhouettes et statistiques canoniques restent à produire ou vérifier.</x:v>
      </x:c>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62"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v>Objectif de famille conservé. Références jouables documentées séparément : GEAR-hmwp-vii. Les modèles, rangs complets, silhouettes et statistiques canoniques restent à produire ou vérifier.</x:v>
      </x:c>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62"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v>Objectif de famille conservé. Références jouables documentées séparément : GEAR-katana-v. Les modèles, rangs complets, silhouettes et statistiques canoniques restent à produire ou vérifier.</x:v>
      </x:c>
    </x:row>
    <x:row r="20" ht="62"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v>Objectif de famille conservé. Références jouables documentées séparément : GEAR-hmwsg-vii. Les modèles, rangs complets, silhouettes et statistiques canoniques restent à produire ou vérifier.</x:v>
      </x:c>
    </x:row>
    <x:row r="21" ht="62"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v>Objectif de famille conservé. Références jouables documentées séparément : GEAR-hammer-iii. Les modèles, rangs complets, silhouettes et statistiques canoniques restent à produire ou vérifier.</x:v>
      </x:c>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62"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v>Objectif de famille conservé. Références jouables documentées séparément : GEAR-hmwsr-vii. Les modèles, rangs complets, silhouettes et statistiques canoniques restent à produire ou vérifier.</x:v>
      </x:c>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row r="31" ht="75" customHeight="1">
      <x:c r="A31" s="13" t="str">
        <x:v>GEAR-kessler-i</x:v>
      </x:c>
      <x:c r="B31" s="14" t="str">
        <x:v>Kessler I</x:v>
      </x:c>
      <x:c r="C31" s="10" t="str">
        <x:v>Prototype</x:v>
      </x:c>
      <x:c r="D31" s="11" t="str">
        <x:v>À produire</x:v>
      </x:c>
      <x:c r="E31" s="15" t="str">
        <x:v>P1</x:v>
      </x:c>
      <x:c r="F31" s="15" t="str">
        <x:v>ME1</x:v>
      </x:c>
      <x:c r="G31" s="15" t="str">
        <x:v>Adaptation</x:v>
      </x:c>
      <x:c r="H31" s="14" t="str">
        <x:v>Arme, Pistolet. Hahne-Kedar. Niveau 1. Achat 70 crédits, vente 28, stock initial 3. Effets ATB : puissance=0, multiplicateur de chaleur=1.</x:v>
      </x:c>
      <x:c r="I31" s="14" t="str">
        <x:v>Achat, vente et attribution atomiques à l’emplacement Arme. Vérifier niveau, stock, possession. Appliquer une fois les bonus affichés, préserver après sauvegarde et restituer au retrait. Puissance de l’arme réduite de moitié sans entraînement.</x:v>
      </x:c>
      <x:c r="J31" s="14" t="str">
        <x:v>SYS-inventaire, SYS-commerce</x:v>
      </x:c>
      <x:c r="K31" s="14" t="str">
        <x:v>src/loadout.js</x:v>
      </x:c>
      <x:c r="L31" s="14" t="str">
        <x:v>src/loadout.js</x:v>
      </x:c>
      <x:c r="M31" s="14" t="str">
        <x:v>ITEMS.kessler-i</x:v>
      </x:c>
      <x:c r="N31" s="14" t="str">
        <x:v>Objectifs et noms ME1 référencés ; chiffres, découpage et interface propres à cette adaptation ATB.</x:v>
      </x:c>
      <x:c r="O31" s="14" t="str">
        <x:v>https://masseffect.fandom.com/wiki/Pistols</x:v>
      </x:c>
      <x:c r="P31" s="14" t="str">
        <x:v>Production ME1</x:v>
      </x:c>
      <x:c r="Q31" s="14" t="str">
        <x:v>Dotation de départ : aucune modification des statistiques de base. Nom et famille référencés ; chiffres adaptés au système ATB. Aucun sprite ou modèle distinct pour cette référence.</x:v>
      </x:c>
    </x:row>
    <x:row r="32" ht="75" customHeight="1">
      <x:c r="A32" s="12" t="str">
        <x:v>GEAR-lancer-i</x:v>
      </x:c>
      <x:c r="B32" s="7" t="str">
        <x:v>Lancer I</x:v>
      </x:c>
      <x:c r="C32" s="10" t="str">
        <x:v>Prototype</x:v>
      </x:c>
      <x:c r="D32" s="11" t="str">
        <x:v>À produire</x:v>
      </x:c>
      <x:c r="E32" s="9" t="str">
        <x:v>P1</x:v>
      </x:c>
      <x:c r="F32" s="9" t="str">
        <x:v>ME1</x:v>
      </x:c>
      <x:c r="G32" s="9" t="str">
        <x:v>Adaptation</x:v>
      </x:c>
      <x:c r="H32" s="7" t="str">
        <x:v>Arme, Fusil d’assaut. Hahne-Kedar. Niveau 1. Achat 85 crédits, vente 34, stock initial 3. Effets ATB : puissance=0, multiplicateur de chaleur=1.</x:v>
      </x:c>
      <x:c r="I32" s="7" t="str">
        <x:v>Achat, vente et attribution atomiques à l’emplacement Arme. Vérifier niveau, stock, possession. Appliquer une fois les bonus affichés, préserver après sauvegarde et restituer au retrait. Puissance de l’arme réduite de moitié sans entraînement.</x:v>
      </x:c>
      <x:c r="J32" s="7" t="str">
        <x:v>SYS-inventaire, SYS-commerce</x:v>
      </x:c>
      <x:c r="K32" s="7" t="str">
        <x:v>src/loadout.js</x:v>
      </x:c>
      <x:c r="L32" s="7" t="str">
        <x:v>src/loadout.js</x:v>
      </x:c>
      <x:c r="M32" s="7" t="str">
        <x:v>ITEMS.lancer-i</x:v>
      </x:c>
      <x:c r="N32" s="7" t="str">
        <x:v>Objectifs et noms ME1 référencés ; chiffres, découpage et interface propres à cette adaptation ATB.</x:v>
      </x:c>
      <x:c r="O32" s="7" t="str">
        <x:v>https://masseffect.fandom.com/wiki/Assault_Rifles</x:v>
      </x:c>
      <x:c r="P32" s="7" t="str">
        <x:v>Production ME1</x:v>
      </x:c>
      <x:c r="Q32" s="7" t="str">
        <x:v>Dotation de départ : aucune modification des statistiques de base. Nom et famille référencés ; chiffres adaptés au système ATB. Aucun sprite ou modèle distinct pour cette référence.</x:v>
      </x:c>
    </x:row>
    <x:row r="33" ht="75" customHeight="1">
      <x:c r="A33" s="13" t="str">
        <x:v>GEAR-storm-i</x:v>
      </x:c>
      <x:c r="B33" s="14" t="str">
        <x:v>Storm I</x:v>
      </x:c>
      <x:c r="C33" s="10" t="str">
        <x:v>Prototype</x:v>
      </x:c>
      <x:c r="D33" s="11" t="str">
        <x:v>À produire</x:v>
      </x:c>
      <x:c r="E33" s="15" t="str">
        <x:v>P1</x:v>
      </x:c>
      <x:c r="F33" s="15" t="str">
        <x:v>ME1</x:v>
      </x:c>
      <x:c r="G33" s="15" t="str">
        <x:v>Adaptation</x:v>
      </x:c>
      <x:c r="H33" s="14" t="str">
        <x:v>Arme, Fusil à pompe. Hahne-Kedar. Niveau 1. Achat 100 crédits, vente 40, stock initial 3. Effets ATB : puissance=0, multiplicateur de chaleur=1.</x:v>
      </x:c>
      <x:c r="I33" s="14" t="str">
        <x:v>Achat, vente et attribution atomiques à l’emplacement Arme. Vérifier niveau, stock, possession. Appliquer une fois les bonus affichés, préserver après sauvegarde et restituer au retrait. Puissance de l’arme réduite de moitié sans entraînement.</x:v>
      </x:c>
      <x:c r="J33" s="14" t="str">
        <x:v>SYS-inventaire, SYS-commerce</x:v>
      </x:c>
      <x:c r="K33" s="14" t="str">
        <x:v>src/loadout.js</x:v>
      </x:c>
      <x:c r="L33" s="14" t="str">
        <x:v>src/loadout.js</x:v>
      </x:c>
      <x:c r="M33" s="14" t="str">
        <x:v>ITEMS.storm-i</x:v>
      </x:c>
      <x:c r="N33" s="14" t="str">
        <x:v>Objectifs et noms ME1 référencés ; chiffres, découpage et interface propres à cette adaptation ATB.</x:v>
      </x:c>
      <x:c r="O33" s="14" t="str">
        <x:v>https://masseffect.fandom.com/wiki/Shotguns</x:v>
      </x:c>
      <x:c r="P33" s="14" t="str">
        <x:v>Production ME1</x:v>
      </x:c>
      <x:c r="Q33" s="14" t="str">
        <x:v>Dotation de départ : aucune modification des statistiques de base. Nom et famille référencés ; chiffres adaptés au système ATB. Aucun sprite ou modèle distinct pour cette référence.</x:v>
      </x:c>
    </x:row>
    <x:row r="34" ht="75" customHeight="1">
      <x:c r="A34" s="12" t="str">
        <x:v>GEAR-avenger-i</x:v>
      </x:c>
      <x:c r="B34" s="7" t="str">
        <x:v>Avenger I</x:v>
      </x:c>
      <x:c r="C34" s="10" t="str">
        <x:v>Prototype</x:v>
      </x:c>
      <x:c r="D34" s="11" t="str">
        <x:v>À produire</x:v>
      </x:c>
      <x:c r="E34" s="9" t="str">
        <x:v>P1</x:v>
      </x:c>
      <x:c r="F34" s="9" t="str">
        <x:v>ME1</x:v>
      </x:c>
      <x:c r="G34" s="9" t="str">
        <x:v>Adaptation</x:v>
      </x:c>
      <x:c r="H34" s="7" t="str">
        <x:v>Arme, Fusil de précision. Hahne-Kedar. Niveau 1. Achat 115 crédits, vente 46, stock initial 3. Effets ATB : puissance=0, multiplicateur de chaleur=1.</x:v>
      </x:c>
      <x:c r="I34" s="7" t="str">
        <x:v>Achat, vente et attribution atomiques à l’emplacement Arme. Vérifier niveau, stock, possession. Appliquer une fois les bonus affichés, préserver après sauvegarde et restituer au retrait. Puissance de l’arme réduite de moitié sans entraînement.</x:v>
      </x:c>
      <x:c r="J34" s="7" t="str">
        <x:v>SYS-inventaire, SYS-commerce</x:v>
      </x:c>
      <x:c r="K34" s="7" t="str">
        <x:v>src/loadout.js</x:v>
      </x:c>
      <x:c r="L34" s="7" t="str">
        <x:v>src/loadout.js</x:v>
      </x:c>
      <x:c r="M34" s="7" t="str">
        <x:v>ITEMS.avenger-i</x:v>
      </x:c>
      <x:c r="N34" s="7" t="str">
        <x:v>Objectifs et noms ME1 référencés ; chiffres, découpage et interface propres à cette adaptation ATB.</x:v>
      </x:c>
      <x:c r="O34" s="7" t="str">
        <x:v>https://masseffect.fandom.com/wiki/Sniper_Rifles</x:v>
      </x:c>
      <x:c r="P34" s="7" t="str">
        <x:v>Production ME1</x:v>
      </x:c>
      <x:c r="Q34" s="7" t="str">
        <x:v>Dotation de départ : aucune modification des statistiques de base. Nom et famille référencés ; chiffres adaptés au système ATB. Aucun sprite ou modèle distinct pour cette référence.</x:v>
      </x:c>
    </x:row>
    <x:row r="35" ht="75" customHeight="1">
      <x:c r="A35" s="13" t="str">
        <x:v>GEAR-striker-iii</x:v>
      </x:c>
      <x:c r="B35" s="14" t="str">
        <x:v>Striker III</x:v>
      </x:c>
      <x:c r="C35" s="10" t="str">
        <x:v>Prototype</x:v>
      </x:c>
      <x:c r="D35" s="11" t="str">
        <x:v>À produire</x:v>
      </x:c>
      <x:c r="E35" s="15" t="str">
        <x:v>P1</x:v>
      </x:c>
      <x:c r="F35" s="15" t="str">
        <x:v>ME1</x:v>
      </x:c>
      <x:c r="G35" s="15" t="str">
        <x:v>Adaptation</x:v>
      </x:c>
      <x:c r="H35" s="14" t="str">
        <x:v>Arme, Pistolet. Elanus Risk Control Services. Niveau 2. Achat 190 crédits, vente 76, stock initial 3. Effets ATB : puissance=3, multiplicateur de chaleur=0.88.</x:v>
      </x:c>
      <x:c r="I35" s="14" t="str">
        <x:v>Achat, vente et attribution atomiques à l’emplacement Arme. Vérifier niveau, stock, possession. Appliquer une fois les bonus affichés, préserver après sauvegarde et restituer au retrait. Puissance de l’arme réduite de moitié sans entraînement.</x:v>
      </x:c>
      <x:c r="J35" s="14" t="str">
        <x:v>SYS-inventaire, SYS-commerce</x:v>
      </x:c>
      <x:c r="K35" s="14" t="str">
        <x:v>src/loadout.js</x:v>
      </x:c>
      <x:c r="L35" s="14" t="str">
        <x:v>src/loadout.js</x:v>
      </x:c>
      <x:c r="M35" s="14" t="str">
        <x:v>ITEMS.striker-iii</x:v>
      </x:c>
      <x:c r="N35" s="14" t="str">
        <x:v>Objectifs et noms ME1 référencés ; chiffres, découpage et interface propres à cette adaptation ATB.</x:v>
      </x:c>
      <x:c r="O35" s="14" t="str">
        <x:v>https://masseffect.fandom.com/wiki/Pistols</x:v>
      </x:c>
      <x:c r="P35" s="14" t="str">
        <x:v>Production ME1</x:v>
      </x:c>
      <x:c r="Q35" s="14" t="str">
        <x:v>Pistolet : équilibre entre puissance et chaleur. Le bonus de puissance est réduit sans entraînement. Nom et famille référencés ; chiffres adaptés au système ATB. Aucun sprite ou modèle distinct pour cette référence.</x:v>
      </x:c>
    </x:row>
    <x:row r="36" ht="75" customHeight="1">
      <x:c r="A36" s="12" t="str">
        <x:v>GEAR-banshee-iii</x:v>
      </x:c>
      <x:c r="B36" s="7" t="str">
        <x:v>Banshee III</x:v>
      </x:c>
      <x:c r="C36" s="10" t="str">
        <x:v>Prototype</x:v>
      </x:c>
      <x:c r="D36" s="11" t="str">
        <x:v>À produire</x:v>
      </x:c>
      <x:c r="E36" s="9" t="str">
        <x:v>P1</x:v>
      </x:c>
      <x:c r="F36" s="9" t="str">
        <x:v>ME1</x:v>
      </x:c>
      <x:c r="G36" s="9" t="str">
        <x:v>Adaptation</x:v>
      </x:c>
      <x:c r="H36" s="7" t="str">
        <x:v>Arme, Fusil d’assaut. Elanus Risk Control Services. Niveau 2. Achat 205 crédits, vente 82, stock initial 3. Effets ATB : puissance=4, multiplicateur de chaleur=1.</x:v>
      </x:c>
      <x:c r="I36" s="7" t="str">
        <x:v>Achat, vente et attribution atomiques à l’emplacement Arme. Vérifier niveau, stock, possession. Appliquer une fois les bonus affichés, préserver après sauvegarde et restituer au retrait. Puissance de l’arme réduite de moitié sans entraînement.</x:v>
      </x:c>
      <x:c r="J36" s="7" t="str">
        <x:v>SYS-inventaire, SYS-commerce</x:v>
      </x:c>
      <x:c r="K36" s="7" t="str">
        <x:v>src/loadout.js</x:v>
      </x:c>
      <x:c r="L36" s="7" t="str">
        <x:v>src/loadout.js</x:v>
      </x:c>
      <x:c r="M36" s="7" t="str">
        <x:v>ITEMS.banshee-iii</x:v>
      </x:c>
      <x:c r="N36" s="7" t="str">
        <x:v>Objectifs et noms ME1 référencés ; chiffres, découpage et interface propres à cette adaptation ATB.</x:v>
      </x:c>
      <x:c r="O36" s="7" t="str">
        <x:v>https://masseffect.fandom.com/wiki/Assault_Rifles</x:v>
      </x:c>
      <x:c r="P36" s="7" t="str">
        <x:v>Production ME1</x:v>
      </x:c>
      <x:c r="Q36" s="7" t="str">
        <x:v>Fusil d’assaut : équilibre entre puissance et chaleur. Le bonus de puissance est réduit sans entraînement. Nom et famille référencés ; chiffres adaptés au système ATB. Aucun sprite ou modèle distinct pour cette référence.</x:v>
      </x:c>
    </x:row>
    <x:row r="37" ht="75" customHeight="1">
      <x:c r="A37" s="13" t="str">
        <x:v>GEAR-hurricane-iii</x:v>
      </x:c>
      <x:c r="B37" s="14" t="str">
        <x:v>Hurricane III</x:v>
      </x:c>
      <x:c r="C37" s="10" t="str">
        <x:v>Prototype</x:v>
      </x:c>
      <x:c r="D37" s="11" t="str">
        <x:v>À produire</x:v>
      </x:c>
      <x:c r="E37" s="15" t="str">
        <x:v>P1</x:v>
      </x:c>
      <x:c r="F37" s="15" t="str">
        <x:v>ME1</x:v>
      </x:c>
      <x:c r="G37" s="15" t="str">
        <x:v>Adaptation</x:v>
      </x:c>
      <x:c r="H37" s="14" t="str">
        <x:v>Arme, Fusil à pompe. Elanus Risk Control Services. Niveau 2. Achat 220 crédits, vente 88, stock initial 3. Effets ATB : puissance=5, multiplicateur de chaleur=1.12.</x:v>
      </x:c>
      <x:c r="I37" s="14" t="str">
        <x:v>Achat, vente et attribution atomiques à l’emplacement Arme. Vérifier niveau, stock, possession. Appliquer une fois les bonus affichés, préserver après sauvegarde et restituer au retrait. Puissance de l’arme réduite de moitié sans entraînement.</x:v>
      </x:c>
      <x:c r="J37" s="14" t="str">
        <x:v>SYS-inventaire, SYS-commerce</x:v>
      </x:c>
      <x:c r="K37" s="14" t="str">
        <x:v>src/loadout.js</x:v>
      </x:c>
      <x:c r="L37" s="14" t="str">
        <x:v>src/loadout.js</x:v>
      </x:c>
      <x:c r="M37" s="14" t="str">
        <x:v>ITEMS.hurricane-iii</x:v>
      </x:c>
      <x:c r="N37" s="14" t="str">
        <x:v>Objectifs et noms ME1 référencés ; chiffres, découpage et interface propres à cette adaptation ATB.</x:v>
      </x:c>
      <x:c r="O37" s="14" t="str">
        <x:v>https://masseffect.fandom.com/wiki/Shotguns</x:v>
      </x:c>
      <x:c r="P37" s="14" t="str">
        <x:v>Production ME1</x:v>
      </x:c>
      <x:c r="Q37" s="14" t="str">
        <x:v>Fusil à pompe : équilibre entre puissance et chaleur. Le bonus de puissance est réduit sans entraînement. Nom et famille référencés ; chiffres adaptés au système ATB. Aucun sprite ou modèle distinct pour cette référence.</x:v>
      </x:c>
    </x:row>
    <x:row r="38" ht="75" customHeight="1">
      <x:c r="A38" s="12" t="str">
        <x:v>GEAR-hammer-iii</x:v>
      </x:c>
      <x:c r="B38" s="7" t="str">
        <x:v>Hammer III</x:v>
      </x:c>
      <x:c r="C38" s="10" t="str">
        <x:v>Prototype</x:v>
      </x:c>
      <x:c r="D38" s="11" t="str">
        <x:v>À produire</x:v>
      </x:c>
      <x:c r="E38" s="9" t="str">
        <x:v>P1</x:v>
      </x:c>
      <x:c r="F38" s="9" t="str">
        <x:v>ME1</x:v>
      </x:c>
      <x:c r="G38" s="9" t="str">
        <x:v>Adaptation</x:v>
      </x:c>
      <x:c r="H38" s="7" t="str">
        <x:v>Arme, Fusil de précision. Elanus Risk Control Services. Niveau 2. Achat 235 crédits, vente 94, stock initial 3. Effets ATB : puissance=6, multiplicateur de chaleur=1.2.</x:v>
      </x:c>
      <x:c r="I38" s="7" t="str">
        <x:v>Achat, vente et attribution atomiques à l’emplacement Arme. Vérifier niveau, stock, possession. Appliquer une fois les bonus affichés, préserver après sauvegarde et restituer au retrait. Puissance de l’arme réduite de moitié sans entraînement.</x:v>
      </x:c>
      <x:c r="J38" s="7" t="str">
        <x:v>SYS-inventaire, SYS-commerce</x:v>
      </x:c>
      <x:c r="K38" s="7" t="str">
        <x:v>src/loadout.js</x:v>
      </x:c>
      <x:c r="L38" s="7" t="str">
        <x:v>src/loadout.js</x:v>
      </x:c>
      <x:c r="M38" s="7" t="str">
        <x:v>ITEMS.hammer-iii</x:v>
      </x:c>
      <x:c r="N38" s="7" t="str">
        <x:v>Objectifs et noms ME1 référencés ; chiffres, découpage et interface propres à cette adaptation ATB.</x:v>
      </x:c>
      <x:c r="O38" s="7" t="str">
        <x:v>https://masseffect.fandom.com/wiki/Sniper_Rifles</x:v>
      </x:c>
      <x:c r="P38" s="7" t="str">
        <x:v>Production ME1</x:v>
      </x:c>
      <x:c r="Q38" s="7" t="str">
        <x:v>Fusil de précision : équilibre entre puissance et chaleur. Le bonus de puissance est réduit sans entraînement. Nom et famille référencés ; chiffres adaptés au système ATB. Aucun sprite ou modèle distinct pour cette référence.</x:v>
      </x:c>
    </x:row>
    <x:row r="39" ht="75" customHeight="1">
      <x:c r="A39" s="13" t="str">
        <x:v>GEAR-raikou-v</x:v>
      </x:c>
      <x:c r="B39" s="14" t="str">
        <x:v>Raikou V</x:v>
      </x:c>
      <x:c r="C39" s="10" t="str">
        <x:v>Prototype</x:v>
      </x:c>
      <x:c r="D39" s="11" t="str">
        <x:v>À produire</x:v>
      </x:c>
      <x:c r="E39" s="15" t="str">
        <x:v>P1</x:v>
      </x:c>
      <x:c r="F39" s="15" t="str">
        <x:v>ME1</x:v>
      </x:c>
      <x:c r="G39" s="15" t="str">
        <x:v>Adaptation</x:v>
      </x:c>
      <x:c r="H39" s="14" t="str">
        <x:v>Arme, Pistolet. Ariake Technologies. Niveau 4. Achat 350 crédits, vente 140, stock initial 3. Effets ATB : puissance=6, multiplicateur de chaleur=0.88.</x:v>
      </x:c>
      <x:c r="I39" s="14" t="str">
        <x:v>Achat, vente et attribution atomiques à l’emplacement Arme. Vérifier niveau, stock, possession. Appliquer une fois les bonus affichés, préserver après sauvegarde et restituer au retrait. Puissance de l’arme réduite de moitié sans entraînement.</x:v>
      </x:c>
      <x:c r="J39" s="14" t="str">
        <x:v>SYS-inventaire, SYS-commerce</x:v>
      </x:c>
      <x:c r="K39" s="14" t="str">
        <x:v>src/loadout.js</x:v>
      </x:c>
      <x:c r="L39" s="14" t="str">
        <x:v>src/loadout.js</x:v>
      </x:c>
      <x:c r="M39" s="14" t="str">
        <x:v>ITEMS.raikou-v</x:v>
      </x:c>
      <x:c r="N39" s="14" t="str">
        <x:v>Objectifs et noms ME1 référencés ; chiffres, découpage et interface propres à cette adaptation ATB.</x:v>
      </x:c>
      <x:c r="O39" s="14" t="str">
        <x:v>https://masseffect.fandom.com/wiki/Pistols</x:v>
      </x:c>
      <x:c r="P39" s="14" t="str">
        <x:v>Production ME1</x:v>
      </x:c>
      <x:c r="Q39" s="14" t="str">
        <x:v>Pistolet : équilibre entre puissance et chaleur. Le bonus de puissance est réduit sans entraînement. Nom et famille référencés ; chiffres adaptés au système ATB. Aucun sprite ou modèle distinct pour cette référence.</x:v>
      </x:c>
    </x:row>
    <x:row r="40" ht="75" customHeight="1">
      <x:c r="A40" s="12" t="str">
        <x:v>GEAR-tsunami-v</x:v>
      </x:c>
      <x:c r="B40" s="7" t="str">
        <x:v>Tsunami V</x:v>
      </x:c>
      <x:c r="C40" s="10" t="str">
        <x:v>Prototype</x:v>
      </x:c>
      <x:c r="D40" s="11" t="str">
        <x:v>À produire</x:v>
      </x:c>
      <x:c r="E40" s="9" t="str">
        <x:v>P1</x:v>
      </x:c>
      <x:c r="F40" s="9" t="str">
        <x:v>ME1</x:v>
      </x:c>
      <x:c r="G40" s="9" t="str">
        <x:v>Adaptation</x:v>
      </x:c>
      <x:c r="H40" s="7" t="str">
        <x:v>Arme, Fusil d’assaut. Ariake Technologies. Niveau 4. Achat 365 crédits, vente 146, stock initial 3. Effets ATB : puissance=7, multiplicateur de chaleur=1.</x:v>
      </x:c>
      <x:c r="I40" s="7" t="str">
        <x:v>Achat, vente et attribution atomiques à l’emplacement Arme. Vérifier niveau, stock, possession. Appliquer une fois les bonus affichés, préserver après sauvegarde et restituer au retrait. Puissance de l’arme réduite de moitié sans entraînement.</x:v>
      </x:c>
      <x:c r="J40" s="7" t="str">
        <x:v>SYS-inventaire, SYS-commerce</x:v>
      </x:c>
      <x:c r="K40" s="7" t="str">
        <x:v>src/loadout.js</x:v>
      </x:c>
      <x:c r="L40" s="7" t="str">
        <x:v>src/loadout.js</x:v>
      </x:c>
      <x:c r="M40" s="7" t="str">
        <x:v>ITEMS.tsunami-v</x:v>
      </x:c>
      <x:c r="N40" s="7" t="str">
        <x:v>Objectifs et noms ME1 référencés ; chiffres, découpage et interface propres à cette adaptation ATB.</x:v>
      </x:c>
      <x:c r="O40" s="7" t="str">
        <x:v>https://masseffect.fandom.com/wiki/Assault_Rifles</x:v>
      </x:c>
      <x:c r="P40" s="7" t="str">
        <x:v>Production ME1</x:v>
      </x:c>
      <x:c r="Q40" s="7" t="str">
        <x:v>Fusil d’assaut : équilibre entre puissance et chaleur. Le bonus de puissance est réduit sans entraînement. Nom et famille référencés ; chiffres adaptés au système ATB. Aucun sprite ou modèle distinct pour cette référence.</x:v>
      </x:c>
    </x:row>
    <x:row r="41" ht="75" customHeight="1">
      <x:c r="A41" s="13" t="str">
        <x:v>GEAR-katana-v</x:v>
      </x:c>
      <x:c r="B41" s="14" t="str">
        <x:v>Katana V</x:v>
      </x:c>
      <x:c r="C41" s="10" t="str">
        <x:v>Prototype</x:v>
      </x:c>
      <x:c r="D41" s="11" t="str">
        <x:v>À produire</x:v>
      </x:c>
      <x:c r="E41" s="15" t="str">
        <x:v>P1</x:v>
      </x:c>
      <x:c r="F41" s="15" t="str">
        <x:v>ME1</x:v>
      </x:c>
      <x:c r="G41" s="15" t="str">
        <x:v>Adaptation</x:v>
      </x:c>
      <x:c r="H41" s="14" t="str">
        <x:v>Arme, Fusil à pompe. Ariake Technologies. Niveau 4. Achat 380 crédits, vente 152, stock initial 3. Effets ATB : puissance=8, multiplicateur de chaleur=1.12.</x:v>
      </x:c>
      <x:c r="I41" s="14" t="str">
        <x:v>Achat, vente et attribution atomiques à l’emplacement Arme. Vérifier niveau, stock, possession. Appliquer une fois les bonus affichés, préserver après sauvegarde et restituer au retrait. Puissance de l’arme réduite de moitié sans entraînement.</x:v>
      </x:c>
      <x:c r="J41" s="14" t="str">
        <x:v>SYS-inventaire, SYS-commerce</x:v>
      </x:c>
      <x:c r="K41" s="14" t="str">
        <x:v>src/loadout.js</x:v>
      </x:c>
      <x:c r="L41" s="14" t="str">
        <x:v>src/loadout.js</x:v>
      </x:c>
      <x:c r="M41" s="14" t="str">
        <x:v>ITEMS.katana-v</x:v>
      </x:c>
      <x:c r="N41" s="14" t="str">
        <x:v>Objectifs et noms ME1 référencés ; chiffres, découpage et interface propres à cette adaptation ATB.</x:v>
      </x:c>
      <x:c r="O41" s="14" t="str">
        <x:v>https://masseffect.fandom.com/wiki/Shotguns</x:v>
      </x:c>
      <x:c r="P41" s="14" t="str">
        <x:v>Production ME1</x:v>
      </x:c>
      <x:c r="Q41" s="14" t="str">
        <x:v>Fusil à pompe : équilibre entre puissance et chaleur. Le bonus de puissance est réduit sans entraînement. Nom et famille référencés ; chiffres adaptés au système ATB. Aucun sprite ou modèle distinct pour cette référence.</x:v>
      </x:c>
    </x:row>
    <x:row r="42" ht="75" customHeight="1">
      <x:c r="A42" s="12" t="str">
        <x:v>GEAR-naginata-v</x:v>
      </x:c>
      <x:c r="B42" s="7" t="str">
        <x:v>Naginata V</x:v>
      </x:c>
      <x:c r="C42" s="10" t="str">
        <x:v>Prototype</x:v>
      </x:c>
      <x:c r="D42" s="11" t="str">
        <x:v>À produire</x:v>
      </x:c>
      <x:c r="E42" s="9" t="str">
        <x:v>P1</x:v>
      </x:c>
      <x:c r="F42" s="9" t="str">
        <x:v>ME1</x:v>
      </x:c>
      <x:c r="G42" s="9" t="str">
        <x:v>Adaptation</x:v>
      </x:c>
      <x:c r="H42" s="7" t="str">
        <x:v>Arme, Fusil de précision. Ariake Technologies. Niveau 4. Achat 395 crédits, vente 158, stock initial 3. Effets ATB : puissance=9, multiplicateur de chaleur=1.2.</x:v>
      </x:c>
      <x:c r="I42" s="7" t="str">
        <x:v>Achat, vente et attribution atomiques à l’emplacement Arme. Vérifier niveau, stock, possession. Appliquer une fois les bonus affichés, préserver après sauvegarde et restituer au retrait. Puissance de l’arme réduite de moitié sans entraînement.</x:v>
      </x:c>
      <x:c r="J42" s="7" t="str">
        <x:v>SYS-inventaire, SYS-commerce</x:v>
      </x:c>
      <x:c r="K42" s="7" t="str">
        <x:v>src/loadout.js</x:v>
      </x:c>
      <x:c r="L42" s="7" t="str">
        <x:v>src/loadout.js</x:v>
      </x:c>
      <x:c r="M42" s="7" t="str">
        <x:v>ITEMS.naginata-v</x:v>
      </x:c>
      <x:c r="N42" s="7" t="str">
        <x:v>Objectifs et noms ME1 référencés ; chiffres, découpage et interface propres à cette adaptation ATB.</x:v>
      </x:c>
      <x:c r="O42" s="7" t="str">
        <x:v>https://masseffect.fandom.com/wiki/Sniper_Rifles</x:v>
      </x:c>
      <x:c r="P42" s="7" t="str">
        <x:v>Production ME1</x:v>
      </x:c>
      <x:c r="Q42" s="7" t="str">
        <x:v>Fusil de précision : équilibre entre puissance et chaleur. Le bonus de puissance est réduit sans entraînement. Nom et famille référencés ; chiffres adaptés au système ATB. Aucun sprite ou modèle distinct pour cette référence.</x:v>
      </x:c>
    </x:row>
    <x:row r="43" ht="75" customHeight="1">
      <x:c r="A43" s="13" t="str">
        <x:v>GEAR-brawler-vii</x:v>
      </x:c>
      <x:c r="B43" s="14" t="str">
        <x:v>Brawler VII</x:v>
      </x:c>
      <x:c r="C43" s="10" t="str">
        <x:v>Prototype</x:v>
      </x:c>
      <x:c r="D43" s="11" t="str">
        <x:v>À produire</x:v>
      </x:c>
      <x:c r="E43" s="15" t="str">
        <x:v>P1</x:v>
      </x:c>
      <x:c r="F43" s="15" t="str">
        <x:v>ME1</x:v>
      </x:c>
      <x:c r="G43" s="15" t="str">
        <x:v>Adaptation</x:v>
      </x:c>
      <x:c r="H43" s="14" t="str">
        <x:v>Arme, Pistolet. Armax Arsenal. Niveau 6. Achat 560 crédits, vente 224, stock initial 3. Effets ATB : puissance=9, multiplicateur de chaleur=0.88.</x:v>
      </x:c>
      <x:c r="I43" s="14" t="str">
        <x:v>Achat, vente et attribution atomiques à l’emplacement Arme. Vérifier niveau, stock, possession. Appliquer une fois les bonus affichés, préserver après sauvegarde et restituer au retrait. Puissance de l’arme réduite de moitié sans entraînement.</x:v>
      </x:c>
      <x:c r="J43" s="14" t="str">
        <x:v>SYS-inventaire, SYS-commerce</x:v>
      </x:c>
      <x:c r="K43" s="14" t="str">
        <x:v>src/loadout.js</x:v>
      </x:c>
      <x:c r="L43" s="14" t="str">
        <x:v>src/loadout.js</x:v>
      </x:c>
      <x:c r="M43" s="14" t="str">
        <x:v>ITEMS.brawler-vii</x:v>
      </x:c>
      <x:c r="N43" s="14" t="str">
        <x:v>Objectifs et noms ME1 référencés ; chiffres, découpage et interface propres à cette adaptation ATB.</x:v>
      </x:c>
      <x:c r="O43" s="14" t="str">
        <x:v>https://masseffect.fandom.com/wiki/Pistols</x:v>
      </x:c>
      <x:c r="P43" s="14" t="str">
        <x:v>Production ME1</x:v>
      </x:c>
      <x:c r="Q43" s="14" t="str">
        <x:v>Pistolet : équilibre entre puissance et chaleur. Le bonus de puissance est réduit sans entraînement. Nom et famille référencés ; chiffres adaptés au système ATB. Aucun sprite ou modèle distinct pour cette référence.</x:v>
      </x:c>
    </x:row>
    <x:row r="44" ht="75" customHeight="1">
      <x:c r="A44" s="12" t="str">
        <x:v>GEAR-crossfire-vii</x:v>
      </x:c>
      <x:c r="B44" s="7" t="str">
        <x:v>Crossfire VII</x:v>
      </x:c>
      <x:c r="C44" s="10" t="str">
        <x:v>Prototype</x:v>
      </x:c>
      <x:c r="D44" s="11" t="str">
        <x:v>À produire</x:v>
      </x:c>
      <x:c r="E44" s="9" t="str">
        <x:v>P1</x:v>
      </x:c>
      <x:c r="F44" s="9" t="str">
        <x:v>ME1</x:v>
      </x:c>
      <x:c r="G44" s="9" t="str">
        <x:v>Adaptation</x:v>
      </x:c>
      <x:c r="H44" s="7" t="str">
        <x:v>Arme, Fusil d’assaut. Armax Arsenal. Niveau 6. Achat 575 crédits, vente 230, stock initial 3. Effets ATB : puissance=10, multiplicateur de chaleur=1.</x:v>
      </x:c>
      <x:c r="I44" s="7" t="str">
        <x:v>Achat, vente et attribution atomiques à l’emplacement Arme. Vérifier niveau, stock, possession. Appliquer une fois les bonus affichés, préserver après sauvegarde et restituer au retrait. Puissance de l’arme réduite de moitié sans entraînement.</x:v>
      </x:c>
      <x:c r="J44" s="7" t="str">
        <x:v>SYS-inventaire, SYS-commerce</x:v>
      </x:c>
      <x:c r="K44" s="7" t="str">
        <x:v>src/loadout.js</x:v>
      </x:c>
      <x:c r="L44" s="7" t="str">
        <x:v>src/loadout.js</x:v>
      </x:c>
      <x:c r="M44" s="7" t="str">
        <x:v>ITEMS.crossfire-vii</x:v>
      </x:c>
      <x:c r="N44" s="7" t="str">
        <x:v>Objectifs et noms ME1 référencés ; chiffres, découpage et interface propres à cette adaptation ATB.</x:v>
      </x:c>
      <x:c r="O44" s="7" t="str">
        <x:v>https://masseffect.fandom.com/wiki/Assault_Rifles</x:v>
      </x:c>
      <x:c r="P44" s="7" t="str">
        <x:v>Production ME1</x:v>
      </x:c>
      <x:c r="Q44" s="7" t="str">
        <x:v>Fusil d’assaut : équilibre entre puissance et chaleur. Le bonus de puissance est réduit sans entraînement. Nom et famille référencés ; chiffres adaptés au système ATB. Aucun sprite ou modèle distinct pour cette référence.</x:v>
      </x:c>
    </x:row>
    <x:row r="45" ht="75" customHeight="1">
      <x:c r="A45" s="13" t="str">
        <x:v>GEAR-avalanche-vii</x:v>
      </x:c>
      <x:c r="B45" s="14" t="str">
        <x:v>Avalanche VII</x:v>
      </x:c>
      <x:c r="C45" s="10" t="str">
        <x:v>Prototype</x:v>
      </x:c>
      <x:c r="D45" s="11" t="str">
        <x:v>À produire</x:v>
      </x:c>
      <x:c r="E45" s="15" t="str">
        <x:v>P1</x:v>
      </x:c>
      <x:c r="F45" s="15" t="str">
        <x:v>ME1</x:v>
      </x:c>
      <x:c r="G45" s="15" t="str">
        <x:v>Adaptation</x:v>
      </x:c>
      <x:c r="H45" s="14" t="str">
        <x:v>Arme, Fusil à pompe. Armax Arsenal. Niveau 6. Achat 590 crédits, vente 236, stock initial 3. Effets ATB : puissance=11, multiplicateur de chaleur=1.12.</x:v>
      </x:c>
      <x:c r="I45" s="14" t="str">
        <x:v>Achat, vente et attribution atomiques à l’emplacement Arme. Vérifier niveau, stock, possession. Appliquer une fois les bonus affichés, préserver après sauvegarde et restituer au retrait. Puissance de l’arme réduite de moitié sans entraînement.</x:v>
      </x:c>
      <x:c r="J45" s="14" t="str">
        <x:v>SYS-inventaire, SYS-commerce</x:v>
      </x:c>
      <x:c r="K45" s="14" t="str">
        <x:v>src/loadout.js</x:v>
      </x:c>
      <x:c r="L45" s="14" t="str">
        <x:v>src/loadout.js</x:v>
      </x:c>
      <x:c r="M45" s="14" t="str">
        <x:v>ITEMS.avalanche-vii</x:v>
      </x:c>
      <x:c r="N45" s="14" t="str">
        <x:v>Objectifs et noms ME1 référencés ; chiffres, découpage et interface propres à cette adaptation ATB.</x:v>
      </x:c>
      <x:c r="O45" s="14" t="str">
        <x:v>https://masseffect.fandom.com/wiki/Shotguns</x:v>
      </x:c>
      <x:c r="P45" s="14" t="str">
        <x:v>Production ME1</x:v>
      </x:c>
      <x:c r="Q45" s="14" t="str">
        <x:v>Fusil à pompe : équilibre entre puissance et chaleur. Le bonus de puissance est réduit sans entraînement. Nom et famille référencés ; chiffres adaptés au système ATB. Aucun sprite ou modèle distinct pour cette référence.</x:v>
      </x:c>
    </x:row>
    <x:row r="46" ht="75" customHeight="1">
      <x:c r="A46" s="12" t="str">
        <x:v>GEAR-punisher-vii</x:v>
      </x:c>
      <x:c r="B46" s="7" t="str">
        <x:v>Punisher VII</x:v>
      </x:c>
      <x:c r="C46" s="10" t="str">
        <x:v>Prototype</x:v>
      </x:c>
      <x:c r="D46" s="11" t="str">
        <x:v>À produire</x:v>
      </x:c>
      <x:c r="E46" s="9" t="str">
        <x:v>P1</x:v>
      </x:c>
      <x:c r="F46" s="9" t="str">
        <x:v>ME1</x:v>
      </x:c>
      <x:c r="G46" s="9" t="str">
        <x:v>Adaptation</x:v>
      </x:c>
      <x:c r="H46" s="7" t="str">
        <x:v>Arme, Fusil de précision. Armax Arsenal. Niveau 6. Achat 605 crédits, vente 242, stock initial 3. Effets ATB : puissance=12, multiplicateur de chaleur=1.2.</x:v>
      </x:c>
      <x:c r="I46" s="7" t="str">
        <x:v>Achat, vente et attribution atomiques à l’emplacement Arme. Vérifier niveau, stock, possession. Appliquer une fois les bonus affichés, préserver après sauvegarde et restituer au retrait. Puissance de l’arme réduite de moitié sans entraînement.</x:v>
      </x:c>
      <x:c r="J46" s="7" t="str">
        <x:v>SYS-inventaire, SYS-commerce</x:v>
      </x:c>
      <x:c r="K46" s="7" t="str">
        <x:v>src/loadout.js</x:v>
      </x:c>
      <x:c r="L46" s="7" t="str">
        <x:v>src/loadout.js</x:v>
      </x:c>
      <x:c r="M46" s="7" t="str">
        <x:v>ITEMS.punisher-vii</x:v>
      </x:c>
      <x:c r="N46" s="7" t="str">
        <x:v>Objectifs et noms ME1 référencés ; chiffres, découpage et interface propres à cette adaptation ATB.</x:v>
      </x:c>
      <x:c r="O46" s="7" t="str">
        <x:v>https://masseffect.fandom.com/wiki/Sniper_Rifles</x:v>
      </x:c>
      <x:c r="P46" s="7" t="str">
        <x:v>Production ME1</x:v>
      </x:c>
      <x:c r="Q46" s="7" t="str">
        <x:v>Fusil de précision : équilibre entre puissance et chaleur. Le bonus de puissance est réduit sans entraînement. Nom et famille référencés ; chiffres adaptés au système ATB. Aucun sprite ou modèle distinct pour cette référence.</x:v>
      </x:c>
    </x:row>
    <x:row r="47" ht="75" customHeight="1">
      <x:c r="A47" s="13" t="str">
        <x:v>GEAR-hmwp-vii</x:v>
      </x:c>
      <x:c r="B47" s="14" t="str">
        <x:v>HMWP VII</x:v>
      </x:c>
      <x:c r="C47" s="10" t="str">
        <x:v>Prototype</x:v>
      </x:c>
      <x:c r="D47" s="11" t="str">
        <x:v>À produire</x:v>
      </x:c>
      <x:c r="E47" s="15" t="str">
        <x:v>P1</x:v>
      </x:c>
      <x:c r="F47" s="15" t="str">
        <x:v>ME1</x:v>
      </x:c>
      <x:c r="G47" s="15" t="str">
        <x:v>Adaptation</x:v>
      </x:c>
      <x:c r="H47" s="14" t="str">
        <x:v>Arme, Pistolet. Spectre — Master Gear. Niveau 7 et accréditation Spectre. Achat 780 crédits, vente 312, stock initial 3. Effets ATB : puissance=12, multiplicateur de chaleur=0.88.</x:v>
      </x:c>
      <x:c r="I47" s="14" t="str">
        <x:v>Achat, vente et attribution atomiques à l’emplacement Arme. Vérifier niveau, stock, possession. Appliquer une fois les bonus affichés, préserver après sauvegarde et restituer au retrait. Puissance de l’arme réduite de moitié sans entraînement.</x:v>
      </x:c>
      <x:c r="J47" s="14" t="str">
        <x:v>SYS-inventaire, SYS-commerce</x:v>
      </x:c>
      <x:c r="K47" s="14" t="str">
        <x:v>src/loadout.js</x:v>
      </x:c>
      <x:c r="L47" s="14" t="str">
        <x:v>src/loadout.js</x:v>
      </x:c>
      <x:c r="M47" s="14" t="str">
        <x:v>ITEMS.hmwp-vii</x:v>
      </x:c>
      <x:c r="N47" s="14" t="str">
        <x:v>Objectifs et noms ME1 référencés ; chiffres, découpage et interface propres à cette adaptation ATB.</x:v>
      </x:c>
      <x:c r="O47" s="14" t="str">
        <x:v>https://masseffect.fandom.com/wiki/Pistols</x:v>
      </x:c>
      <x:c r="P47" s="14" t="str">
        <x:v>Production ME1</x:v>
      </x:c>
      <x:c r="Q47" s="14" t="str">
        <x:v>Pistolet : équilibre entre puissance et chaleur. Le bonus de puissance est réduit sans entraînement. Nom et famille référencés ; chiffres adaptés au système ATB. Aucun sprite ou modèle distinct pour cette référence.</x:v>
      </x:c>
    </x:row>
    <x:row r="48" ht="75" customHeight="1">
      <x:c r="A48" s="12" t="str">
        <x:v>GEAR-hmwa-vii</x:v>
      </x:c>
      <x:c r="B48" s="7" t="str">
        <x:v>HMWA VII</x:v>
      </x:c>
      <x:c r="C48" s="10" t="str">
        <x:v>Prototype</x:v>
      </x:c>
      <x:c r="D48" s="11" t="str">
        <x:v>À produire</x:v>
      </x:c>
      <x:c r="E48" s="9" t="str">
        <x:v>P1</x:v>
      </x:c>
      <x:c r="F48" s="9" t="str">
        <x:v>ME1</x:v>
      </x:c>
      <x:c r="G48" s="9" t="str">
        <x:v>Adaptation</x:v>
      </x:c>
      <x:c r="H48" s="7" t="str">
        <x:v>Arme, Fusil d’assaut. Spectre — Master Gear. Niveau 7 et accréditation Spectre. Achat 795 crédits, vente 318, stock initial 3. Effets ATB : puissance=13, multiplicateur de chaleur=1.</x:v>
      </x:c>
      <x:c r="I48" s="7" t="str">
        <x:v>Achat, vente et attribution atomiques à l’emplacement Arme. Vérifier niveau, stock, possession. Appliquer une fois les bonus affichés, préserver après sauvegarde et restituer au retrait. Puissance de l’arme réduite de moitié sans entraînement.</x:v>
      </x:c>
      <x:c r="J48" s="7" t="str">
        <x:v>SYS-inventaire, SYS-commerce</x:v>
      </x:c>
      <x:c r="K48" s="7" t="str">
        <x:v>src/loadout.js</x:v>
      </x:c>
      <x:c r="L48" s="7" t="str">
        <x:v>src/loadout.js</x:v>
      </x:c>
      <x:c r="M48" s="7" t="str">
        <x:v>ITEMS.hmwa-vii</x:v>
      </x:c>
      <x:c r="N48" s="7" t="str">
        <x:v>Objectifs et noms ME1 référencés ; chiffres, découpage et interface propres à cette adaptation ATB.</x:v>
      </x:c>
      <x:c r="O48" s="7" t="str">
        <x:v>https://masseffect.fandom.com/wiki/Assault_Rifles</x:v>
      </x:c>
      <x:c r="P48" s="7" t="str">
        <x:v>Production ME1</x:v>
      </x:c>
      <x:c r="Q48" s="7" t="str">
        <x:v>Fusil d’assaut : équilibre entre puissance et chaleur. Le bonus de puissance est réduit sans entraînement. Nom et famille référencés ; chiffres adaptés au système ATB. Aucun sprite ou modèle distinct pour cette référence.</x:v>
      </x:c>
    </x:row>
    <x:row r="49" ht="75" customHeight="1">
      <x:c r="A49" s="13" t="str">
        <x:v>GEAR-hmwsg-vii</x:v>
      </x:c>
      <x:c r="B49" s="14" t="str">
        <x:v>HMWSG VII</x:v>
      </x:c>
      <x:c r="C49" s="10" t="str">
        <x:v>Prototype</x:v>
      </x:c>
      <x:c r="D49" s="11" t="str">
        <x:v>À produire</x:v>
      </x:c>
      <x:c r="E49" s="15" t="str">
        <x:v>P1</x:v>
      </x:c>
      <x:c r="F49" s="15" t="str">
        <x:v>ME1</x:v>
      </x:c>
      <x:c r="G49" s="15" t="str">
        <x:v>Adaptation</x:v>
      </x:c>
      <x:c r="H49" s="14" t="str">
        <x:v>Arme, Fusil à pompe. Spectre — Master Gear. Niveau 7 et accréditation Spectre. Achat 810 crédits, vente 324, stock initial 3. Effets ATB : puissance=14, multiplicateur de chaleur=1.12.</x:v>
      </x:c>
      <x:c r="I49" s="14" t="str">
        <x:v>Achat, vente et attribution atomiques à l’emplacement Arme. Vérifier niveau, stock, possession. Appliquer une fois les bonus affichés, préserver après sauvegarde et restituer au retrait. Puissance de l’arme réduite de moitié sans entraînement.</x:v>
      </x:c>
      <x:c r="J49" s="14" t="str">
        <x:v>SYS-inventaire, SYS-commerce</x:v>
      </x:c>
      <x:c r="K49" s="14" t="str">
        <x:v>src/loadout.js</x:v>
      </x:c>
      <x:c r="L49" s="14" t="str">
        <x:v>src/loadout.js</x:v>
      </x:c>
      <x:c r="M49" s="14" t="str">
        <x:v>ITEMS.hmwsg-vii</x:v>
      </x:c>
      <x:c r="N49" s="14" t="str">
        <x:v>Objectifs et noms ME1 référencés ; chiffres, découpage et interface propres à cette adaptation ATB.</x:v>
      </x:c>
      <x:c r="O49" s="14" t="str">
        <x:v>https://masseffect.fandom.com/wiki/Shotguns</x:v>
      </x:c>
      <x:c r="P49" s="14" t="str">
        <x:v>Production ME1</x:v>
      </x:c>
      <x:c r="Q49" s="14" t="str">
        <x:v>Fusil à pompe : équilibre entre puissance et chaleur. Le bonus de puissance est réduit sans entraînement. Nom et famille référencés ; chiffres adaptés au système ATB. Aucun sprite ou modèle distinct pour cette référence.</x:v>
      </x:c>
    </x:row>
    <x:row r="50" ht="75" customHeight="1">
      <x:c r="A50" s="12" t="str">
        <x:v>GEAR-hmwsr-vii</x:v>
      </x:c>
      <x:c r="B50" s="7" t="str">
        <x:v>HMWSR VII</x:v>
      </x:c>
      <x:c r="C50" s="10" t="str">
        <x:v>Prototype</x:v>
      </x:c>
      <x:c r="D50" s="11" t="str">
        <x:v>À produire</x:v>
      </x:c>
      <x:c r="E50" s="9" t="str">
        <x:v>P1</x:v>
      </x:c>
      <x:c r="F50" s="9" t="str">
        <x:v>ME1</x:v>
      </x:c>
      <x:c r="G50" s="9" t="str">
        <x:v>Adaptation</x:v>
      </x:c>
      <x:c r="H50" s="7" t="str">
        <x:v>Arme, Fusil de précision. Spectre — Master Gear. Niveau 7 et accréditation Spectre. Achat 825 crédits, vente 330, stock initial 3. Effets ATB : puissance=15, multiplicateur de chaleur=1.2.</x:v>
      </x:c>
      <x:c r="I50" s="7" t="str">
        <x:v>Achat, vente et attribution atomiques à l’emplacement Arme. Vérifier niveau, stock, possession. Appliquer une fois les bonus affichés, préserver après sauvegarde et restituer au retrait. Puissance de l’arme réduite de moitié sans entraînement.</x:v>
      </x:c>
      <x:c r="J50" s="7" t="str">
        <x:v>SYS-inventaire, SYS-commerce</x:v>
      </x:c>
      <x:c r="K50" s="7" t="str">
        <x:v>src/loadout.js</x:v>
      </x:c>
      <x:c r="L50" s="7" t="str">
        <x:v>src/loadout.js</x:v>
      </x:c>
      <x:c r="M50" s="7" t="str">
        <x:v>ITEMS.hmwsr-vii</x:v>
      </x:c>
      <x:c r="N50" s="7" t="str">
        <x:v>Objectifs et noms ME1 référencés ; chiffres, découpage et interface propres à cette adaptation ATB.</x:v>
      </x:c>
      <x:c r="O50" s="7" t="str">
        <x:v>https://masseffect.fandom.com/wiki/Sniper_Rifles</x:v>
      </x:c>
      <x:c r="P50" s="7" t="str">
        <x:v>Production ME1</x:v>
      </x:c>
      <x:c r="Q50" s="7" t="str">
        <x:v>Fusil de précision : équilibre entre puissance et chaleur. Le bonus de puissance est réduit sans entraînement. Nom et famille référencés ; chiffres adaptés au système ATB. Aucun sprite ou modèle distinct pour cette référence.</x:v>
      </x:c>
    </x:row>
  </x:sheetData>
  <x:conditionalFormatting sqref="C7:C50">
    <x:cfRule type="cellIs" dxfId="70" priority="1" operator="equal">
      <x:formula>"Prototype"</x:formula>
    </x:cfRule>
    <x:cfRule type="cellIs" dxfId="71" priority="2" operator="equal">
      <x:formula>"Intégré"</x:formula>
    </x:cfRule>
    <x:cfRule type="cellIs" dxfId="72" priority="3" operator="equal">
      <x:formula>"Validé"</x:formula>
    </x:cfRule>
  </x:conditionalFormatting>
  <x:conditionalFormatting sqref="G7:G50">
    <x:cfRule type="cellIs" dxfId="73" priority="4" operator="equal">
      <x:formula>"Référence à vérifier"</x:formula>
    </x:cfRule>
  </x:conditionalFormatting>
  <x:conditionalFormatting sqref="E7:E50">
    <x:cfRule type="cellIs" dxfId="74" priority="5" operator="equal">
      <x:formula>"P0"</x:formula>
    </x:cfRule>
  </x:conditionalFormatting>
  <x:dataValidations count="5">
    <x:dataValidation type="list" sqref="C7:C50">
      <x:formula1>"Défini,Prototype,Intégré,Validé"</x:formula1>
    </x:dataValidation>
    <x:dataValidation type="list" sqref="D7:D50">
      <x:formula1>"À produire,Prototype,Disponible,Validé,Sans objet,Non planifié"</x:formula1>
    </x:dataValidation>
    <x:dataValidation type="list" sqref="E7:E50">
      <x:formula1>"P0,P1,P2"</x:formula1>
    </x:dataValidation>
    <x:dataValidation type="list" sqref="F7:F50">
      <x:formula1>"ME1,ME2,ME3"</x:formula1>
    </x:dataValidation>
    <x:dataValidation type="list" sqref="G7:G50">
      <x:formula1>"Confirmé,Référence à vérifier,Adaptation"</x:formula1>
    </x:dataValidation>
  </x:dataValidations>
  <x:pageMargins left="0.7" right="0.7" top="0.75" bottom="0.75" header="0.3" footer="0.3"/>
  <x:tableParts count="1">
    <x:tablePart xmlns:r="http://schemas.openxmlformats.org/officeDocument/2006/relationships" r:id="R3c873e0da2a048e0"/>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75"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v>Objectif de famille conservé. Références jouables documentées séparément : GEAR-onyx-human-i, GEAR-onyx-turian-i, GEAR-onyx-quarian-i, GEAR-onyx-krogan-i. Les modèles, rangs complets, silhouettes et statistiques canoniques restent à produire ou vérifier.</x:v>
      </x:c>
    </x:row>
    <x:row r="14" ht="75"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v>Objectif de famille conservé. Références jouables documentées séparément : GEAR-phoenix-human-iii, GEAR-phoenix-turian-iii, GEAR-phoenix-quarian-iii, GEAR-phoenix-krogan-iii. Les modèles, rangs complets, silhouettes et statistiques canoniques restent à produire ou vérifier.</x:v>
      </x:c>
    </x:row>
    <x:row r="15" ht="75"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v>Objectif de famille conservé. Références jouables documentées séparément : GEAR-colossus-human-vii, GEAR-colossus-turian-vii, GEAR-colossus-quarian-vii, GEAR-colossus-krogan-vii. Les modèles, rangs complets, silhouettes et statistiques canoniques restent à produire ou vérifier.</x:v>
      </x:c>
    </x:row>
    <x:row r="16" ht="75"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v>Objectif de famille conservé. Références jouables documentées séparément : GEAR-predator-human-vii, GEAR-predator-turian-vii, GEAR-predator-krogan-vii. Les modèles, rangs complets, silhouettes et statistiques canoniques restent à produire ou vérifier.</x:v>
      </x:c>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36" customHeight="1">
      <x:c r="A21" s="13" t="str">
        <x:v>EQP-omni-outil</x:v>
      </x:c>
      <x:c r="B21" s="14" t="str">
        <x:v>Omni-outil</x:v>
      </x:c>
      <x:c r="C21" s="10" t="str">
        <x:v>Défini</x:v>
      </x:c>
      <x:c r="D21" s="11" t="str">
        <x:v>À produire</x:v>
      </x:c>
      <x:c r="E21" s="15" t="str">
        <x:v>P1</x:v>
      </x:c>
      <x:c r="F21" s="15" t="str">
        <x:v>ME1</x:v>
      </x:c>
      <x:c r="G21" s="15" t="str">
        <x:v>Référence à vérifier</x:v>
      </x:c>
      <x:c r="H21" s="14" t="str">
        <x:v>Interface technologique de l’équipier.</x:v>
      </x:c>
      <x:c r="I21" s="14" t="str">
        <x:v>Effets et modèles compatibles avec sa classe.</x:v>
      </x:c>
      <x:c r="J21" s="14" t="str"/>
      <x:c r="K21" s="14" t="str">
        <x:v>content/equipment/EQP-omni-outil.json</x:v>
      </x:c>
      <x:c r="L21" s="14" t="str"/>
      <x:c r="M21" s="14" t="str"/>
      <x:c r="N21" s="14" t="str">
        <x:v>Catalogue d’équipement à relever dans ME1 ; valeurs non inventées.</x:v>
      </x:c>
      <x:c r="O21" s="14" t="str">
        <x:v>https://eaassets-a.akamaihd.net/eahelp/manuals/mass-effect-manuals_PC_fr.pdf</x:v>
      </x:c>
      <x:c r="P21" s="14" t="str">
        <x:v>Production ME1</x:v>
      </x:c>
      <x:c r="Q21" s="14" t="str"/>
    </x:row>
    <x:row r="22" ht="36" customHeight="1">
      <x:c r="A22" s="12" t="str">
        <x:v>EQP-amplificateur-biotique</x:v>
      </x:c>
      <x:c r="B22" s="7" t="str">
        <x:v>Amplificateur biotique</x:v>
      </x:c>
      <x:c r="C22" s="10" t="str">
        <x:v>Défini</x:v>
      </x:c>
      <x:c r="D22" s="11" t="str">
        <x:v>À produire</x:v>
      </x:c>
      <x:c r="E22" s="9" t="str">
        <x:v>P1</x:v>
      </x:c>
      <x:c r="F22" s="9" t="str">
        <x:v>ME1</x:v>
      </x:c>
      <x:c r="G22" s="9" t="str">
        <x:v>Référence à vérifier</x:v>
      </x:c>
      <x:c r="H22" s="7" t="str">
        <x:v>Équipement réservé aux utilisateurs biotiques.</x:v>
      </x:c>
      <x:c r="I22" s="7" t="str">
        <x:v>N’accorde pas la biotique à un personnage non biotique.</x:v>
      </x:c>
      <x:c r="J22" s="7" t="str"/>
      <x:c r="K22" s="7" t="str">
        <x:v>content/equipment/EQP-amplificateur-biotique.json</x:v>
      </x:c>
      <x:c r="L22" s="7" t="str"/>
      <x:c r="M22" s="7" t="str"/>
      <x:c r="N22" s="7" t="str">
        <x:v>Catalogue d’équipement à relever dans ME1 ; valeurs non inventées.</x:v>
      </x:c>
      <x:c r="O22" s="7" t="str">
        <x:v>https://eaassets-a.akamaihd.net/eahelp/manuals/mass-effect-manuals_PC_fr.pdf</x:v>
      </x:c>
      <x:c r="P22" s="7" t="str">
        <x:v>Production ME1</x:v>
      </x:c>
      <x:c r="Q22" s="7" t="str"/>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row r="33" ht="62" customHeight="1">
      <x:c r="A33" s="13" t="str">
        <x:v>GEAR-onyx-human-i</x:v>
      </x:c>
      <x:c r="B33" s="14" t="str">
        <x:v>Onyx I · humains / Asari</x:v>
      </x:c>
      <x:c r="C33" s="10" t="str">
        <x:v>Prototype</x:v>
      </x:c>
      <x:c r="D33" s="11" t="str">
        <x:v>À produire</x:v>
      </x:c>
      <x:c r="E33" s="15" t="str">
        <x:v>P1</x:v>
      </x:c>
      <x:c r="F33" s="15" t="str">
        <x:v>ME1</x:v>
      </x:c>
      <x:c r="G33" s="15" t="str">
        <x:v>Adaptation</x:v>
      </x:c>
      <x:c r="H33" s="14" t="str">
        <x:v>Armure, Légère (human). Aldrin Labs. Niveau 1. Achat 80 crédits, vente 32, stock initial 3. Effets ATB : aucun bonus supplémentaire.</x:v>
      </x:c>
      <x:c r="I33" s="14" t="str">
        <x:v>Achat, vente et attribution atomiques à l’emplacement Armure. Vérifier niveau, stock, possession, morphologie et poids autorisé. Appliquer une fois les bonus affichés, préserver après sauvegarde et restituer au retrait.</x:v>
      </x:c>
      <x:c r="J33" s="14" t="str">
        <x:v>SYS-inventaire, SYS-commerce</x:v>
      </x:c>
      <x:c r="K33" s="14" t="str">
        <x:v>src/loadout.js</x:v>
      </x:c>
      <x:c r="L33" s="14" t="str">
        <x:v>src/loadout.js</x:v>
      </x:c>
      <x:c r="M33" s="14" t="str">
        <x:v>ITEMS.onyx-human-i</x:v>
      </x:c>
      <x:c r="N33" s="14" t="str">
        <x:v>Objectifs et noms ME1 référencés ; chiffres, découpage et interface propres à cette adaptation ATB.</x:v>
      </x:c>
      <x:c r="O33" s="14" t="str">
        <x:v>https://masseffect.fandom.com/wiki/Onyx_Armor</x:v>
      </x:c>
      <x:c r="P33" s="14" t="str">
        <x:v>Production ME1</x:v>
      </x:c>
      <x:c r="Q33" s="14" t="str">
        <x:v>Légère pour humains / Asari. Protection de départ, sans bonus supplémentaire. Nom, fabricant et morphologie référencés ; protection et déblocage adaptés. Aucun sprite ou modèle distinct pour cette référence.</x:v>
      </x:c>
    </x:row>
    <x:row r="34" ht="62" customHeight="1">
      <x:c r="A34" s="12" t="str">
        <x:v>GEAR-phoenix-human-iii</x:v>
      </x:c>
      <x:c r="B34" s="7" t="str">
        <x:v>Phoenix III · humains / Asari</x:v>
      </x:c>
      <x:c r="C34" s="10" t="str">
        <x:v>Prototype</x:v>
      </x:c>
      <x:c r="D34" s="11" t="str">
        <x:v>À produire</x:v>
      </x:c>
      <x:c r="E34" s="9" t="str">
        <x:v>P1</x:v>
      </x:c>
      <x:c r="F34" s="9" t="str">
        <x:v>ME1</x:v>
      </x:c>
      <x:c r="G34" s="9" t="str">
        <x:v>Adaptation</x:v>
      </x:c>
      <x:c r="H34" s="7" t="str">
        <x:v>Armure, Légère (human). Sirta Foundation. Niveau 2. Achat 220 crédits, vente 88, stock initial 3. Effets ATB : santé=15, bouclier=15, défense=1.</x:v>
      </x:c>
      <x:c r="I34" s="7" t="str">
        <x:v>Achat, vente et attribution atomiques à l’emplacement Armure. Vérifier niveau, stock, possession, morphologie et poids autorisé. Appliquer une fois les bonus affichés, préserver après sauvegarde et restituer au retrait.</x:v>
      </x:c>
      <x:c r="J34" s="7" t="str">
        <x:v>SYS-inventaire, SYS-commerce</x:v>
      </x:c>
      <x:c r="K34" s="7" t="str">
        <x:v>src/loadout.js</x:v>
      </x:c>
      <x:c r="L34" s="7" t="str">
        <x:v>src/loadout.js</x:v>
      </x:c>
      <x:c r="M34" s="7" t="str">
        <x:v>ITEMS.phoenix-human-iii</x:v>
      </x:c>
      <x:c r="N34" s="7" t="str">
        <x:v>Objectifs et noms ME1 référencés ; chiffres, découpage et interface propres à cette adaptation ATB.</x:v>
      </x:c>
      <x:c r="O34" s="7" t="str">
        <x:v>https://masseffect.fandom.com/wiki/Phoenix_Armor</x:v>
      </x:c>
      <x:c r="P34" s="7" t="str">
        <x:v>Production ME1</x:v>
      </x:c>
      <x:c r="Q34" s="7" t="str">
        <x:v>Légère pour humains / Asari. Protection et réserves ajustées au combat ATB. Nom, fabricant et morphologie référencés ; protection et déblocage adaptés. Aucun sprite ou modèle distinct pour cette référence.</x:v>
      </x:c>
    </x:row>
    <x:row r="35" ht="62" customHeight="1">
      <x:c r="A35" s="13" t="str">
        <x:v>GEAR-colossus-human-vii</x:v>
      </x:c>
      <x:c r="B35" s="14" t="str">
        <x:v>Colossus VII · humains / Asari</x:v>
      </x:c>
      <x:c r="C35" s="10" t="str">
        <x:v>Prototype</x:v>
      </x:c>
      <x:c r="D35" s="11" t="str">
        <x:v>À produire</x:v>
      </x:c>
      <x:c r="E35" s="15" t="str">
        <x:v>P1</x:v>
      </x:c>
      <x:c r="F35" s="15" t="str">
        <x:v>ME1</x:v>
      </x:c>
      <x:c r="G35" s="15" t="str">
        <x:v>Adaptation</x:v>
      </x:c>
      <x:c r="H35" s="14" t="str">
        <x:v>Armure, Lourde (human). Kassa Fabrication. Niveau 6. Achat 600 crédits, vente 240, stock initial 3. Effets ATB : santé=30, bouclier=35, défense=6.</x:v>
      </x:c>
      <x:c r="I35" s="14" t="str">
        <x:v>Achat, vente et attribution atomiques à l’emplacement Armure. Vérifier niveau, stock, possession, morphologie et poids autorisé. Appliquer une fois les bonus affichés, préserver après sauvegarde et restituer au retrait.</x:v>
      </x:c>
      <x:c r="J35" s="14" t="str">
        <x:v>SYS-inventaire, SYS-commerce</x:v>
      </x:c>
      <x:c r="K35" s="14" t="str">
        <x:v>src/loadout.js</x:v>
      </x:c>
      <x:c r="L35" s="14" t="str">
        <x:v>src/loadout.js</x:v>
      </x:c>
      <x:c r="M35" s="14" t="str">
        <x:v>ITEMS.colossus-human-vii</x:v>
      </x:c>
      <x:c r="N35" s="14" t="str">
        <x:v>Objectifs et noms ME1 référencés ; chiffres, découpage et interface propres à cette adaptation ATB.</x:v>
      </x:c>
      <x:c r="O35" s="14" t="str">
        <x:v>https://masseffect.fandom.com/wiki/Colossus_Armor</x:v>
      </x:c>
      <x:c r="P35" s="14" t="str">
        <x:v>Production ME1</x:v>
      </x:c>
      <x:c r="Q35" s="14" t="str">
        <x:v>Lourde pour humains / Asari. Protection et réserves ajustées au combat ATB. Nom, fabricant et morphologie référencés ; protection et déblocage adaptés. Aucun sprite ou modèle distinct pour cette référence.</x:v>
      </x:c>
    </x:row>
    <x:row r="36" ht="62" customHeight="1">
      <x:c r="A36" s="12" t="str">
        <x:v>GEAR-predator-human-vii</x:v>
      </x:c>
      <x:c r="B36" s="7" t="str">
        <x:v>Predator M VII · humains / Asari</x:v>
      </x:c>
      <x:c r="C36" s="10" t="str">
        <x:v>Prototype</x:v>
      </x:c>
      <x:c r="D36" s="11" t="str">
        <x:v>À produire</x:v>
      </x:c>
      <x:c r="E36" s="9" t="str">
        <x:v>P1</x:v>
      </x:c>
      <x:c r="F36" s="9" t="str">
        <x:v>ME1</x:v>
      </x:c>
      <x:c r="G36" s="9" t="str">
        <x:v>Adaptation</x:v>
      </x:c>
      <x:c r="H36" s="7" t="str">
        <x:v>Armure, Intermédiaire (human). Armax Arsenal. Niveau 6. Achat 620 crédits, vente 248, stock initial 3. Effets ATB : bouclier=65, défense=3, résistance aux contrôles=0.05.</x:v>
      </x:c>
      <x:c r="I36" s="7" t="str">
        <x:v>Achat, vente et attribution atomiques à l’emplacement Armure. Vérifier niveau, stock, possession, morphologie et poids autorisé. Appliquer une fois les bonus affichés, préserver après sauvegarde et restituer au retrait.</x:v>
      </x:c>
      <x:c r="J36" s="7" t="str">
        <x:v>SYS-inventaire, SYS-commerce</x:v>
      </x:c>
      <x:c r="K36" s="7" t="str">
        <x:v>src/loadout.js</x:v>
      </x:c>
      <x:c r="L36" s="7" t="str">
        <x:v>src/loadout.js</x:v>
      </x:c>
      <x:c r="M36" s="7" t="str">
        <x:v>ITEMS.predator-human-vii</x:v>
      </x:c>
      <x:c r="N36" s="7" t="str">
        <x:v>Objectifs et noms ME1 référencés ; chiffres, découpage et interface propres à cette adaptation ATB.</x:v>
      </x:c>
      <x:c r="O36" s="7" t="str">
        <x:v>https://masseffect.fandom.com/wiki/Predator_L/M/H_Armor</x:v>
      </x:c>
      <x:c r="P36" s="7" t="str">
        <x:v>Production ME1</x:v>
      </x:c>
      <x:c r="Q36" s="7" t="str">
        <x:v>Intermédiaire pour humains / Asari. Protection et réserves ajustées au combat ATB. Nom, fabricant et morphologie référencés ; protection et déblocage adaptés. Aucun sprite ou modèle distinct pour cette référence.</x:v>
      </x:c>
    </x:row>
    <x:row r="37" ht="62" customHeight="1">
      <x:c r="A37" s="13" t="str">
        <x:v>GEAR-onyx-turian-i</x:v>
      </x:c>
      <x:c r="B37" s="14" t="str">
        <x:v>Onyx I · Turiens</x:v>
      </x:c>
      <x:c r="C37" s="10" t="str">
        <x:v>Prototype</x:v>
      </x:c>
      <x:c r="D37" s="11" t="str">
        <x:v>À produire</x:v>
      </x:c>
      <x:c r="E37" s="15" t="str">
        <x:v>P1</x:v>
      </x:c>
      <x:c r="F37" s="15" t="str">
        <x:v>ME1</x:v>
      </x:c>
      <x:c r="G37" s="15" t="str">
        <x:v>Adaptation</x:v>
      </x:c>
      <x:c r="H37" s="14" t="str">
        <x:v>Armure, Légère (turian). Aldrin Labs. Niveau 1. Achat 80 crédits, vente 32, stock initial 3. Effets ATB : aucun bonus supplémentaire.</x:v>
      </x:c>
      <x:c r="I37" s="14" t="str">
        <x:v>Achat, vente et attribution atomiques à l’emplacement Armure. Vérifier niveau, stock, possession, morphologie et poids autorisé. Appliquer une fois les bonus affichés, préserver après sauvegarde et restituer au retrait.</x:v>
      </x:c>
      <x:c r="J37" s="14" t="str">
        <x:v>SYS-inventaire, SYS-commerce</x:v>
      </x:c>
      <x:c r="K37" s="14" t="str">
        <x:v>src/loadout.js</x:v>
      </x:c>
      <x:c r="L37" s="14" t="str">
        <x:v>src/loadout.js</x:v>
      </x:c>
      <x:c r="M37" s="14" t="str">
        <x:v>ITEMS.onyx-turian-i</x:v>
      </x:c>
      <x:c r="N37" s="14" t="str">
        <x:v>Objectifs et noms ME1 référencés ; chiffres, découpage et interface propres à cette adaptation ATB.</x:v>
      </x:c>
      <x:c r="O37" s="14" t="str">
        <x:v>https://masseffect.fandom.com/wiki/Onyx_Armor</x:v>
      </x:c>
      <x:c r="P37" s="14" t="str">
        <x:v>Production ME1</x:v>
      </x:c>
      <x:c r="Q37" s="14" t="str">
        <x:v>Légère pour Turiens. Protection de départ, sans bonus supplémentaire. Nom, fabricant et morphologie référencés ; protection et déblocage adaptés. Aucun sprite ou modèle distinct pour cette référence.</x:v>
      </x:c>
    </x:row>
    <x:row r="38" ht="62" customHeight="1">
      <x:c r="A38" s="12" t="str">
        <x:v>GEAR-phoenix-turian-iii</x:v>
      </x:c>
      <x:c r="B38" s="7" t="str">
        <x:v>Phoenix III · Turiens</x:v>
      </x:c>
      <x:c r="C38" s="10" t="str">
        <x:v>Prototype</x:v>
      </x:c>
      <x:c r="D38" s="11" t="str">
        <x:v>À produire</x:v>
      </x:c>
      <x:c r="E38" s="9" t="str">
        <x:v>P1</x:v>
      </x:c>
      <x:c r="F38" s="9" t="str">
        <x:v>ME1</x:v>
      </x:c>
      <x:c r="G38" s="9" t="str">
        <x:v>Adaptation</x:v>
      </x:c>
      <x:c r="H38" s="7" t="str">
        <x:v>Armure, Légère (turian). Sirta Foundation. Niveau 2. Achat 220 crédits, vente 88, stock initial 3. Effets ATB : santé=15, bouclier=15, défense=1.</x:v>
      </x:c>
      <x:c r="I38" s="7" t="str">
        <x:v>Achat, vente et attribution atomiques à l’emplacement Armure. Vérifier niveau, stock, possession, morphologie et poids autorisé. Appliquer une fois les bonus affichés, préserver après sauvegarde et restituer au retrait.</x:v>
      </x:c>
      <x:c r="J38" s="7" t="str">
        <x:v>SYS-inventaire, SYS-commerce</x:v>
      </x:c>
      <x:c r="K38" s="7" t="str">
        <x:v>src/loadout.js</x:v>
      </x:c>
      <x:c r="L38" s="7" t="str">
        <x:v>src/loadout.js</x:v>
      </x:c>
      <x:c r="M38" s="7" t="str">
        <x:v>ITEMS.phoenix-turian-iii</x:v>
      </x:c>
      <x:c r="N38" s="7" t="str">
        <x:v>Objectifs et noms ME1 référencés ; chiffres, découpage et interface propres à cette adaptation ATB.</x:v>
      </x:c>
      <x:c r="O38" s="7" t="str">
        <x:v>https://masseffect.fandom.com/wiki/Phoenix_Armor</x:v>
      </x:c>
      <x:c r="P38" s="7" t="str">
        <x:v>Production ME1</x:v>
      </x:c>
      <x:c r="Q38" s="7" t="str">
        <x:v>Légère pour Turiens. Protection et réserves ajustées au combat ATB. Nom, fabricant et morphologie référencés ; protection et déblocage adaptés. Aucun sprite ou modèle distinct pour cette référence.</x:v>
      </x:c>
    </x:row>
    <x:row r="39" ht="62" customHeight="1">
      <x:c r="A39" s="13" t="str">
        <x:v>GEAR-colossus-turian-vii</x:v>
      </x:c>
      <x:c r="B39" s="14" t="str">
        <x:v>Colossus VII · Turiens</x:v>
      </x:c>
      <x:c r="C39" s="10" t="str">
        <x:v>Prototype</x:v>
      </x:c>
      <x:c r="D39" s="11" t="str">
        <x:v>À produire</x:v>
      </x:c>
      <x:c r="E39" s="15" t="str">
        <x:v>P1</x:v>
      </x:c>
      <x:c r="F39" s="15" t="str">
        <x:v>ME1</x:v>
      </x:c>
      <x:c r="G39" s="15" t="str">
        <x:v>Adaptation</x:v>
      </x:c>
      <x:c r="H39" s="14" t="str">
        <x:v>Armure, Intermédiaire (turian). Kassa Fabrication. Niveau 6. Achat 600 crédits, vente 240, stock initial 3. Effets ATB : santé=30, bouclier=35, défense=6.</x:v>
      </x:c>
      <x:c r="I39" s="14" t="str">
        <x:v>Achat, vente et attribution atomiques à l’emplacement Armure. Vérifier niveau, stock, possession, morphologie et poids autorisé. Appliquer une fois les bonus affichés, préserver après sauvegarde et restituer au retrait.</x:v>
      </x:c>
      <x:c r="J39" s="14" t="str">
        <x:v>SYS-inventaire, SYS-commerce</x:v>
      </x:c>
      <x:c r="K39" s="14" t="str">
        <x:v>src/loadout.js</x:v>
      </x:c>
      <x:c r="L39" s="14" t="str">
        <x:v>src/loadout.js</x:v>
      </x:c>
      <x:c r="M39" s="14" t="str">
        <x:v>ITEMS.colossus-turian-vii</x:v>
      </x:c>
      <x:c r="N39" s="14" t="str">
        <x:v>Objectifs et noms ME1 référencés ; chiffres, découpage et interface propres à cette adaptation ATB.</x:v>
      </x:c>
      <x:c r="O39" s="14" t="str">
        <x:v>https://masseffect.fandom.com/wiki/Colossus_Armor</x:v>
      </x:c>
      <x:c r="P39" s="14" t="str">
        <x:v>Production ME1</x:v>
      </x:c>
      <x:c r="Q39" s="14" t="str">
        <x:v>Intermédiaire pour Turiens. Protection et réserves ajustées au combat ATB. Nom, fabricant et morphologie référencés ; protection et déblocage adaptés. Aucun sprite ou modèle distinct pour cette référence.</x:v>
      </x:c>
    </x:row>
    <x:row r="40" ht="62" customHeight="1">
      <x:c r="A40" s="12" t="str">
        <x:v>GEAR-predator-turian-vii</x:v>
      </x:c>
      <x:c r="B40" s="7" t="str">
        <x:v>Predator M VII · Turiens</x:v>
      </x:c>
      <x:c r="C40" s="10" t="str">
        <x:v>Prototype</x:v>
      </x:c>
      <x:c r="D40" s="11" t="str">
        <x:v>À produire</x:v>
      </x:c>
      <x:c r="E40" s="9" t="str">
        <x:v>P1</x:v>
      </x:c>
      <x:c r="F40" s="9" t="str">
        <x:v>ME1</x:v>
      </x:c>
      <x:c r="G40" s="9" t="str">
        <x:v>Adaptation</x:v>
      </x:c>
      <x:c r="H40" s="7" t="str">
        <x:v>Armure, Intermédiaire (turian). Armax Arsenal. Niveau 6. Achat 620 crédits, vente 248, stock initial 3. Effets ATB : bouclier=65, défense=3, résistance aux contrôles=0.05.</x:v>
      </x:c>
      <x:c r="I40" s="7" t="str">
        <x:v>Achat, vente et attribution atomiques à l’emplacement Armure. Vérifier niveau, stock, possession, morphologie et poids autorisé. Appliquer une fois les bonus affichés, préserver après sauvegarde et restituer au retrait.</x:v>
      </x:c>
      <x:c r="J40" s="7" t="str">
        <x:v>SYS-inventaire, SYS-commerce</x:v>
      </x:c>
      <x:c r="K40" s="7" t="str">
        <x:v>src/loadout.js</x:v>
      </x:c>
      <x:c r="L40" s="7" t="str">
        <x:v>src/loadout.js</x:v>
      </x:c>
      <x:c r="M40" s="7" t="str">
        <x:v>ITEMS.predator-turian-vii</x:v>
      </x:c>
      <x:c r="N40" s="7" t="str">
        <x:v>Objectifs et noms ME1 référencés ; chiffres, découpage et interface propres à cette adaptation ATB.</x:v>
      </x:c>
      <x:c r="O40" s="7" t="str">
        <x:v>https://masseffect.fandom.com/wiki/Predator_L/M/H_Armor</x:v>
      </x:c>
      <x:c r="P40" s="7" t="str">
        <x:v>Production ME1</x:v>
      </x:c>
      <x:c r="Q40" s="7" t="str">
        <x:v>Intermédiaire pour Turiens. Protection et réserves ajustées au combat ATB. Nom, fabricant et morphologie référencés ; protection et déblocage adaptés. Aucun sprite ou modèle distinct pour cette référence.</x:v>
      </x:c>
    </x:row>
    <x:row r="41" ht="62" customHeight="1">
      <x:c r="A41" s="13" t="str">
        <x:v>GEAR-onyx-quarian-i</x:v>
      </x:c>
      <x:c r="B41" s="14" t="str">
        <x:v>Onyx I · Quariens</x:v>
      </x:c>
      <x:c r="C41" s="10" t="str">
        <x:v>Prototype</x:v>
      </x:c>
      <x:c r="D41" s="11" t="str">
        <x:v>À produire</x:v>
      </x:c>
      <x:c r="E41" s="15" t="str">
        <x:v>P1</x:v>
      </x:c>
      <x:c r="F41" s="15" t="str">
        <x:v>ME1</x:v>
      </x:c>
      <x:c r="G41" s="15" t="str">
        <x:v>Adaptation</x:v>
      </x:c>
      <x:c r="H41" s="14" t="str">
        <x:v>Armure, Légère (quarian). Aldrin Labs. Niveau 1. Achat 80 crédits, vente 32, stock initial 3. Effets ATB : aucun bonus supplémentaire.</x:v>
      </x:c>
      <x:c r="I41" s="14" t="str">
        <x:v>Achat, vente et attribution atomiques à l’emplacement Armure. Vérifier niveau, stock, possession, morphologie et poids autorisé. Appliquer une fois les bonus affichés, préserver après sauvegarde et restituer au retrait.</x:v>
      </x:c>
      <x:c r="J41" s="14" t="str">
        <x:v>SYS-inventaire, SYS-commerce</x:v>
      </x:c>
      <x:c r="K41" s="14" t="str">
        <x:v>src/loadout.js</x:v>
      </x:c>
      <x:c r="L41" s="14" t="str">
        <x:v>src/loadout.js</x:v>
      </x:c>
      <x:c r="M41" s="14" t="str">
        <x:v>ITEMS.onyx-quarian-i</x:v>
      </x:c>
      <x:c r="N41" s="14" t="str">
        <x:v>Objectifs et noms ME1 référencés ; chiffres, découpage et interface propres à cette adaptation ATB.</x:v>
      </x:c>
      <x:c r="O41" s="14" t="str">
        <x:v>https://masseffect.fandom.com/wiki/Onyx_Armor</x:v>
      </x:c>
      <x:c r="P41" s="14" t="str">
        <x:v>Production ME1</x:v>
      </x:c>
      <x:c r="Q41" s="14" t="str">
        <x:v>Légère pour Quariens. Protection de départ, sans bonus supplémentaire. Nom, fabricant et morphologie référencés ; protection et déblocage adaptés. Aucun sprite ou modèle distinct pour cette référence.</x:v>
      </x:c>
    </x:row>
    <x:row r="42" ht="62" customHeight="1">
      <x:c r="A42" s="12" t="str">
        <x:v>GEAR-phoenix-quarian-iii</x:v>
      </x:c>
      <x:c r="B42" s="7" t="str">
        <x:v>Phoenix III · Quariens</x:v>
      </x:c>
      <x:c r="C42" s="10" t="str">
        <x:v>Prototype</x:v>
      </x:c>
      <x:c r="D42" s="11" t="str">
        <x:v>À produire</x:v>
      </x:c>
      <x:c r="E42" s="9" t="str">
        <x:v>P1</x:v>
      </x:c>
      <x:c r="F42" s="9" t="str">
        <x:v>ME1</x:v>
      </x:c>
      <x:c r="G42" s="9" t="str">
        <x:v>Adaptation</x:v>
      </x:c>
      <x:c r="H42" s="7" t="str">
        <x:v>Armure, Légère (quarian). Sirta Foundation. Niveau 2. Achat 220 crédits, vente 88, stock initial 3. Effets ATB : santé=15, bouclier=15, défense=1.</x:v>
      </x:c>
      <x:c r="I42" s="7" t="str">
        <x:v>Achat, vente et attribution atomiques à l’emplacement Armure. Vérifier niveau, stock, possession, morphologie et poids autorisé. Appliquer une fois les bonus affichés, préserver après sauvegarde et restituer au retrait.</x:v>
      </x:c>
      <x:c r="J42" s="7" t="str">
        <x:v>SYS-inventaire, SYS-commerce</x:v>
      </x:c>
      <x:c r="K42" s="7" t="str">
        <x:v>src/loadout.js</x:v>
      </x:c>
      <x:c r="L42" s="7" t="str">
        <x:v>src/loadout.js</x:v>
      </x:c>
      <x:c r="M42" s="7" t="str">
        <x:v>ITEMS.phoenix-quarian-iii</x:v>
      </x:c>
      <x:c r="N42" s="7" t="str">
        <x:v>Objectifs et noms ME1 référencés ; chiffres, découpage et interface propres à cette adaptation ATB.</x:v>
      </x:c>
      <x:c r="O42" s="7" t="str">
        <x:v>https://masseffect.fandom.com/wiki/Phoenix_Armor</x:v>
      </x:c>
      <x:c r="P42" s="7" t="str">
        <x:v>Production ME1</x:v>
      </x:c>
      <x:c r="Q42" s="7" t="str">
        <x:v>Légère pour Quariens. Protection et réserves ajustées au combat ATB. Nom, fabricant et morphologie référencés ; protection et déblocage adaptés. Aucun sprite ou modèle distinct pour cette référence.</x:v>
      </x:c>
    </x:row>
    <x:row r="43" ht="62" customHeight="1">
      <x:c r="A43" s="13" t="str">
        <x:v>GEAR-colossus-quarian-vii</x:v>
      </x:c>
      <x:c r="B43" s="14" t="str">
        <x:v>Colossus VII · Quariens</x:v>
      </x:c>
      <x:c r="C43" s="10" t="str">
        <x:v>Prototype</x:v>
      </x:c>
      <x:c r="D43" s="11" t="str">
        <x:v>À produire</x:v>
      </x:c>
      <x:c r="E43" s="15" t="str">
        <x:v>P1</x:v>
      </x:c>
      <x:c r="F43" s="15" t="str">
        <x:v>ME1</x:v>
      </x:c>
      <x:c r="G43" s="15" t="str">
        <x:v>Adaptation</x:v>
      </x:c>
      <x:c r="H43" s="14" t="str">
        <x:v>Armure, Légère (quarian). Kassa Fabrication. Niveau 6. Achat 600 crédits, vente 240, stock initial 3. Effets ATB : santé=30, bouclier=35, défense=6.</x:v>
      </x:c>
      <x:c r="I43" s="14" t="str">
        <x:v>Achat, vente et attribution atomiques à l’emplacement Armure. Vérifier niveau, stock, possession, morphologie et poids autorisé. Appliquer une fois les bonus affichés, préserver après sauvegarde et restituer au retrait.</x:v>
      </x:c>
      <x:c r="J43" s="14" t="str">
        <x:v>SYS-inventaire, SYS-commerce</x:v>
      </x:c>
      <x:c r="K43" s="14" t="str">
        <x:v>src/loadout.js</x:v>
      </x:c>
      <x:c r="L43" s="14" t="str">
        <x:v>src/loadout.js</x:v>
      </x:c>
      <x:c r="M43" s="14" t="str">
        <x:v>ITEMS.colossus-quarian-vii</x:v>
      </x:c>
      <x:c r="N43" s="14" t="str">
        <x:v>Objectifs et noms ME1 référencés ; chiffres, découpage et interface propres à cette adaptation ATB.</x:v>
      </x:c>
      <x:c r="O43" s="14" t="str">
        <x:v>https://masseffect.fandom.com/wiki/Colossus_Armor</x:v>
      </x:c>
      <x:c r="P43" s="14" t="str">
        <x:v>Production ME1</x:v>
      </x:c>
      <x:c r="Q43" s="14" t="str">
        <x:v>Légère pour Quariens. Protection et réserves ajustées au combat ATB. Nom, fabricant et morphologie référencés ; protection et déblocage adaptés. Aucun sprite ou modèle distinct pour cette référence.</x:v>
      </x:c>
    </x:row>
    <x:row r="44" ht="62" customHeight="1">
      <x:c r="A44" s="12" t="str">
        <x:v>GEAR-liberator-quarian-v</x:v>
      </x:c>
      <x:c r="B44" s="7" t="str">
        <x:v>Liberator V · Quariens</x:v>
      </x:c>
      <x:c r="C44" s="10" t="str">
        <x:v>Prototype</x:v>
      </x:c>
      <x:c r="D44" s="11" t="str">
        <x:v>À produire</x:v>
      </x:c>
      <x:c r="E44" s="9" t="str">
        <x:v>P1</x:v>
      </x:c>
      <x:c r="F44" s="9" t="str">
        <x:v>ME1</x:v>
      </x:c>
      <x:c r="G44" s="9" t="str">
        <x:v>Adaptation</x:v>
      </x:c>
      <x:c r="H44" s="7" t="str">
        <x:v>Armure, Légère (quarian). Devlon Industries. Niveau 4. Achat 370 crédits, vente 148, stock initial 3. Effets ATB : santé=15, bouclier=30, défense=3.</x:v>
      </x:c>
      <x:c r="I44" s="7" t="str">
        <x:v>Achat, vente et attribution atomiques à l’emplacement Armure. Vérifier niveau, stock, possession, morphologie et poids autorisé. Appliquer une fois les bonus affichés, préserver après sauvegarde et restituer au retrait.</x:v>
      </x:c>
      <x:c r="J44" s="7" t="str">
        <x:v>SYS-inventaire, SYS-commerce</x:v>
      </x:c>
      <x:c r="K44" s="7" t="str">
        <x:v>src/loadout.js</x:v>
      </x:c>
      <x:c r="L44" s="7" t="str">
        <x:v>src/loadout.js</x:v>
      </x:c>
      <x:c r="M44" s="7" t="str">
        <x:v>ITEMS.liberator-quarian-v</x:v>
      </x:c>
      <x:c r="N44" s="7" t="str">
        <x:v>Objectifs et noms ME1 référencés ; chiffres, découpage et interface propres à cette adaptation ATB.</x:v>
      </x:c>
      <x:c r="O44" s="7" t="str">
        <x:v>https://masseffect.fandom.com/wiki/Liberator_Armor</x:v>
      </x:c>
      <x:c r="P44" s="7" t="str">
        <x:v>Production ME1</x:v>
      </x:c>
      <x:c r="Q44" s="7" t="str">
        <x:v>Légère pour Quariens. Protection et réserves ajustées au combat ATB. Nom, fabricant et morphologie référencés ; protection et déblocage adaptés. Aucun sprite ou modèle distinct pour cette référence.</x:v>
      </x:c>
    </x:row>
    <x:row r="45" ht="62" customHeight="1">
      <x:c r="A45" s="13" t="str">
        <x:v>GEAR-onyx-krogan-i</x:v>
      </x:c>
      <x:c r="B45" s="14" t="str">
        <x:v>Onyx I · Krogans</x:v>
      </x:c>
      <x:c r="C45" s="10" t="str">
        <x:v>Prototype</x:v>
      </x:c>
      <x:c r="D45" s="11" t="str">
        <x:v>À produire</x:v>
      </x:c>
      <x:c r="E45" s="15" t="str">
        <x:v>P1</x:v>
      </x:c>
      <x:c r="F45" s="15" t="str">
        <x:v>ME1</x:v>
      </x:c>
      <x:c r="G45" s="15" t="str">
        <x:v>Adaptation</x:v>
      </x:c>
      <x:c r="H45" s="14" t="str">
        <x:v>Armure, Intermédiaire (krogan). Aldrin Labs. Niveau 1. Achat 80 crédits, vente 32, stock initial 3. Effets ATB : aucun bonus supplémentaire.</x:v>
      </x:c>
      <x:c r="I45" s="14" t="str">
        <x:v>Achat, vente et attribution atomiques à l’emplacement Armure. Vérifier niveau, stock, possession, morphologie et poids autorisé. Appliquer une fois les bonus affichés, préserver après sauvegarde et restituer au retrait.</x:v>
      </x:c>
      <x:c r="J45" s="14" t="str">
        <x:v>SYS-inventaire, SYS-commerce</x:v>
      </x:c>
      <x:c r="K45" s="14" t="str">
        <x:v>src/loadout.js</x:v>
      </x:c>
      <x:c r="L45" s="14" t="str">
        <x:v>src/loadout.js</x:v>
      </x:c>
      <x:c r="M45" s="14" t="str">
        <x:v>ITEMS.onyx-krogan-i</x:v>
      </x:c>
      <x:c r="N45" s="14" t="str">
        <x:v>Objectifs et noms ME1 référencés ; chiffres, découpage et interface propres à cette adaptation ATB.</x:v>
      </x:c>
      <x:c r="O45" s="14" t="str">
        <x:v>https://masseffect.fandom.com/wiki/Onyx_Armor</x:v>
      </x:c>
      <x:c r="P45" s="14" t="str">
        <x:v>Production ME1</x:v>
      </x:c>
      <x:c r="Q45" s="14" t="str">
        <x:v>Intermédiaire pour Krogans. Protection de départ, sans bonus supplémentaire. Nom, fabricant et morphologie référencés ; protection et déblocage adaptés. Aucun sprite ou modèle distinct pour cette référence.</x:v>
      </x:c>
    </x:row>
    <x:row r="46" ht="62" customHeight="1">
      <x:c r="A46" s="12" t="str">
        <x:v>GEAR-phoenix-krogan-iii</x:v>
      </x:c>
      <x:c r="B46" s="7" t="str">
        <x:v>Phoenix III · Krogans</x:v>
      </x:c>
      <x:c r="C46" s="10" t="str">
        <x:v>Prototype</x:v>
      </x:c>
      <x:c r="D46" s="11" t="str">
        <x:v>À produire</x:v>
      </x:c>
      <x:c r="E46" s="9" t="str">
        <x:v>P1</x:v>
      </x:c>
      <x:c r="F46" s="9" t="str">
        <x:v>ME1</x:v>
      </x:c>
      <x:c r="G46" s="9" t="str">
        <x:v>Adaptation</x:v>
      </x:c>
      <x:c r="H46" s="7" t="str">
        <x:v>Armure, Intermédiaire (krogan). Sirta Foundation. Niveau 2. Achat 220 crédits, vente 88, stock initial 3. Effets ATB : santé=15, bouclier=15, défense=1.</x:v>
      </x:c>
      <x:c r="I46" s="7" t="str">
        <x:v>Achat, vente et attribution atomiques à l’emplacement Armure. Vérifier niveau, stock, possession, morphologie et poids autorisé. Appliquer une fois les bonus affichés, préserver après sauvegarde et restituer au retrait.</x:v>
      </x:c>
      <x:c r="J46" s="7" t="str">
        <x:v>SYS-inventaire, SYS-commerce</x:v>
      </x:c>
      <x:c r="K46" s="7" t="str">
        <x:v>src/loadout.js</x:v>
      </x:c>
      <x:c r="L46" s="7" t="str">
        <x:v>src/loadout.js</x:v>
      </x:c>
      <x:c r="M46" s="7" t="str">
        <x:v>ITEMS.phoenix-krogan-iii</x:v>
      </x:c>
      <x:c r="N46" s="7" t="str">
        <x:v>Objectifs et noms ME1 référencés ; chiffres, découpage et interface propres à cette adaptation ATB.</x:v>
      </x:c>
      <x:c r="O46" s="7" t="str">
        <x:v>https://masseffect.fandom.com/wiki/Phoenix_Armor</x:v>
      </x:c>
      <x:c r="P46" s="7" t="str">
        <x:v>Production ME1</x:v>
      </x:c>
      <x:c r="Q46" s="7" t="str">
        <x:v>Intermédiaire pour Krogans. Protection et réserves ajustées au combat ATB. Nom, fabricant et morphologie référencés ; protection et déblocage adaptés. Aucun sprite ou modèle distinct pour cette référence.</x:v>
      </x:c>
    </x:row>
    <x:row r="47" ht="62" customHeight="1">
      <x:c r="A47" s="13" t="str">
        <x:v>GEAR-colossus-krogan-vii</x:v>
      </x:c>
      <x:c r="B47" s="14" t="str">
        <x:v>Colossus VII · Krogans</x:v>
      </x:c>
      <x:c r="C47" s="10" t="str">
        <x:v>Prototype</x:v>
      </x:c>
      <x:c r="D47" s="11" t="str">
        <x:v>À produire</x:v>
      </x:c>
      <x:c r="E47" s="15" t="str">
        <x:v>P1</x:v>
      </x:c>
      <x:c r="F47" s="15" t="str">
        <x:v>ME1</x:v>
      </x:c>
      <x:c r="G47" s="15" t="str">
        <x:v>Adaptation</x:v>
      </x:c>
      <x:c r="H47" s="14" t="str">
        <x:v>Armure, Lourde (krogan). Kassa Fabrication. Niveau 6. Achat 600 crédits, vente 240, stock initial 3. Effets ATB : santé=30, bouclier=35, défense=6.</x:v>
      </x:c>
      <x:c r="I47" s="14" t="str">
        <x:v>Achat, vente et attribution atomiques à l’emplacement Armure. Vérifier niveau, stock, possession, morphologie et poids autorisé. Appliquer une fois les bonus affichés, préserver après sauvegarde et restituer au retrait.</x:v>
      </x:c>
      <x:c r="J47" s="14" t="str">
        <x:v>SYS-inventaire, SYS-commerce</x:v>
      </x:c>
      <x:c r="K47" s="14" t="str">
        <x:v>src/loadout.js</x:v>
      </x:c>
      <x:c r="L47" s="14" t="str">
        <x:v>src/loadout.js</x:v>
      </x:c>
      <x:c r="M47" s="14" t="str">
        <x:v>ITEMS.colossus-krogan-vii</x:v>
      </x:c>
      <x:c r="N47" s="14" t="str">
        <x:v>Objectifs et noms ME1 référencés ; chiffres, découpage et interface propres à cette adaptation ATB.</x:v>
      </x:c>
      <x:c r="O47" s="14" t="str">
        <x:v>https://masseffect.fandom.com/wiki/Colossus_Armor</x:v>
      </x:c>
      <x:c r="P47" s="14" t="str">
        <x:v>Production ME1</x:v>
      </x:c>
      <x:c r="Q47" s="14" t="str">
        <x:v>Lourde pour Krogans. Protection et réserves ajustées au combat ATB. Nom, fabricant et morphologie référencés ; protection et déblocage adaptés. Aucun sprite ou modèle distinct pour cette référence.</x:v>
      </x:c>
    </x:row>
    <x:row r="48" ht="62" customHeight="1">
      <x:c r="A48" s="12" t="str">
        <x:v>GEAR-predator-krogan-vii</x:v>
      </x:c>
      <x:c r="B48" s="7" t="str">
        <x:v>Predator H VII · Krogans</x:v>
      </x:c>
      <x:c r="C48" s="10" t="str">
        <x:v>Prototype</x:v>
      </x:c>
      <x:c r="D48" s="11" t="str">
        <x:v>À produire</x:v>
      </x:c>
      <x:c r="E48" s="9" t="str">
        <x:v>P1</x:v>
      </x:c>
      <x:c r="F48" s="9" t="str">
        <x:v>ME1</x:v>
      </x:c>
      <x:c r="G48" s="9" t="str">
        <x:v>Adaptation</x:v>
      </x:c>
      <x:c r="H48" s="7" t="str">
        <x:v>Armure, Lourde (krogan). Armax Arsenal. Niveau 6. Achat 620 crédits, vente 248, stock initial 3. Effets ATB : bouclier=65, défense=3, résistance aux contrôles=0.05.</x:v>
      </x:c>
      <x:c r="I48" s="7" t="str">
        <x:v>Achat, vente et attribution atomiques à l’emplacement Armure. Vérifier niveau, stock, possession, morphologie et poids autorisé. Appliquer une fois les bonus affichés, préserver après sauvegarde et restituer au retrait.</x:v>
      </x:c>
      <x:c r="J48" s="7" t="str">
        <x:v>SYS-inventaire, SYS-commerce</x:v>
      </x:c>
      <x:c r="K48" s="7" t="str">
        <x:v>src/loadout.js</x:v>
      </x:c>
      <x:c r="L48" s="7" t="str">
        <x:v>src/loadout.js</x:v>
      </x:c>
      <x:c r="M48" s="7" t="str">
        <x:v>ITEMS.predator-krogan-vii</x:v>
      </x:c>
      <x:c r="N48" s="7" t="str">
        <x:v>Objectifs et noms ME1 référencés ; chiffres, découpage et interface propres à cette adaptation ATB.</x:v>
      </x:c>
      <x:c r="O48" s="7" t="str">
        <x:v>https://masseffect.fandom.com/wiki/Predator_L/M/H_Armor</x:v>
      </x:c>
      <x:c r="P48" s="7" t="str">
        <x:v>Production ME1</x:v>
      </x:c>
      <x:c r="Q48" s="7" t="str">
        <x:v>Lourde pour Krogans. Protection et réserves ajustées au combat ATB. Nom, fabricant et morphologie référencés ; protection et déblocage adaptés. Aucun sprite ou modèle distinct pour cette référence.</x:v>
      </x:c>
    </x:row>
    <x:row r="49" ht="62" customHeight="1">
      <x:c r="A49" s="13" t="str">
        <x:v>GEAR-heat-sink-i</x:v>
      </x:c>
      <x:c r="B49" s="14" t="str">
        <x:v>Dissipateur thermique I</x:v>
      </x:c>
      <x:c r="C49" s="10" t="str">
        <x:v>Prototype</x:v>
      </x:c>
      <x:c r="D49" s="11" t="str">
        <x:v>À produire</x:v>
      </x:c>
      <x:c r="E49" s="15" t="str">
        <x:v>P1</x:v>
      </x:c>
      <x:c r="F49" s="15" t="str">
        <x:v>ME1</x:v>
      </x:c>
      <x:c r="G49" s="15" t="str">
        <x:v>Adaptation</x:v>
      </x:c>
      <x:c r="H49" s="14" t="str">
        <x:v>Module d’arme. Module standard. Niveau 1. Achat 100 crédits, vente 40, stock initial 5. Effets ATB : multiplicateur de chaleur=0.9, refroidissement par seconde=1.</x:v>
      </x:c>
      <x:c r="I49" s="14" t="str">
        <x:v>Achat, vente et attribution atomiques à l’emplacement Module d’arme. Vérifier niveau, stock, possession. Appliquer une fois les bonus affichés, préserver après sauvegarde et restituer au retrait.</x:v>
      </x:c>
      <x:c r="J49" s="14" t="str">
        <x:v>SYS-inventaire, SYS-commerce</x:v>
      </x:c>
      <x:c r="K49" s="14" t="str">
        <x:v>src/loadout.js</x:v>
      </x:c>
      <x:c r="L49" s="14" t="str">
        <x:v>src/loadout.js</x:v>
      </x:c>
      <x:c r="M49" s="14" t="str">
        <x:v>ITEMS.heat-sink-i</x:v>
      </x:c>
      <x:c r="N49" s="14" t="str">
        <x:v>Objectifs et noms ME1 référencés ; chiffres, découpage et interface propres à cette adaptation ATB.</x:v>
      </x:c>
      <x:c r="O49" s="14" t="str">
        <x:v>https://masseffect.fandom.com/wiki/Weapon_Upgrades</x:v>
      </x:c>
      <x:c r="P49" s="14" t="str">
        <x:v>Production ME1</x:v>
      </x:c>
      <x:c r="Q49" s="14" t="str">
        <x:v>Réduit la chaleur des tirs de 10 % et ajoute 1 point de refroidissement par seconde. Famille de module ME1 référencée ; traduction et effets ATB adaptés. Aucun sprite ou modèle distinct pour cette référence.</x:v>
      </x:c>
    </x:row>
    <x:row r="50" ht="62" customHeight="1">
      <x:c r="A50" s="12" t="str">
        <x:v>GEAR-kinetic-coil-vii</x:v>
      </x:c>
      <x:c r="B50" s="7" t="str">
        <x:v>Bobine cinétique VII</x:v>
      </x:c>
      <x:c r="C50" s="10" t="str">
        <x:v>Prototype</x:v>
      </x:c>
      <x:c r="D50" s="11" t="str">
        <x:v>À produire</x:v>
      </x:c>
      <x:c r="E50" s="9" t="str">
        <x:v>P1</x:v>
      </x:c>
      <x:c r="F50" s="9" t="str">
        <x:v>ME1</x:v>
      </x:c>
      <x:c r="G50" s="9" t="str">
        <x:v>Adaptation</x:v>
      </x:c>
      <x:c r="H50" s="7" t="str">
        <x:v>Module d’arme. Module standard. Niveau 5. Achat 340 crédits, vente 136, stock initial 5. Effets ATB : puissance=5.</x:v>
      </x:c>
      <x:c r="I50" s="7" t="str">
        <x:v>Achat, vente et attribution atomiques à l’emplacement Module d’arme. Vérifier niveau, stock, possession. Appliquer une fois les bonus affichés, préserver après sauvegarde et restituer au retrait.</x:v>
      </x:c>
      <x:c r="J50" s="7" t="str">
        <x:v>SYS-inventaire, SYS-commerce</x:v>
      </x:c>
      <x:c r="K50" s="7" t="str">
        <x:v>src/loadout.js</x:v>
      </x:c>
      <x:c r="L50" s="7" t="str">
        <x:v>src/loadout.js</x:v>
      </x:c>
      <x:c r="M50" s="7" t="str">
        <x:v>ITEMS.kinetic-coil-vii</x:v>
      </x:c>
      <x:c r="N50" s="7" t="str">
        <x:v>Objectifs et noms ME1 référencés ; chiffres, découpage et interface propres à cette adaptation ATB.</x:v>
      </x:c>
      <x:c r="O50" s="7" t="str">
        <x:v>https://masseffect.fandom.com/wiki/Weapon_Upgrades</x:v>
      </x:c>
      <x:c r="P50" s="7" t="str">
        <x:v>Production ME1</x:v>
      </x:c>
      <x:c r="Q50" s="7" t="str">
        <x:v>Renforce de 5 la puissance de tir dans cette adaptation. Famille de module ME1 référencée ; traduction et effets ATB adaptés. Aucun sprite ou modèle distinct pour cette référence.</x:v>
      </x:c>
    </x:row>
    <x:row r="51" ht="62" customHeight="1">
      <x:c r="A51" s="13" t="str">
        <x:v>GEAR-rail-extension-iv</x:v>
      </x:c>
      <x:c r="B51" s="14" t="str">
        <x:v>Extension de rail IV</x:v>
      </x:c>
      <x:c r="C51" s="10" t="str">
        <x:v>Prototype</x:v>
      </x:c>
      <x:c r="D51" s="11" t="str">
        <x:v>À produire</x:v>
      </x:c>
      <x:c r="E51" s="15" t="str">
        <x:v>P1</x:v>
      </x:c>
      <x:c r="F51" s="15" t="str">
        <x:v>ME1</x:v>
      </x:c>
      <x:c r="G51" s="15" t="str">
        <x:v>Adaptation</x:v>
      </x:c>
      <x:c r="H51" s="14" t="str">
        <x:v>Module d’arme. Module standard. Niveau 3. Achat 200 crédits, vente 80, stock initial 5. Effets ATB : puissance=6, multiplicateur de chaleur=1.2.</x:v>
      </x:c>
      <x:c r="I51" s="14" t="str">
        <x:v>Achat, vente et attribution atomiques à l’emplacement Module d’arme. Vérifier niveau, stock, possession. Appliquer une fois les bonus affichés, préserver après sauvegarde et restituer au retrait.</x:v>
      </x:c>
      <x:c r="J51" s="14" t="str">
        <x:v>SYS-inventaire, SYS-commerce</x:v>
      </x:c>
      <x:c r="K51" s="14" t="str">
        <x:v>src/loadout.js</x:v>
      </x:c>
      <x:c r="L51" s="14" t="str">
        <x:v>src/loadout.js</x:v>
      </x:c>
      <x:c r="M51" s="14" t="str">
        <x:v>ITEMS.rail-extension-iv</x:v>
      </x:c>
      <x:c r="N51" s="14" t="str">
        <x:v>Objectifs et noms ME1 référencés ; chiffres, découpage et interface propres à cette adaptation ATB.</x:v>
      </x:c>
      <x:c r="O51" s="14" t="str">
        <x:v>https://masseffect.fandom.com/wiki/Weapon_Upgrades</x:v>
      </x:c>
      <x:c r="P51" s="14" t="str">
        <x:v>Production ME1</x:v>
      </x:c>
      <x:c r="Q51" s="14" t="str">
        <x:v>Ajoute 6 en puissance mais augmente la chaleur des tirs de 20 %. Famille de module ME1 référencée ; traduction et effets ATB adaptés. Aucun sprite ou modèle distinct pour cette référence.</x:v>
      </x:c>
    </x:row>
    <x:row r="52" ht="62" customHeight="1">
      <x:c r="A52" s="12" t="str">
        <x:v>GEAR-frictionless-materials-viii</x:v>
      </x:c>
      <x:c r="B52" s="7" t="str">
        <x:v>Matériaux sans friction VIII</x:v>
      </x:c>
      <x:c r="C52" s="10" t="str">
        <x:v>Prototype</x:v>
      </x:c>
      <x:c r="D52" s="11" t="str">
        <x:v>À produire</x:v>
      </x:c>
      <x:c r="E52" s="9" t="str">
        <x:v>P1</x:v>
      </x:c>
      <x:c r="F52" s="9" t="str">
        <x:v>ME1</x:v>
      </x:c>
      <x:c r="G52" s="9" t="str">
        <x:v>Adaptation</x:v>
      </x:c>
      <x:c r="H52" s="7" t="str">
        <x:v>Module d’arme. Module standard. Niveau 7. Achat 500 crédits, vente 200, stock initial 5. Effets ATB : puissance=4, multiplicateur de chaleur=0.85, refroidissement par seconde=2.</x:v>
      </x:c>
      <x:c r="I52" s="7" t="str">
        <x:v>Achat, vente et attribution atomiques à l’emplacement Module d’arme. Vérifier niveau, stock, possession. Appliquer une fois les bonus affichés, préserver après sauvegarde et restituer au retrait.</x:v>
      </x:c>
      <x:c r="J52" s="7" t="str">
        <x:v>SYS-inventaire, SYS-commerce</x:v>
      </x:c>
      <x:c r="K52" s="7" t="str">
        <x:v>src/loadout.js</x:v>
      </x:c>
      <x:c r="L52" s="7" t="str">
        <x:v>src/loadout.js</x:v>
      </x:c>
      <x:c r="M52" s="7" t="str">
        <x:v>ITEMS.frictionless-materials-viii</x:v>
      </x:c>
      <x:c r="N52" s="7" t="str">
        <x:v>Objectifs et noms ME1 référencés ; chiffres, découpage et interface propres à cette adaptation ATB.</x:v>
      </x:c>
      <x:c r="O52" s="7" t="str">
        <x:v>https://masseffect.fandom.com/wiki/Weapon_Upgrades</x:v>
      </x:c>
      <x:c r="P52" s="7" t="str">
        <x:v>Production ME1</x:v>
      </x:c>
      <x:c r="Q52" s="7" t="str">
        <x:v>Ajoute 4 en puissance, réduit la chaleur de 15 % et accélère le refroidissement de 2 points par seconde. Famille de module ME1 référencée ; traduction et effets ATB adaptés. Aucun sprite ou modèle distinct pour cette référence.</x:v>
      </x:c>
    </x:row>
    <x:row r="53" ht="62" customHeight="1">
      <x:c r="A53" s="13" t="str">
        <x:v>GEAR-armor-piercing-rounds-i</x:v>
      </x:c>
      <x:c r="B53" s="14" t="str">
        <x:v>Munitions perforantes I</x:v>
      </x:c>
      <x:c r="C53" s="10" t="str">
        <x:v>Prototype</x:v>
      </x:c>
      <x:c r="D53" s="11" t="str">
        <x:v>À produire</x:v>
      </x:c>
      <x:c r="E53" s="15" t="str">
        <x:v>P1</x:v>
      </x:c>
      <x:c r="F53" s="15" t="str">
        <x:v>ME1</x:v>
      </x:c>
      <x:c r="G53" s="15" t="str">
        <x:v>Adaptation</x:v>
      </x:c>
      <x:c r="H53" s="14" t="str">
        <x:v>Munitions. Module standard. Niveau 1. Achat 110 crédits, vente 44, stock initial 5. Effets ATB : bonus contre synthétiques=0.15.</x:v>
      </x:c>
      <x:c r="I53" s="14" t="str">
        <x:v>Achat, vente et attribution atomiques à l’emplacement Munitions. Vérifier niveau, stock, possession. Appliquer une fois les bonus affichés, préserver après sauvegarde et restituer au retrait.</x:v>
      </x:c>
      <x:c r="J53" s="14" t="str">
        <x:v>SYS-inventaire, SYS-commerce</x:v>
      </x:c>
      <x:c r="K53" s="14" t="str">
        <x:v>src/loadout.js</x:v>
      </x:c>
      <x:c r="L53" s="14" t="str">
        <x:v>src/loadout.js</x:v>
      </x:c>
      <x:c r="M53" s="14" t="str">
        <x:v>ITEMS.armor-piercing-rounds-i</x:v>
      </x:c>
      <x:c r="N53" s="14" t="str">
        <x:v>Objectifs et noms ME1 référencés ; chiffres, découpage et interface propres à cette adaptation ATB.</x:v>
      </x:c>
      <x:c r="O53" s="14" t="str">
        <x:v>https://masseffect.fandom.com/wiki/Ammunition_Upgrades</x:v>
      </x:c>
      <x:c r="P53" s="14" t="str">
        <x:v>Production ME1</x:v>
      </x:c>
      <x:c r="Q53" s="14" t="str">
        <x:v>Les tirs infligent 15 % de dégâts supplémentaires aux cibles synthétiques. Famille de module ME1 référencée ; traduction et effets ATB adaptés. Aucun sprite ou modèle distinct pour cette référence.</x:v>
      </x:c>
    </x:row>
    <x:row r="54" ht="62" customHeight="1">
      <x:c r="A54" s="12" t="str">
        <x:v>GEAR-tungsten-rounds-iv</x:v>
      </x:c>
      <x:c r="B54" s="7" t="str">
        <x:v>Munitions au tungstène IV</x:v>
      </x:c>
      <x:c r="C54" s="10" t="str">
        <x:v>Prototype</x:v>
      </x:c>
      <x:c r="D54" s="11" t="str">
        <x:v>À produire</x:v>
      </x:c>
      <x:c r="E54" s="9" t="str">
        <x:v>P1</x:v>
      </x:c>
      <x:c r="F54" s="9" t="str">
        <x:v>ME1</x:v>
      </x:c>
      <x:c r="G54" s="9" t="str">
        <x:v>Adaptation</x:v>
      </x:c>
      <x:c r="H54" s="7" t="str">
        <x:v>Munitions. Module standard. Niveau 4. Achat 280 crédits, vente 112, stock initial 5. Effets ATB : bonus contre synthétiques=0.25.</x:v>
      </x:c>
      <x:c r="I54" s="7" t="str">
        <x:v>Achat, vente et attribution atomiques à l’emplacement Munitions. Vérifier niveau, stock, possession. Appliquer une fois les bonus affichés, préserver après sauvegarde et restituer au retrait.</x:v>
      </x:c>
      <x:c r="J54" s="7" t="str">
        <x:v>SYS-inventaire, SYS-commerce</x:v>
      </x:c>
      <x:c r="K54" s="7" t="str">
        <x:v>src/loadout.js</x:v>
      </x:c>
      <x:c r="L54" s="7" t="str">
        <x:v>src/loadout.js</x:v>
      </x:c>
      <x:c r="M54" s="7" t="str">
        <x:v>ITEMS.tungsten-rounds-iv</x:v>
      </x:c>
      <x:c r="N54" s="7" t="str">
        <x:v>Objectifs et noms ME1 référencés ; chiffres, découpage et interface propres à cette adaptation ATB.</x:v>
      </x:c>
      <x:c r="O54" s="7" t="str">
        <x:v>https://masseffect.fandom.com/wiki/Ammunition_Upgrades</x:v>
      </x:c>
      <x:c r="P54" s="7" t="str">
        <x:v>Production ME1</x:v>
      </x:c>
      <x:c r="Q54" s="7" t="str">
        <x:v>Les tirs infligent 25 % de dégâts supplémentaires aux cibles synthétiques. Famille de module ME1 référencée ; traduction et effets ATB adaptés. Aucun sprite ou modèle distinct pour cette référence.</x:v>
      </x:c>
    </x:row>
    <x:row r="55" ht="62" customHeight="1">
      <x:c r="A55" s="13" t="str">
        <x:v>GEAR-shredder-rounds-iv</x:v>
      </x:c>
      <x:c r="B55" s="14" t="str">
        <x:v>Munitions lacérantes IV</x:v>
      </x:c>
      <x:c r="C55" s="10" t="str">
        <x:v>Prototype</x:v>
      </x:c>
      <x:c r="D55" s="11" t="str">
        <x:v>À produire</x:v>
      </x:c>
      <x:c r="E55" s="15" t="str">
        <x:v>P1</x:v>
      </x:c>
      <x:c r="F55" s="15" t="str">
        <x:v>ME1</x:v>
      </x:c>
      <x:c r="G55" s="15" t="str">
        <x:v>Adaptation</x:v>
      </x:c>
      <x:c r="H55" s="14" t="str">
        <x:v>Munitions. Module standard. Niveau 4. Achat 280 crédits, vente 112, stock initial 5. Effets ATB : bonus contre organiques=0.25.</x:v>
      </x:c>
      <x:c r="I55" s="14" t="str">
        <x:v>Achat, vente et attribution atomiques à l’emplacement Munitions. Vérifier niveau, stock, possession. Appliquer une fois les bonus affichés, préserver après sauvegarde et restituer au retrait.</x:v>
      </x:c>
      <x:c r="J55" s="14" t="str">
        <x:v>SYS-inventaire, SYS-commerce</x:v>
      </x:c>
      <x:c r="K55" s="14" t="str">
        <x:v>src/loadout.js</x:v>
      </x:c>
      <x:c r="L55" s="14" t="str">
        <x:v>src/loadout.js</x:v>
      </x:c>
      <x:c r="M55" s="14" t="str">
        <x:v>ITEMS.shredder-rounds-iv</x:v>
      </x:c>
      <x:c r="N55" s="14" t="str">
        <x:v>Objectifs et noms ME1 référencés ; chiffres, découpage et interface propres à cette adaptation ATB.</x:v>
      </x:c>
      <x:c r="O55" s="14" t="str">
        <x:v>https://masseffect.fandom.com/wiki/Ammunition_Upgrades</x:v>
      </x:c>
      <x:c r="P55" s="14" t="str">
        <x:v>Production ME1</x:v>
      </x:c>
      <x:c r="Q55" s="14" t="str">
        <x:v>Les tirs infligent 25 % de dégâts supplémentaires aux cibles organiques. Famille de module ME1 référencée ; traduction et effets ATB adaptés. Aucun sprite ou modèle distinct pour cette référence.</x:v>
      </x:c>
    </x:row>
    <x:row r="56" ht="62" customHeight="1">
      <x:c r="A56" s="12" t="str">
        <x:v>GEAR-phasic-rounds-vii</x:v>
      </x:c>
      <x:c r="B56" s="7" t="str">
        <x:v>Munitions phasiques VII</x:v>
      </x:c>
      <x:c r="C56" s="10" t="str">
        <x:v>Prototype</x:v>
      </x:c>
      <x:c r="D56" s="11" t="str">
        <x:v>À produire</x:v>
      </x:c>
      <x:c r="E56" s="9" t="str">
        <x:v>P1</x:v>
      </x:c>
      <x:c r="F56" s="9" t="str">
        <x:v>ME1</x:v>
      </x:c>
      <x:c r="G56" s="9" t="str">
        <x:v>Adaptation</x:v>
      </x:c>
      <x:c r="H56" s="7" t="str">
        <x:v>Munitions. Module standard. Niveau 6. Achat 400 crédits, vente 160, stock initial 5. Effets ATB : part contournant le bouclier=0.2, multiplicateur de chaleur=1.1.</x:v>
      </x:c>
      <x:c r="I56" s="7" t="str">
        <x:v>Achat, vente et attribution atomiques à l’emplacement Munitions. Vérifier niveau, stock, possession. Appliquer une fois les bonus affichés, préserver après sauvegarde et restituer au retrait.</x:v>
      </x:c>
      <x:c r="J56" s="7" t="str">
        <x:v>SYS-inventaire, SYS-commerce</x:v>
      </x:c>
      <x:c r="K56" s="7" t="str">
        <x:v>src/loadout.js</x:v>
      </x:c>
      <x:c r="L56" s="7" t="str">
        <x:v>src/loadout.js</x:v>
      </x:c>
      <x:c r="M56" s="7" t="str">
        <x:v>ITEMS.phasic-rounds-vii</x:v>
      </x:c>
      <x:c r="N56" s="7" t="str">
        <x:v>Objectifs et noms ME1 référencés ; chiffres, découpage et interface propres à cette adaptation ATB.</x:v>
      </x:c>
      <x:c r="O56" s="7" t="str">
        <x:v>https://masseffect.fandom.com/wiki/Ammunition_Upgrades</x:v>
      </x:c>
      <x:c r="P56" s="7" t="str">
        <x:v>Production ME1</x:v>
      </x:c>
      <x:c r="Q56" s="7" t="str">
        <x:v>20 % des dégâts de tir contournent les boucliers ; chaleur augmentée de 10 %. Famille de module ME1 référencée ; traduction et effets ATB adaptés. Aucun sprite ou modèle distinct pour cette référence.</x:v>
      </x:c>
    </x:row>
    <x:row r="57" ht="62" customHeight="1">
      <x:c r="A57" s="13" t="str">
        <x:v>GEAR-armor-plating-i</x:v>
      </x:c>
      <x:c r="B57" s="14" t="str">
        <x:v>Plaques de blindage I</x:v>
      </x:c>
      <x:c r="C57" s="10" t="str">
        <x:v>Prototype</x:v>
      </x:c>
      <x:c r="D57" s="11" t="str">
        <x:v>À produire</x:v>
      </x:c>
      <x:c r="E57" s="15" t="str">
        <x:v>P1</x:v>
      </x:c>
      <x:c r="F57" s="15" t="str">
        <x:v>ME1</x:v>
      </x:c>
      <x:c r="G57" s="15" t="str">
        <x:v>Adaptation</x:v>
      </x:c>
      <x:c r="H57" s="14" t="str">
        <x:v>Module d’armure. Module standard. Niveau 1. Achat 110 crédits, vente 44, stock initial 5. Effets ATB : défense=3.</x:v>
      </x:c>
      <x:c r="I57" s="14" t="str">
        <x:v>Achat, vente et attribution atomiques à l’emplacement Module d’armure. Vérifier niveau, stock, possession. Appliquer une fois les bonus affichés, préserver après sauvegarde et restituer au retrait.</x:v>
      </x:c>
      <x:c r="J57" s="14" t="str">
        <x:v>SYS-inventaire, SYS-commerce</x:v>
      </x:c>
      <x:c r="K57" s="14" t="str">
        <x:v>src/loadout.js</x:v>
      </x:c>
      <x:c r="L57" s="14" t="str">
        <x:v>src/loadout.js</x:v>
      </x:c>
      <x:c r="M57" s="14" t="str">
        <x:v>ITEMS.armor-plating-i</x:v>
      </x:c>
      <x:c r="N57" s="14" t="str">
        <x:v>Objectifs et noms ME1 référencés ; chiffres, découpage et interface propres à cette adaptation ATB.</x:v>
      </x:c>
      <x:c r="O57" s="14" t="str">
        <x:v>https://masseffect.fandom.com/wiki/Armor_Upgrades</x:v>
      </x:c>
      <x:c r="P57" s="14" t="str">
        <x:v>Production ME1</x:v>
      </x:c>
      <x:c r="Q57" s="14" t="str">
        <x:v>Ajoute 3 en défense. Famille de module ME1 référencée ; traduction et effets ATB adaptés. Aucun sprite ou modèle distinct pour cette référence.</x:v>
      </x:c>
    </x:row>
    <x:row r="58" ht="62" customHeight="1">
      <x:c r="A58" s="12" t="str">
        <x:v>GEAR-shield-battery-i</x:v>
      </x:c>
      <x:c r="B58" s="7" t="str">
        <x:v>Batterie de bouclier I</x:v>
      </x:c>
      <x:c r="C58" s="10" t="str">
        <x:v>Prototype</x:v>
      </x:c>
      <x:c r="D58" s="11" t="str">
        <x:v>À produire</x:v>
      </x:c>
      <x:c r="E58" s="9" t="str">
        <x:v>P1</x:v>
      </x:c>
      <x:c r="F58" s="9" t="str">
        <x:v>ME1</x:v>
      </x:c>
      <x:c r="G58" s="9" t="str">
        <x:v>Adaptation</x:v>
      </x:c>
      <x:c r="H58" s="7" t="str">
        <x:v>Module d’armure. Module standard. Niveau 1. Achat 120 crédits, vente 48, stock initial 5. Effets ATB : bouclier=25.</x:v>
      </x:c>
      <x:c r="I58" s="7" t="str">
        <x:v>Achat, vente et attribution atomiques à l’emplacement Module d’armure. Vérifier niveau, stock, possession. Appliquer une fois les bonus affichés, préserver après sauvegarde et restituer au retrait.</x:v>
      </x:c>
      <x:c r="J58" s="7" t="str">
        <x:v>SYS-inventaire, SYS-commerce</x:v>
      </x:c>
      <x:c r="K58" s="7" t="str">
        <x:v>src/loadout.js</x:v>
      </x:c>
      <x:c r="L58" s="7" t="str">
        <x:v>src/loadout.js</x:v>
      </x:c>
      <x:c r="M58" s="7" t="str">
        <x:v>ITEMS.shield-battery-i</x:v>
      </x:c>
      <x:c r="N58" s="7" t="str">
        <x:v>Objectifs et noms ME1 référencés ; chiffres, découpage et interface propres à cette adaptation ATB.</x:v>
      </x:c>
      <x:c r="O58" s="7" t="str">
        <x:v>https://masseffect.fandom.com/wiki/Armor_Upgrades</x:v>
      </x:c>
      <x:c r="P58" s="7" t="str">
        <x:v>Production ME1</x:v>
      </x:c>
      <x:c r="Q58" s="7" t="str">
        <x:v>Augmente la réserve de bouclier de 25. Famille de module ME1 référencée ; traduction et effets ATB adaptés. Aucun sprite ou modèle distinct pour cette référence.</x:v>
      </x:c>
    </x:row>
    <x:row r="59" ht="62" customHeight="1">
      <x:c r="A59" s="13" t="str">
        <x:v>GEAR-hardened-weave-i</x:v>
      </x:c>
      <x:c r="B59" s="14" t="str">
        <x:v>Tissage renforcé I</x:v>
      </x:c>
      <x:c r="C59" s="10" t="str">
        <x:v>Prototype</x:v>
      </x:c>
      <x:c r="D59" s="11" t="str">
        <x:v>À produire</x:v>
      </x:c>
      <x:c r="E59" s="15" t="str">
        <x:v>P1</x:v>
      </x:c>
      <x:c r="F59" s="15" t="str">
        <x:v>ME1</x:v>
      </x:c>
      <x:c r="G59" s="15" t="str">
        <x:v>Adaptation</x:v>
      </x:c>
      <x:c r="H59" s="14" t="str">
        <x:v>Module d’armure. Module standard. Niveau 2. Achat 170 crédits, vente 68, stock initial 5. Effets ATB : résistance aux contrôles=0.12.</x:v>
      </x:c>
      <x:c r="I59" s="14" t="str">
        <x:v>Achat, vente et attribution atomiques à l’emplacement Module d’armure. Vérifier niveau, stock, possession. Appliquer une fois les bonus affichés, préserver après sauvegarde et restituer au retrait.</x:v>
      </x:c>
      <x:c r="J59" s="14" t="str">
        <x:v>SYS-inventaire, SYS-commerce</x:v>
      </x:c>
      <x:c r="K59" s="14" t="str">
        <x:v>src/loadout.js</x:v>
      </x:c>
      <x:c r="L59" s="14" t="str">
        <x:v>src/loadout.js</x:v>
      </x:c>
      <x:c r="M59" s="14" t="str">
        <x:v>ITEMS.hardened-weave-i</x:v>
      </x:c>
      <x:c r="N59" s="14" t="str">
        <x:v>Objectifs et noms ME1 référencés ; chiffres, découpage et interface propres à cette adaptation ATB.</x:v>
      </x:c>
      <x:c r="O59" s="14" t="str">
        <x:v>https://masseffect.fandom.com/wiki/Armor_Upgrades</x:v>
      </x:c>
      <x:c r="P59" s="14" t="str">
        <x:v>Production ME1</x:v>
      </x:c>
      <x:c r="Q59" s="14" t="str">
        <x:v>Réduit la durée des contrôles biotiques et technologiques de 12 %. Famille de module ME1 référencée ; traduction et effets ATB adaptés. Aucun sprite ou modèle distinct pour cette référence.</x:v>
      </x:c>
    </x:row>
    <x:row r="60" ht="62" customHeight="1">
      <x:c r="A60" s="12" t="str">
        <x:v>GEAR-shock-absorbers-iii</x:v>
      </x:c>
      <x:c r="B60" s="7" t="str">
        <x:v>Amortisseurs III</x:v>
      </x:c>
      <x:c r="C60" s="10" t="str">
        <x:v>Prototype</x:v>
      </x:c>
      <x:c r="D60" s="11" t="str">
        <x:v>À produire</x:v>
      </x:c>
      <x:c r="E60" s="9" t="str">
        <x:v>P1</x:v>
      </x:c>
      <x:c r="F60" s="9" t="str">
        <x:v>ME1</x:v>
      </x:c>
      <x:c r="G60" s="9" t="str">
        <x:v>Adaptation</x:v>
      </x:c>
      <x:c r="H60" s="7" t="str">
        <x:v>Module d’armure. Module standard. Niveau 3. Achat 230 crédits, vente 92, stock initial 5. Effets ATB : santé=15, résistance aux contrôles=0.2.</x:v>
      </x:c>
      <x:c r="I60" s="7" t="str">
        <x:v>Achat, vente et attribution atomiques à l’emplacement Module d’armure. Vérifier niveau, stock, possession. Appliquer une fois les bonus affichés, préserver après sauvegarde et restituer au retrait.</x:v>
      </x:c>
      <x:c r="J60" s="7" t="str">
        <x:v>SYS-inventaire, SYS-commerce</x:v>
      </x:c>
      <x:c r="K60" s="7" t="str">
        <x:v>src/loadout.js</x:v>
      </x:c>
      <x:c r="L60" s="7" t="str">
        <x:v>src/loadout.js</x:v>
      </x:c>
      <x:c r="M60" s="7" t="str">
        <x:v>ITEMS.shock-absorbers-iii</x:v>
      </x:c>
      <x:c r="N60" s="7" t="str">
        <x:v>Objectifs et noms ME1 référencés ; chiffres, découpage et interface propres à cette adaptation ATB.</x:v>
      </x:c>
      <x:c r="O60" s="7" t="str">
        <x:v>https://masseffect.fandom.com/wiki/Armor_Upgrades</x:v>
      </x:c>
      <x:c r="P60" s="7" t="str">
        <x:v>Production ME1</x:v>
      </x:c>
      <x:c r="Q60" s="7" t="str">
        <x:v>Ajoute 15 en santé et réduit de 20 % la durée des contrôles. Famille de module ME1 référencée ; traduction et effets ATB adaptés. Aucun sprite ou modèle distinct pour cette référence.</x:v>
      </x:c>
    </x:row>
  </x:sheetData>
  <x:conditionalFormatting sqref="C7:C60">
    <x:cfRule type="cellIs" dxfId="75" priority="1" operator="equal">
      <x:formula>"Prototype"</x:formula>
    </x:cfRule>
    <x:cfRule type="cellIs" dxfId="76" priority="2" operator="equal">
      <x:formula>"Intégré"</x:formula>
    </x:cfRule>
    <x:cfRule type="cellIs" dxfId="77" priority="3" operator="equal">
      <x:formula>"Validé"</x:formula>
    </x:cfRule>
  </x:conditionalFormatting>
  <x:conditionalFormatting sqref="G7:G60">
    <x:cfRule type="cellIs" dxfId="78" priority="4" operator="equal">
      <x:formula>"Référence à vérifier"</x:formula>
    </x:cfRule>
  </x:conditionalFormatting>
  <x:conditionalFormatting sqref="E7:E60">
    <x:cfRule type="cellIs" dxfId="79" priority="5" operator="equal">
      <x:formula>"P0"</x:formula>
    </x:cfRule>
  </x:conditionalFormatting>
  <x:dataValidations count="5">
    <x:dataValidation type="list" sqref="C7:C60">
      <x:formula1>"Défini,Prototype,Intégré,Validé"</x:formula1>
    </x:dataValidation>
    <x:dataValidation type="list" sqref="D7:D60">
      <x:formula1>"À produire,Prototype,Disponible,Validé,Sans objet,Non planifié"</x:formula1>
    </x:dataValidation>
    <x:dataValidation type="list" sqref="E7:E60">
      <x:formula1>"P0,P1,P2"</x:formula1>
    </x:dataValidation>
    <x:dataValidation type="list" sqref="F7:F60">
      <x:formula1>"ME1,ME2,ME3"</x:formula1>
    </x:dataValidation>
    <x:dataValidation type="list" sqref="G7:G60">
      <x:formula1>"Confirmé,Référence à vérifier,Adaptation"</x:formula1>
    </x:dataValidation>
  </x:dataValidations>
  <x:pageMargins left="0.7" right="0.7" top="0.75" bottom="0.75" header="0.3" footer="0.3"/>
  <x:tableParts count="1">
    <x:tablePart xmlns:r="http://schemas.openxmlformats.org/officeDocument/2006/relationships" r:id="Rcd6a09b3b46045c7"/>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80" priority="1" operator="equal">
      <x:formula>"Prototype"</x:formula>
    </x:cfRule>
    <x:cfRule type="cellIs" dxfId="81" priority="2" operator="equal">
      <x:formula>"Intégré"</x:formula>
    </x:cfRule>
    <x:cfRule type="cellIs" dxfId="82" priority="3" operator="equal">
      <x:formula>"Validé"</x:formula>
    </x:cfRule>
  </x:conditionalFormatting>
  <x:conditionalFormatting sqref="G7:G36">
    <x:cfRule type="cellIs" dxfId="83" priority="4" operator="equal">
      <x:formula>"Référence à vérifier"</x:formula>
    </x:cfRule>
  </x:conditionalFormatting>
  <x:conditionalFormatting sqref="E7:E36">
    <x:cfRule type="cellIs" dxfId="8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98f3f273838045a5"/>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85" priority="1" operator="equal">
      <x:formula>"Prototype"</x:formula>
    </x:cfRule>
    <x:cfRule type="cellIs" dxfId="86" priority="2" operator="equal">
      <x:formula>"Intégré"</x:formula>
    </x:cfRule>
    <x:cfRule type="cellIs" dxfId="87" priority="3" operator="equal">
      <x:formula>"Validé"</x:formula>
    </x:cfRule>
  </x:conditionalFormatting>
  <x:conditionalFormatting sqref="G7:G56">
    <x:cfRule type="cellIs" dxfId="88" priority="4" operator="equal">
      <x:formula>"Référence à vérifier"</x:formula>
    </x:cfRule>
  </x:conditionalFormatting>
  <x:conditionalFormatting sqref="E7:E56">
    <x:cfRule type="cellIs" dxfId="8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fdb4a30afaad4660"/>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90" priority="1" operator="equal">
      <x:formula>"Prototype"</x:formula>
    </x:cfRule>
    <x:cfRule type="cellIs" dxfId="91" priority="2" operator="equal">
      <x:formula>"Intégré"</x:formula>
    </x:cfRule>
    <x:cfRule type="cellIs" dxfId="92" priority="3" operator="equal">
      <x:formula>"Validé"</x:formula>
    </x:cfRule>
  </x:conditionalFormatting>
  <x:conditionalFormatting sqref="G7:G81">
    <x:cfRule type="cellIs" dxfId="93" priority="4" operator="equal">
      <x:formula>"Référence à vérifier"</x:formula>
    </x:cfRule>
  </x:conditionalFormatting>
  <x:conditionalFormatting sqref="E7:E81">
    <x:cfRule type="cellIs" dxfId="9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668f2671d5754f62"/>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75"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masculin et féminin : 16 images par apparence, quatre directions. Les deux cycles sont actifs dans le prototype. Les contacts féminins 0 et 2 restent similaires dans certaines orientations. Huit directions, raccords définitifs et marche des autres humains restent à produire.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row r="47" ht="75" customHeight="1">
      <x:c r="A47" s="13" t="str">
        <x:v>FRAME-femshep-walk-front-0</x:v>
      </x:c>
      <x:c r="B47" s="14" t="str">
        <x:v>Shepard femme — marche avant trois-quarts 1/4</x:v>
      </x:c>
      <x:c r="C47" s="10" t="str">
        <x:v>Prototype</x:v>
      </x:c>
      <x:c r="D47" s="11" t="str">
        <x:v>Prototype</x:v>
      </x:c>
      <x:c r="E47" s="15" t="str">
        <x:v>P1</x:v>
      </x:c>
      <x:c r="F47" s="15" t="str">
        <x:v>ME1</x:v>
      </x:c>
      <x:c r="G47" s="15" t="str">
        <x:v>Adaptation</x:v>
      </x:c>
      <x:c r="H47" s="14" t="str">
        <x:v>Frame native 1254×1254, rectangle [183, 42, 156, 290], pivot [82, 286]. Cycle 7 images/seconde, orientation front.</x:v>
      </x:c>
      <x:c r="I47" s="14" t="str">
        <x:v>Afficher la totalité du corps, exclure les cellules voisines et ancrer les pieds au sol. Vérifier changement de direction, arrêt, course et retour après combat. Nettoyer les raccords et comparer visage/armure aux références avant validation artistique.</x:v>
      </x:c>
      <x:c r="J47" s="14" t="str">
        <x:v>CHR-shepard, ANI-marche-humaine</x:v>
      </x:c>
      <x:c r="K47" s="14" t="str">
        <x:v>public/assets/shepard-female-walk-atlas.png</x:v>
      </x:c>
      <x:c r="L47" s="14" t="str">
        <x:v>public/assets/shepard-female-walk-atlas.png</x:v>
      </x:c>
      <x:c r="M47" s="14" t="str">
        <x:v>femshep-walk-front-0</x:v>
      </x:c>
      <x:c r="N47" s="14" t="str">
        <x:v>Objectifs et noms ME1 référencés ; chiffres, découpage et interface propres à cette adaptation ATB.</x:v>
      </x:c>
      <x:c r="O47" s="14" t="str">
        <x:v>https://news.ea.com/press-releases/press-releases-details/2021/Relive-the-Award-Winning-Space-Opera-in-Mass-Effect-Legendary-Edition-on-May-14/</x:v>
      </x:c>
      <x:c r="P47" s="14" t="str">
        <x:v>Production ME1</x:v>
      </x:c>
      <x:c r="Q47" s="14" t="str">
        <x:v>Pose générée, transparence native conservée. Les contacts 0 et 2 restent similaires selon l’orientation. Quatre directions ; huit directions et cycle final non produits.</x:v>
      </x:c>
    </x:row>
    <x:row r="48" ht="75" customHeight="1">
      <x:c r="A48" s="12" t="str">
        <x:v>FRAME-femshep-walk-front-1</x:v>
      </x:c>
      <x:c r="B48" s="7" t="str">
        <x:v>Shepard femme — marche avant trois-quarts 2/4</x:v>
      </x:c>
      <x:c r="C48" s="10" t="str">
        <x:v>Prototype</x:v>
      </x:c>
      <x:c r="D48" s="11" t="str">
        <x:v>Prototype</x:v>
      </x:c>
      <x:c r="E48" s="9" t="str">
        <x:v>P1</x:v>
      </x:c>
      <x:c r="F48" s="9" t="str">
        <x:v>ME1</x:v>
      </x:c>
      <x:c r="G48" s="9" t="str">
        <x:v>Adaptation</x:v>
      </x:c>
      <x:c r="H48" s="7" t="str">
        <x:v>Frame native 1254×1254, rectangle [462, 41, 112, 287], pivot [57, 283]. Cycle 7 images/seconde, orientation front.</x:v>
      </x:c>
      <x:c r="I48" s="7" t="str">
        <x:v>Afficher la totalité du corps, exclure les cellules voisines et ancrer les pieds au sol. Vérifier changement de direction, arrêt, course et retour après combat. Nettoyer les raccords et comparer visage/armure aux références avant validation artistique.</x:v>
      </x:c>
      <x:c r="J48" s="7" t="str">
        <x:v>CHR-shepard, ANI-marche-humaine</x:v>
      </x:c>
      <x:c r="K48" s="7" t="str">
        <x:v>public/assets/shepard-female-walk-atlas.png</x:v>
      </x:c>
      <x:c r="L48" s="7" t="str">
        <x:v>public/assets/shepard-female-walk-atlas.png</x:v>
      </x:c>
      <x:c r="M48" s="7" t="str">
        <x:v>femshep-walk-front-1</x:v>
      </x:c>
      <x:c r="N48" s="7" t="str">
        <x:v>Objectifs et noms ME1 référencés ; chiffres, découpage et interface propres à cette adaptation ATB.</x:v>
      </x:c>
      <x:c r="O48" s="7" t="str">
        <x:v>https://news.ea.com/press-releases/press-releases-details/2021/Relive-the-Award-Winning-Space-Opera-in-Mass-Effect-Legendary-Edition-on-May-14/</x:v>
      </x:c>
      <x:c r="P48" s="7" t="str">
        <x:v>Production ME1</x:v>
      </x:c>
      <x:c r="Q48" s="7" t="str">
        <x:v>Pose générée, transparence native conservée. Les contacts 0 et 2 restent similaires selon l’orientation. Quatre directions ; huit directions et cycle final non produits.</x:v>
      </x:c>
    </x:row>
    <x:row r="49" ht="75" customHeight="1">
      <x:c r="A49" s="13" t="str">
        <x:v>FRAME-femshep-walk-front-2</x:v>
      </x:c>
      <x:c r="B49" s="14" t="str">
        <x:v>Shepard femme — marche avant trois-quarts 3/4</x:v>
      </x:c>
      <x:c r="C49" s="10" t="str">
        <x:v>Prototype</x:v>
      </x:c>
      <x:c r="D49" s="11" t="str">
        <x:v>Prototype</x:v>
      </x:c>
      <x:c r="E49" s="15" t="str">
        <x:v>P1</x:v>
      </x:c>
      <x:c r="F49" s="15" t="str">
        <x:v>ME1</x:v>
      </x:c>
      <x:c r="G49" s="15" t="str">
        <x:v>Adaptation</x:v>
      </x:c>
      <x:c r="H49" s="14" t="str">
        <x:v>Frame native 1254×1254, rectangle [688, 42, 163, 290], pivot [83, 286]. Cycle 7 images/seconde, orientation front.</x:v>
      </x:c>
      <x:c r="I49" s="14" t="str">
        <x:v>Afficher la totalité du corps, exclure les cellules voisines et ancrer les pieds au sol. Vérifier changement de direction, arrêt, course et retour après combat. Nettoyer les raccords et comparer visage/armure aux références avant validation artistique.</x:v>
      </x:c>
      <x:c r="J49" s="14" t="str">
        <x:v>CHR-shepard, ANI-marche-humaine</x:v>
      </x:c>
      <x:c r="K49" s="14" t="str">
        <x:v>public/assets/shepard-female-walk-atlas.png</x:v>
      </x:c>
      <x:c r="L49" s="14" t="str">
        <x:v>public/assets/shepard-female-walk-atlas.png</x:v>
      </x:c>
      <x:c r="M49" s="14" t="str">
        <x:v>femshep-walk-front-2</x:v>
      </x:c>
      <x:c r="N49" s="14" t="str">
        <x:v>Objectifs et noms ME1 référencés ; chiffres, découpage et interface propres à cette adaptation ATB.</x:v>
      </x:c>
      <x:c r="O49" s="14" t="str">
        <x:v>https://news.ea.com/press-releases/press-releases-details/2021/Relive-the-Award-Winning-Space-Opera-in-Mass-Effect-Legendary-Edition-on-May-14/</x:v>
      </x:c>
      <x:c r="P49" s="14" t="str">
        <x:v>Production ME1</x:v>
      </x:c>
      <x:c r="Q49" s="14" t="str">
        <x:v>Pose générée, transparence native conservée. Les contacts 0 et 2 restent similaires selon l’orientation. Quatre directions ; huit directions et cycle final non produits.</x:v>
      </x:c>
    </x:row>
    <x:row r="50" ht="75" customHeight="1">
      <x:c r="A50" s="12" t="str">
        <x:v>FRAME-femshep-walk-front-3</x:v>
      </x:c>
      <x:c r="B50" s="7" t="str">
        <x:v>Shepard femme — marche avant trois-quarts 4/4</x:v>
      </x:c>
      <x:c r="C50" s="10" t="str">
        <x:v>Prototype</x:v>
      </x:c>
      <x:c r="D50" s="11" t="str">
        <x:v>Prototype</x:v>
      </x:c>
      <x:c r="E50" s="9" t="str">
        <x:v>P1</x:v>
      </x:c>
      <x:c r="F50" s="9" t="str">
        <x:v>ME1</x:v>
      </x:c>
      <x:c r="G50" s="9" t="str">
        <x:v>Adaptation</x:v>
      </x:c>
      <x:c r="H50" s="7" t="str">
        <x:v>Frame native 1254×1254, rectangle [973, 41, 113, 290], pivot [57, 286]. Cycle 7 images/seconde, orientation front.</x:v>
      </x:c>
      <x:c r="I50" s="7" t="str">
        <x:v>Afficher la totalité du corps, exclure les cellules voisines et ancrer les pieds au sol. Vérifier changement de direction, arrêt, course et retour après combat. Nettoyer les raccords et comparer visage/armure aux références avant validation artistique.</x:v>
      </x:c>
      <x:c r="J50" s="7" t="str">
        <x:v>CHR-shepard, ANI-marche-humaine</x:v>
      </x:c>
      <x:c r="K50" s="7" t="str">
        <x:v>public/assets/shepard-female-walk-atlas.png</x:v>
      </x:c>
      <x:c r="L50" s="7" t="str">
        <x:v>public/assets/shepard-female-walk-atlas.png</x:v>
      </x:c>
      <x:c r="M50" s="7" t="str">
        <x:v>femshep-walk-front-3</x:v>
      </x:c>
      <x:c r="N50" s="7" t="str">
        <x:v>Objectifs et noms ME1 référencés ; chiffres, découpage et interface propres à cette adaptation ATB.</x:v>
      </x:c>
      <x:c r="O50" s="7" t="str">
        <x:v>https://news.ea.com/press-releases/press-releases-details/2021/Relive-the-Award-Winning-Space-Opera-in-Mass-Effect-Legendary-Edition-on-May-14/</x:v>
      </x:c>
      <x:c r="P50" s="7" t="str">
        <x:v>Production ME1</x:v>
      </x:c>
      <x:c r="Q50" s="7" t="str">
        <x:v>Pose générée, transparence native conservée. Les contacts 0 et 2 restent similaires selon l’orientation. Quatre directions ; huit directions et cycle final non produits.</x:v>
      </x:c>
    </x:row>
    <x:row r="51" ht="75" customHeight="1">
      <x:c r="A51" s="13" t="str">
        <x:v>FRAME-femshep-walk-back-0</x:v>
      </x:c>
      <x:c r="B51" s="14" t="str">
        <x:v>Shepard femme — marche arrière trois-quarts 1/4</x:v>
      </x:c>
      <x:c r="C51" s="10" t="str">
        <x:v>Prototype</x:v>
      </x:c>
      <x:c r="D51" s="11" t="str">
        <x:v>Prototype</x:v>
      </x:c>
      <x:c r="E51" s="15" t="str">
        <x:v>P1</x:v>
      </x:c>
      <x:c r="F51" s="15" t="str">
        <x:v>ME1</x:v>
      </x:c>
      <x:c r="G51" s="15" t="str">
        <x:v>Adaptation</x:v>
      </x:c>
      <x:c r="H51" s="14" t="str">
        <x:v>Frame native 1254×1254, rectangle [192, 346, 161, 292], pivot [79, 288]. Cycle 7 images/seconde, orientation back.</x:v>
      </x:c>
      <x:c r="I51" s="14" t="str">
        <x:v>Afficher la totalité du corps, exclure les cellules voisines et ancrer les pieds au sol. Vérifier changement de direction, arrêt, course et retour après combat. Nettoyer les raccords et comparer visage/armure aux références avant validation artistique.</x:v>
      </x:c>
      <x:c r="J51" s="14" t="str">
        <x:v>CHR-shepard, ANI-marche-humaine</x:v>
      </x:c>
      <x:c r="K51" s="14" t="str">
        <x:v>public/assets/shepard-female-walk-atlas.png</x:v>
      </x:c>
      <x:c r="L51" s="14" t="str">
        <x:v>public/assets/shepard-female-walk-atlas.png</x:v>
      </x:c>
      <x:c r="M51" s="14" t="str">
        <x:v>femshep-walk-back-0</x:v>
      </x:c>
      <x:c r="N51" s="14" t="str">
        <x:v>Objectifs et noms ME1 référencés ; chiffres, découpage et interface propres à cette adaptation ATB.</x:v>
      </x:c>
      <x:c r="O51" s="14" t="str">
        <x:v>https://news.ea.com/press-releases/press-releases-details/2021/Relive-the-Award-Winning-Space-Opera-in-Mass-Effect-Legendary-Edition-on-May-14/</x:v>
      </x:c>
      <x:c r="P51" s="14" t="str">
        <x:v>Production ME1</x:v>
      </x:c>
      <x:c r="Q51" s="14" t="str">
        <x:v>Pose générée, transparence native conservée. Les contacts 0 et 2 restent similaires selon l’orientation. Quatre directions ; huit directions et cycle final non produits.</x:v>
      </x:c>
    </x:row>
    <x:row r="52" ht="75" customHeight="1">
      <x:c r="A52" s="12" t="str">
        <x:v>FRAME-femshep-walk-back-1</x:v>
      </x:c>
      <x:c r="B52" s="7" t="str">
        <x:v>Shepard femme — marche arrière trois-quarts 2/4</x:v>
      </x:c>
      <x:c r="C52" s="10" t="str">
        <x:v>Prototype</x:v>
      </x:c>
      <x:c r="D52" s="11" t="str">
        <x:v>Prototype</x:v>
      </x:c>
      <x:c r="E52" s="9" t="str">
        <x:v>P1</x:v>
      </x:c>
      <x:c r="F52" s="9" t="str">
        <x:v>ME1</x:v>
      </x:c>
      <x:c r="G52" s="9" t="str">
        <x:v>Adaptation</x:v>
      </x:c>
      <x:c r="H52" s="7" t="str">
        <x:v>Frame native 1254×1254, rectangle [455, 343, 123, 288], pivot [62, 284]. Cycle 7 images/seconde, orientation back.</x:v>
      </x:c>
      <x:c r="I52" s="7" t="str">
        <x:v>Afficher la totalité du corps, exclure les cellules voisines et ancrer les pieds au sol. Vérifier changement de direction, arrêt, course et retour après combat. Nettoyer les raccords et comparer visage/armure aux références avant validation artistique.</x:v>
      </x:c>
      <x:c r="J52" s="7" t="str">
        <x:v>CHR-shepard, ANI-marche-humaine</x:v>
      </x:c>
      <x:c r="K52" s="7" t="str">
        <x:v>public/assets/shepard-female-walk-atlas.png</x:v>
      </x:c>
      <x:c r="L52" s="7" t="str">
        <x:v>public/assets/shepard-female-walk-atlas.png</x:v>
      </x:c>
      <x:c r="M52" s="7" t="str">
        <x:v>femshep-walk-back-1</x:v>
      </x:c>
      <x:c r="N52" s="7" t="str">
        <x:v>Objectifs et noms ME1 référencés ; chiffres, découpage et interface propres à cette adaptation ATB.</x:v>
      </x:c>
      <x:c r="O52" s="7" t="str">
        <x:v>https://news.ea.com/press-releases/press-releases-details/2021/Relive-the-Award-Winning-Space-Opera-in-Mass-Effect-Legendary-Edition-on-May-14/</x:v>
      </x:c>
      <x:c r="P52" s="7" t="str">
        <x:v>Production ME1</x:v>
      </x:c>
      <x:c r="Q52" s="7" t="str">
        <x:v>Pose générée, transparence native conservée. Les contacts 0 et 2 restent similaires selon l’orientation. Quatre directions ; huit directions et cycle final non produits.</x:v>
      </x:c>
    </x:row>
    <x:row r="53" ht="75" customHeight="1">
      <x:c r="A53" s="13" t="str">
        <x:v>FRAME-femshep-walk-back-2</x:v>
      </x:c>
      <x:c r="B53" s="14" t="str">
        <x:v>Shepard femme — marche arrière trois-quarts 3/4</x:v>
      </x:c>
      <x:c r="C53" s="10" t="str">
        <x:v>Prototype</x:v>
      </x:c>
      <x:c r="D53" s="11" t="str">
        <x:v>Prototype</x:v>
      </x:c>
      <x:c r="E53" s="15" t="str">
        <x:v>P1</x:v>
      </x:c>
      <x:c r="F53" s="15" t="str">
        <x:v>ME1</x:v>
      </x:c>
      <x:c r="G53" s="15" t="str">
        <x:v>Adaptation</x:v>
      </x:c>
      <x:c r="H53" s="14" t="str">
        <x:v>Frame native 1254×1254, rectangle [697, 344, 154, 295], pivot [78, 291]. Cycle 7 images/seconde, orientation back.</x:v>
      </x:c>
      <x:c r="I53" s="14" t="str">
        <x:v>Afficher la totalité du corps, exclure les cellules voisines et ancrer les pieds au sol. Vérifier changement de direction, arrêt, course et retour après combat. Nettoyer les raccords et comparer visage/armure aux références avant validation artistique.</x:v>
      </x:c>
      <x:c r="J53" s="14" t="str">
        <x:v>CHR-shepard, ANI-marche-humaine</x:v>
      </x:c>
      <x:c r="K53" s="14" t="str">
        <x:v>public/assets/shepard-female-walk-atlas.png</x:v>
      </x:c>
      <x:c r="L53" s="14" t="str">
        <x:v>public/assets/shepard-female-walk-atlas.png</x:v>
      </x:c>
      <x:c r="M53" s="14" t="str">
        <x:v>femshep-walk-back-2</x:v>
      </x:c>
      <x:c r="N53" s="14" t="str">
        <x:v>Objectifs et noms ME1 référencés ; chiffres, découpage et interface propres à cette adaptation ATB.</x:v>
      </x:c>
      <x:c r="O53" s="14" t="str">
        <x:v>https://news.ea.com/press-releases/press-releases-details/2021/Relive-the-Award-Winning-Space-Opera-in-Mass-Effect-Legendary-Edition-on-May-14/</x:v>
      </x:c>
      <x:c r="P53" s="14" t="str">
        <x:v>Production ME1</x:v>
      </x:c>
      <x:c r="Q53" s="14" t="str">
        <x:v>Pose générée, transparence native conservée. Les contacts 0 et 2 restent similaires selon l’orientation. Quatre directions ; huit directions et cycle final non produits.</x:v>
      </x:c>
    </x:row>
    <x:row r="54" ht="75" customHeight="1">
      <x:c r="A54" s="12" t="str">
        <x:v>FRAME-femshep-walk-back-3</x:v>
      </x:c>
      <x:c r="B54" s="7" t="str">
        <x:v>Shepard femme — marche arrière trois-quarts 4/4</x:v>
      </x:c>
      <x:c r="C54" s="10" t="str">
        <x:v>Prototype</x:v>
      </x:c>
      <x:c r="D54" s="11" t="str">
        <x:v>Prototype</x:v>
      </x:c>
      <x:c r="E54" s="9" t="str">
        <x:v>P1</x:v>
      </x:c>
      <x:c r="F54" s="9" t="str">
        <x:v>ME1</x:v>
      </x:c>
      <x:c r="G54" s="9" t="str">
        <x:v>Adaptation</x:v>
      </x:c>
      <x:c r="H54" s="7" t="str">
        <x:v>Frame native 1254×1254, rectangle [964, 344, 127, 283], pivot [64, 279]. Cycle 7 images/seconde, orientation back.</x:v>
      </x:c>
      <x:c r="I54" s="7" t="str">
        <x:v>Afficher la totalité du corps, exclure les cellules voisines et ancrer les pieds au sol. Vérifier changement de direction, arrêt, course et retour après combat. Nettoyer les raccords et comparer visage/armure aux références avant validation artistique.</x:v>
      </x:c>
      <x:c r="J54" s="7" t="str">
        <x:v>CHR-shepard, ANI-marche-humaine</x:v>
      </x:c>
      <x:c r="K54" s="7" t="str">
        <x:v>public/assets/shepard-female-walk-atlas.png</x:v>
      </x:c>
      <x:c r="L54" s="7" t="str">
        <x:v>public/assets/shepard-female-walk-atlas.png</x:v>
      </x:c>
      <x:c r="M54" s="7" t="str">
        <x:v>femshep-walk-back-3</x:v>
      </x:c>
      <x:c r="N54" s="7" t="str">
        <x:v>Objectifs et noms ME1 référencés ; chiffres, découpage et interface propres à cette adaptation ATB.</x:v>
      </x:c>
      <x:c r="O54" s="7" t="str">
        <x:v>https://news.ea.com/press-releases/press-releases-details/2021/Relive-the-Award-Winning-Space-Opera-in-Mass-Effect-Legendary-Edition-on-May-14/</x:v>
      </x:c>
      <x:c r="P54" s="7" t="str">
        <x:v>Production ME1</x:v>
      </x:c>
      <x:c r="Q54" s="7" t="str">
        <x:v>Pose générée, transparence native conservée. Les contacts 0 et 2 restent similaires selon l’orientation. Quatre directions ; huit directions et cycle final non produits.</x:v>
      </x:c>
    </x:row>
    <x:row r="55" ht="75" customHeight="1">
      <x:c r="A55" s="13" t="str">
        <x:v>FRAME-femshep-walk-right-0</x:v>
      </x:c>
      <x:c r="B55" s="14" t="str">
        <x:v>Shepard femme — marche profil droit 1/4</x:v>
      </x:c>
      <x:c r="C55" s="10" t="str">
        <x:v>Prototype</x:v>
      </x:c>
      <x:c r="D55" s="11" t="str">
        <x:v>Prototype</x:v>
      </x:c>
      <x:c r="E55" s="15" t="str">
        <x:v>P1</x:v>
      </x:c>
      <x:c r="F55" s="15" t="str">
        <x:v>ME1</x:v>
      </x:c>
      <x:c r="G55" s="15" t="str">
        <x:v>Adaptation</x:v>
      </x:c>
      <x:c r="H55" s="14" t="str">
        <x:v>Frame native 1254×1254, rectangle [168, 651, 196, 281], pivot [95, 277]. Cycle 7 images/seconde, orientation right.</x:v>
      </x:c>
      <x:c r="I55" s="14" t="str">
        <x:v>Afficher la totalité du corps, exclure les cellules voisines et ancrer les pieds au sol. Vérifier changement de direction, arrêt, course et retour après combat. Nettoyer les raccords et comparer visage/armure aux références avant validation artistique.</x:v>
      </x:c>
      <x:c r="J55" s="14" t="str">
        <x:v>CHR-shepard, ANI-marche-humaine</x:v>
      </x:c>
      <x:c r="K55" s="14" t="str">
        <x:v>public/assets/shepard-female-walk-atlas.png</x:v>
      </x:c>
      <x:c r="L55" s="14" t="str">
        <x:v>public/assets/shepard-female-walk-atlas.png</x:v>
      </x:c>
      <x:c r="M55" s="14" t="str">
        <x:v>femshep-walk-right-0</x:v>
      </x:c>
      <x:c r="N55" s="14" t="str">
        <x:v>Objectifs et noms ME1 référencés ; chiffres, découpage et interface propres à cette adaptation ATB.</x:v>
      </x:c>
      <x:c r="O55" s="14" t="str">
        <x:v>https://news.ea.com/press-releases/press-releases-details/2021/Relive-the-Award-Winning-Space-Opera-in-Mass-Effect-Legendary-Edition-on-May-14/</x:v>
      </x:c>
      <x:c r="P55" s="14" t="str">
        <x:v>Production ME1</x:v>
      </x:c>
      <x:c r="Q55" s="14" t="str">
        <x:v>Pose générée, transparence native conservée. Les contacts 0 et 2 restent similaires selon l’orientation. Quatre directions ; huit directions et cycle final non produits.</x:v>
      </x:c>
    </x:row>
    <x:row r="56" ht="75" customHeight="1">
      <x:c r="A56" s="12" t="str">
        <x:v>FRAME-femshep-walk-right-1</x:v>
      </x:c>
      <x:c r="B56" s="7" t="str">
        <x:v>Shepard femme — marche profil droit 2/4</x:v>
      </x:c>
      <x:c r="C56" s="10" t="str">
        <x:v>Prototype</x:v>
      </x:c>
      <x:c r="D56" s="11" t="str">
        <x:v>Prototype</x:v>
      </x:c>
      <x:c r="E56" s="9" t="str">
        <x:v>P1</x:v>
      </x:c>
      <x:c r="F56" s="9" t="str">
        <x:v>ME1</x:v>
      </x:c>
      <x:c r="G56" s="9" t="str">
        <x:v>Adaptation</x:v>
      </x:c>
      <x:c r="H56" s="7" t="str">
        <x:v>Frame native 1254×1254, rectangle [467, 652, 98, 281], pivot [50, 277]. Cycle 7 images/seconde, orientation right.</x:v>
      </x:c>
      <x:c r="I56" s="7" t="str">
        <x:v>Afficher la totalité du corps, exclure les cellules voisines et ancrer les pieds au sol. Vérifier changement de direction, arrêt, course et retour après combat. Nettoyer les raccords et comparer visage/armure aux références avant validation artistique.</x:v>
      </x:c>
      <x:c r="J56" s="7" t="str">
        <x:v>CHR-shepard, ANI-marche-humaine</x:v>
      </x:c>
      <x:c r="K56" s="7" t="str">
        <x:v>public/assets/shepard-female-walk-atlas.png</x:v>
      </x:c>
      <x:c r="L56" s="7" t="str">
        <x:v>public/assets/shepard-female-walk-atlas.png</x:v>
      </x:c>
      <x:c r="M56" s="7" t="str">
        <x:v>femshep-walk-right-1</x:v>
      </x:c>
      <x:c r="N56" s="7" t="str">
        <x:v>Objectifs et noms ME1 référencés ; chiffres, découpage et interface propres à cette adaptation ATB.</x:v>
      </x:c>
      <x:c r="O56" s="7" t="str">
        <x:v>https://news.ea.com/press-releases/press-releases-details/2021/Relive-the-Award-Winning-Space-Opera-in-Mass-Effect-Legendary-Edition-on-May-14/</x:v>
      </x:c>
      <x:c r="P56" s="7" t="str">
        <x:v>Production ME1</x:v>
      </x:c>
      <x:c r="Q56" s="7" t="str">
        <x:v>Pose générée, transparence native conservée. Les contacts 0 et 2 restent similaires selon l’orientation. Quatre directions ; huit directions et cycle final non produits.</x:v>
      </x:c>
    </x:row>
    <x:row r="57" ht="75" customHeight="1">
      <x:c r="A57" s="13" t="str">
        <x:v>FRAME-femshep-walk-right-2</x:v>
      </x:c>
      <x:c r="B57" s="14" t="str">
        <x:v>Shepard femme — marche profil droit 3/4</x:v>
      </x:c>
      <x:c r="C57" s="10" t="str">
        <x:v>Prototype</x:v>
      </x:c>
      <x:c r="D57" s="11" t="str">
        <x:v>Prototype</x:v>
      </x:c>
      <x:c r="E57" s="15" t="str">
        <x:v>P1</x:v>
      </x:c>
      <x:c r="F57" s="15" t="str">
        <x:v>ME1</x:v>
      </x:c>
      <x:c r="G57" s="15" t="str">
        <x:v>Adaptation</x:v>
      </x:c>
      <x:c r="H57" s="14" t="str">
        <x:v>Frame native 1254×1254, rectangle [672, 653, 209, 279], pivot [102, 275]. Cycle 7 images/seconde, orientation right.</x:v>
      </x:c>
      <x:c r="I57" s="14" t="str">
        <x:v>Afficher la totalité du corps, exclure les cellules voisines et ancrer les pieds au sol. Vérifier changement de direction, arrêt, course et retour après combat. Nettoyer les raccords et comparer visage/armure aux références avant validation artistique.</x:v>
      </x:c>
      <x:c r="J57" s="14" t="str">
        <x:v>CHR-shepard, ANI-marche-humaine</x:v>
      </x:c>
      <x:c r="K57" s="14" t="str">
        <x:v>public/assets/shepard-female-walk-atlas.png</x:v>
      </x:c>
      <x:c r="L57" s="14" t="str">
        <x:v>public/assets/shepard-female-walk-atlas.png</x:v>
      </x:c>
      <x:c r="M57" s="14" t="str">
        <x:v>femshep-walk-right-2</x:v>
      </x:c>
      <x:c r="N57" s="14" t="str">
        <x:v>Objectifs et noms ME1 référencés ; chiffres, découpage et interface propres à cette adaptation ATB.</x:v>
      </x:c>
      <x:c r="O57" s="14" t="str">
        <x:v>https://news.ea.com/press-releases/press-releases-details/2021/Relive-the-Award-Winning-Space-Opera-in-Mass-Effect-Legendary-Edition-on-May-14/</x:v>
      </x:c>
      <x:c r="P57" s="14" t="str">
        <x:v>Production ME1</x:v>
      </x:c>
      <x:c r="Q57" s="14" t="str">
        <x:v>Pose générée, transparence native conservée. Les contacts 0 et 2 restent similaires selon l’orientation. Quatre directions ; huit directions et cycle final non produits.</x:v>
      </x:c>
    </x:row>
    <x:row r="58" ht="75" customHeight="1">
      <x:c r="A58" s="12" t="str">
        <x:v>FRAME-femshep-walk-right-3</x:v>
      </x:c>
      <x:c r="B58" s="7" t="str">
        <x:v>Shepard femme — marche profil droit 4/4</x:v>
      </x:c>
      <x:c r="C58" s="10" t="str">
        <x:v>Prototype</x:v>
      </x:c>
      <x:c r="D58" s="11" t="str">
        <x:v>Prototype</x:v>
      </x:c>
      <x:c r="E58" s="9" t="str">
        <x:v>P1</x:v>
      </x:c>
      <x:c r="F58" s="9" t="str">
        <x:v>ME1</x:v>
      </x:c>
      <x:c r="G58" s="9" t="str">
        <x:v>Adaptation</x:v>
      </x:c>
      <x:c r="H58" s="7" t="str">
        <x:v>Frame native 1254×1254, rectangle [994, 650, 92, 282], pivot [43, 278]. Cycle 7 images/seconde, orientation right.</x:v>
      </x:c>
      <x:c r="I58" s="7" t="str">
        <x:v>Afficher la totalité du corps, exclure les cellules voisines et ancrer les pieds au sol. Vérifier changement de direction, arrêt, course et retour après combat. Nettoyer les raccords et comparer visage/armure aux références avant validation artistique.</x:v>
      </x:c>
      <x:c r="J58" s="7" t="str">
        <x:v>CHR-shepard, ANI-marche-humaine</x:v>
      </x:c>
      <x:c r="K58" s="7" t="str">
        <x:v>public/assets/shepard-female-walk-atlas.png</x:v>
      </x:c>
      <x:c r="L58" s="7" t="str">
        <x:v>public/assets/shepard-female-walk-atlas.png</x:v>
      </x:c>
      <x:c r="M58" s="7" t="str">
        <x:v>femshep-walk-right-3</x:v>
      </x:c>
      <x:c r="N58" s="7" t="str">
        <x:v>Objectifs et noms ME1 référencés ; chiffres, découpage et interface propres à cette adaptation ATB.</x:v>
      </x:c>
      <x:c r="O58" s="7" t="str">
        <x:v>https://news.ea.com/press-releases/press-releases-details/2021/Relive-the-Award-Winning-Space-Opera-in-Mass-Effect-Legendary-Edition-on-May-14/</x:v>
      </x:c>
      <x:c r="P58" s="7" t="str">
        <x:v>Production ME1</x:v>
      </x:c>
      <x:c r="Q58" s="7" t="str">
        <x:v>Pose générée, transparence native conservée. Les contacts 0 et 2 restent similaires selon l’orientation. Quatre directions ; huit directions et cycle final non produits.</x:v>
      </x:c>
    </x:row>
    <x:row r="59" ht="75" customHeight="1">
      <x:c r="A59" s="13" t="str">
        <x:v>FRAME-femshep-walk-left-0</x:v>
      </x:c>
      <x:c r="B59" s="14" t="str">
        <x:v>Shepard femme — marche profil gauche 1/4</x:v>
      </x:c>
      <x:c r="C59" s="10" t="str">
        <x:v>Prototype</x:v>
      </x:c>
      <x:c r="D59" s="11" t="str">
        <x:v>Prototype</x:v>
      </x:c>
      <x:c r="E59" s="15" t="str">
        <x:v>P1</x:v>
      </x:c>
      <x:c r="F59" s="15" t="str">
        <x:v>ME1</x:v>
      </x:c>
      <x:c r="G59" s="15" t="str">
        <x:v>Adaptation</x:v>
      </x:c>
      <x:c r="H59" s="14" t="str">
        <x:v>Frame native 1254×1254, rectangle [166, 947, 203, 269], pivot [99, 265]. Cycle 7 images/seconde, orientation left.</x:v>
      </x:c>
      <x:c r="I59" s="14" t="str">
        <x:v>Afficher la totalité du corps, exclure les cellules voisines et ancrer les pieds au sol. Vérifier changement de direction, arrêt, course et retour après combat. Nettoyer les raccords et comparer visage/armure aux références avant validation artistique.</x:v>
      </x:c>
      <x:c r="J59" s="14" t="str">
        <x:v>CHR-shepard, ANI-marche-humaine</x:v>
      </x:c>
      <x:c r="K59" s="14" t="str">
        <x:v>public/assets/shepard-female-walk-atlas.png</x:v>
      </x:c>
      <x:c r="L59" s="14" t="str">
        <x:v>public/assets/shepard-female-walk-atlas.png</x:v>
      </x:c>
      <x:c r="M59" s="14" t="str">
        <x:v>femshep-walk-left-0</x:v>
      </x:c>
      <x:c r="N59" s="14" t="str">
        <x:v>Objectifs et noms ME1 référencés ; chiffres, découpage et interface propres à cette adaptation ATB.</x:v>
      </x:c>
      <x:c r="O59" s="14" t="str">
        <x:v>https://news.ea.com/press-releases/press-releases-details/2021/Relive-the-Award-Winning-Space-Opera-in-Mass-Effect-Legendary-Edition-on-May-14/</x:v>
      </x:c>
      <x:c r="P59" s="14" t="str">
        <x:v>Production ME1</x:v>
      </x:c>
      <x:c r="Q59" s="14" t="str">
        <x:v>Pose générée, transparence native conservée. Les contacts 0 et 2 restent similaires selon l’orientation. Quatre directions ; huit directions et cycle final non produits.</x:v>
      </x:c>
    </x:row>
    <x:row r="60" ht="75" customHeight="1">
      <x:c r="A60" s="12" t="str">
        <x:v>FRAME-femshep-walk-left-1</x:v>
      </x:c>
      <x:c r="B60" s="7" t="str">
        <x:v>Shepard femme — marche profil gauche 2/4</x:v>
      </x:c>
      <x:c r="C60" s="10" t="str">
        <x:v>Prototype</x:v>
      </x:c>
      <x:c r="D60" s="11" t="str">
        <x:v>Prototype</x:v>
      </x:c>
      <x:c r="E60" s="9" t="str">
        <x:v>P1</x:v>
      </x:c>
      <x:c r="F60" s="9" t="str">
        <x:v>ME1</x:v>
      </x:c>
      <x:c r="G60" s="9" t="str">
        <x:v>Adaptation</x:v>
      </x:c>
      <x:c r="H60" s="7" t="str">
        <x:v>Frame native 1254×1254, rectangle [460, 946, 92, 272], pivot [52, 268]. Cycle 7 images/seconde, orientation left.</x:v>
      </x:c>
      <x:c r="I60" s="7" t="str">
        <x:v>Afficher la totalité du corps, exclure les cellules voisines et ancrer les pieds au sol. Vérifier changement de direction, arrêt, course et retour après combat. Nettoyer les raccords et comparer visage/armure aux références avant validation artistique.</x:v>
      </x:c>
      <x:c r="J60" s="7" t="str">
        <x:v>CHR-shepard, ANI-marche-humaine</x:v>
      </x:c>
      <x:c r="K60" s="7" t="str">
        <x:v>public/assets/shepard-female-walk-atlas.png</x:v>
      </x:c>
      <x:c r="L60" s="7" t="str">
        <x:v>public/assets/shepard-female-walk-atlas.png</x:v>
      </x:c>
      <x:c r="M60" s="7" t="str">
        <x:v>femshep-walk-left-1</x:v>
      </x:c>
      <x:c r="N60" s="7" t="str">
        <x:v>Objectifs et noms ME1 référencés ; chiffres, découpage et interface propres à cette adaptation ATB.</x:v>
      </x:c>
      <x:c r="O60" s="7" t="str">
        <x:v>https://news.ea.com/press-releases/press-releases-details/2021/Relive-the-Award-Winning-Space-Opera-in-Mass-Effect-Legendary-Edition-on-May-14/</x:v>
      </x:c>
      <x:c r="P60" s="7" t="str">
        <x:v>Production ME1</x:v>
      </x:c>
      <x:c r="Q60" s="7" t="str">
        <x:v>Pose générée, transparence native conservée. Les contacts 0 et 2 restent similaires selon l’orientation. Quatre directions ; huit directions et cycle final non produits.</x:v>
      </x:c>
    </x:row>
    <x:row r="61" ht="75" customHeight="1">
      <x:c r="A61" s="13" t="str">
        <x:v>FRAME-femshep-walk-left-2</x:v>
      </x:c>
      <x:c r="B61" s="14" t="str">
        <x:v>Shepard femme — marche profil gauche 3/4</x:v>
      </x:c>
      <x:c r="C61" s="10" t="str">
        <x:v>Prototype</x:v>
      </x:c>
      <x:c r="D61" s="11" t="str">
        <x:v>Prototype</x:v>
      </x:c>
      <x:c r="E61" s="15" t="str">
        <x:v>P1</x:v>
      </x:c>
      <x:c r="F61" s="15" t="str">
        <x:v>ME1</x:v>
      </x:c>
      <x:c r="G61" s="15" t="str">
        <x:v>Adaptation</x:v>
      </x:c>
      <x:c r="H61" s="14" t="str">
        <x:v>Frame native 1254×1254, rectangle [672, 946, 206, 271], pivot [102, 267]. Cycle 7 images/seconde, orientation left.</x:v>
      </x:c>
      <x:c r="I61" s="14" t="str">
        <x:v>Afficher la totalité du corps, exclure les cellules voisines et ancrer les pieds au sol. Vérifier changement de direction, arrêt, course et retour après combat. Nettoyer les raccords et comparer visage/armure aux références avant validation artistique.</x:v>
      </x:c>
      <x:c r="J61" s="14" t="str">
        <x:v>CHR-shepard, ANI-marche-humaine</x:v>
      </x:c>
      <x:c r="K61" s="14" t="str">
        <x:v>public/assets/shepard-female-walk-atlas.png</x:v>
      </x:c>
      <x:c r="L61" s="14" t="str">
        <x:v>public/assets/shepard-female-walk-atlas.png</x:v>
      </x:c>
      <x:c r="M61" s="14" t="str">
        <x:v>femshep-walk-left-2</x:v>
      </x:c>
      <x:c r="N61" s="14" t="str">
        <x:v>Objectifs et noms ME1 référencés ; chiffres, découpage et interface propres à cette adaptation ATB.</x:v>
      </x:c>
      <x:c r="O61" s="14" t="str">
        <x:v>https://news.ea.com/press-releases/press-releases-details/2021/Relive-the-Award-Winning-Space-Opera-in-Mass-Effect-Legendary-Edition-on-May-14/</x:v>
      </x:c>
      <x:c r="P61" s="14" t="str">
        <x:v>Production ME1</x:v>
      </x:c>
      <x:c r="Q61" s="14" t="str">
        <x:v>Pose générée, transparence native conservée. Les contacts 0 et 2 restent similaires selon l’orientation. Quatre directions ; huit directions et cycle final non produits.</x:v>
      </x:c>
    </x:row>
    <x:row r="62" ht="75" customHeight="1">
      <x:c r="A62" s="12" t="str">
        <x:v>FRAME-femshep-walk-left-3</x:v>
      </x:c>
      <x:c r="B62" s="7" t="str">
        <x:v>Shepard femme — marche profil gauche 4/4</x:v>
      </x:c>
      <x:c r="C62" s="10" t="str">
        <x:v>Prototype</x:v>
      </x:c>
      <x:c r="D62" s="11" t="str">
        <x:v>Prototype</x:v>
      </x:c>
      <x:c r="E62" s="9" t="str">
        <x:v>P1</x:v>
      </x:c>
      <x:c r="F62" s="9" t="str">
        <x:v>ME1</x:v>
      </x:c>
      <x:c r="G62" s="9" t="str">
        <x:v>Adaptation</x:v>
      </x:c>
      <x:c r="H62" s="7" t="str">
        <x:v>Frame native 1254×1254, rectangle [982, 947, 97, 274], pivot [54, 270]. Cycle 7 images/seconde, orientation left.</x:v>
      </x:c>
      <x:c r="I62" s="7" t="str">
        <x:v>Afficher la totalité du corps, exclure les cellules voisines et ancrer les pieds au sol. Vérifier changement de direction, arrêt, course et retour après combat. Nettoyer les raccords et comparer visage/armure aux références avant validation artistique.</x:v>
      </x:c>
      <x:c r="J62" s="7" t="str">
        <x:v>CHR-shepard, ANI-marche-humaine</x:v>
      </x:c>
      <x:c r="K62" s="7" t="str">
        <x:v>public/assets/shepard-female-walk-atlas.png</x:v>
      </x:c>
      <x:c r="L62" s="7" t="str">
        <x:v>public/assets/shepard-female-walk-atlas.png</x:v>
      </x:c>
      <x:c r="M62" s="7" t="str">
        <x:v>femshep-walk-left-3</x:v>
      </x:c>
      <x:c r="N62" s="7" t="str">
        <x:v>Objectifs et noms ME1 référencés ; chiffres, découpage et interface propres à cette adaptation ATB.</x:v>
      </x:c>
      <x:c r="O62" s="7" t="str">
        <x:v>https://news.ea.com/press-releases/press-releases-details/2021/Relive-the-Award-Winning-Space-Opera-in-Mass-Effect-Legendary-Edition-on-May-14/</x:v>
      </x:c>
      <x:c r="P62" s="7" t="str">
        <x:v>Production ME1</x:v>
      </x:c>
      <x:c r="Q62" s="7" t="str">
        <x:v>Pose générée, transparence native conservée. Les contacts 0 et 2 restent similaires selon l’orientation. Quatre directions ; huit directions et cycle final non produits.</x:v>
      </x:c>
    </x:row>
    <x:row r="63" ht="49" customHeight="1">
      <x:c r="A63" s="13" t="str">
        <x:v>FRAME-femshep-combat-aim</x:v>
      </x:c>
      <x:c r="B63" s="14" t="str">
        <x:v>Shepard femme — combat aim</x:v>
      </x:c>
      <x:c r="C63" s="10" t="str">
        <x:v>Prototype</x:v>
      </x:c>
      <x:c r="D63" s="11" t="str">
        <x:v>Prototype</x:v>
      </x:c>
      <x:c r="E63" s="15" t="str">
        <x:v>P1</x:v>
      </x:c>
      <x:c r="F63" s="15" t="str">
        <x:v>ME1</x:v>
      </x:c>
      <x:c r="G63" s="15" t="str">
        <x:v>Adaptation</x:v>
      </x:c>
      <x:c r="H63" s="14" t="str">
        <x:v>Pose clé aim. Rectangle [214, 19, 436, 549], pivot [195, 549], hauteur relative 1. Image native 1536×1024.</x:v>
      </x:c>
      <x:c r="I63" s="14" t="str">
        <x:v>Déclencher la pose aim dans le moteur sans étirement, cellule voisine ou rupture d’ancrage. Vérifier retour à la pose normale et références artistiques.</x:v>
      </x:c>
      <x:c r="J63" s="14" t="str">
        <x:v>CHR-shepard, SPR-shepard-combat</x:v>
      </x:c>
      <x:c r="K63" s="14" t="str">
        <x:v>public/assets/shepard-female-combat-atlas.png</x:v>
      </x:c>
      <x:c r="L63" s="14" t="str">
        <x:v>public/assets/shepard-female-combat-atlas.png</x:v>
      </x:c>
      <x:c r="M63" s="14" t="str">
        <x:v>femshep-combat-aim</x:v>
      </x:c>
      <x:c r="N63" s="14" t="str">
        <x:v>Objectifs et noms ME1 référencés ; chiffres, découpage et interface propres à cette adaptation ATB.</x:v>
      </x:c>
      <x:c r="O63" s="14" t="str">
        <x:v>https://news.ea.com/press-releases/press-releases-details/2021/Relive-the-Award-Winning-Space-Opera-in-Mass-Effect-Legendary-Edition-on-May-14/</x:v>
      </x:c>
      <x:c r="P63" s="14" t="str">
        <x:v>Production ME1</x:v>
      </x:c>
      <x:c r="Q63" s="14" t="str">
        <x:v>Pose clé unique, sans séquence de transition dessinée. Arme et effet génériques ; ils ne changent pas selon chaque objet équipé ou pouvoir. Fidélité 1:1 non validée.</x:v>
      </x:c>
    </x:row>
    <x:row r="64" ht="49" customHeight="1">
      <x:c r="A64" s="12" t="str">
        <x:v>FRAME-femshep-combat-power</x:v>
      </x:c>
      <x:c r="B64" s="7" t="str">
        <x:v>Shepard femme — combat power</x:v>
      </x:c>
      <x:c r="C64" s="10" t="str">
        <x:v>Prototype</x:v>
      </x:c>
      <x:c r="D64" s="11" t="str">
        <x:v>Prototype</x:v>
      </x:c>
      <x:c r="E64" s="9" t="str">
        <x:v>P1</x:v>
      </x:c>
      <x:c r="F64" s="9" t="str">
        <x:v>ME1</x:v>
      </x:c>
      <x:c r="G64" s="9" t="str">
        <x:v>Adaptation</x:v>
      </x:c>
      <x:c r="H64" s="7" t="str">
        <x:v>Pose clé power. Rectangle [916, 28, 507, 550], pivot [188, 544], hauteur relative 1. Image native 1536×1024.</x:v>
      </x:c>
      <x:c r="I64" s="7" t="str">
        <x:v>Déclencher la pose power dans le moteur sans étirement, cellule voisine ou rupture d’ancrage. Vérifier retour à la pose normale et références artistiques.</x:v>
      </x:c>
      <x:c r="J64" s="7" t="str">
        <x:v>CHR-shepard, SPR-shepard-combat</x:v>
      </x:c>
      <x:c r="K64" s="7" t="str">
        <x:v>public/assets/shepard-female-combat-atlas.png</x:v>
      </x:c>
      <x:c r="L64" s="7" t="str">
        <x:v>public/assets/shepard-female-combat-atlas.png</x:v>
      </x:c>
      <x:c r="M64" s="7" t="str">
        <x:v>femshep-combat-power</x:v>
      </x:c>
      <x:c r="N64" s="7" t="str">
        <x:v>Objectifs et noms ME1 référencés ; chiffres, découpage et interface propres à cette adaptation ATB.</x:v>
      </x:c>
      <x:c r="O64" s="7" t="str">
        <x:v>https://news.ea.com/press-releases/press-releases-details/2021/Relive-the-Award-Winning-Space-Opera-in-Mass-Effect-Legendary-Edition-on-May-14/</x:v>
      </x:c>
      <x:c r="P64" s="7" t="str">
        <x:v>Production ME1</x:v>
      </x:c>
      <x:c r="Q64" s="7" t="str">
        <x:v>Pose clé unique, sans séquence de transition dessinée. Arme et effet génériques ; ils ne changent pas selon chaque objet équipé ou pouvoir. Fidélité 1:1 non validée.</x:v>
      </x:c>
    </x:row>
    <x:row r="65" ht="49" customHeight="1">
      <x:c r="A65" s="13" t="str">
        <x:v>FRAME-femshep-combat-hit</x:v>
      </x:c>
      <x:c r="B65" s="14" t="str">
        <x:v>Shepard femme — combat hit</x:v>
      </x:c>
      <x:c r="C65" s="10" t="str">
        <x:v>Prototype</x:v>
      </x:c>
      <x:c r="D65" s="11" t="str">
        <x:v>Prototype</x:v>
      </x:c>
      <x:c r="E65" s="15" t="str">
        <x:v>P1</x:v>
      </x:c>
      <x:c r="F65" s="15" t="str">
        <x:v>ME1</x:v>
      </x:c>
      <x:c r="G65" s="15" t="str">
        <x:v>Adaptation</x:v>
      </x:c>
      <x:c r="H65" s="14" t="str">
        <x:v>Pose clé hit. Rectangle [307, 568, 296, 437], pivot [153, 431], hauteur relative 0.8. Image native 1536×1024.</x:v>
      </x:c>
      <x:c r="I65" s="14" t="str">
        <x:v>Déclencher la pose hit dans le moteur sans étirement, cellule voisine ou rupture d’ancrage. Vérifier retour à la pose normale et références artistiques.</x:v>
      </x:c>
      <x:c r="J65" s="14" t="str">
        <x:v>CHR-shepard, SPR-shepard-combat</x:v>
      </x:c>
      <x:c r="K65" s="14" t="str">
        <x:v>public/assets/shepard-female-combat-atlas.png</x:v>
      </x:c>
      <x:c r="L65" s="14" t="str">
        <x:v>public/assets/shepard-female-combat-atlas.png</x:v>
      </x:c>
      <x:c r="M65" s="14" t="str">
        <x:v>femshep-combat-hit</x:v>
      </x:c>
      <x:c r="N65" s="14" t="str">
        <x:v>Objectifs et noms ME1 référencés ; chiffres, découpage et interface propres à cette adaptation ATB.</x:v>
      </x:c>
      <x:c r="O65" s="14" t="str">
        <x:v>https://news.ea.com/press-releases/press-releases-details/2021/Relive-the-Award-Winning-Space-Opera-in-Mass-Effect-Legendary-Edition-on-May-14/</x:v>
      </x:c>
      <x:c r="P65" s="14" t="str">
        <x:v>Production ME1</x:v>
      </x:c>
      <x:c r="Q65" s="14" t="str">
        <x:v>Pose clé unique, sans séquence de transition dessinée. Arme et effet génériques ; ils ne changent pas selon chaque objet équipé ou pouvoir. Fidélité 1:1 non validée.</x:v>
      </x:c>
    </x:row>
    <x:row r="66" ht="75" customHeight="1">
      <x:c r="A66" s="12" t="str">
        <x:v>FRAME-femshep-combat-down</x:v>
      </x:c>
      <x:c r="B66" s="7" t="str">
        <x:v>Shepard femme — combat down</x:v>
      </x:c>
      <x:c r="C66" s="10" t="str">
        <x:v>Prototype</x:v>
      </x:c>
      <x:c r="D66" s="11" t="str">
        <x:v>Prototype</x:v>
      </x:c>
      <x:c r="E66" s="9" t="str">
        <x:v>P1</x:v>
      </x:c>
      <x:c r="F66" s="9" t="str">
        <x:v>ME1</x:v>
      </x:c>
      <x:c r="G66" s="9" t="str">
        <x:v>Adaptation</x:v>
      </x:c>
      <x:c r="H66" s="7" t="str">
        <x:v>Pose clé down. Rectangle [734, 850, 698, 136], pivot [349, 130], hauteur relative 0.245. Image native 1536×1024.</x:v>
      </x:c>
      <x:c r="I66" s="7" t="str">
        <x:v>Déclencher la pose down dans le moteur sans étirement, cellule voisine ou rupture d’ancrage. Conserver son dessin couché et ne pas ajouter de rotation procédurale. Vérifier retour à la pose normale et références artistiques.</x:v>
      </x:c>
      <x:c r="J66" s="7" t="str">
        <x:v>CHR-shepard, SPR-shepard-combat</x:v>
      </x:c>
      <x:c r="K66" s="7" t="str">
        <x:v>public/assets/shepard-female-combat-atlas.png</x:v>
      </x:c>
      <x:c r="L66" s="7" t="str">
        <x:v>public/assets/shepard-female-combat-atlas.png</x:v>
      </x:c>
      <x:c r="M66" s="7" t="str">
        <x:v>femshep-combat-down</x:v>
      </x:c>
      <x:c r="N66" s="7" t="str">
        <x:v>Objectifs et noms ME1 référencés ; chiffres, découpage et interface propres à cette adaptation ATB.</x:v>
      </x:c>
      <x:c r="O66" s="7" t="str">
        <x:v>https://news.ea.com/press-releases/press-releases-details/2021/Relive-the-Award-Winning-Space-Opera-in-Mass-Effect-Legendary-Edition-on-May-14/</x:v>
      </x:c>
      <x:c r="P66" s="7" t="str">
        <x:v>Production ME1</x:v>
      </x:c>
      <x:c r="Q66" s="7" t="str">
        <x:v>Pose clé unique, sans séquence de transition dessinée. Arme et effet génériques ; ils ne changent pas selon chaque objet équipé ou pouvoir. Fidélité 1:1 non validée.</x:v>
      </x:c>
    </x:row>
  </x:sheetData>
  <x:conditionalFormatting sqref="C7:C66">
    <x:cfRule type="cellIs" dxfId="95" priority="1" operator="equal">
      <x:formula>"Prototype"</x:formula>
    </x:cfRule>
    <x:cfRule type="cellIs" dxfId="96" priority="2" operator="equal">
      <x:formula>"Intégré"</x:formula>
    </x:cfRule>
    <x:cfRule type="cellIs" dxfId="97" priority="3" operator="equal">
      <x:formula>"Validé"</x:formula>
    </x:cfRule>
  </x:conditionalFormatting>
  <x:conditionalFormatting sqref="G7:G66">
    <x:cfRule type="cellIs" dxfId="98" priority="4" operator="equal">
      <x:formula>"Référence à vérifier"</x:formula>
    </x:cfRule>
  </x:conditionalFormatting>
  <x:conditionalFormatting sqref="E7:E66">
    <x:cfRule type="cellIs" dxfId="99" priority="5" operator="equal">
      <x:formula>"P0"</x:formula>
    </x:cfRule>
  </x:conditionalFormatting>
  <x:dataValidations count="5">
    <x:dataValidation type="list" sqref="C7:C66">
      <x:formula1>"Défini,Prototype,Intégré,Validé"</x:formula1>
    </x:dataValidation>
    <x:dataValidation type="list" sqref="D7:D66">
      <x:formula1>"À produire,Prototype,Disponible,Validé,Sans objet,Non planifié"</x:formula1>
    </x:dataValidation>
    <x:dataValidation type="list" sqref="E7:E66">
      <x:formula1>"P0,P1,P2"</x:formula1>
    </x:dataValidation>
    <x:dataValidation type="list" sqref="F7:F66">
      <x:formula1>"ME1,ME2,ME3"</x:formula1>
    </x:dataValidation>
    <x:dataValidation type="list" sqref="G7:G66">
      <x:formula1>"Confirmé,Référence à vérifier,Adaptation"</x:formula1>
    </x:dataValidation>
  </x:dataValidations>
  <x:pageMargins left="0.7" right="0.7" top="0.75" bottom="0.75" header="0.3" footer="0.3"/>
  <x:tableParts count="1">
    <x:tablePart xmlns:r="http://schemas.openxmlformats.org/officeDocument/2006/relationships" r:id="Rc73e2cb571834838"/>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62"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Deux cycles de marche : 16 images / quatre directions pour chaque apparence. Rectangles et pivots spécifiques pour Shepard femme. Poses de repli existantes ; huit directions et fidélité 1:1 non validées.</x:v>
      </x:c>
    </x:row>
    <x:row r="8" ht="62"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Shepard masculin conserve la pose de l’atlas commando. Shepard femme utilise quatre poses aim/power/hit/down ; hauteur couchée 0,245 sans rotation supplémentaire. Les séquences de transition et variantes par arme restent à produire.</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Portraits liés à l’apparence sélectionnée ; la variante féminine utilise une découpe de sa nouvelle planche de marche. Les expressions et variantes de costume restent à produire.</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sheetData>
  <x:conditionalFormatting sqref="C7:C83">
    <x:cfRule type="cellIs" dxfId="100" priority="1" operator="equal">
      <x:formula>"Prototype"</x:formula>
    </x:cfRule>
    <x:cfRule type="cellIs" dxfId="101" priority="2" operator="equal">
      <x:formula>"Intégré"</x:formula>
    </x:cfRule>
    <x:cfRule type="cellIs" dxfId="102" priority="3" operator="equal">
      <x:formula>"Validé"</x:formula>
    </x:cfRule>
  </x:conditionalFormatting>
  <x:conditionalFormatting sqref="G7:G83">
    <x:cfRule type="cellIs" dxfId="103" priority="4" operator="equal">
      <x:formula>"Référence à vérifier"</x:formula>
    </x:cfRule>
  </x:conditionalFormatting>
  <x:conditionalFormatting sqref="E7:E83">
    <x:cfRule type="cellIs" dxfId="104" priority="5" operator="equal">
      <x:formula>"P0"</x:formula>
    </x:cfRule>
  </x:conditionalFormatting>
  <x:dataValidations count="5">
    <x:dataValidation type="list" sqref="C7:C83">
      <x:formula1>"Défini,Prototype,Intégré,Validé"</x:formula1>
    </x:dataValidation>
    <x:dataValidation type="list" sqref="D7:D83">
      <x:formula1>"À produire,Prototype,Disponible,Validé,Sans objet,Non planifié"</x:formula1>
    </x:dataValidation>
    <x:dataValidation type="list" sqref="E7:E83">
      <x:formula1>"P0,P1,P2"</x:formula1>
    </x:dataValidation>
    <x:dataValidation type="list" sqref="F7:F83">
      <x:formula1>"ME1,ME2,ME3"</x:formula1>
    </x:dataValidation>
    <x:dataValidation type="list" sqref="G7:G83">
      <x:formula1>"Confirmé,Référence à vérifier,Adaptation"</x:formula1>
    </x:dataValidation>
  </x:dataValidations>
  <x:pageMargins left="0.7" right="0.7" top="0.75" bottom="0.75" header="0.3" footer="0.3"/>
  <x:tableParts count="1">
    <x:tablePart xmlns:r="http://schemas.openxmlformats.org/officeDocument/2006/relationships" r:id="Rcecf8a0432634fa9"/>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105" priority="1" operator="equal">
      <x:formula>"Prototype"</x:formula>
    </x:cfRule>
    <x:cfRule type="cellIs" dxfId="106" priority="2" operator="equal">
      <x:formula>"Intégré"</x:formula>
    </x:cfRule>
    <x:cfRule type="cellIs" dxfId="107" priority="3" operator="equal">
      <x:formula>"Validé"</x:formula>
    </x:cfRule>
  </x:conditionalFormatting>
  <x:conditionalFormatting sqref="G7:G32">
    <x:cfRule type="cellIs" dxfId="108" priority="4" operator="equal">
      <x:formula>"Référence à vérifier"</x:formula>
    </x:cfRule>
  </x:conditionalFormatting>
  <x:conditionalFormatting sqref="E7:E32">
    <x:cfRule type="cellIs" dxfId="10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153e44fc02cd466c"/>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110" priority="1" operator="equal">
      <x:formula>"Prototype"</x:formula>
    </x:cfRule>
    <x:cfRule type="cellIs" dxfId="111" priority="2" operator="equal">
      <x:formula>"Intégré"</x:formula>
    </x:cfRule>
    <x:cfRule type="cellIs" dxfId="112" priority="3" operator="equal">
      <x:formula>"Validé"</x:formula>
    </x:cfRule>
  </x:conditionalFormatting>
  <x:conditionalFormatting sqref="G7:G36">
    <x:cfRule type="cellIs" dxfId="113" priority="4" operator="equal">
      <x:formula>"Référence à vérifier"</x:formula>
    </x:cfRule>
  </x:conditionalFormatting>
  <x:conditionalFormatting sqref="E7:E36">
    <x:cfRule type="cellIs" dxfId="11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f3cd390094e1453e"/>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62" customHeight="1">
      <x:c r="A13" s="13" t="str">
        <x:v>SYS-carte-locale</x:v>
      </x:c>
      <x:c r="B13" s="14" t="str">
        <x:v>Carte locale</x:v>
      </x:c>
      <x:c r="C13" s="10" t="str">
        <x:v>Prototype</x:v>
      </x:c>
      <x:c r="D13" s="11" t="str">
        <x:v>Prototype</x:v>
      </x:c>
      <x:c r="E13" s="15" t="str">
        <x:v>P0</x:v>
      </x:c>
      <x:c r="F13" s="15" t="str">
        <x:v>ME1</x:v>
      </x:c>
      <x:c r="G13" s="15" t="str">
        <x:v>Adaptation</x:v>
      </x:c>
      <x:c r="H13" s="14" t="str">
        <x:v>Plan avec repères numérotés, filtres et suivi des objectifs de campagne et d’opération.</x:v>
      </x:c>
      <x:c r="I13" s="14" t="str">
        <x:v>Objectifs identifiables, filtrage cohérent et mise à jour après étape. Les emplacements doivent rester atteignables sans retirer les collisions ; le suivi obsolète doit disparaître.</x:v>
      </x:c>
      <x:c r="J13" s="14" t="str"/>
      <x:c r="K13" s="14" t="str">
        <x:v>src/</x:v>
      </x:c>
      <x:c r="L13" s="14" t="str">
        <x:v>src/local-map.js</x:v>
      </x:c>
      <x:c r="M13" s="14" t="str">
        <x:v>system:carte-locale</x:v>
      </x:c>
      <x:c r="N13" s="14" t="str">
        <x:v>Décisions du fan game ; aucune prétention de canon officiel</x:v>
      </x:c>
      <x:c r="O13" s="14" t="str"/>
      <x:c r="P13" s="14" t="str">
        <x:v>Production ME1</x:v>
      </x:c>
      <x:c r="Q13" s="14" t="str">
        <x:v>Carte de l’adaptation condensée. Les coordonnées des nouveaux contacts peuvent être déplacées à proximité pour conserver un chemin praticable.</x:v>
      </x:c>
    </x:row>
    <x:row r="14" ht="62" customHeight="1">
      <x:c r="A14" s="12" t="str">
        <x:v>SYS-journal-de-mission</x:v>
      </x:c>
      <x:c r="B14" s="7" t="str">
        <x:v>Journal de mission</x:v>
      </x:c>
      <x:c r="C14" s="10" t="str">
        <x:v>Prototype</x:v>
      </x:c>
      <x:c r="D14" s="11" t="str">
        <x:v>Prototype</x:v>
      </x:c>
      <x:c r="E14" s="9" t="str">
        <x:v>P0</x:v>
      </x:c>
      <x:c r="F14" s="9" t="str">
        <x:v>ME1</x:v>
      </x:c>
      <x:c r="G14" s="9" t="str">
        <x:v>Adaptation</x:v>
      </x:c>
      <x:c r="H14" s="7" t="str">
        <x:v>Missions, Assignations et Rapports. Trois assignations historiques et onze opérations supplémentaires, avec progression, blocages, choix, récompenses et suivi.</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Les systèmes assignments et operations restent distincts dans la sauvegarde. Les quêtes terminées quittent les objectifs actifs. Les embranchements complets de ME1 restent à produire.</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62" customHeight="1">
      <x:c r="A18" s="12" t="str">
        <x:v>SYS-inventaire</x:v>
      </x:c>
      <x:c r="B18" s="7" t="str">
        <x:v>Inventaire</x:v>
      </x:c>
      <x:c r="C18" s="10" t="str">
        <x:v>Prototype</x:v>
      </x:c>
      <x:c r="D18" s="11" t="str">
        <x:v>Prototype</x:v>
      </x:c>
      <x:c r="E18" s="9" t="str">
        <x:v>P0</x:v>
      </x:c>
      <x:c r="F18" s="9" t="str">
        <x:v>ME1</x:v>
      </x:c>
      <x:c r="G18" s="9" t="str">
        <x:v>Adaptation</x:v>
      </x:c>
      <x:c r="H18" s="7" t="str">
        <x:v>Inventaire partagé de 150 objets, au plus 20 exemplaires par référence. 48 articles et cinq emplacements par personnage.</x:v>
      </x:c>
      <x:c r="I18" s="7" t="str">
        <x:v>Refuser surallocation, achat impossible et équipement incompatible avant toute mutation. Retrait, vente et import doivent préserver les quantités ; récupérer le matériel d’un allié disparu.</x:v>
      </x:c>
      <x:c r="J18" s="7" t="str"/>
      <x:c r="K18" s="7" t="str">
        <x:v>src/</x:v>
      </x:c>
      <x:c r="L18" s="7" t="str">
        <x:v>src/loadout.js</x:v>
      </x:c>
      <x:c r="M18" s="7" t="str">
        <x:v>normalizeInventory</x:v>
      </x:c>
      <x:c r="N18" s="7" t="str">
        <x:v>Décisions du fan game ; aucune prétention de canon officiel</x:v>
      </x:c>
      <x:c r="O18" s="7" t="str"/>
      <x:c r="P18" s="7" t="str">
        <x:v>Production ME1</x:v>
      </x:c>
      <x:c r="Q18" s="7" t="str">
        <x:v>Les objets équipés restent dans le total. Comparaison avant achat. Icônes et modèles propres à chaque objet restent à produire.</x:v>
      </x:c>
    </x:row>
    <x:row r="19" ht="62" customHeight="1">
      <x:c r="A19" s="13" t="str">
        <x:v>SYS-commerce</x:v>
      </x:c>
      <x:c r="B19" s="14" t="str">
        <x:v>Commerce</x:v>
      </x:c>
      <x:c r="C19" s="10" t="str">
        <x:v>Prototype</x:v>
      </x:c>
      <x:c r="D19" s="11" t="str">
        <x:v>Prototype</x:v>
      </x:c>
      <x:c r="E19" s="15" t="str">
        <x:v>P0</x:v>
      </x:c>
      <x:c r="F19" s="15" t="str">
        <x:v>ME1</x:v>
      </x:c>
      <x:c r="G19" s="15" t="str">
        <x:v>Adaptation</x:v>
      </x:c>
      <x:c r="H19" s="14" t="str">
        <x:v>Armurerie commune au Normandy et à la Citadelle, achat et vente avec stocks persistants. Calibrations permanentes de la version précédente conservées.</x:v>
      </x:c>
      <x:c r="I19" s="14" t="str">
        <x:v>Crédits, inventaire et stock changent ensemble, une fois. Refuser toute vente d’un exemplaire équipé et tout achat sans crédits ou capacité. Appliquer la remise Michel uniquement aux recharges de médi-gel.</x:v>
      </x:c>
      <x:c r="J19" s="14" t="str"/>
      <x:c r="K19" s="14" t="str">
        <x:v>src/</x:v>
      </x:c>
      <x:c r="L19" s="14" t="str">
        <x:v>src/loadout-ui.js</x:v>
      </x:c>
      <x:c r="M19" s="14" t="str">
        <x:v>renderLoadoutScreen</x:v>
      </x:c>
      <x:c r="N19" s="14" t="str">
        <x:v>Décisions du fan game ; aucune prétention de canon officiel</x:v>
      </x:c>
      <x:c r="O19" s="14" t="str"/>
      <x:c r="P19" s="14" t="str">
        <x:v>Production ME1</x:v>
      </x:c>
      <x:c r="Q19" s="14" t="str">
        <x:v>Prix, niveaux et stocks adaptés. Pas de licences ni de réapprovisionnement aléatoire.</x:v>
      </x:c>
    </x:row>
    <x:row r="20" ht="36" customHeight="1">
      <x:c r="A20" s="12" t="str">
        <x:v>SYS-talents</x:v>
      </x:c>
      <x:c r="B20" s="7" t="str">
        <x:v>Talents</x:v>
      </x:c>
      <x:c r="C20" s="10" t="str">
        <x:v>Défini</x:v>
      </x:c>
      <x:c r="D20" s="11" t="str">
        <x:v>À produire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c r="M20" s="7" t="str"/>
      <x:c r="N20" s="7" t="str">
        <x:v>Décisions du fan game ; aucune prétention de canon officiel</x:v>
      </x:c>
      <x:c r="O20" s="7" t="str"/>
      <x:c r="P20" s="7" t="str">
        <x:v>Production ME1</x:v>
      </x:c>
      <x:c r="Q20" s="7" t="str"/>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62" customHeight="1">
      <x:c r="A26" s="12" t="str">
        <x:v>SYS-chaleur-des-armes</x:v>
      </x:c>
      <x:c r="B26" s="7" t="str">
        <x:v>Chaleur des armes</x:v>
      </x:c>
      <x:c r="C26" s="10" t="str">
        <x:v>Prototype</x:v>
      </x:c>
      <x:c r="D26" s="11" t="str">
        <x:v>Prototype</x:v>
      </x:c>
      <x:c r="E26" s="9" t="str">
        <x:v>P0</x:v>
      </x:c>
      <x:c r="F26" s="9" t="str">
        <x:v>ME1</x:v>
      </x:c>
      <x:c r="G26" s="9" t="str">
        <x:v>Adaptation</x:v>
      </x:c>
      <x:c r="H26" s="7" t="str">
        <x:v>Chaleur des tirs et refroidissement modulés par l’arme et son module. Les munitions phasiques ont un coût thermique supplémentaire.</x:v>
      </x:c>
      <x:c r="I26" s="7" t="str">
        <x:v>Bornes et surchauffe respectées. Les coûts affichés correspondent aux tirs réellement exécutés ; les pouvoirs et les effets de sabotage ne doivent pas recevoir le multiplicateur de chaleur de l’arme.</x:v>
      </x:c>
      <x:c r="J26" s="7" t="str"/>
      <x:c r="K26" s="7" t="str">
        <x:v>src/</x:v>
      </x:c>
      <x:c r="L26" s="7" t="str">
        <x:v>src/combat.js</x:v>
      </x:c>
      <x:c r="M26" s="7" t="str">
        <x:v>weaponHeatMultiplier/weaponCoolingBonus</x:v>
      </x:c>
      <x:c r="N26" s="7" t="str">
        <x:v>Décisions du fan game ; aucune prétention de canon officiel</x:v>
      </x:c>
      <x:c r="O26" s="7" t="str"/>
      <x:c r="P26" s="7" t="str">
        <x:v>Production ME1</x:v>
      </x:c>
      <x:c r="Q26" s="7" t="str">
        <x:v>Équilibrage ATB, sans reconstitution des tables statistiques ME1.</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sheetData>
  <x:conditionalFormatting sqref="C7:C46">
    <x:cfRule type="cellIs" dxfId="115" priority="1" operator="equal">
      <x:formula>"Prototype"</x:formula>
    </x:cfRule>
    <x:cfRule type="cellIs" dxfId="116" priority="2" operator="equal">
      <x:formula>"Intégré"</x:formula>
    </x:cfRule>
    <x:cfRule type="cellIs" dxfId="117" priority="3" operator="equal">
      <x:formula>"Validé"</x:formula>
    </x:cfRule>
  </x:conditionalFormatting>
  <x:conditionalFormatting sqref="G7:G46">
    <x:cfRule type="cellIs" dxfId="118" priority="4" operator="equal">
      <x:formula>"Référence à vérifier"</x:formula>
    </x:cfRule>
  </x:conditionalFormatting>
  <x:conditionalFormatting sqref="E7:E46">
    <x:cfRule type="cellIs" dxfId="119" priority="5" operator="equal">
      <x:formula>"P0"</x:formula>
    </x:cfRule>
  </x:conditionalFormatting>
  <x:dataValidations count="5">
    <x:dataValidation type="list" sqref="C7:C46">
      <x:formula1>"Défini,Prototype,Intégré,Validé"</x:formula1>
    </x:dataValidation>
    <x:dataValidation type="list" sqref="D7:D46">
      <x:formula1>"À produire,Prototype,Disponible,Validé,Sans objet,Non planifié"</x:formula1>
    </x:dataValidation>
    <x:dataValidation type="list" sqref="E7:E46">
      <x:formula1>"P0,P1,P2"</x:formula1>
    </x:dataValidation>
    <x:dataValidation type="list" sqref="F7:F46">
      <x:formula1>"ME1,ME2,ME3"</x:formula1>
    </x:dataValidation>
    <x:dataValidation type="list" sqref="G7:G46">
      <x:formula1>"Confirmé,Référence à vérifier,Adaptation"</x:formula1>
    </x:dataValidation>
  </x:dataValidations>
  <x:pageMargins left="0.7" right="0.7" top="0.75" bottom="0.75" header="0.3" footer="0.3"/>
  <x:tableParts count="1">
    <x:tablePart xmlns:r="http://schemas.openxmlformats.org/officeDocument/2006/relationships" r:id="R60a373a2a6774947"/>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sheetData>
  <x:conditionalFormatting sqref="C7:C58">
    <x:cfRule type="cellIs" dxfId="120" priority="1" operator="equal">
      <x:formula>"Prototype"</x:formula>
    </x:cfRule>
    <x:cfRule type="cellIs" dxfId="121" priority="2" operator="equal">
      <x:formula>"Intégré"</x:formula>
    </x:cfRule>
    <x:cfRule type="cellIs" dxfId="122" priority="3" operator="equal">
      <x:formula>"Validé"</x:formula>
    </x:cfRule>
  </x:conditionalFormatting>
  <x:conditionalFormatting sqref="G7:G58">
    <x:cfRule type="cellIs" dxfId="123" priority="4" operator="equal">
      <x:formula>"Référence à vérifier"</x:formula>
    </x:cfRule>
  </x:conditionalFormatting>
  <x:conditionalFormatting sqref="E7:E58">
    <x:cfRule type="cellIs" dxfId="124"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80ea83ce10ac45ab"/>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125" priority="1" operator="equal">
      <x:formula>"Prototype"</x:formula>
    </x:cfRule>
    <x:cfRule type="cellIs" dxfId="126" priority="2" operator="equal">
      <x:formula>"Intégré"</x:formula>
    </x:cfRule>
    <x:cfRule type="cellIs" dxfId="127" priority="3" operator="equal">
      <x:formula>"Validé"</x:formula>
    </x:cfRule>
  </x:conditionalFormatting>
  <x:conditionalFormatting sqref="G7:G63">
    <x:cfRule type="cellIs" dxfId="128" priority="4" operator="equal">
      <x:formula>"Référence à vérifier"</x:formula>
    </x:cfRule>
  </x:conditionalFormatting>
  <x:conditionalFormatting sqref="E7:E63">
    <x:cfRule type="cellIs" dxfId="12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2ac4c7f4438e4f51"/>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42" customHeight="1">
      <x:c r="A30" s="7" t="str">
        <x:v>ME1-MANUAL</x:v>
      </x:c>
      <x:c r="B30" s="7" t="str">
        <x:v>Manuel officiel Mass Effect PC FR</x:v>
      </x:c>
      <x:c r="C30" s="7" t="str">
        <x:v>Classes, interface, équipement et pouvoirs ME1</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42" customHeight="1">
      <x:c r="A32" s="7" t="str">
        <x:v>EA-GAMEPLAY</x:v>
      </x:c>
      <x:c r="B32" s="7" t="str">
        <x:v>EA Gameplay Calibrations</x:v>
      </x:c>
      <x:c r="C32" s="7" t="str">
        <x:v>Différences original / Legendary Edition</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42" customHeight="1">
      <x:c r="A37" s="7" t="str">
        <x:v>PRIMA-PROLOGUE</x:v>
      </x:c>
      <x:c r="B37" s="7" t="str">
        <x:v>Guide officiel Prima, prologue</x:v>
      </x:c>
      <x:c r="C37" s="7" t="str">
        <x:v>Prologue ME1, extraits indexés ; PDF complet à contrôler</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75" customHeight="1">
      <x:c r="A44" s="7" t="str">
        <x:v>ME1-CITADEL-ASSIGNMENTS</x:v>
      </x:c>
      <x:c r="B44" s="7" t="str">
        <x:v>Assignations de la Citadelle — index secondaire à vérifier</x:v>
      </x:c>
      <x:c r="C44" s="7" t="str">
        <x:v>Pistes de comparaison pour Homecoming, Family Matter et The Fan. Pages non consultées depuis cet environnement ; contrôle du jeu et de son édition requis.</x:v>
      </x:c>
      <x:c r="D44" s="7" t="str">
        <x:v>https://masseffect.fandom.com/wiki/Assignments</x:v>
      </x:c>
    </x:row>
    <x:row r="45" ht="62" customHeight="1">
      <x:c r="A45" s="7" t="str">
        <x:v>ME1-OP-CITADEL-CONSORT</x:v>
      </x:c>
      <x:c r="B45" s="7" t="str">
        <x:v>Citadelle : La Favorite</x:v>
      </x:c>
      <x:c r="C45" s="7" t="str">
        <x:v>Source communautaire descriptive consultée pour les objectifs. Dialogues, coordonnées et récompenses ATB adaptés.</x:v>
      </x:c>
      <x:c r="D45" s="7" t="str">
        <x:v>https://masseffect.fandom.com/wiki/Citadel%3A_Asari_Consort</x:v>
      </x:c>
    </x:row>
    <x:row r="46" ht="62" customHeight="1">
      <x:c r="A46" s="7" t="str">
        <x:v>ME1-OP-CITADEL-XELTAN</x:v>
      </x:c>
      <x:c r="B46" s="7" t="str">
        <x:v>Citadelle : La plainte de Xeltan</x:v>
      </x:c>
      <x:c r="C46" s="7" t="str">
        <x:v>Source communautaire descriptive consultée pour les objectifs. Dialogues, coordonnées et récompenses ATB adaptés.</x:v>
      </x:c>
      <x:c r="D46" s="7" t="str">
        <x:v>https://masseffect.fandom.com/wiki/Citadel%3A_Xeltan's_Complaint</x:v>
      </x:c>
    </x:row>
    <x:row r="47" ht="62" customHeight="1">
      <x:c r="A47" s="7" t="str">
        <x:v>ME1-OP-CITADEL-REPORTERS-REQUEST</x:v>
      </x:c>
      <x:c r="B47" s="7" t="str">
        <x:v>Citadelle : La demande de la journaliste</x:v>
      </x:c>
      <x:c r="C47" s="7" t="str">
        <x:v>Source communautaire descriptive consultée pour les objectifs. Dialogues, coordonnées et récompenses ATB adaptés.</x:v>
      </x:c>
      <x:c r="D47" s="7" t="str">
        <x:v>https://masseffect.fandom.com/wiki/Citadel%3A_Reporter's_Request</x:v>
      </x:c>
    </x:row>
    <x:row r="48" ht="62" customHeight="1">
      <x:c r="A48" s="7" t="str">
        <x:v>ME1-OP-CITADEL-KEEPERS</x:v>
      </x:c>
      <x:c r="B48" s="7" t="str">
        <x:v>Citadelle : Scanner les veilleurs</x:v>
      </x:c>
      <x:c r="C48" s="7" t="str">
        <x:v>Source communautaire descriptive consultée pour les objectifs. Dialogues, coordonnées et récompenses ATB adaptés.</x:v>
      </x:c>
      <x:c r="D48" s="7" t="str">
        <x:v>https://masseffect.fandom.com/wiki/Citadel%3A_Scan_the_Keepers</x:v>
      </x:c>
    </x:row>
    <x:row r="49" ht="62" customHeight="1">
      <x:c r="A49" s="7" t="str">
        <x:v>ME1-OP-CITADEL-SIGNAL-TRACKING</x:v>
      </x:c>
      <x:c r="B49" s="7" t="str">
        <x:v>Citadelle : Traque du signal</x:v>
      </x:c>
      <x:c r="C49" s="7" t="str">
        <x:v>Source communautaire descriptive consultée pour les objectifs. Dialogues, coordonnées et récompenses ATB adaptés.</x:v>
      </x:c>
      <x:c r="D49" s="7" t="str">
        <x:v>https://masseffect.fandom.com/wiki/Citadel%3A_Signal_Tracking</x:v>
      </x:c>
    </x:row>
    <x:row r="50" ht="62" customHeight="1">
      <x:c r="A50" s="7" t="str">
        <x:v>ME1-OP-CITADEL-PRESIDIUM-PROPHET</x:v>
      </x:c>
      <x:c r="B50" s="7" t="str">
        <x:v>Citadelle : Le prédicateur du Présidium</x:v>
      </x:c>
      <x:c r="C50" s="7" t="str">
        <x:v>Source communautaire descriptive consultée pour les objectifs. Dialogues, coordonnées et récompenses ATB adaptés.</x:v>
      </x:c>
      <x:c r="D50" s="7" t="str">
        <x:v>https://masseffect.fandom.com/wiki/Citadel%3A_Presidium_Prophet</x:v>
      </x:c>
    </x:row>
    <x:row r="51" ht="62" customHeight="1">
      <x:c r="A51" s="7" t="str">
        <x:v>ME1-OP-CITADEL-DOCTOR-MICHEL</x:v>
      </x:c>
      <x:c r="B51" s="7" t="str">
        <x:v>Citadelle : Le docteur Michel</x:v>
      </x:c>
      <x:c r="C51" s="7" t="str">
        <x:v>Source communautaire descriptive consultée pour les objectifs. Dialogues, coordonnées et récompenses ATB adaptés.</x:v>
      </x:c>
      <x:c r="D51" s="7" t="str">
        <x:v>https://masseffect.fandom.com/wiki/Citadel%3A_Doctor_Michel</x:v>
      </x:c>
    </x:row>
    <x:row r="52" ht="62" customHeight="1">
      <x:c r="A52" s="7" t="str">
        <x:v>ME1-OP-FEROS-WATER</x:v>
      </x:c>
      <x:c r="B52" s="7" t="str">
        <x:v>Féros : Rétablir l’eau</x:v>
      </x:c>
      <x:c r="C52" s="7" t="str">
        <x:v>Source communautaire descriptive consultée pour les objectifs. Dialogues, coordonnées et récompenses ATB adaptés.</x:v>
      </x:c>
      <x:c r="D52" s="7" t="str">
        <x:v>https://masseffect.fandom.com/wiki/Feros%3A_Water_Restoration</x:v>
      </x:c>
    </x:row>
    <x:row r="53" ht="62" customHeight="1">
      <x:c r="A53" s="7" t="str">
        <x:v>ME1-OP-FEROS-POWER</x:v>
      </x:c>
      <x:c r="B53" s="7" t="str">
        <x:v>Féros : Cellules énergétiques</x:v>
      </x:c>
      <x:c r="C53" s="7" t="str">
        <x:v>Source communautaire descriptive consultée pour les objectifs. Dialogues, coordonnées et récompenses ATB adaptés.</x:v>
      </x:c>
      <x:c r="D53" s="7" t="str">
        <x:v>https://masseffect.fandom.com/wiki/Feros%3A_Power_Cells</x:v>
      </x:c>
    </x:row>
    <x:row r="54" ht="62" customHeight="1">
      <x:c r="A54" s="7" t="str">
        <x:v>ME1-OP-FEROS-GETH-TUNNELS</x:v>
      </x:c>
      <x:c r="B54" s="7" t="str">
        <x:v>Féros : Les geth dans les tunnels</x:v>
      </x:c>
      <x:c r="C54" s="7" t="str">
        <x:v>Source communautaire descriptive consultée pour les objectifs. Dialogues, coordonnées et récompenses ATB adaptés.</x:v>
      </x:c>
      <x:c r="D54" s="7" t="str">
        <x:v>https://masseffect.fandom.com/wiki/Feros%3A_Geth_in_the_Tunnels</x:v>
      </x:c>
    </x:row>
    <x:row r="55" ht="62" customHeight="1">
      <x:c r="A55" s="7" t="str">
        <x:v>ME1-OP-FEROS-DATA-RECOVERY</x:v>
      </x:c>
      <x:c r="B55" s="7" t="str">
        <x:v>Féros : Récupération des données</x:v>
      </x:c>
      <x:c r="C55" s="7" t="str">
        <x:v>Source communautaire descriptive consultée pour les objectifs. Dialogues, coordonnées et récompenses ATB adaptés.</x:v>
      </x:c>
      <x:c r="D55" s="7" t="str">
        <x:v>https://masseffect.fandom.com/wiki/Feros%3A_Data_Recovery</x:v>
      </x:c>
    </x:row>
    <x:row r="56" ht="62" customHeight="1">
      <x:c r="A56" s="7" t="str">
        <x:v>ME1-GEAR-PISTOLS</x:v>
      </x:c>
      <x:c r="B56" s="7" t="str">
        <x:v>ME1 — Pistols</x:v>
      </x:c>
      <x:c r="C56" s="7" t="str">
        <x:v>Source communautaire sur noms, fabricants et familles. Valeurs de combat et économie du prototype, sans équivalence statistique 1:1.</x:v>
      </x:c>
      <x:c r="D56" s="7" t="str">
        <x:v>https://masseffect.fandom.com/wiki/Pistols</x:v>
      </x:c>
    </x:row>
    <x:row r="57" ht="62" customHeight="1">
      <x:c r="A57" s="7" t="str">
        <x:v>ME1-GEAR-ASSAULT-RIFLES</x:v>
      </x:c>
      <x:c r="B57" s="7" t="str">
        <x:v>ME1 — Assault Rifles</x:v>
      </x:c>
      <x:c r="C57" s="7" t="str">
        <x:v>Source communautaire sur noms, fabricants et familles. Valeurs de combat et économie du prototype, sans équivalence statistique 1:1.</x:v>
      </x:c>
      <x:c r="D57" s="7" t="str">
        <x:v>https://masseffect.fandom.com/wiki/Assault_Rifles</x:v>
      </x:c>
    </x:row>
    <x:row r="58" ht="62" customHeight="1">
      <x:c r="A58" s="7" t="str">
        <x:v>ME1-GEAR-SHOTGUNS</x:v>
      </x:c>
      <x:c r="B58" s="7" t="str">
        <x:v>ME1 — Shotguns</x:v>
      </x:c>
      <x:c r="C58" s="7" t="str">
        <x:v>Source communautaire sur noms, fabricants et familles. Valeurs de combat et économie du prototype, sans équivalence statistique 1:1.</x:v>
      </x:c>
      <x:c r="D58" s="7" t="str">
        <x:v>https://masseffect.fandom.com/wiki/Shotguns</x:v>
      </x:c>
    </x:row>
    <x:row r="59" ht="62" customHeight="1">
      <x:c r="A59" s="7" t="str">
        <x:v>ME1-GEAR-SNIPER-RIFLES</x:v>
      </x:c>
      <x:c r="B59" s="7" t="str">
        <x:v>ME1 — Sniper Rifles</x:v>
      </x:c>
      <x:c r="C59" s="7" t="str">
        <x:v>Source communautaire sur noms, fabricants et familles. Valeurs de combat et économie du prototype, sans équivalence statistique 1:1.</x:v>
      </x:c>
      <x:c r="D59" s="7" t="str">
        <x:v>https://masseffect.fandom.com/wiki/Sniper_Rifles</x:v>
      </x:c>
    </x:row>
    <x:row r="60" ht="62" customHeight="1">
      <x:c r="A60" s="7" t="str">
        <x:v>ME1-GEAR-ONYX-ARMOR</x:v>
      </x:c>
      <x:c r="B60" s="7" t="str">
        <x:v>ME1 — Onyx Armor</x:v>
      </x:c>
      <x:c r="C60" s="7" t="str">
        <x:v>Source communautaire sur noms, fabricants et familles. Valeurs de combat et économie du prototype, sans équivalence statistique 1:1.</x:v>
      </x:c>
      <x:c r="D60" s="7" t="str">
        <x:v>https://masseffect.fandom.com/wiki/Onyx_Armor</x:v>
      </x:c>
    </x:row>
    <x:row r="61" ht="62" customHeight="1">
      <x:c r="A61" s="7" t="str">
        <x:v>ME1-GEAR-PHOENIX-ARMOR</x:v>
      </x:c>
      <x:c r="B61" s="7" t="str">
        <x:v>ME1 — Phoenix Armor</x:v>
      </x:c>
      <x:c r="C61" s="7" t="str">
        <x:v>Source communautaire sur noms, fabricants et familles. Valeurs de combat et économie du prototype, sans équivalence statistique 1:1.</x:v>
      </x:c>
      <x:c r="D61" s="7" t="str">
        <x:v>https://masseffect.fandom.com/wiki/Phoenix_Armor</x:v>
      </x:c>
    </x:row>
    <x:row r="62" ht="62" customHeight="1">
      <x:c r="A62" s="7" t="str">
        <x:v>ME1-GEAR-COLOSSUS-ARMOR</x:v>
      </x:c>
      <x:c r="B62" s="7" t="str">
        <x:v>ME1 — Colossus Armor</x:v>
      </x:c>
      <x:c r="C62" s="7" t="str">
        <x:v>Source communautaire sur noms, fabricants et familles. Valeurs de combat et économie du prototype, sans équivalence statistique 1:1.</x:v>
      </x:c>
      <x:c r="D62" s="7" t="str">
        <x:v>https://masseffect.fandom.com/wiki/Colossus_Armor</x:v>
      </x:c>
    </x:row>
    <x:row r="63" ht="62" customHeight="1">
      <x:c r="A63" s="7" t="str">
        <x:v>ME1-GEAR-H-ARMOR</x:v>
      </x:c>
      <x:c r="B63" s="7" t="str">
        <x:v>ME1 — H Armor</x:v>
      </x:c>
      <x:c r="C63" s="7" t="str">
        <x:v>Source communautaire sur noms, fabricants et familles. Valeurs de combat et économie du prototype, sans équivalence statistique 1:1.</x:v>
      </x:c>
      <x:c r="D63" s="7" t="str">
        <x:v>https://masseffect.fandom.com/wiki/Predator_L/M/H_Armor</x:v>
      </x:c>
    </x:row>
    <x:row r="64" ht="62" customHeight="1">
      <x:c r="A64" s="7" t="str">
        <x:v>ME1-GEAR-LIBERATOR-ARMOR</x:v>
      </x:c>
      <x:c r="B64" s="7" t="str">
        <x:v>ME1 — Liberator Armor</x:v>
      </x:c>
      <x:c r="C64" s="7" t="str">
        <x:v>Source communautaire sur noms, fabricants et familles. Valeurs de combat et économie du prototype, sans équivalence statistique 1:1.</x:v>
      </x:c>
      <x:c r="D64" s="7" t="str">
        <x:v>https://masseffect.fandom.com/wiki/Liberator_Armor</x:v>
      </x:c>
    </x:row>
    <x:row r="65" ht="62" customHeight="1">
      <x:c r="A65" s="7" t="str">
        <x:v>ME1-GEAR-WEAPON-UPGRADES</x:v>
      </x:c>
      <x:c r="B65" s="7" t="str">
        <x:v>ME1 — Weapon Upgrades</x:v>
      </x:c>
      <x:c r="C65" s="7" t="str">
        <x:v>Source communautaire sur noms, fabricants et familles. Valeurs de combat et économie du prototype, sans équivalence statistique 1:1.</x:v>
      </x:c>
      <x:c r="D65" s="7" t="str">
        <x:v>https://masseffect.fandom.com/wiki/Weapon_Upgrades</x:v>
      </x:c>
    </x:row>
    <x:row r="66" ht="62" customHeight="1">
      <x:c r="A66" s="7" t="str">
        <x:v>ME1-GEAR-AMMUNITION-UPGRADES</x:v>
      </x:c>
      <x:c r="B66" s="7" t="str">
        <x:v>ME1 — Ammunition Upgrades</x:v>
      </x:c>
      <x:c r="C66" s="7" t="str">
        <x:v>Source communautaire sur noms, fabricants et familles. Valeurs de combat et économie du prototype, sans équivalence statistique 1:1.</x:v>
      </x:c>
      <x:c r="D66" s="7" t="str">
        <x:v>https://masseffect.fandom.com/wiki/Ammunition_Upgrades</x:v>
      </x:c>
    </x:row>
    <x:row r="67" ht="62" customHeight="1">
      <x:c r="A67" s="7" t="str">
        <x:v>ME1-GEAR-ARMOR-UPGRADES</x:v>
      </x:c>
      <x:c r="B67" s="7" t="str">
        <x:v>ME1 — Armor Upgrades</x:v>
      </x:c>
      <x:c r="C67" s="7" t="str">
        <x:v>Source communautaire sur noms, fabricants et familles. Valeurs de combat et économie du prototype, sans équivalence statistique 1:1.</x:v>
      </x:c>
      <x:c r="D67" s="7" t="str">
        <x:v>https://masseffect.fandom.com/wiki/Armor_Upgrades</x:v>
      </x:c>
    </x:row>
    <x:row r="68" ht="75" customHeight="1">
      <x:c r="A68" s="7" t="str">
        <x:v>EA-LE-FEMSHEP</x:v>
      </x:c>
      <x:c r="B68" s="7" t="str">
        <x:v>EA — apparence féminine de Shepard dans Legendary Edition</x:v>
      </x:c>
      <x:c r="C68" s="7" t="str">
        <x:v>Source primaire du 2 février 2021, consultée le 23 octobre 2026. Confirme la disponibilité du modèle féminin par défaut dans les trois épisodes ; ne valide pas les PNG du projet.</x:v>
      </x:c>
      <x:c r="D68" s="7" t="str">
        <x:v>https://news.ea.com/press-releases/press-releases-details/2021/Relive-the-Award-Winning-Space-Opera-in-Mass-Effect-Legendary-Edition-on-May-14/</x:v>
      </x:c>
    </x:row>
    <x:row r="69" ht="42" customHeight="1">
      <x:c r="A69" s="7"/>
      <x:c r="B69" s="7"/>
      <x:c r="C69" s="7"/>
      <x:c r="D69" s="7"/>
    </x:row>
    <x:row r="70" ht="42" customHeight="1">
      <x:c r="A70" s="7"/>
      <x:c r="B70" s="7"/>
      <x:c r="C70" s="7"/>
      <x:c r="D70" s="7"/>
    </x:row>
    <x:row r="71" ht="68" customHeight="1">
      <x:c r="A71" s="7" t="str">
        <x:v>Périmètre</x:v>
      </x:c>
      <x:c r="B71" s="7" t="str">
        <x:v>Plan de couverture du premier Mass Effect avec extensions ME2 et ME3 séparées. Le prototype jouable condense les lieux et ne constitue pas une reproduction complète.</x:v>
      </x:c>
      <x:c r="C71" s="7"/>
      <x:c r="D71" s="7"/>
    </x:row>
    <x:row r="72" ht="68" customHeight="1">
      <x:c r="A72" s="7" t="str">
        <x:v>Fidélité</x:v>
      </x:c>
      <x:c r="B72" s="7" t="str">
        <x:v>Aucun asset ni aucune mission n’est déclaré fidèle 1:1 ou terminé sans contrôle explicite.</x:v>
      </x:c>
      <x:c r="C72" s="7"/>
      <x:c r="D72" s="7"/>
    </x:row>
    <x:row r="73" ht="42" customHeight="1">
      <x:c r="A73" s="7" t="str">
        <x:v>Version</x:v>
      </x:c>
      <x:c r="B73" s="7" t="str">
        <x:v>0.2.0</x:v>
      </x:c>
      <x:c r="C73" s="7"/>
      <x:c r="D73" s="7"/>
    </x:row>
    <x:row r="74" ht="42" customHeight="1">
      <x:c r="A74" s="7" t="str">
        <x:v>Date de référence</x:v>
      </x:c>
      <x:c r="B74" s="32" t="d">
        <x:v>2026-10-23T12:00:00.000Z</x:v>
      </x:c>
      <x:c r="C74" s="7"/>
      <x:c r="D74" s="7"/>
    </x:row>
    <x:row r="75" ht="22" customHeight="1">
      <x:c r="A75" s="2"/>
      <x:c r="B75" s="2"/>
      <x:c r="C75" s="2"/>
      <x:c r="D75" s="2"/>
    </x:row>
    <x:row r="76" ht="22" customHeight="1">
      <x:c r="A76" s="2"/>
      <x:c r="B76" s="2"/>
      <x:c r="C76" s="2"/>
      <x:c r="D76" s="2"/>
    </x:row>
    <x:row r="77" ht="22" customHeight="1">
      <x:c r="A77" s="2"/>
      <x:c r="B77" s="2"/>
      <x:c r="C77" s="2"/>
      <x:c r="D77" s="2"/>
    </x:row>
  </x:sheetData>
  <x:pageMargins left="0.7" right="0.7" top="0.75" bottom="0.75" header="0.3" footer="0.3"/>
</x:worksheet>
</file>