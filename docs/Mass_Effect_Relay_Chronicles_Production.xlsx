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eddccce48ecf4d6b" /></Relationships>
</file>

<file path=xl/workbook.xml><?xml version="1.0" encoding="utf-8"?>
<x:workbook xmlns:x="http://schemas.openxmlformats.org/spreadsheetml/2006/main">
  <x:sheets>
    <x:sheet xmlns:r="http://schemas.openxmlformats.org/officeDocument/2006/relationships" name="Dashboard" sheetId="1" r:id="R82ea26ffe13d4244"/>
    <x:sheet xmlns:r="http://schemas.openxmlformats.org/officeDocument/2006/relationships" name="Personnages" sheetId="2" r:id="R2cc8f841b9e249a6"/>
    <x:sheet xmlns:r="http://schemas.openxmlformats.org/officeDocument/2006/relationships" name="PNJ" sheetId="3" r:id="Rf893af9c71ce40e1"/>
    <x:sheet xmlns:r="http://schemas.openxmlformats.org/officeDocument/2006/relationships" name="Especes_factions" sheetId="4" r:id="R343e961576e94739"/>
    <x:sheet xmlns:r="http://schemas.openxmlformats.org/officeDocument/2006/relationships" name="Mondes" sheetId="5" r:id="R9f6b8c5c27d24a05"/>
    <x:sheet xmlns:r="http://schemas.openxmlformats.org/officeDocument/2006/relationships" name="Zones" sheetId="6" r:id="R808aa329d0d04c7f"/>
    <x:sheet xmlns:r="http://schemas.openxmlformats.org/officeDocument/2006/relationships" name="Liaisons" sheetId="7" r:id="R10cb06350f7043b3"/>
    <x:sheet xmlns:r="http://schemas.openxmlformats.org/officeDocument/2006/relationships" name="Decors" sheetId="8" r:id="R3a7d0b5fc0aa4a87"/>
    <x:sheet xmlns:r="http://schemas.openxmlformats.org/officeDocument/2006/relationships" name="Props" sheetId="9" r:id="R11fb923a50124964"/>
    <x:sheet xmlns:r="http://schemas.openxmlformats.org/officeDocument/2006/relationships" name="Ennemis_boss" sheetId="10" r:id="Rdfe938068c294a74"/>
    <x:sheet xmlns:r="http://schemas.openxmlformats.org/officeDocument/2006/relationships" name="Missions" sheetId="11" r:id="Rdf8c32b5d6324e61"/>
    <x:sheet xmlns:r="http://schemas.openxmlformats.org/officeDocument/2006/relationships" name="Secondaires_DLC" sheetId="12" r:id="R6b3ab8c5fa834094"/>
    <x:sheet xmlns:r="http://schemas.openxmlformats.org/officeDocument/2006/relationships" name="Choix_relations" sheetId="13" r:id="R1b505dad68f34db5"/>
    <x:sheet xmlns:r="http://schemas.openxmlformats.org/officeDocument/2006/relationships" name="Dialogues" sheetId="14" r:id="R639c58493f514c38"/>
    <x:sheet xmlns:r="http://schemas.openxmlformats.org/officeDocument/2006/relationships" name="Cinematiques" sheetId="15" r:id="R36110b9d8f9f4b08"/>
    <x:sheet xmlns:r="http://schemas.openxmlformats.org/officeDocument/2006/relationships" name="Armes" sheetId="16" r:id="Rea60a62cbe1a4811"/>
    <x:sheet xmlns:r="http://schemas.openxmlformats.org/officeDocument/2006/relationships" name="Armures_equipement" sheetId="17" r:id="Rf6799dcebf5946b5"/>
    <x:sheet xmlns:r="http://schemas.openxmlformats.org/officeDocument/2006/relationships" name="Pouvoirs" sheetId="18" r:id="R6fa97c08bf374f75"/>
    <x:sheet xmlns:r="http://schemas.openxmlformats.org/officeDocument/2006/relationships" name="Movesets_allies" sheetId="19" r:id="Re1fc3a89d524406b"/>
    <x:sheet xmlns:r="http://schemas.openxmlformats.org/officeDocument/2006/relationships" name="Movesets_ennemis" sheetId="20" r:id="R5a9baf6215e8436a"/>
    <x:sheet xmlns:r="http://schemas.openxmlformats.org/officeDocument/2006/relationships" name="Animations" sheetId="21" r:id="Rfca32e27d0f347ac"/>
    <x:sheet xmlns:r="http://schemas.openxmlformats.org/officeDocument/2006/relationships" name="Sprites" sheetId="22" r:id="R560cd991103f4f3e"/>
    <x:sheet xmlns:r="http://schemas.openxmlformats.org/officeDocument/2006/relationships" name="VFX" sheetId="23" r:id="Ra69e9cc01c564dbf"/>
    <x:sheet xmlns:r="http://schemas.openxmlformats.org/officeDocument/2006/relationships" name="Audio" sheetId="24" r:id="Rb2a541632d654c63"/>
    <x:sheet xmlns:r="http://schemas.openxmlformats.org/officeDocument/2006/relationships" name="UI_systemes" sheetId="25" r:id="R715f0f60dca94771"/>
    <x:sheet xmlns:r="http://schemas.openxmlformats.org/officeDocument/2006/relationships" name="QA" sheetId="26" r:id="R8bf58fdd1e114d89"/>
    <x:sheet xmlns:r="http://schemas.openxmlformats.org/officeDocument/2006/relationships" name="Trilogie" sheetId="27" r:id="R1c829ed759a04ffc"/>
    <x:sheet xmlns:r="http://schemas.openxmlformats.org/officeDocument/2006/relationships" name="Guide" sheetId="28" r:id="R556999630f074b8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5d1ade263c23465d" /><Relationship Type="http://schemas.openxmlformats.org/officeDocument/2006/relationships/theme" Target="/xl/theme/theme1.xml" Id="R9aa41bafc47a4004" /><Relationship Type="http://schemas.openxmlformats.org/officeDocument/2006/relationships/sharedStrings" Target="/xl/sharedStrings.xml" Id="R063cf31fb53d407e" /><Relationship Type="http://schemas.openxmlformats.org/officeDocument/2006/relationships/worksheet" Target="/xl/worksheets/sheet1.xml" Id="R82ea26ffe13d4244" /><Relationship Type="http://schemas.openxmlformats.org/officeDocument/2006/relationships/worksheet" Target="/xl/worksheets/sheet2.xml" Id="R2cc8f841b9e249a6" /><Relationship Type="http://schemas.openxmlformats.org/officeDocument/2006/relationships/worksheet" Target="/xl/worksheets/sheet3.xml" Id="Rf893af9c71ce40e1" /><Relationship Type="http://schemas.openxmlformats.org/officeDocument/2006/relationships/worksheet" Target="/xl/worksheets/sheet4.xml" Id="R343e961576e94739" /><Relationship Type="http://schemas.openxmlformats.org/officeDocument/2006/relationships/worksheet" Target="/xl/worksheets/sheet5.xml" Id="R9f6b8c5c27d24a05" /><Relationship Type="http://schemas.openxmlformats.org/officeDocument/2006/relationships/worksheet" Target="/xl/worksheets/sheet6.xml" Id="R808aa329d0d04c7f" /><Relationship Type="http://schemas.openxmlformats.org/officeDocument/2006/relationships/worksheet" Target="/xl/worksheets/sheet7.xml" Id="R10cb06350f7043b3" /><Relationship Type="http://schemas.openxmlformats.org/officeDocument/2006/relationships/worksheet" Target="/xl/worksheets/sheet8.xml" Id="R3a7d0b5fc0aa4a87" /><Relationship Type="http://schemas.openxmlformats.org/officeDocument/2006/relationships/worksheet" Target="/xl/worksheets/sheet9.xml" Id="R11fb923a50124964" /><Relationship Type="http://schemas.openxmlformats.org/officeDocument/2006/relationships/worksheet" Target="/xl/worksheets/sheet10.xml" Id="Rdfe938068c294a74" /><Relationship Type="http://schemas.openxmlformats.org/officeDocument/2006/relationships/worksheet" Target="/xl/worksheets/sheet11.xml" Id="Rdf8c32b5d6324e61" /><Relationship Type="http://schemas.openxmlformats.org/officeDocument/2006/relationships/worksheet" Target="/xl/worksheets/sheet12.xml" Id="R6b3ab8c5fa834094" /><Relationship Type="http://schemas.openxmlformats.org/officeDocument/2006/relationships/worksheet" Target="/xl/worksheets/sheet13.xml" Id="R1b505dad68f34db5" /><Relationship Type="http://schemas.openxmlformats.org/officeDocument/2006/relationships/worksheet" Target="/xl/worksheets/sheet14.xml" Id="R639c58493f514c38" /><Relationship Type="http://schemas.openxmlformats.org/officeDocument/2006/relationships/worksheet" Target="/xl/worksheets/sheet15.xml" Id="R36110b9d8f9f4b08" /><Relationship Type="http://schemas.openxmlformats.org/officeDocument/2006/relationships/worksheet" Target="/xl/worksheets/sheet16.xml" Id="Rea60a62cbe1a4811" /><Relationship Type="http://schemas.openxmlformats.org/officeDocument/2006/relationships/worksheet" Target="/xl/worksheets/sheet17.xml" Id="Rf6799dcebf5946b5" /><Relationship Type="http://schemas.openxmlformats.org/officeDocument/2006/relationships/worksheet" Target="/xl/worksheets/sheet18.xml" Id="R6fa97c08bf374f75" /><Relationship Type="http://schemas.openxmlformats.org/officeDocument/2006/relationships/worksheet" Target="/xl/worksheets/sheet19.xml" Id="Re1fc3a89d524406b" /><Relationship Type="http://schemas.openxmlformats.org/officeDocument/2006/relationships/worksheet" Target="/xl/worksheets/sheet20.xml" Id="R5a9baf6215e8436a" /><Relationship Type="http://schemas.openxmlformats.org/officeDocument/2006/relationships/worksheet" Target="/xl/worksheets/sheet21.xml" Id="Rfca32e27d0f347ac" /><Relationship Type="http://schemas.openxmlformats.org/officeDocument/2006/relationships/worksheet" Target="/xl/worksheets/sheet22.xml" Id="R560cd991103f4f3e" /><Relationship Type="http://schemas.openxmlformats.org/officeDocument/2006/relationships/worksheet" Target="/xl/worksheets/sheet23.xml" Id="Ra69e9cc01c564dbf" /><Relationship Type="http://schemas.openxmlformats.org/officeDocument/2006/relationships/worksheet" Target="/xl/worksheets/sheet24.xml" Id="Rb2a541632d654c63" /><Relationship Type="http://schemas.openxmlformats.org/officeDocument/2006/relationships/worksheet" Target="/xl/worksheets/sheet25.xml" Id="R715f0f60dca94771" /><Relationship Type="http://schemas.openxmlformats.org/officeDocument/2006/relationships/worksheet" Target="/xl/worksheets/sheet26.xml" Id="R8bf58fdd1e114d89" /><Relationship Type="http://schemas.openxmlformats.org/officeDocument/2006/relationships/worksheet" Target="/xl/worksheets/sheet27.xml" Id="R1c829ed759a04ffc" /><Relationship Type="http://schemas.openxmlformats.org/officeDocument/2006/relationships/worksheet" Target="/xl/worksheets/sheet28.xml" Id="R556999630f074b8f"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68" headerRowCount="1" totalsRowCount="0" totalsRowShown="0">
  <x:autoFilter ref="A6:Q6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30" headerRowCount="1" totalsRowCount="0" totalsRowShown="0">
  <x:autoFilter ref="A6:Q3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46" headerRowCount="1" totalsRowCount="0" totalsRowShown="0">
  <x:autoFilter ref="A6:Q4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3" headerRowCount="1" totalsRowCount="0" totalsRowShown="0">
  <x:autoFilter ref="A6:Q8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46" headerRowCount="1" totalsRowCount="0" totalsRowShown="0">
  <x:autoFilter ref="A6:Q4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c0edeedd18584213" /></Relationships>
</file>

<file path=xl/worksheets/_rels/sheet3.xml.rels>&#65279;<?xml version="1.0" encoding="utf-8"?><Relationships xmlns="http://schemas.openxmlformats.org/package/2006/relationships"><Relationship Type="http://schemas.openxmlformats.org/officeDocument/2006/relationships/table" Target="/xl/tables/table2.xml" Id="R638390cc600a40ec" /></Relationships>
</file>

<file path=xl/worksheets/_rels/sheet4.xml.rels>&#65279;<?xml version="1.0" encoding="utf-8"?><Relationships xmlns="http://schemas.openxmlformats.org/package/2006/relationships"><Relationship Type="http://schemas.openxmlformats.org/officeDocument/2006/relationships/table" Target="/xl/tables/table3.xml" Id="R01924d1ac2394419" /></Relationships>
</file>

<file path=xl/worksheets/_rels/sheet5.xml.rels>&#65279;<?xml version="1.0" encoding="utf-8"?><Relationships xmlns="http://schemas.openxmlformats.org/package/2006/relationships"><Relationship Type="http://schemas.openxmlformats.org/officeDocument/2006/relationships/table" Target="/xl/tables/table4.xml" Id="Ree99d964816f4e48" /></Relationships>
</file>

<file path=xl/worksheets/_rels/sheet6.xml.rels>&#65279;<?xml version="1.0" encoding="utf-8"?><Relationships xmlns="http://schemas.openxmlformats.org/package/2006/relationships"><Relationship Type="http://schemas.openxmlformats.org/officeDocument/2006/relationships/table" Target="/xl/tables/table5.xml" Id="Ra7226cd81cca4b56" /></Relationships>
</file>

<file path=xl/worksheets/_rels/sheet7.xml.rels>&#65279;<?xml version="1.0" encoding="utf-8"?><Relationships xmlns="http://schemas.openxmlformats.org/package/2006/relationships"><Relationship Type="http://schemas.openxmlformats.org/officeDocument/2006/relationships/table" Target="/xl/tables/table6.xml" Id="Rc15bfdf1dda44eb7" /></Relationships>
</file>

<file path=xl/worksheets/_rels/sheet8.xml.rels>&#65279;<?xml version="1.0" encoding="utf-8"?><Relationships xmlns="http://schemas.openxmlformats.org/package/2006/relationships"><Relationship Type="http://schemas.openxmlformats.org/officeDocument/2006/relationships/table" Target="/xl/tables/table7.xml" Id="R9c84497436624cc7" /></Relationships>
</file>

<file path=xl/worksheets/_rels/sheet9.xml.rels>&#65279;<?xml version="1.0" encoding="utf-8"?><Relationships xmlns="http://schemas.openxmlformats.org/package/2006/relationships"><Relationship Type="http://schemas.openxmlformats.org/officeDocument/2006/relationships/table" Target="/xl/tables/table8.xml" Id="R44e7382a74414dc5" /></Relationships>
</file>

<file path=xl/worksheets/_rels/sheet10.xml.rels>&#65279;<?xml version="1.0" encoding="utf-8"?><Relationships xmlns="http://schemas.openxmlformats.org/package/2006/relationships"><Relationship Type="http://schemas.openxmlformats.org/officeDocument/2006/relationships/table" Target="/xl/tables/table9.xml" Id="R9d04347ec22b4c8d" /></Relationships>
</file>

<file path=xl/worksheets/_rels/sheet11.xml.rels>&#65279;<?xml version="1.0" encoding="utf-8"?><Relationships xmlns="http://schemas.openxmlformats.org/package/2006/relationships"><Relationship Type="http://schemas.openxmlformats.org/officeDocument/2006/relationships/table" Target="/xl/tables/table10.xml" Id="R4fcc495132f44369" /></Relationships>
</file>

<file path=xl/worksheets/_rels/sheet12.xml.rels>&#65279;<?xml version="1.0" encoding="utf-8"?><Relationships xmlns="http://schemas.openxmlformats.org/package/2006/relationships"><Relationship Type="http://schemas.openxmlformats.org/officeDocument/2006/relationships/table" Target="/xl/tables/table11.xml" Id="R227fc8aef98a442f" /></Relationships>
</file>

<file path=xl/worksheets/_rels/sheet13.xml.rels>&#65279;<?xml version="1.0" encoding="utf-8"?><Relationships xmlns="http://schemas.openxmlformats.org/package/2006/relationships"><Relationship Type="http://schemas.openxmlformats.org/officeDocument/2006/relationships/table" Target="/xl/tables/table12.xml" Id="Rfa15fafef1284f72" /></Relationships>
</file>

<file path=xl/worksheets/_rels/sheet14.xml.rels>&#65279;<?xml version="1.0" encoding="utf-8"?><Relationships xmlns="http://schemas.openxmlformats.org/package/2006/relationships"><Relationship Type="http://schemas.openxmlformats.org/officeDocument/2006/relationships/table" Target="/xl/tables/table13.xml" Id="R8e75cc9406f948d8" /></Relationships>
</file>

<file path=xl/worksheets/_rels/sheet15.xml.rels>&#65279;<?xml version="1.0" encoding="utf-8"?><Relationships xmlns="http://schemas.openxmlformats.org/package/2006/relationships"><Relationship Type="http://schemas.openxmlformats.org/officeDocument/2006/relationships/table" Target="/xl/tables/table14.xml" Id="Rf36d5b5662794b9c" /></Relationships>
</file>

<file path=xl/worksheets/_rels/sheet16.xml.rels>&#65279;<?xml version="1.0" encoding="utf-8"?><Relationships xmlns="http://schemas.openxmlformats.org/package/2006/relationships"><Relationship Type="http://schemas.openxmlformats.org/officeDocument/2006/relationships/table" Target="/xl/tables/table15.xml" Id="R40b87112642f4096" /></Relationships>
</file>

<file path=xl/worksheets/_rels/sheet17.xml.rels>&#65279;<?xml version="1.0" encoding="utf-8"?><Relationships xmlns="http://schemas.openxmlformats.org/package/2006/relationships"><Relationship Type="http://schemas.openxmlformats.org/officeDocument/2006/relationships/table" Target="/xl/tables/table16.xml" Id="Re62c859a3b014bb9" /></Relationships>
</file>

<file path=xl/worksheets/_rels/sheet18.xml.rels>&#65279;<?xml version="1.0" encoding="utf-8"?><Relationships xmlns="http://schemas.openxmlformats.org/package/2006/relationships"><Relationship Type="http://schemas.openxmlformats.org/officeDocument/2006/relationships/table" Target="/xl/tables/table17.xml" Id="Ra28070204a544417" /></Relationships>
</file>

<file path=xl/worksheets/_rels/sheet19.xml.rels>&#65279;<?xml version="1.0" encoding="utf-8"?><Relationships xmlns="http://schemas.openxmlformats.org/package/2006/relationships"><Relationship Type="http://schemas.openxmlformats.org/officeDocument/2006/relationships/table" Target="/xl/tables/table18.xml" Id="Raa45d9f514b643d0" /></Relationships>
</file>

<file path=xl/worksheets/_rels/sheet20.xml.rels>&#65279;<?xml version="1.0" encoding="utf-8"?><Relationships xmlns="http://schemas.openxmlformats.org/package/2006/relationships"><Relationship Type="http://schemas.openxmlformats.org/officeDocument/2006/relationships/table" Target="/xl/tables/table19.xml" Id="Rc62e60e520f44302" /></Relationships>
</file>

<file path=xl/worksheets/_rels/sheet21.xml.rels>&#65279;<?xml version="1.0" encoding="utf-8"?><Relationships xmlns="http://schemas.openxmlformats.org/package/2006/relationships"><Relationship Type="http://schemas.openxmlformats.org/officeDocument/2006/relationships/table" Target="/xl/tables/table20.xml" Id="Rb8ed5f78a69d4f82" /></Relationships>
</file>

<file path=xl/worksheets/_rels/sheet22.xml.rels>&#65279;<?xml version="1.0" encoding="utf-8"?><Relationships xmlns="http://schemas.openxmlformats.org/package/2006/relationships"><Relationship Type="http://schemas.openxmlformats.org/officeDocument/2006/relationships/table" Target="/xl/tables/table21.xml" Id="R19d7e1e8225e4436" /></Relationships>
</file>

<file path=xl/worksheets/_rels/sheet23.xml.rels>&#65279;<?xml version="1.0" encoding="utf-8"?><Relationships xmlns="http://schemas.openxmlformats.org/package/2006/relationships"><Relationship Type="http://schemas.openxmlformats.org/officeDocument/2006/relationships/table" Target="/xl/tables/table22.xml" Id="R1a523296c0ac404f" /></Relationships>
</file>

<file path=xl/worksheets/_rels/sheet24.xml.rels>&#65279;<?xml version="1.0" encoding="utf-8"?><Relationships xmlns="http://schemas.openxmlformats.org/package/2006/relationships"><Relationship Type="http://schemas.openxmlformats.org/officeDocument/2006/relationships/table" Target="/xl/tables/table23.xml" Id="R06a1e2f14920448e" /></Relationships>
</file>

<file path=xl/worksheets/_rels/sheet25.xml.rels>&#65279;<?xml version="1.0" encoding="utf-8"?><Relationships xmlns="http://schemas.openxmlformats.org/package/2006/relationships"><Relationship Type="http://schemas.openxmlformats.org/officeDocument/2006/relationships/table" Target="/xl/tables/table24.xml" Id="R188d3e8b078c4e7f" /></Relationships>
</file>

<file path=xl/worksheets/_rels/sheet26.xml.rels>&#65279;<?xml version="1.0" encoding="utf-8"?><Relationships xmlns="http://schemas.openxmlformats.org/package/2006/relationships"><Relationship Type="http://schemas.openxmlformats.org/officeDocument/2006/relationships/table" Target="/xl/tables/table25.xml" Id="Rd24b562345fd4f95" /></Relationships>
</file>

<file path=xl/worksheets/_rels/sheet27.xml.rels>&#65279;<?xml version="1.0" encoding="utf-8"?><Relationships xmlns="http://schemas.openxmlformats.org/package/2006/relationships"><Relationship Type="http://schemas.openxmlformats.org/officeDocument/2006/relationships/table" Target="/xl/tables/table26.xml" Id="R9d0307db55c9421a"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1203</x:v>
      </x:c>
      <x:c r="C5" s="2"/>
      <x:c r="D5" s="2" t="str">
        <x:v>Intégrés</x:v>
      </x:c>
      <x:c r="E5" s="21" t="n">
        <x:f>SUM(E10:F35)</x:f>
        <x:v>6</x:v>
      </x:c>
      <x:c r="F5" s="2"/>
      <x:c r="G5" s="2" t="str">
        <x:v>Références à vérifier</x:v>
      </x:c>
      <x:c r="H5" s="21" t="n">
        <x:f>SUM(H10:H35)</x:f>
        <x:v>532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57</x:v>
      </x:c>
      <x:c r="D11" s="27" t="n">
        <x:f>COUNTIFS('PNJ'!$C$7:$C$72,"Prototype")</x:f>
        <x:v>9</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COUNTA('Ennemis_boss'!$A$7:$A$41)</x:f>
        <x:v>35</x:v>
      </x:c>
      <x:c r="C18" s="26" t="n">
        <x:f>COUNTIFS('Ennemis_boss'!$C$7:$C$41,"Défini")</x:f>
        <x:v>31</x:v>
      </x:c>
      <x:c r="D18" s="26" t="n">
        <x:f>COUNTIFS('Ennemis_boss'!$C$7:$C$41,"Prototype")</x:f>
        <x:v>4</x:v>
      </x:c>
      <x:c r="E18" s="26" t="n">
        <x:f>COUNTIFS('Ennemis_boss'!$C$7:$C$41,"Intégré")</x:f>
        <x:v>0</x:v>
      </x:c>
      <x:c r="F18" s="26" t="n">
        <x:f>COUNTIFS('Ennemis_boss'!$C$7:$C$41,"Validé")</x:f>
        <x:v>0</x:v>
      </x:c>
      <x:c r="G18" s="26" t="n">
        <x:f>COUNTIFS('Ennemis_boss'!$G$7:$G$41,"Confirmé")</x:f>
        <x:v>0</x:v>
      </x:c>
      <x:c r="H18" s="26" t="n">
        <x:f>COUNTIFS('Ennemis_boss'!$G$7:$G$41,"Référence à vérifier")</x:f>
        <x:v>35</x:v>
      </x:c>
      <x:c r="I18" s="26" t="n">
        <x:f>COUNTIFS('Ennemis_boss'!$G$7:$G$41,"Adaptation")</x:f>
        <x:v>0</x:v>
      </x:c>
      <x:c r="J18" s="26" t="n">
        <x:f>COUNTIFS('Ennemis_boss'!$F$7:$F$41,"ME1")</x:f>
        <x:v>35</x:v>
      </x:c>
      <x:c r="K18" s="26" t="n">
        <x:f>COUNTIFS('Ennemis_boss'!$P$7:$P$41,"Extension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COUNTA('Secondaires_DLC'!$A$7:$A$68)</x:f>
        <x:v>62</x:v>
      </x:c>
      <x:c r="C20" s="26" t="n">
        <x:f>COUNTIFS('Secondaires_DLC'!$C$7:$C$68,"Défini")</x:f>
        <x:v>59</x:v>
      </x:c>
      <x:c r="D20" s="26" t="n">
        <x:f>COUNTIFS('Secondaires_DLC'!$C$7:$C$68,"Prototype")</x:f>
        <x:v>3</x:v>
      </x:c>
      <x:c r="E20" s="26" t="n">
        <x:f>COUNTIFS('Secondaires_DLC'!$C$7:$C$68,"Intégré")</x:f>
        <x:v>0</x:v>
      </x:c>
      <x:c r="F20" s="26" t="n">
        <x:f>COUNTIFS('Secondaires_DLC'!$C$7:$C$68,"Validé")</x:f>
        <x:v>0</x:v>
      </x:c>
      <x:c r="G20" s="26" t="n">
        <x:f>COUNTIFS('Secondaires_DLC'!$G$7:$G$68,"Confirmé")</x:f>
        <x:v>0</x:v>
      </x:c>
      <x:c r="H20" s="26" t="n">
        <x:f>COUNTIFS('Secondaires_DLC'!$G$7:$G$68,"Référence à vérifier")</x:f>
        <x:v>62</x:v>
      </x:c>
      <x:c r="I20" s="26" t="n">
        <x:f>COUNTIFS('Secondaires_DLC'!$G$7:$G$68,"Adaptation")</x:f>
        <x:v>0</x:v>
      </x:c>
      <x:c r="J20" s="26" t="n">
        <x:f>COUNTIFS('Secondaires_DLC'!$F$7:$F$68,"ME1")</x:f>
        <x:v>62</x:v>
      </x:c>
      <x:c r="K20" s="26" t="n">
        <x:f>COUNTIFS('Secondaires_DLC'!$P$7:$P$68,"Extension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COUNTA('Armes'!$A$7:$A$30)</x:f>
        <x:v>24</x:v>
      </x:c>
      <x:c r="C24" s="26" t="n">
        <x:f>COUNTIFS('Armes'!$C$7:$C$30,"Défini")</x:f>
        <x:v>24</x:v>
      </x:c>
      <x:c r="D24" s="26" t="n">
        <x:f>COUNTIFS('Armes'!$C$7:$C$30,"Prototype")</x:f>
        <x:v>0</x:v>
      </x:c>
      <x:c r="E24" s="26" t="n">
        <x:f>COUNTIFS('Armes'!$C$7:$C$30,"Intégré")</x:f>
        <x:v>0</x:v>
      </x:c>
      <x:c r="F24" s="26" t="n">
        <x:f>COUNTIFS('Armes'!$C$7:$C$30,"Validé")</x:f>
        <x:v>0</x:v>
      </x:c>
      <x:c r="G24" s="26" t="n">
        <x:f>COUNTIFS('Armes'!$G$7:$G$30,"Confirmé")</x:f>
        <x:v>0</x:v>
      </x:c>
      <x:c r="H24" s="26" t="n">
        <x:f>COUNTIFS('Armes'!$G$7:$G$30,"Référence à vérifier")</x:f>
        <x:v>24</x:v>
      </x:c>
      <x:c r="I24" s="26" t="n">
        <x:f>COUNTIFS('Armes'!$G$7:$G$30,"Adaptation")</x:f>
        <x:v>0</x:v>
      </x:c>
      <x:c r="J24" s="26" t="n">
        <x:f>COUNTIFS('Armes'!$F$7:$F$30,"ME1")</x:f>
        <x:v>24</x:v>
      </x:c>
      <x:c r="K24" s="26" t="n">
        <x:f>COUNTIFS('Armes'!$P$7:$P$30,"Extension future")</x:f>
        <x:v>0</x:v>
      </x:c>
    </x:row>
    <x:row r="25" ht="22" customHeight="1">
      <x:c r="A25" s="2" t="str">
        <x:v>Armures et équipement</x:v>
      </x:c>
      <x:c r="B25" s="27" t="n">
        <x:f>COUNTA('Armures_equipement'!$A$7:$A$32)</x:f>
        <x:v>26</x:v>
      </x:c>
      <x:c r="C25" s="27" t="n">
        <x:f>COUNTIFS('Armures_equipement'!$C$7:$C$32,"Défini")</x:f>
        <x:v>26</x:v>
      </x:c>
      <x:c r="D25" s="27" t="n">
        <x:f>COUNTIFS('Armures_equipement'!$C$7:$C$32,"Prototype")</x:f>
        <x:v>0</x:v>
      </x:c>
      <x:c r="E25" s="27" t="n">
        <x:f>COUNTIFS('Armures_equipement'!$C$7:$C$32,"Intégré")</x:f>
        <x:v>0</x:v>
      </x:c>
      <x:c r="F25" s="27" t="n">
        <x:f>COUNTIFS('Armures_equipement'!$C$7:$C$32,"Validé")</x:f>
        <x:v>0</x:v>
      </x:c>
      <x:c r="G25" s="27" t="n">
        <x:f>COUNTIFS('Armures_equipement'!$G$7:$G$32,"Confirmé")</x:f>
        <x:v>0</x:v>
      </x:c>
      <x:c r="H25" s="27" t="n">
        <x:f>COUNTIFS('Armures_equipement'!$G$7:$G$32,"Référence à vérifier")</x:f>
        <x:v>26</x:v>
      </x:c>
      <x:c r="I25" s="27" t="n">
        <x:f>COUNTIFS('Armures_equipement'!$G$7:$G$32,"Adaptation")</x:f>
        <x:v>0</x:v>
      </x:c>
      <x:c r="J25" s="27" t="n">
        <x:f>COUNTIFS('Armures_equipement'!$F$7:$F$32,"ME1")</x:f>
        <x:v>26</x:v>
      </x:c>
      <x:c r="K25" s="27" t="n">
        <x:f>COUNTIFS('Armures_equipement'!$P$7:$P$32,"Extension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COUNTA('Animations'!$A$7:$A$46)</x:f>
        <x:v>40</x:v>
      </x:c>
      <x:c r="C29" s="27" t="n">
        <x:f>COUNTIFS('Animations'!$C$7:$C$46,"Défini")</x:f>
        <x:v>39</x:v>
      </x:c>
      <x:c r="D29" s="27" t="n">
        <x:f>COUNTIFS('Animations'!$C$7:$C$46,"Prototype")</x:f>
        <x:v>1</x:v>
      </x:c>
      <x:c r="E29" s="27" t="n">
        <x:f>COUNTIFS('Animations'!$C$7:$C$46,"Intégré")</x:f>
        <x:v>0</x:v>
      </x:c>
      <x:c r="F29" s="27" t="n">
        <x:f>COUNTIFS('Animations'!$C$7:$C$46,"Validé")</x:f>
        <x:v>0</x:v>
      </x:c>
      <x:c r="G29" s="27" t="n">
        <x:f>COUNTIFS('Animations'!$G$7:$G$46,"Confirmé")</x:f>
        <x:v>0</x:v>
      </x:c>
      <x:c r="H29" s="27" t="n">
        <x:f>COUNTIFS('Animations'!$G$7:$G$46,"Référence à vérifier")</x:f>
        <x:v>0</x:v>
      </x:c>
      <x:c r="I29" s="27" t="n">
        <x:f>COUNTIFS('Animations'!$G$7:$G$46,"Adaptation")</x:f>
        <x:v>40</x:v>
      </x:c>
      <x:c r="J29" s="27" t="n">
        <x:f>COUNTIFS('Animations'!$F$7:$F$46,"ME1")</x:f>
        <x:v>40</x:v>
      </x:c>
      <x:c r="K29" s="27" t="n">
        <x:f>COUNTIFS('Animations'!$P$7:$P$46,"Extension future")</x:f>
        <x:v>0</x:v>
      </x:c>
    </x:row>
    <x:row r="30" ht="22" customHeight="1">
      <x:c r="A30" s="22" t="str">
        <x:v>Sprites</x:v>
      </x:c>
      <x:c r="B30" s="26" t="n">
        <x:f>COUNTA('Sprites'!$A$7:$A$83)</x:f>
        <x:v>77</x:v>
      </x:c>
      <x:c r="C30" s="26" t="n">
        <x:f>COUNTIFS('Sprites'!$C$7:$C$83,"Défini")</x:f>
        <x:v>42</x:v>
      </x:c>
      <x:c r="D30" s="26" t="n">
        <x:f>COUNTIFS('Sprites'!$C$7:$C$83,"Prototype")</x:f>
        <x:v>35</x:v>
      </x:c>
      <x:c r="E30" s="26" t="n">
        <x:f>COUNTIFS('Sprites'!$C$7:$C$83,"Intégré")</x:f>
        <x:v>0</x:v>
      </x:c>
      <x:c r="F30" s="26" t="n">
        <x:f>COUNTIFS('Sprites'!$C$7:$C$83,"Validé")</x:f>
        <x:v>0</x:v>
      </x:c>
      <x:c r="G30" s="26" t="n">
        <x:f>COUNTIFS('Sprites'!$G$7:$G$83,"Confirmé")</x:f>
        <x:v>0</x:v>
      </x:c>
      <x:c r="H30" s="26" t="n">
        <x:f>COUNTIFS('Sprites'!$G$7:$G$83,"Référence à vérifier")</x:f>
        <x:v>0</x:v>
      </x:c>
      <x:c r="I30" s="26" t="n">
        <x:f>COUNTIFS('Sprites'!$G$7:$G$83,"Adaptation")</x:f>
        <x:v>77</x:v>
      </x:c>
      <x:c r="J30" s="26" t="n">
        <x:f>COUNTIFS('Sprites'!$F$7:$F$83,"ME1")</x:f>
        <x:v>77</x:v>
      </x:c>
      <x:c r="K30" s="26" t="n">
        <x:f>COUNTIFS('Sprites'!$P$7:$P$83,"Extension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COUNTA('UI_systemes'!$A$7:$A$46)</x:f>
        <x:v>40</x:v>
      </x:c>
      <x:c r="C33" s="27" t="n">
        <x:f>COUNTIFS('UI_systemes'!$C$7:$C$46,"Défini")</x:f>
        <x:v>10</x:v>
      </x:c>
      <x:c r="D33" s="27" t="n">
        <x:f>COUNTIFS('UI_systemes'!$C$7:$C$46,"Prototype")</x:f>
        <x:v>27</x:v>
      </x:c>
      <x:c r="E33" s="27" t="n">
        <x:f>COUNTIFS('UI_systemes'!$C$7:$C$46,"Intégré")</x:f>
        <x:v>0</x:v>
      </x:c>
      <x:c r="F33" s="27" t="n">
        <x:f>COUNTIFS('UI_systemes'!$C$7:$C$46,"Validé")</x:f>
        <x:v>3</x:v>
      </x:c>
      <x:c r="G33" s="27" t="n">
        <x:f>COUNTIFS('UI_systemes'!$G$7:$G$46,"Confirmé")</x:f>
        <x:v>0</x:v>
      </x:c>
      <x:c r="H33" s="27" t="n">
        <x:f>COUNTIFS('UI_systemes'!$G$7:$G$46,"Référence à vérifier")</x:f>
        <x:v>0</x:v>
      </x:c>
      <x:c r="I33" s="27" t="n">
        <x:f>COUNTIFS('UI_systemes'!$G$7:$G$46,"Adaptation")</x:f>
        <x:v>40</x:v>
      </x:c>
      <x:c r="J33" s="27" t="n">
        <x:f>COUNTIFS('UI_systemes'!$F$7:$F$46,"ME1")</x:f>
        <x:v>40</x:v>
      </x:c>
      <x:c r="K33" s="27" t="n">
        <x:f>COUNTIFS('UI_systemes'!$P$7:$P$46,"Extension future")</x:f>
        <x:v>0</x:v>
      </x:c>
    </x:row>
    <x:row r="34" ht="22" customHeight="1">
      <x:c r="A34" s="22" t="str">
        <x:v>QA</x:v>
      </x:c>
      <x:c r="B34" s="26" t="n">
        <x:f>COUNTA('QA'!$A$7:$A$58)</x:f>
        <x:v>52</x:v>
      </x:c>
      <x:c r="C34" s="26" t="n">
        <x:f>COUNTIFS('QA'!$C$7:$C$58,"Défini")</x:f>
        <x:v>52</x:v>
      </x:c>
      <x:c r="D34" s="26" t="n">
        <x:f>COUNTIFS('QA'!$C$7:$C$58,"Prototype")</x:f>
        <x:v>0</x:v>
      </x:c>
      <x:c r="E34" s="26" t="n">
        <x:f>COUNTIFS('QA'!$C$7:$C$58,"Intégré")</x:f>
        <x:v>0</x:v>
      </x:c>
      <x:c r="F34" s="26" t="n">
        <x:f>COUNTIFS('QA'!$C$7:$C$58,"Validé")</x:f>
        <x:v>0</x:v>
      </x:c>
      <x:c r="G34" s="26" t="n">
        <x:f>COUNTIFS('QA'!$G$7:$G$58,"Confirmé")</x:f>
        <x:v>0</x:v>
      </x:c>
      <x:c r="H34" s="26" t="n">
        <x:f>COUNTIFS('QA'!$G$7:$G$58,"Référence à vérifier")</x:f>
        <x:v>0</x:v>
      </x:c>
      <x:c r="I34" s="26" t="n">
        <x:f>COUNTIFS('QA'!$G$7:$G$58,"Adaptation")</x:f>
        <x:v>52</x:v>
      </x:c>
      <x:c r="J34" s="26" t="n">
        <x:f>COUNTIFS('QA'!$F$7:$F$58,"ME1")</x:f>
        <x:v>52</x:v>
      </x:c>
      <x:c r="K34" s="26" t="n">
        <x:f>COUNTIFS('QA'!$P$7:$P$58,"Extension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1203</x:v>
      </x:c>
      <x:c r="C37" s="28" t="n">
        <x:f>SUM(C10:C35)</x:f>
        <x:v>1048</x:v>
      </x:c>
      <x:c r="D37" s="28" t="n">
        <x:f>SUM(D10:D35)</x:f>
        <x:v>149</x:v>
      </x:c>
      <x:c r="E37" s="28" t="n">
        <x:f>SUM(E10:E35)</x:f>
        <x:v>3</x:v>
      </x:c>
      <x:c r="F37" s="28" t="n">
        <x:f>SUM(F10:F35)</x:f>
        <x:v>3</x:v>
      </x:c>
      <x:c r="G37" s="28" t="n">
        <x:f>SUM(G10:G35)</x:f>
        <x:v>15</x:v>
      </x:c>
      <x:c r="H37" s="28" t="n">
        <x:f>SUM(H10:H35)</x:f>
        <x:v>532</x:v>
      </x:c>
      <x:c r="I37" s="28" t="n">
        <x:f>SUM(I10:I35)</x:f>
        <x:v>656</x:v>
      </x:c>
      <x:c r="J37" s="28" t="n">
        <x:f>SUM(J10:J35)</x:f>
        <x:v>1146</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00"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Apparence masculine/féminine, origine et profil psychologique sélectionnables et persistés dans src/commander.js et src/state.js. Portraits et sprites cohérents en exploration et combat après reprise/import. Variante féminine statique ; marche masculine de 16 images / 4 directions. Réactions narratives aux antécédents, créateur facial, huit directions, costumes et fidélité artistique finale restent à produire ou vérifier. Tests : tests/commander.test.js, tests/commander-world.test.js, scripts/commander-browser.mjs.</x:v>
      </x:c>
    </x:row>
    <x:row r="8" ht="49"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x:v>
      </x:c>
    </x:row>
    <x:row r="9" ht="49"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x:v>
      </x:c>
    </x:row>
    <x:row r="10" ht="49"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x:v>
      </x:c>
    </x:row>
    <x:row r="11" ht="49"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x:v>
      </x:c>
    </x:row>
    <x:row r="12" ht="49"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x:v>
      </x:c>
    </x:row>
    <x:row r="13" ht="49"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x:v>
      </x:c>
    </x:row>
    <x:row r="14" ht="49"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c0edeedd18584213"/>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Défini</x:v>
      </x:c>
      <x:c r="D27" s="11" t="str">
        <x:v>Prototype</x:v>
      </x:c>
      <x:c r="E27" s="15" t="str">
        <x:v>P1</x:v>
      </x:c>
      <x:c r="F27" s="15" t="str">
        <x:v>ME1</x:v>
      </x:c>
      <x:c r="G27" s="15" t="str">
        <x:v>Référence à vérifier</x:v>
      </x:c>
      <x:c r="H27" s="14" t="str">
        <x:v>Journaliste proposant une enquête.</x:v>
      </x:c>
      <x:c r="I27" s="14" t="str">
        <x:v>Remise de données liée aux missions.</x:v>
      </x:c>
      <x:c r="J27" s="14" t="str"/>
      <x:c r="K27" s="14" t="str">
        <x:v>content/npcs/NPC-emily-wong.json</x:v>
      </x:c>
      <x:c r="L27" s="14" t="str">
        <x:v>public/assets/npc-atlas.png</x:v>
      </x:c>
      <x:c r="M27" s="14" t="str">
        <x:v>NPC_KEYS.emily</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Atlas 4 × 2, ligne 2, colonne 4. Image présente dans l’atlas ; aucune présence de scène contrôlée. Costume, visage, dialogues et animations complets à vérifier ou produire.</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638390cc600a40ec"/>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01924d1ac2394419"/>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ee99d964816f4e48"/>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a7226cd81cca4b56"/>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c15bfdf1dda44eb7"/>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9c84497436624cc7"/>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44e7382a74414dc5"/>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sheetData>
  <x:conditionalFormatting sqref="C7:C41">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1">
    <x:cfRule type="cellIs" dxfId="43" priority="4" operator="equal">
      <x:formula>"Référence à vérifier"</x:formula>
    </x:cfRule>
  </x:conditionalFormatting>
  <x:conditionalFormatting sqref="E7:E41">
    <x:cfRule type="cellIs" dxfId="4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9d04347ec22b4c8d"/>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4fcc495132f44369"/>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SIDE-citadelle-la-consort</x:v>
      </x:c>
      <x:c r="B7" s="14" t="str">
        <x:v>Citadelle La Consort</x:v>
      </x:c>
      <x:c r="C7" s="10" t="str">
        <x:v>Défini</x:v>
      </x:c>
      <x:c r="D7" s="11" t="str">
        <x:v>À produire</x:v>
      </x:c>
      <x:c r="E7" s="15" t="str">
        <x:v>P1</x:v>
      </x:c>
      <x:c r="F7" s="15" t="str">
        <x:v>ME1</x:v>
      </x:c>
      <x:c r="G7" s="15" t="str">
        <x:v>Référence à vérifier</x:v>
      </x:c>
      <x:c r="H7" s="14" t="str">
        <x:v>Résoudre les accusations contre Sha’ira.</x:v>
      </x:c>
      <x:c r="I7" s="14" t="str">
        <x:v>Branches Septimus et Xeltan reliées.</x:v>
      </x:c>
      <x:c r="J7" s="14" t="str"/>
      <x:c r="K7" s="14" t="str">
        <x:v>content/side_quests/SIDE-citadelle-la-consort.json</x:v>
      </x:c>
      <x:c r="L7" s="14" t="str"/>
      <x:c r="M7" s="14" t="str"/>
      <x:c r="N7" s="14" t="str">
        <x:v>Liste de couverture des affectations ; titres français et déclencheurs à recouper dans ME1.</x:v>
      </x:c>
      <x:c r="O7" s="14" t="str">
        <x:v>https://primagames.com/eguides/mass-effect-pc-eguide/walkthrough/spectre-assignments-noveria-and-feros/feros-assignments</x:v>
      </x:c>
      <x:c r="P7" s="14" t="str">
        <x:v>Production ME1</x:v>
      </x:c>
      <x:c r="Q7" s="14" t="str"/>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49" customHeight="1">
      <x:c r="A11" s="13" t="str">
        <x:v>SIDE-citadelle-les-veilleurs</x:v>
      </x:c>
      <x:c r="B11" s="14" t="str">
        <x:v>Citadelle Les Veilleurs</x:v>
      </x:c>
      <x:c r="C11" s="10" t="str">
        <x:v>Défini</x:v>
      </x:c>
      <x:c r="D11" s="11" t="str">
        <x:v>À produire</x:v>
      </x:c>
      <x:c r="E11" s="15" t="str">
        <x:v>P1</x:v>
      </x:c>
      <x:c r="F11" s="15" t="str">
        <x:v>ME1</x:v>
      </x:c>
      <x:c r="G11" s="15" t="str">
        <x:v>Référence à vérifier</x:v>
      </x:c>
      <x:c r="H11" s="14" t="str">
        <x:v>Scanner les Veilleurs pour Chorban.</x:v>
      </x:c>
      <x:c r="I11" s="14" t="str">
        <x:v>Comptage unique par identifiant de créature.</x:v>
      </x:c>
      <x:c r="J11" s="14" t="str"/>
      <x:c r="K11" s="14" t="str">
        <x:v>content/side_quests/SIDE-citadelle-les-veilleurs.json</x:v>
      </x:c>
      <x:c r="L11" s="14" t="str"/>
      <x:c r="M11" s="14" t="str"/>
      <x:c r="N11" s="14" t="str">
        <x:v>Liste de couverture des affectations ; titres français et déclencheurs à recouper dans ME1.</x:v>
      </x:c>
      <x:c r="O11" s="14" t="str">
        <x:v>https://primagames.com/eguides/mass-effect-pc-eguide/walkthrough/spectre-assignments-noveria-and-feros/feros-assignments</x:v>
      </x:c>
      <x:c r="P11" s="14" t="str">
        <x:v>Production ME1</x:v>
      </x:c>
      <x:c r="Q11" s="14" t="str"/>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49" customHeight="1">
      <x:c r="A14" s="12" t="str">
        <x:v>SIDE-citadelle-signal-suspect</x:v>
      </x:c>
      <x:c r="B14" s="7" t="str">
        <x:v>Citadelle Signal suspect</x:v>
      </x:c>
      <x:c r="C14" s="10" t="str">
        <x:v>Défini</x:v>
      </x:c>
      <x:c r="D14" s="11" t="str">
        <x:v>À produire</x:v>
      </x:c>
      <x:c r="E14" s="9" t="str">
        <x:v>P1</x:v>
      </x:c>
      <x:c r="F14" s="9" t="str">
        <x:v>ME1</x:v>
      </x:c>
      <x:c r="G14" s="9" t="str">
        <x:v>Référence à vérifier</x:v>
      </x:c>
      <x:c r="H14" s="7" t="str">
        <x:v>Piste d’un transfert de crédits.</x:v>
      </x:c>
      <x:c r="I14" s="7" t="str">
        <x:v>Terminaux et destination finale documentés.</x:v>
      </x:c>
      <x:c r="J14" s="7" t="str"/>
      <x:c r="K14" s="7" t="str">
        <x:v>content/side_quests/SIDE-citadelle-signal-suspect.json</x:v>
      </x:c>
      <x:c r="L14" s="7" t="str"/>
      <x:c r="M14" s="7" t="str"/>
      <x:c r="N14" s="7" t="str">
        <x:v>Liste de couverture des affectations ; titres français et déclencheurs à recouper dans ME1.</x:v>
      </x:c>
      <x:c r="O14" s="7" t="str">
        <x:v>https://primagames.com/eguides/mass-effect-pc-eguide/walkthrough/spectre-assignments-noveria-and-feros/feros-assignments</x:v>
      </x:c>
      <x:c r="P14" s="7" t="str">
        <x:v>Production ME1</x:v>
      </x:c>
      <x:c r="Q14" s="7" t="str"/>
    </x:row>
    <x:row r="15" ht="49" customHeight="1">
      <x:c r="A15" s="13" t="str">
        <x:v>SIDE-citadelle-docteur-michel</x:v>
      </x:c>
      <x:c r="B15" s="14" t="str">
        <x:v>Citadelle Docteur Michel</x:v>
      </x:c>
      <x:c r="C15" s="10" t="str">
        <x:v>Défini</x:v>
      </x:c>
      <x:c r="D15" s="11" t="str">
        <x:v>À produire</x:v>
      </x:c>
      <x:c r="E15" s="15" t="str">
        <x:v>P1</x:v>
      </x:c>
      <x:c r="F15" s="15" t="str">
        <x:v>ME1</x:v>
      </x:c>
      <x:c r="G15" s="15" t="str">
        <x:v>Référence à vérifier</x:v>
      </x:c>
      <x:c r="H15" s="14" t="str">
        <x:v>Résoudre le chantage à la clinique.</x:v>
      </x:c>
      <x:c r="I15" s="14" t="str">
        <x:v>Déblocage du service et issue du chantage.</x:v>
      </x:c>
      <x:c r="J15" s="14" t="str"/>
      <x:c r="K15" s="14" t="str">
        <x:v>content/side_quests/SIDE-citadelle-docteur-michel.json</x:v>
      </x:c>
      <x:c r="L15" s="14" t="str"/>
      <x:c r="M15" s="14" t="str"/>
      <x:c r="N15" s="14" t="str">
        <x:v>Liste de couverture des affectations ; titres français et déclencheurs à recouper dans ME1.</x:v>
      </x:c>
      <x:c r="O15" s="14" t="str">
        <x:v>https://primagames.com/eguides/mass-effect-pc-eguide/walkthrough/spectre-assignments-noveria-and-feros/feros-assignments</x:v>
      </x:c>
      <x:c r="P15" s="14" t="str">
        <x:v>Production ME1</x:v>
      </x:c>
      <x:c r="Q15" s="14" t="str"/>
    </x:row>
    <x:row r="16" ht="49" customHeight="1">
      <x:c r="A16" s="12" t="str">
        <x:v>SIDE-citadelle-demande-d-emily-wong</x:v>
      </x:c>
      <x:c r="B16" s="7" t="str">
        <x:v>Citadelle Demande d’Emily Wong</x:v>
      </x:c>
      <x:c r="C16" s="10" t="str">
        <x:v>Défini</x:v>
      </x:c>
      <x:c r="D16" s="11" t="str">
        <x:v>À produire</x:v>
      </x:c>
      <x:c r="E16" s="9" t="str">
        <x:v>P1</x:v>
      </x:c>
      <x:c r="F16" s="9" t="str">
        <x:v>ME1</x:v>
      </x:c>
      <x:c r="G16" s="9" t="str">
        <x:v>Référence à vérifier</x:v>
      </x:c>
      <x:c r="H16" s="7" t="str">
        <x:v>Obtenir des informations pour la journaliste.</x:v>
      </x:c>
      <x:c r="I16" s="7" t="str">
        <x:v>Preuves et récompense non duplicables.</x:v>
      </x:c>
      <x:c r="J16" s="7" t="str"/>
      <x:c r="K16" s="7" t="str">
        <x:v>content/side_quests/SIDE-citadelle-demande-d-emily-wong.json</x:v>
      </x:c>
      <x:c r="L16" s="7" t="str"/>
      <x:c r="M16" s="7" t="str"/>
      <x:c r="N16" s="7" t="str">
        <x:v>Liste de couverture des affectations ; titres français et déclencheurs à recouper dans ME1.</x:v>
      </x:c>
      <x:c r="O16" s="7" t="str">
        <x:v>https://primagames.com/eguides/mass-effect-pc-eguide/walkthrough/spectre-assignments-noveria-and-feros/feros-assignments</x:v>
      </x:c>
      <x:c r="P16" s="7" t="str">
        <x:v>Production ME1</x:v>
      </x:c>
      <x:c r="Q16" s="7" t="str"/>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49" customHeight="1">
      <x:c r="A25" s="13" t="str">
        <x:v>SIDE-feros-retablissement-de-l-eau</x:v>
      </x:c>
      <x:c r="B25" s="14" t="str">
        <x:v>Feros Rétablissement de l’eau</x:v>
      </x:c>
      <x:c r="C25" s="10" t="str">
        <x:v>Défini</x:v>
      </x:c>
      <x:c r="D25" s="11" t="str">
        <x:v>À produire</x:v>
      </x:c>
      <x:c r="E25" s="15" t="str">
        <x:v>P1</x:v>
      </x:c>
      <x:c r="F25" s="15" t="str">
        <x:v>ME1</x:v>
      </x:c>
      <x:c r="G25" s="15" t="str">
        <x:v>Référence à vérifier</x:v>
      </x:c>
      <x:c r="H25" s="14" t="str">
        <x:v>Activer les vannes des tunnels.</x:v>
      </x:c>
      <x:c r="I25" s="14" t="str">
        <x:v>Toutes les vannes persistantes et retour à Macha.</x:v>
      </x:c>
      <x:c r="J25" s="14" t="str"/>
      <x:c r="K25" s="14" t="str">
        <x:v>content/side_quests/SIDE-feros-retablissement-de-l-eau.json</x:v>
      </x:c>
      <x:c r="L25" s="14" t="str"/>
      <x:c r="M25" s="14" t="str"/>
      <x:c r="N25" s="14" t="str">
        <x:v>Liste de couverture des affectations ; titres français et déclencheurs à recouper dans ME1.</x:v>
      </x:c>
      <x:c r="O25" s="14" t="str">
        <x:v>https://primagames.com/eguides/mass-effect-pc-eguide/walkthrough/spectre-assignments-noveria-and-feros/feros-assignments</x:v>
      </x:c>
      <x:c r="P25" s="14" t="str">
        <x:v>Production ME1</x:v>
      </x:c>
      <x:c r="Q25" s="14" t="str"/>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49" customHeight="1">
      <x:c r="A27" s="13" t="str">
        <x:v>SIDE-feros-cellules-energetiques</x:v>
      </x:c>
      <x:c r="B27" s="14" t="str">
        <x:v>Feros Cellules énergétiques</x:v>
      </x:c>
      <x:c r="C27" s="10" t="str">
        <x:v>Défini</x:v>
      </x:c>
      <x:c r="D27" s="11" t="str">
        <x:v>À produire</x:v>
      </x:c>
      <x:c r="E27" s="15" t="str">
        <x:v>P1</x:v>
      </x:c>
      <x:c r="F27" s="15" t="str">
        <x:v>ME1</x:v>
      </x:c>
      <x:c r="G27" s="15" t="str">
        <x:v>Référence à vérifier</x:v>
      </x:c>
      <x:c r="H27" s="14" t="str">
        <x:v>Récupérer des cellules pour la colonie.</x:v>
      </x:c>
      <x:c r="I27" s="14" t="str">
        <x:v>Livraison unique à May.</x:v>
      </x:c>
      <x:c r="J27" s="14" t="str"/>
      <x:c r="K27" s="14" t="str">
        <x:v>content/side_quests/SIDE-feros-cellules-energetiques.json</x:v>
      </x:c>
      <x:c r="L27" s="14" t="str"/>
      <x:c r="M27" s="14" t="str"/>
      <x:c r="N27" s="14" t="str">
        <x:v>Liste de couverture des affectations ; titres français et déclencheurs à recouper dans ME1.</x:v>
      </x:c>
      <x:c r="O27" s="14" t="str">
        <x:v>https://primagames.com/eguides/mass-effect-pc-eguide/walkthrough/spectre-assignments-noveria-and-feros/feros-assignments</x:v>
      </x:c>
      <x:c r="P27" s="14" t="str">
        <x:v>Production ME1</x:v>
      </x:c>
      <x:c r="Q27" s="14" t="str"/>
    </x:row>
    <x:row r="28" ht="49" customHeight="1">
      <x:c r="A28" s="12" t="str">
        <x:v>SIDE-feros-geth-dans-les-tunnels</x:v>
      </x:c>
      <x:c r="B28" s="7" t="str">
        <x:v>Feros Geth dans les tunnels</x:v>
      </x:c>
      <x:c r="C28" s="10" t="str">
        <x:v>Défini</x:v>
      </x:c>
      <x:c r="D28" s="11" t="str">
        <x:v>À produire</x:v>
      </x:c>
      <x:c r="E28" s="9" t="str">
        <x:v>P1</x:v>
      </x:c>
      <x:c r="F28" s="9" t="str">
        <x:v>ME1</x:v>
      </x:c>
      <x:c r="G28" s="9" t="str">
        <x:v>Référence à vérifier</x:v>
      </x:c>
      <x:c r="H28" s="7" t="str">
        <x:v>Nettoyer une menace locale.</x:v>
      </x:c>
      <x:c r="I28" s="7" t="str">
        <x:v>Récompense séparée de l’intrigue principale.</x:v>
      </x:c>
      <x:c r="J28" s="7" t="str"/>
      <x:c r="K28" s="7" t="str">
        <x:v>content/side_quests/SIDE-feros-geth-dans-les-tunnels.json</x:v>
      </x:c>
      <x:c r="L28" s="7" t="str"/>
      <x:c r="M28" s="7" t="str"/>
      <x:c r="N28" s="7" t="str">
        <x:v>Liste de couverture des affectations ; titres français et déclencheurs à recouper dans ME1.</x:v>
      </x:c>
      <x:c r="O28" s="7" t="str">
        <x:v>https://primagames.com/eguides/mass-effect-pc-eguide/walkthrough/spectre-assignments-noveria-and-feros/feros-assignments</x:v>
      </x:c>
      <x:c r="P28" s="7" t="str">
        <x:v>Production ME1</x:v>
      </x:c>
      <x:c r="Q28" s="7" t="str"/>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sheetData>
  <x:conditionalFormatting sqref="C7:C68">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68">
    <x:cfRule type="cellIs" dxfId="53" priority="4" operator="equal">
      <x:formula>"Référence à vérifier"</x:formula>
    </x:cfRule>
  </x:conditionalFormatting>
  <x:conditionalFormatting sqref="E7:E68">
    <x:cfRule type="cellIs" dxfId="54" priority="5" operator="equal">
      <x:formula>"P0"</x:formula>
    </x:cfRule>
  </x:conditionalFormatting>
  <x:dataValidations count="5">
    <x:dataValidation type="list" sqref="C7:C68">
      <x:formula1>"Défini,Prototype,Intégré,Validé"</x:formula1>
    </x:dataValidation>
    <x:dataValidation type="list" sqref="D7:D68">
      <x:formula1>"À produire,Prototype,Disponible,Validé,Sans objet,Non planifié"</x:formula1>
    </x:dataValidation>
    <x:dataValidation type="list" sqref="E7:E68">
      <x:formula1>"P0,P1,P2"</x:formula1>
    </x:dataValidation>
    <x:dataValidation type="list" sqref="F7:F68">
      <x:formula1>"ME1,ME2,ME3"</x:formula1>
    </x:dataValidation>
    <x:dataValidation type="list" sqref="G7:G68">
      <x:formula1>"Confirmé,Référence à vérifier,Adaptation"</x:formula1>
    </x:dataValidation>
  </x:dataValidations>
  <x:pageMargins left="0.7" right="0.7" top="0.75" bottom="0.75" header="0.3" footer="0.3"/>
  <x:tableParts count="1">
    <x:tablePart xmlns:r="http://schemas.openxmlformats.org/officeDocument/2006/relationships" r:id="R227fc8aef98a442f"/>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fa15fafef1284f72"/>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8e75cc9406f948d8"/>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f36d5b5662794b9c"/>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36"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row>
    <x:row r="13" ht="36"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row>
    <x:row r="14" ht="36"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row>
    <x:row r="15" ht="36"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36"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36"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row>
    <x:row r="20" ht="36"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row>
    <x:row r="21" ht="36"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36"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sheetData>
  <x:conditionalFormatting sqref="C7:C30">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30">
    <x:cfRule type="cellIs" dxfId="73" priority="4" operator="equal">
      <x:formula>"Référence à vérifier"</x:formula>
    </x:cfRule>
  </x:conditionalFormatting>
  <x:conditionalFormatting sqref="E7:E30">
    <x:cfRule type="cellIs" dxfId="74" priority="5" operator="equal">
      <x:formula>"P0"</x:formula>
    </x:cfRule>
  </x:conditionalFormatting>
  <x:dataValidations count="5">
    <x:dataValidation type="list" sqref="C7:C30">
      <x:formula1>"Défini,Prototype,Intégré,Validé"</x:formula1>
    </x:dataValidation>
    <x:dataValidation type="list" sqref="D7:D30">
      <x:formula1>"À produire,Prototype,Disponible,Validé,Sans objet,Non planifié"</x:formula1>
    </x:dataValidation>
    <x:dataValidation type="list" sqref="E7:E30">
      <x:formula1>"P0,P1,P2"</x:formula1>
    </x:dataValidation>
    <x:dataValidation type="list" sqref="F7:F30">
      <x:formula1>"ME1,ME2,ME3"</x:formula1>
    </x:dataValidation>
    <x:dataValidation type="list" sqref="G7:G30">
      <x:formula1>"Confirmé,Référence à vérifier,Adaptation"</x:formula1>
    </x:dataValidation>
  </x:dataValidations>
  <x:pageMargins left="0.7" right="0.7" top="0.75" bottom="0.75" header="0.3" footer="0.3"/>
  <x:tableParts count="1">
    <x:tablePart xmlns:r="http://schemas.openxmlformats.org/officeDocument/2006/relationships" r:id="R40b87112642f4096"/>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36"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row>
    <x:row r="14" ht="36"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row>
    <x:row r="15" ht="36"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row>
    <x:row r="16" ht="36"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36" customHeight="1">
      <x:c r="A21" s="13" t="str">
        <x:v>EQP-omni-outil</x:v>
      </x:c>
      <x:c r="B21" s="14" t="str">
        <x:v>Omni-outil</x:v>
      </x:c>
      <x:c r="C21" s="10" t="str">
        <x:v>Défini</x:v>
      </x:c>
      <x:c r="D21" s="11" t="str">
        <x:v>À produire</x:v>
      </x:c>
      <x:c r="E21" s="15" t="str">
        <x:v>P1</x:v>
      </x:c>
      <x:c r="F21" s="15" t="str">
        <x:v>ME1</x:v>
      </x:c>
      <x:c r="G21" s="15" t="str">
        <x:v>Référence à vérifier</x:v>
      </x:c>
      <x:c r="H21" s="14" t="str">
        <x:v>Interface technologique de l’équipier.</x:v>
      </x:c>
      <x:c r="I21" s="14" t="str">
        <x:v>Effets et modèles compatibles avec sa classe.</x:v>
      </x:c>
      <x:c r="J21" s="14" t="str"/>
      <x:c r="K21" s="14" t="str">
        <x:v>content/equipment/EQP-omni-outil.json</x:v>
      </x:c>
      <x:c r="L21" s="14" t="str"/>
      <x:c r="M21" s="14" t="str"/>
      <x:c r="N21" s="14" t="str">
        <x:v>Catalogue d’équipement à relever dans ME1 ; valeurs non inventées.</x:v>
      </x:c>
      <x:c r="O21" s="14" t="str">
        <x:v>https://eaassets-a.akamaihd.net/eahelp/manuals/mass-effect-manuals_PC_fr.pdf</x:v>
      </x:c>
      <x:c r="P21" s="14" t="str">
        <x:v>Production ME1</x:v>
      </x:c>
      <x:c r="Q21" s="14" t="str"/>
    </x:row>
    <x:row r="22" ht="36" customHeight="1">
      <x:c r="A22" s="12" t="str">
        <x:v>EQP-amplificateur-biotique</x:v>
      </x:c>
      <x:c r="B22" s="7" t="str">
        <x:v>Amplificateur biotique</x:v>
      </x:c>
      <x:c r="C22" s="10" t="str">
        <x:v>Défini</x:v>
      </x:c>
      <x:c r="D22" s="11" t="str">
        <x:v>À produire</x:v>
      </x:c>
      <x:c r="E22" s="9" t="str">
        <x:v>P1</x:v>
      </x:c>
      <x:c r="F22" s="9" t="str">
        <x:v>ME1</x:v>
      </x:c>
      <x:c r="G22" s="9" t="str">
        <x:v>Référence à vérifier</x:v>
      </x:c>
      <x:c r="H22" s="7" t="str">
        <x:v>Équipement réservé aux utilisateurs biotiques.</x:v>
      </x:c>
      <x:c r="I22" s="7" t="str">
        <x:v>N’accorde pas la biotique à un personnage non biotique.</x:v>
      </x:c>
      <x:c r="J22" s="7" t="str"/>
      <x:c r="K22" s="7" t="str">
        <x:v>content/equipment/EQP-amplificateur-biotique.json</x:v>
      </x:c>
      <x:c r="L22" s="7" t="str"/>
      <x:c r="M22" s="7" t="str"/>
      <x:c r="N22" s="7" t="str">
        <x:v>Catalogue d’équipement à relever dans ME1 ; valeurs non inventées.</x:v>
      </x:c>
      <x:c r="O22" s="7" t="str">
        <x:v>https://eaassets-a.akamaihd.net/eahelp/manuals/mass-effect-manuals_PC_fr.pdf</x:v>
      </x:c>
      <x:c r="P22" s="7" t="str">
        <x:v>Production ME1</x:v>
      </x:c>
      <x:c r="Q22" s="7" t="str"/>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sheetData>
  <x:conditionalFormatting sqref="C7:C32">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32">
    <x:cfRule type="cellIs" dxfId="78" priority="4" operator="equal">
      <x:formula>"Référence à vérifier"</x:formula>
    </x:cfRule>
  </x:conditionalFormatting>
  <x:conditionalFormatting sqref="E7:E32">
    <x:cfRule type="cellIs" dxfId="7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e62c859a3b014bb9"/>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a28070204a544417"/>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aa45d9f514b643d0"/>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c62e60e520f44302"/>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88"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uniquement : 16 images pour 4 directions. Face et dos en trois-quarts, droite et gauche de profil. Mapping UV spécifique prévu dans src/world.js ; activation du prototype en cours. Cycle à nettoyer, huit directions et fidélité 1:1 non validées. Les autres humains et les autres actions ne sont pas couverts par cette planche.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sheetData>
  <x:conditionalFormatting sqref="C7:C46">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46">
    <x:cfRule type="cellIs" dxfId="98" priority="4" operator="equal">
      <x:formula>"Référence à vérifier"</x:formula>
    </x:cfRule>
  </x:conditionalFormatting>
  <x:conditionalFormatting sqref="E7:E46">
    <x:cfRule type="cellIs" dxfId="99" priority="5" operator="equal">
      <x:formula>"P0"</x:formula>
    </x:cfRule>
  </x:conditionalFormatting>
  <x:dataValidations count="5">
    <x:dataValidation type="list" sqref="C7:C46">
      <x:formula1>"Défini,Prototype,Intégré,Validé"</x:formula1>
    </x:dataValidation>
    <x:dataValidation type="list" sqref="D7:D46">
      <x:formula1>"À produire,Prototype,Disponible,Validé,Sans objet,Non planifié"</x:formula1>
    </x:dataValidation>
    <x:dataValidation type="list" sqref="E7:E46">
      <x:formula1>"P0,P1,P2"</x:formula1>
    </x:dataValidation>
    <x:dataValidation type="list" sqref="F7:F46">
      <x:formula1>"ME1,ME2,ME3"</x:formula1>
    </x:dataValidation>
    <x:dataValidation type="list" sqref="G7:G46">
      <x:formula1>"Confirmé,Référence à vérifier,Adaptation"</x:formula1>
    </x:dataValidation>
  </x:dataValidations>
  <x:pageMargins left="0.7" right="0.7" top="0.75" bottom="0.75" header="0.3" footer="0.3"/>
  <x:tableParts count="1">
    <x:tablePart xmlns:r="http://schemas.openxmlformats.org/officeDocument/2006/relationships" r:id="Rb8ed5f78a69d4f82"/>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Planche de marche Shepard de 16 images / 4 directions ; face et dos en trois-quarts, profils latéraux. Pose statique de repli dans crew-atlas.png. Découpage UV spécifique et cycle à nettoyer ; huit directions et fidélité 1:1 non validées.</x:v>
      </x:c>
    </x:row>
    <x:row r="8" ht="49"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Atlas de poses uniques utilisé par le prototype. Les angles, mouvements, expressions et costumes complets ne sont pas produits.</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Atlas de poses uniques utilisé par le prototype. Les angles, mouvements, expressions et costumes complets ne sont pas produits.</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sheetData>
  <x:conditionalFormatting sqref="C7:C83">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3">
    <x:cfRule type="cellIs" dxfId="103" priority="4" operator="equal">
      <x:formula>"Référence à vérifier"</x:formula>
    </x:cfRule>
  </x:conditionalFormatting>
  <x:conditionalFormatting sqref="E7:E83">
    <x:cfRule type="cellIs" dxfId="104" priority="5" operator="equal">
      <x:formula>"P0"</x:formula>
    </x:cfRule>
  </x:conditionalFormatting>
  <x:dataValidations count="5">
    <x:dataValidation type="list" sqref="C7:C83">
      <x:formula1>"Défini,Prototype,Intégré,Validé"</x:formula1>
    </x:dataValidation>
    <x:dataValidation type="list" sqref="D7:D83">
      <x:formula1>"À produire,Prototype,Disponible,Validé,Sans objet,Non planifié"</x:formula1>
    </x:dataValidation>
    <x:dataValidation type="list" sqref="E7:E83">
      <x:formula1>"P0,P1,P2"</x:formula1>
    </x:dataValidation>
    <x:dataValidation type="list" sqref="F7:F83">
      <x:formula1>"ME1,ME2,ME3"</x:formula1>
    </x:dataValidation>
    <x:dataValidation type="list" sqref="G7:G83">
      <x:formula1>"Confirmé,Référence à vérifier,Adaptation"</x:formula1>
    </x:dataValidation>
  </x:dataValidations>
  <x:pageMargins left="0.7" right="0.7" top="0.75" bottom="0.75" header="0.3" footer="0.3"/>
  <x:tableParts count="1">
    <x:tablePart xmlns:r="http://schemas.openxmlformats.org/officeDocument/2006/relationships" r:id="R19d7e1e8225e4436"/>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1a523296c0ac404f"/>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06a1e2f14920448e"/>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49" customHeight="1">
      <x:c r="A13" s="13" t="str">
        <x:v>SYS-carte-locale</x:v>
      </x:c>
      <x:c r="B13" s="14" t="str">
        <x:v>Carte locale</x:v>
      </x:c>
      <x:c r="C13" s="10" t="str">
        <x:v>Prototype</x:v>
      </x:c>
      <x:c r="D13" s="11" t="str">
        <x:v>Prototype</x:v>
      </x:c>
      <x:c r="E13" s="15" t="str">
        <x:v>P0</x:v>
      </x:c>
      <x:c r="F13" s="15" t="str">
        <x:v>ME1</x:v>
      </x:c>
      <x:c r="G13" s="15" t="str">
        <x:v>Adaptation</x:v>
      </x:c>
      <x:c r="H13" s="14" t="str">
        <x:v>Plan des sorties et objectifs connus.</x:v>
      </x:c>
      <x:c r="I13" s="14" t="str">
        <x:v>Mise à jour après découverte.</x:v>
      </x:c>
      <x:c r="J13" s="14" t="str"/>
      <x:c r="K13" s="14" t="str">
        <x:v>src/</x:v>
      </x:c>
      <x:c r="L13" s="14" t="str">
        <x:v>src/main.js</x:v>
      </x:c>
      <x:c r="M13" s="14" t="str">
        <x:v>system:carte-locale</x:v>
      </x:c>
      <x:c r="N13" s="14" t="str">
        <x:v>Décisions du fan game ; aucune prétention de canon officiel</x:v>
      </x:c>
      <x:c r="O13" s="14" t="str"/>
      <x:c r="P13" s="14" t="str">
        <x:v>Production ME1</x:v>
      </x:c>
      <x:c r="Q13" s="14" t="str">
        <x:v>Fonction présente en version prototype. Les critères complets de cette ligne restent à vérifier ; aucune validation finale déclarée.</x:v>
      </x:c>
    </x:row>
    <x:row r="14" ht="100" customHeight="1">
      <x:c r="A14" s="12" t="str">
        <x:v>SYS-journal-de-mission</x:v>
      </x:c>
      <x:c r="B14" s="7" t="str">
        <x:v>Journal de mission</x:v>
      </x:c>
      <x:c r="C14" s="10" t="str">
        <x:v>Prototype</x:v>
      </x:c>
      <x:c r="D14" s="11" t="str">
        <x:v>Prototype</x:v>
      </x:c>
      <x:c r="E14" s="9" t="str">
        <x:v>P0</x:v>
      </x:c>
      <x:c r="F14" s="9" t="str">
        <x:v>ME1</x:v>
      </x:c>
      <x:c r="G14" s="9" t="str">
        <x:v>Adaptation</x:v>
      </x:c>
      <x:c r="H14" s="7" t="str">
        <x:v>Étapes actives, résolues et échouées.</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Trois onglets Missions/Assignations/Rapports. Les assignations commencées affichent objectif et issue ; celles qui sont terminées quittent le groupe actif, sans doublon de texte. Les états d’échec et le catalogue complet restent à intégrer. Contrôles fonctionnels : tests/assignments.test.js, tests/assignment-world.test.js et scripts/assignments-browser.mjs ; rapport docs/qa/assignments-and-deployment-report.json.</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36" customHeight="1">
      <x:c r="A18" s="12" t="str">
        <x:v>SYS-inventaire</x:v>
      </x:c>
      <x:c r="B18" s="7" t="str">
        <x:v>Inventaire</x:v>
      </x:c>
      <x:c r="C18" s="10" t="str">
        <x:v>Défini</x:v>
      </x:c>
      <x:c r="D18" s="11" t="str">
        <x:v>À produire</x:v>
      </x:c>
      <x:c r="E18" s="9" t="str">
        <x:v>P0</x:v>
      </x:c>
      <x:c r="F18" s="9" t="str">
        <x:v>ME1</x:v>
      </x:c>
      <x:c r="G18" s="9" t="str">
        <x:v>Adaptation</x:v>
      </x:c>
      <x:c r="H18" s="7" t="str">
        <x:v>Armes, armures, modules et ressources.</x:v>
      </x:c>
      <x:c r="I18" s="7" t="str">
        <x:v>Compatibilités affichées avant équipement.</x:v>
      </x:c>
      <x:c r="J18" s="7" t="str"/>
      <x:c r="K18" s="7" t="str">
        <x:v>src/</x:v>
      </x:c>
      <x:c r="L18" s="7" t="str"/>
      <x:c r="M18" s="7" t="str"/>
      <x:c r="N18" s="7" t="str">
        <x:v>Décisions du fan game ; aucune prétention de canon officiel</x:v>
      </x:c>
      <x:c r="O18" s="7" t="str"/>
      <x:c r="P18" s="7" t="str">
        <x:v>Production ME1</x:v>
      </x:c>
      <x:c r="Q18" s="7" t="str"/>
    </x:row>
    <x:row r="19" ht="49" customHeight="1">
      <x:c r="A19" s="13" t="str">
        <x:v>SYS-commerce</x:v>
      </x:c>
      <x:c r="B19" s="14" t="str">
        <x:v>Commerce</x:v>
      </x:c>
      <x:c r="C19" s="10" t="str">
        <x:v>Prototype</x:v>
      </x:c>
      <x:c r="D19" s="11" t="str">
        <x:v>Prototype</x:v>
      </x:c>
      <x:c r="E19" s="15" t="str">
        <x:v>P0</x:v>
      </x:c>
      <x:c r="F19" s="15" t="str">
        <x:v>ME1</x:v>
      </x:c>
      <x:c r="G19" s="15" t="str">
        <x:v>Adaptation</x:v>
      </x:c>
      <x:c r="H19" s="14" t="str">
        <x:v>Achat, vente et licences.</x:v>
      </x:c>
      <x:c r="I19" s="14" t="str">
        <x:v>Crédits et inventaire changent une seule fois.</x:v>
      </x:c>
      <x:c r="J19" s="14" t="str"/>
      <x:c r="K19" s="14" t="str">
        <x:v>src/</x:v>
      </x:c>
      <x:c r="L19" s="14" t="str">
        <x:v>src/main.js</x:v>
      </x:c>
      <x:c r="M19" s="14" t="str">
        <x:v>system:commerce</x:v>
      </x:c>
      <x:c r="N19" s="14" t="str">
        <x:v>Décisions du fan game ; aucune prétention de canon officiel</x:v>
      </x:c>
      <x:c r="O19" s="14" t="str"/>
      <x:c r="P19" s="14" t="str">
        <x:v>Production ME1</x:v>
      </x:c>
      <x:c r="Q19" s="14" t="str">
        <x:v>Fonction présente en version prototype. Les critères complets de cette ligne restent à vérifier ; aucune validation finale déclarée.</x:v>
      </x:c>
    </x:row>
    <x:row r="20" ht="36" customHeight="1">
      <x:c r="A20" s="12" t="str">
        <x:v>SYS-talents</x:v>
      </x:c>
      <x:c r="B20" s="7" t="str">
        <x:v>Talents</x:v>
      </x:c>
      <x:c r="C20" s="10" t="str">
        <x:v>Défini</x:v>
      </x:c>
      <x:c r="D20" s="11" t="str">
        <x:v>À produire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c r="M20" s="7" t="str"/>
      <x:c r="N20" s="7" t="str">
        <x:v>Décisions du fan game ; aucune prétention de canon officiel</x:v>
      </x:c>
      <x:c r="O20" s="7" t="str"/>
      <x:c r="P20" s="7" t="str">
        <x:v>Production ME1</x:v>
      </x:c>
      <x:c r="Q20" s="7" t="str"/>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49" customHeight="1">
      <x:c r="A26" s="12" t="str">
        <x:v>SYS-chaleur-des-armes</x:v>
      </x:c>
      <x:c r="B26" s="7" t="str">
        <x:v>Chaleur des armes</x:v>
      </x:c>
      <x:c r="C26" s="10" t="str">
        <x:v>Prototype</x:v>
      </x:c>
      <x:c r="D26" s="11" t="str">
        <x:v>Prototype</x:v>
      </x:c>
      <x:c r="E26" s="9" t="str">
        <x:v>P0</x:v>
      </x:c>
      <x:c r="F26" s="9" t="str">
        <x:v>ME1</x:v>
      </x:c>
      <x:c r="G26" s="9" t="str">
        <x:v>Adaptation</x:v>
      </x:c>
      <x:c r="H26" s="7" t="str">
        <x:v>Montée, seuil et refroidissement.</x:v>
      </x:c>
      <x:c r="I26" s="7" t="str">
        <x:v>Valeurs bornées et état persistant pendant le combat.</x:v>
      </x:c>
      <x:c r="J26" s="7" t="str"/>
      <x:c r="K26" s="7" t="str">
        <x:v>src/</x:v>
      </x:c>
      <x:c r="L26" s="7" t="str">
        <x:v>src/main.js</x:v>
      </x:c>
      <x:c r="M26" s="7" t="str">
        <x:v>system:chaleur-des-armes</x:v>
      </x:c>
      <x:c r="N26" s="7" t="str">
        <x:v>Décisions du fan game ; aucune prétention de canon officiel</x:v>
      </x:c>
      <x:c r="O26" s="7" t="str"/>
      <x:c r="P26" s="7" t="str">
        <x:v>Production ME1</x:v>
      </x:c>
      <x:c r="Q26" s="7" t="str">
        <x:v>Fonction présente en version prototype. Les critères complets de cette ligne restent à vérifier ; aucune validation finale déclarée.</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sheetData>
  <x:conditionalFormatting sqref="C7:C46">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46">
    <x:cfRule type="cellIs" dxfId="118" priority="4" operator="equal">
      <x:formula>"Référence à vérifier"</x:formula>
    </x:cfRule>
  </x:conditionalFormatting>
  <x:conditionalFormatting sqref="E7:E46">
    <x:cfRule type="cellIs" dxfId="119" priority="5" operator="equal">
      <x:formula>"P0"</x:formula>
    </x:cfRule>
  </x:conditionalFormatting>
  <x:dataValidations count="5">
    <x:dataValidation type="list" sqref="C7:C46">
      <x:formula1>"Défini,Prototype,Intégré,Validé"</x:formula1>
    </x:dataValidation>
    <x:dataValidation type="list" sqref="D7:D46">
      <x:formula1>"À produire,Prototype,Disponible,Validé,Sans objet,Non planifié"</x:formula1>
    </x:dataValidation>
    <x:dataValidation type="list" sqref="E7:E46">
      <x:formula1>"P0,P1,P2"</x:formula1>
    </x:dataValidation>
    <x:dataValidation type="list" sqref="F7:F46">
      <x:formula1>"ME1,ME2,ME3"</x:formula1>
    </x:dataValidation>
    <x:dataValidation type="list" sqref="G7:G46">
      <x:formula1>"Confirmé,Référence à vérifier,Adaptation"</x:formula1>
    </x:dataValidation>
  </x:dataValidations>
  <x:pageMargins left="0.7" right="0.7" top="0.75" bottom="0.75" header="0.3" footer="0.3"/>
  <x:tableParts count="1">
    <x:tablePart xmlns:r="http://schemas.openxmlformats.org/officeDocument/2006/relationships" r:id="R188d3e8b078c4e7f"/>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sheetData>
  <x:conditionalFormatting sqref="C7:C58">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58">
    <x:cfRule type="cellIs" dxfId="123" priority="4" operator="equal">
      <x:formula>"Référence à vérifier"</x:formula>
    </x:cfRule>
  </x:conditionalFormatting>
  <x:conditionalFormatting sqref="E7:E58">
    <x:cfRule type="cellIs" dxfId="124"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d24b562345fd4f95"/>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9d0307db55c9421a"/>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42" customHeight="1">
      <x:c r="A30" s="7" t="str">
        <x:v>ME1-MANUAL</x:v>
      </x:c>
      <x:c r="B30" s="7" t="str">
        <x:v>Manuel officiel Mass Effect PC FR</x:v>
      </x:c>
      <x:c r="C30" s="7" t="str">
        <x:v>Classes, interface, équipement et pouvoirs ME1</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42" customHeight="1">
      <x:c r="A32" s="7" t="str">
        <x:v>EA-GAMEPLAY</x:v>
      </x:c>
      <x:c r="B32" s="7" t="str">
        <x:v>EA Gameplay Calibrations</x:v>
      </x:c>
      <x:c r="C32" s="7" t="str">
        <x:v>Différences original / Legendary Edition</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42" customHeight="1">
      <x:c r="A37" s="7" t="str">
        <x:v>PRIMA-PROLOGUE</x:v>
      </x:c>
      <x:c r="B37" s="7" t="str">
        <x:v>Guide officiel Prima, prologue</x:v>
      </x:c>
      <x:c r="C37" s="7" t="str">
        <x:v>Prologue ME1, extraits indexés ; PDF complet à contrôler</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42"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42" customHeight="1">
      <x:c r="A45" s="7"/>
      <x:c r="B45" s="7"/>
      <x:c r="C45" s="7"/>
      <x:c r="D45" s="7"/>
    </x:row>
    <x:row r="46" ht="42" customHeight="1">
      <x:c r="A46" s="7"/>
      <x:c r="B46" s="7"/>
      <x:c r="C46" s="7"/>
      <x:c r="D46" s="7"/>
    </x:row>
    <x:row r="47" ht="68" customHeight="1">
      <x:c r="A47" s="7" t="str">
        <x:v>Périmètre</x:v>
      </x:c>
      <x:c r="B47" s="7" t="str">
        <x:v>Plan de couverture du premier Mass Effect avec extensions ME2 et ME3 séparées. Le prototype jouable condense les lieux et ne constitue pas une reproduction complète.</x:v>
      </x:c>
      <x:c r="C47" s="7"/>
      <x:c r="D47" s="7"/>
    </x:row>
    <x:row r="48" ht="68" customHeight="1">
      <x:c r="A48" s="7" t="str">
        <x:v>Fidélité</x:v>
      </x:c>
      <x:c r="B48" s="7" t="str">
        <x:v>Aucun asset ni aucune mission n’est déclaré fidèle 1:1 ou terminé sans contrôle explicite.</x:v>
      </x:c>
      <x:c r="C48" s="7"/>
      <x:c r="D48" s="7"/>
    </x:row>
    <x:row r="49" ht="42" customHeight="1">
      <x:c r="A49" s="7" t="str">
        <x:v>Version</x:v>
      </x:c>
      <x:c r="B49" s="7" t="str">
        <x:v>0.1.0</x:v>
      </x:c>
      <x:c r="C49" s="7"/>
      <x:c r="D49" s="7"/>
    </x:row>
    <x:row r="50" ht="42" customHeight="1">
      <x:c r="A50" s="7" t="str">
        <x:v>Date de référence</x:v>
      </x:c>
      <x:c r="B50" s="32" t="d">
        <x:v>2026-10-23T12:00:00.000Z</x:v>
      </x:c>
      <x:c r="C50" s="7"/>
      <x:c r="D50" s="7"/>
    </x:row>
    <x:row r="51" ht="22" customHeight="1">
      <x:c r="A51" s="2"/>
      <x:c r="B51" s="2"/>
      <x:c r="C51" s="2"/>
      <x:c r="D51" s="2"/>
    </x:row>
    <x:row r="52" ht="22" customHeight="1">
      <x:c r="A52" s="2"/>
      <x:c r="B52" s="2"/>
      <x:c r="C52" s="2"/>
      <x:c r="D52" s="2"/>
    </x:row>
    <x:row r="53" ht="22" customHeight="1">
      <x:c r="A53" s="2"/>
      <x:c r="B53" s="2"/>
      <x:c r="C53" s="2"/>
      <x:c r="D53" s="2"/>
    </x:row>
    <x:row r="54" ht="22" customHeight="1">
      <x:c r="A54" s="2"/>
      <x:c r="B54" s="2"/>
      <x:c r="C54" s="2"/>
      <x:c r="D54" s="2"/>
    </x:row>
    <x:row r="55" ht="22" customHeight="1">
      <x:c r="A55" s="2"/>
      <x:c r="B55" s="2"/>
      <x:c r="C55" s="2"/>
      <x:c r="D55" s="2"/>
    </x:row>
    <x:row r="56" ht="22" customHeight="1">
      <x:c r="A56" s="2"/>
      <x:c r="B56" s="2"/>
      <x:c r="C56" s="2"/>
      <x:c r="D56" s="2"/>
    </x:row>
    <x:row r="57" ht="22" customHeight="1">
      <x:c r="A57" s="2"/>
      <x:c r="B57" s="2"/>
      <x:c r="C57" s="2"/>
      <x:c r="D57" s="2"/>
    </x:row>
  </x:sheetData>
  <x:pageMargins left="0.7" right="0.7" top="0.75" bottom="0.75" header="0.3" footer="0.3"/>
</x:worksheet>
</file>