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847b0e18f074a60" /></Relationships>
</file>

<file path=xl/workbook.xml><?xml version="1.0" encoding="utf-8"?>
<x:workbook xmlns:x="http://schemas.openxmlformats.org/spreadsheetml/2006/main">
  <x:sheets>
    <x:sheet xmlns:r="http://schemas.openxmlformats.org/officeDocument/2006/relationships" name="Dashboard" sheetId="1" r:id="R2c98b76f9f2140a9"/>
    <x:sheet xmlns:r="http://schemas.openxmlformats.org/officeDocument/2006/relationships" name="Personnages" sheetId="2" r:id="R05d665acfdd24619"/>
    <x:sheet xmlns:r="http://schemas.openxmlformats.org/officeDocument/2006/relationships" name="PNJ" sheetId="3" r:id="R3060936e2d9243e7"/>
    <x:sheet xmlns:r="http://schemas.openxmlformats.org/officeDocument/2006/relationships" name="Especes_factions" sheetId="4" r:id="Raa8ff9c742764c8f"/>
    <x:sheet xmlns:r="http://schemas.openxmlformats.org/officeDocument/2006/relationships" name="Mondes" sheetId="5" r:id="R7cf8ea622b4e4c5d"/>
    <x:sheet xmlns:r="http://schemas.openxmlformats.org/officeDocument/2006/relationships" name="Zones" sheetId="6" r:id="Rd5742b23e26a49ab"/>
    <x:sheet xmlns:r="http://schemas.openxmlformats.org/officeDocument/2006/relationships" name="Liaisons" sheetId="7" r:id="R9dbc8ebf22734e43"/>
    <x:sheet xmlns:r="http://schemas.openxmlformats.org/officeDocument/2006/relationships" name="Decors" sheetId="8" r:id="Rad57d8cbe3c1498d"/>
    <x:sheet xmlns:r="http://schemas.openxmlformats.org/officeDocument/2006/relationships" name="Props" sheetId="9" r:id="Rc4743f2b2a384113"/>
    <x:sheet xmlns:r="http://schemas.openxmlformats.org/officeDocument/2006/relationships" name="Ennemis_boss" sheetId="10" r:id="Ra10be90d45f345e2"/>
    <x:sheet xmlns:r="http://schemas.openxmlformats.org/officeDocument/2006/relationships" name="Missions" sheetId="11" r:id="R41abc657009b4f51"/>
    <x:sheet xmlns:r="http://schemas.openxmlformats.org/officeDocument/2006/relationships" name="Secondaires_DLC" sheetId="12" r:id="Rdf3332f3829c4d95"/>
    <x:sheet xmlns:r="http://schemas.openxmlformats.org/officeDocument/2006/relationships" name="Choix_relations" sheetId="13" r:id="R600ad6f30e2b4abf"/>
    <x:sheet xmlns:r="http://schemas.openxmlformats.org/officeDocument/2006/relationships" name="Dialogues" sheetId="14" r:id="R92aff294dee1420f"/>
    <x:sheet xmlns:r="http://schemas.openxmlformats.org/officeDocument/2006/relationships" name="Cinematiques" sheetId="15" r:id="R4f2666075b5045bf"/>
    <x:sheet xmlns:r="http://schemas.openxmlformats.org/officeDocument/2006/relationships" name="Armes" sheetId="16" r:id="Raa23f6e0482d4a49"/>
    <x:sheet xmlns:r="http://schemas.openxmlformats.org/officeDocument/2006/relationships" name="Armures_equipement" sheetId="17" r:id="Reb76daa107b84d87"/>
    <x:sheet xmlns:r="http://schemas.openxmlformats.org/officeDocument/2006/relationships" name="Pouvoirs" sheetId="18" r:id="Ra439c1d3c8774e8e"/>
    <x:sheet xmlns:r="http://schemas.openxmlformats.org/officeDocument/2006/relationships" name="Movesets_allies" sheetId="19" r:id="R2c588712229d4a9e"/>
    <x:sheet xmlns:r="http://schemas.openxmlformats.org/officeDocument/2006/relationships" name="Movesets_ennemis" sheetId="20" r:id="R10168f01ddbd4ecb"/>
    <x:sheet xmlns:r="http://schemas.openxmlformats.org/officeDocument/2006/relationships" name="Animations" sheetId="21" r:id="R2576f0a972ed40fc"/>
    <x:sheet xmlns:r="http://schemas.openxmlformats.org/officeDocument/2006/relationships" name="Sprites" sheetId="22" r:id="Red8570423f1f43a8"/>
    <x:sheet xmlns:r="http://schemas.openxmlformats.org/officeDocument/2006/relationships" name="VFX" sheetId="23" r:id="Rd511fc21f12d480d"/>
    <x:sheet xmlns:r="http://schemas.openxmlformats.org/officeDocument/2006/relationships" name="Audio" sheetId="24" r:id="R9ad84ce634464dc5"/>
    <x:sheet xmlns:r="http://schemas.openxmlformats.org/officeDocument/2006/relationships" name="UI_systemes" sheetId="25" r:id="R8a2b04d9717f49d7"/>
    <x:sheet xmlns:r="http://schemas.openxmlformats.org/officeDocument/2006/relationships" name="QA" sheetId="26" r:id="R4d4b7029619447c7"/>
    <x:sheet xmlns:r="http://schemas.openxmlformats.org/officeDocument/2006/relationships" name="Trilogie" sheetId="27" r:id="Rf722198bc32244fb"/>
    <x:sheet xmlns:r="http://schemas.openxmlformats.org/officeDocument/2006/relationships" name="Guide" sheetId="28" r:id="R9207287f88654d46"/>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d60e463ed48e45e4" /><Relationship Type="http://schemas.openxmlformats.org/officeDocument/2006/relationships/theme" Target="/xl/theme/theme1.xml" Id="Rbe5c6d51a1654e19" /><Relationship Type="http://schemas.openxmlformats.org/officeDocument/2006/relationships/sharedStrings" Target="/xl/sharedStrings.xml" Id="R3ca7fc2993f94f4a" /><Relationship Type="http://schemas.openxmlformats.org/officeDocument/2006/relationships/worksheet" Target="/xl/worksheets/sheet1.xml" Id="R2c98b76f9f2140a9" /><Relationship Type="http://schemas.openxmlformats.org/officeDocument/2006/relationships/worksheet" Target="/xl/worksheets/sheet2.xml" Id="R05d665acfdd24619" /><Relationship Type="http://schemas.openxmlformats.org/officeDocument/2006/relationships/worksheet" Target="/xl/worksheets/sheet3.xml" Id="R3060936e2d9243e7" /><Relationship Type="http://schemas.openxmlformats.org/officeDocument/2006/relationships/worksheet" Target="/xl/worksheets/sheet4.xml" Id="Raa8ff9c742764c8f" /><Relationship Type="http://schemas.openxmlformats.org/officeDocument/2006/relationships/worksheet" Target="/xl/worksheets/sheet5.xml" Id="R7cf8ea622b4e4c5d" /><Relationship Type="http://schemas.openxmlformats.org/officeDocument/2006/relationships/worksheet" Target="/xl/worksheets/sheet6.xml" Id="Rd5742b23e26a49ab" /><Relationship Type="http://schemas.openxmlformats.org/officeDocument/2006/relationships/worksheet" Target="/xl/worksheets/sheet7.xml" Id="R9dbc8ebf22734e43" /><Relationship Type="http://schemas.openxmlformats.org/officeDocument/2006/relationships/worksheet" Target="/xl/worksheets/sheet8.xml" Id="Rad57d8cbe3c1498d" /><Relationship Type="http://schemas.openxmlformats.org/officeDocument/2006/relationships/worksheet" Target="/xl/worksheets/sheet9.xml" Id="Rc4743f2b2a384113" /><Relationship Type="http://schemas.openxmlformats.org/officeDocument/2006/relationships/worksheet" Target="/xl/worksheets/sheet10.xml" Id="Ra10be90d45f345e2" /><Relationship Type="http://schemas.openxmlformats.org/officeDocument/2006/relationships/worksheet" Target="/xl/worksheets/sheet11.xml" Id="R41abc657009b4f51" /><Relationship Type="http://schemas.openxmlformats.org/officeDocument/2006/relationships/worksheet" Target="/xl/worksheets/sheet12.xml" Id="Rdf3332f3829c4d95" /><Relationship Type="http://schemas.openxmlformats.org/officeDocument/2006/relationships/worksheet" Target="/xl/worksheets/sheet13.xml" Id="R600ad6f30e2b4abf" /><Relationship Type="http://schemas.openxmlformats.org/officeDocument/2006/relationships/worksheet" Target="/xl/worksheets/sheet14.xml" Id="R92aff294dee1420f" /><Relationship Type="http://schemas.openxmlformats.org/officeDocument/2006/relationships/worksheet" Target="/xl/worksheets/sheet15.xml" Id="R4f2666075b5045bf" /><Relationship Type="http://schemas.openxmlformats.org/officeDocument/2006/relationships/worksheet" Target="/xl/worksheets/sheet16.xml" Id="Raa23f6e0482d4a49" /><Relationship Type="http://schemas.openxmlformats.org/officeDocument/2006/relationships/worksheet" Target="/xl/worksheets/sheet17.xml" Id="Reb76daa107b84d87" /><Relationship Type="http://schemas.openxmlformats.org/officeDocument/2006/relationships/worksheet" Target="/xl/worksheets/sheet18.xml" Id="Ra439c1d3c8774e8e" /><Relationship Type="http://schemas.openxmlformats.org/officeDocument/2006/relationships/worksheet" Target="/xl/worksheets/sheet19.xml" Id="R2c588712229d4a9e" /><Relationship Type="http://schemas.openxmlformats.org/officeDocument/2006/relationships/worksheet" Target="/xl/worksheets/sheet20.xml" Id="R10168f01ddbd4ecb" /><Relationship Type="http://schemas.openxmlformats.org/officeDocument/2006/relationships/worksheet" Target="/xl/worksheets/sheet21.xml" Id="R2576f0a972ed40fc" /><Relationship Type="http://schemas.openxmlformats.org/officeDocument/2006/relationships/worksheet" Target="/xl/worksheets/sheet22.xml" Id="Red8570423f1f43a8" /><Relationship Type="http://schemas.openxmlformats.org/officeDocument/2006/relationships/worksheet" Target="/xl/worksheets/sheet23.xml" Id="Rd511fc21f12d480d" /><Relationship Type="http://schemas.openxmlformats.org/officeDocument/2006/relationships/worksheet" Target="/xl/worksheets/sheet24.xml" Id="R9ad84ce634464dc5" /><Relationship Type="http://schemas.openxmlformats.org/officeDocument/2006/relationships/worksheet" Target="/xl/worksheets/sheet25.xml" Id="R8a2b04d9717f49d7" /><Relationship Type="http://schemas.openxmlformats.org/officeDocument/2006/relationships/worksheet" Target="/xl/worksheets/sheet26.xml" Id="R4d4b7029619447c7" /><Relationship Type="http://schemas.openxmlformats.org/officeDocument/2006/relationships/worksheet" Target="/xl/worksheets/sheet27.xml" Id="Rf722198bc32244fb" /><Relationship Type="http://schemas.openxmlformats.org/officeDocument/2006/relationships/worksheet" Target="/xl/worksheets/sheet28.xml" Id="R9207287f88654d46"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0" headerRowCount="1" totalsRowCount="0" totalsRowShown="0">
  <x:autoFilter ref="A6:Q5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64" headerRowCount="1" totalsRowCount="0" totalsRowShown="0">
  <x:autoFilter ref="A6:Q6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6" headerRowCount="1" totalsRowCount="0" totalsRowShown="0">
  <x:autoFilter ref="A6:Q6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3" headerRowCount="1" totalsRowCount="0" totalsRowShown="0">
  <x:autoFilter ref="A6:Q8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51" headerRowCount="1" totalsRowCount="0" totalsRowShown="0">
  <x:autoFilter ref="A6:Q5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019db6ecb9c4823" /></Relationships>
</file>

<file path=xl/worksheets/_rels/sheet3.xml.rels>&#65279;<?xml version="1.0" encoding="utf-8"?><Relationships xmlns="http://schemas.openxmlformats.org/package/2006/relationships"><Relationship Type="http://schemas.openxmlformats.org/officeDocument/2006/relationships/table" Target="/xl/tables/table2.xml" Id="R357f03b1bc954e7c" /></Relationships>
</file>

<file path=xl/worksheets/_rels/sheet4.xml.rels>&#65279;<?xml version="1.0" encoding="utf-8"?><Relationships xmlns="http://schemas.openxmlformats.org/package/2006/relationships"><Relationship Type="http://schemas.openxmlformats.org/officeDocument/2006/relationships/table" Target="/xl/tables/table3.xml" Id="R5043bc441b2d4ddf" /></Relationships>
</file>

<file path=xl/worksheets/_rels/sheet5.xml.rels>&#65279;<?xml version="1.0" encoding="utf-8"?><Relationships xmlns="http://schemas.openxmlformats.org/package/2006/relationships"><Relationship Type="http://schemas.openxmlformats.org/officeDocument/2006/relationships/table" Target="/xl/tables/table4.xml" Id="R9efcc15b67f7441e" /></Relationships>
</file>

<file path=xl/worksheets/_rels/sheet6.xml.rels>&#65279;<?xml version="1.0" encoding="utf-8"?><Relationships xmlns="http://schemas.openxmlformats.org/package/2006/relationships"><Relationship Type="http://schemas.openxmlformats.org/officeDocument/2006/relationships/table" Target="/xl/tables/table5.xml" Id="R694cc2cf7f2e40b9" /></Relationships>
</file>

<file path=xl/worksheets/_rels/sheet7.xml.rels>&#65279;<?xml version="1.0" encoding="utf-8"?><Relationships xmlns="http://schemas.openxmlformats.org/package/2006/relationships"><Relationship Type="http://schemas.openxmlformats.org/officeDocument/2006/relationships/table" Target="/xl/tables/table6.xml" Id="R707b64c4e4e248e6" /></Relationships>
</file>

<file path=xl/worksheets/_rels/sheet8.xml.rels>&#65279;<?xml version="1.0" encoding="utf-8"?><Relationships xmlns="http://schemas.openxmlformats.org/package/2006/relationships"><Relationship Type="http://schemas.openxmlformats.org/officeDocument/2006/relationships/table" Target="/xl/tables/table7.xml" Id="R866f94065c084533" /></Relationships>
</file>

<file path=xl/worksheets/_rels/sheet9.xml.rels>&#65279;<?xml version="1.0" encoding="utf-8"?><Relationships xmlns="http://schemas.openxmlformats.org/package/2006/relationships"><Relationship Type="http://schemas.openxmlformats.org/officeDocument/2006/relationships/table" Target="/xl/tables/table8.xml" Id="Rdaa0c932d5764212" /></Relationships>
</file>

<file path=xl/worksheets/_rels/sheet10.xml.rels>&#65279;<?xml version="1.0" encoding="utf-8"?><Relationships xmlns="http://schemas.openxmlformats.org/package/2006/relationships"><Relationship Type="http://schemas.openxmlformats.org/officeDocument/2006/relationships/table" Target="/xl/tables/table9.xml" Id="R18e33848bb8546d6" /></Relationships>
</file>

<file path=xl/worksheets/_rels/sheet11.xml.rels>&#65279;<?xml version="1.0" encoding="utf-8"?><Relationships xmlns="http://schemas.openxmlformats.org/package/2006/relationships"><Relationship Type="http://schemas.openxmlformats.org/officeDocument/2006/relationships/table" Target="/xl/tables/table10.xml" Id="Ra7d756d2150649d1" /></Relationships>
</file>

<file path=xl/worksheets/_rels/sheet12.xml.rels>&#65279;<?xml version="1.0" encoding="utf-8"?><Relationships xmlns="http://schemas.openxmlformats.org/package/2006/relationships"><Relationship Type="http://schemas.openxmlformats.org/officeDocument/2006/relationships/table" Target="/xl/tables/table11.xml" Id="Rba3a5ab3c2f742bb" /></Relationships>
</file>

<file path=xl/worksheets/_rels/sheet13.xml.rels>&#65279;<?xml version="1.0" encoding="utf-8"?><Relationships xmlns="http://schemas.openxmlformats.org/package/2006/relationships"><Relationship Type="http://schemas.openxmlformats.org/officeDocument/2006/relationships/table" Target="/xl/tables/table12.xml" Id="R581b1c9fc601477c" /></Relationships>
</file>

<file path=xl/worksheets/_rels/sheet14.xml.rels>&#65279;<?xml version="1.0" encoding="utf-8"?><Relationships xmlns="http://schemas.openxmlformats.org/package/2006/relationships"><Relationship Type="http://schemas.openxmlformats.org/officeDocument/2006/relationships/table" Target="/xl/tables/table13.xml" Id="R250fdcaa737a422e" /></Relationships>
</file>

<file path=xl/worksheets/_rels/sheet15.xml.rels>&#65279;<?xml version="1.0" encoding="utf-8"?><Relationships xmlns="http://schemas.openxmlformats.org/package/2006/relationships"><Relationship Type="http://schemas.openxmlformats.org/officeDocument/2006/relationships/table" Target="/xl/tables/table14.xml" Id="R3c5b0ebb964249df" /></Relationships>
</file>

<file path=xl/worksheets/_rels/sheet16.xml.rels>&#65279;<?xml version="1.0" encoding="utf-8"?><Relationships xmlns="http://schemas.openxmlformats.org/package/2006/relationships"><Relationship Type="http://schemas.openxmlformats.org/officeDocument/2006/relationships/table" Target="/xl/tables/table15.xml" Id="Rd069bfc436fa43d9" /></Relationships>
</file>

<file path=xl/worksheets/_rels/sheet17.xml.rels>&#65279;<?xml version="1.0" encoding="utf-8"?><Relationships xmlns="http://schemas.openxmlformats.org/package/2006/relationships"><Relationship Type="http://schemas.openxmlformats.org/officeDocument/2006/relationships/table" Target="/xl/tables/table16.xml" Id="R10c983855da14d39" /></Relationships>
</file>

<file path=xl/worksheets/_rels/sheet18.xml.rels>&#65279;<?xml version="1.0" encoding="utf-8"?><Relationships xmlns="http://schemas.openxmlformats.org/package/2006/relationships"><Relationship Type="http://schemas.openxmlformats.org/officeDocument/2006/relationships/table" Target="/xl/tables/table17.xml" Id="R8f8ee5e6fff44206" /></Relationships>
</file>

<file path=xl/worksheets/_rels/sheet19.xml.rels>&#65279;<?xml version="1.0" encoding="utf-8"?><Relationships xmlns="http://schemas.openxmlformats.org/package/2006/relationships"><Relationship Type="http://schemas.openxmlformats.org/officeDocument/2006/relationships/table" Target="/xl/tables/table18.xml" Id="R770578cb446f4ca9" /></Relationships>
</file>

<file path=xl/worksheets/_rels/sheet20.xml.rels>&#65279;<?xml version="1.0" encoding="utf-8"?><Relationships xmlns="http://schemas.openxmlformats.org/package/2006/relationships"><Relationship Type="http://schemas.openxmlformats.org/officeDocument/2006/relationships/table" Target="/xl/tables/table19.xml" Id="R0a3a313d2acb45d1" /></Relationships>
</file>

<file path=xl/worksheets/_rels/sheet21.xml.rels>&#65279;<?xml version="1.0" encoding="utf-8"?><Relationships xmlns="http://schemas.openxmlformats.org/package/2006/relationships"><Relationship Type="http://schemas.openxmlformats.org/officeDocument/2006/relationships/table" Target="/xl/tables/table20.xml" Id="R7ec4583d4a9e4873" /></Relationships>
</file>

<file path=xl/worksheets/_rels/sheet22.xml.rels>&#65279;<?xml version="1.0" encoding="utf-8"?><Relationships xmlns="http://schemas.openxmlformats.org/package/2006/relationships"><Relationship Type="http://schemas.openxmlformats.org/officeDocument/2006/relationships/table" Target="/xl/tables/table21.xml" Id="R90a417fffd7041e0" /></Relationships>
</file>

<file path=xl/worksheets/_rels/sheet23.xml.rels>&#65279;<?xml version="1.0" encoding="utf-8"?><Relationships xmlns="http://schemas.openxmlformats.org/package/2006/relationships"><Relationship Type="http://schemas.openxmlformats.org/officeDocument/2006/relationships/table" Target="/xl/tables/table22.xml" Id="R4634d6457ab646c8" /></Relationships>
</file>

<file path=xl/worksheets/_rels/sheet24.xml.rels>&#65279;<?xml version="1.0" encoding="utf-8"?><Relationships xmlns="http://schemas.openxmlformats.org/package/2006/relationships"><Relationship Type="http://schemas.openxmlformats.org/officeDocument/2006/relationships/table" Target="/xl/tables/table23.xml" Id="R55a26ecd7f944d2a" /></Relationships>
</file>

<file path=xl/worksheets/_rels/sheet25.xml.rels>&#65279;<?xml version="1.0" encoding="utf-8"?><Relationships xmlns="http://schemas.openxmlformats.org/package/2006/relationships"><Relationship Type="http://schemas.openxmlformats.org/officeDocument/2006/relationships/table" Target="/xl/tables/table24.xml" Id="Rd3ff91665a60495d" /></Relationships>
</file>

<file path=xl/worksheets/_rels/sheet26.xml.rels>&#65279;<?xml version="1.0" encoding="utf-8"?><Relationships xmlns="http://schemas.openxmlformats.org/package/2006/relationships"><Relationship Type="http://schemas.openxmlformats.org/officeDocument/2006/relationships/table" Target="/xl/tables/table25.xml" Id="R9416ef6f514542d6" /></Relationships>
</file>

<file path=xl/worksheets/_rels/sheet27.xml.rels>&#65279;<?xml version="1.0" encoding="utf-8"?><Relationships xmlns="http://schemas.openxmlformats.org/package/2006/relationships"><Relationship Type="http://schemas.openxmlformats.org/officeDocument/2006/relationships/table" Target="/xl/tables/table26.xml" Id="R65bd00155c9144a2"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1330</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COUNTA('Armes'!$A$7:$A$50)</x:f>
        <x:v>44</x:v>
      </x:c>
      <x:c r="C24" s="26" t="n">
        <x:f>COUNTIFS('Armes'!$C$7:$C$50,"Défini")</x:f>
        <x:v>24</x:v>
      </x:c>
      <x:c r="D24" s="26" t="n">
        <x:f>COUNTIFS('Armes'!$C$7:$C$50,"Prototype")</x:f>
        <x:v>20</x:v>
      </x:c>
      <x:c r="E24" s="26" t="n">
        <x:f>COUNTIFS('Armes'!$C$7:$C$50,"Intégré")</x:f>
        <x:v>0</x:v>
      </x:c>
      <x:c r="F24" s="26" t="n">
        <x:f>COUNTIFS('Armes'!$C$7:$C$50,"Validé")</x:f>
        <x:v>0</x:v>
      </x:c>
      <x:c r="G24" s="26" t="n">
        <x:f>COUNTIFS('Armes'!$G$7:$G$50,"Confirmé")</x:f>
        <x:v>0</x:v>
      </x:c>
      <x:c r="H24" s="26" t="n">
        <x:f>COUNTIFS('Armes'!$G$7:$G$50,"Référence à vérifier")</x:f>
        <x:v>24</x:v>
      </x:c>
      <x:c r="I24" s="26" t="n">
        <x:f>COUNTIFS('Armes'!$G$7:$G$50,"Adaptation")</x:f>
        <x:v>20</x:v>
      </x:c>
      <x:c r="J24" s="26" t="n">
        <x:f>COUNTIFS('Armes'!$F$7:$F$50,"ME1")</x:f>
        <x:v>44</x:v>
      </x:c>
      <x:c r="K24" s="26" t="n">
        <x:f>COUNTIFS('Armes'!$P$7:$P$50,"Extension future")</x:f>
        <x:v>0</x:v>
      </x:c>
    </x:row>
    <x:row r="25" ht="22" customHeight="1">
      <x:c r="A25" s="2" t="str">
        <x:v>Armures et équipement</x:v>
      </x:c>
      <x:c r="B25" s="27" t="n">
        <x:f>COUNTA('Armures_equipement'!$A$7:$A$64)</x:f>
        <x:v>58</x:v>
      </x:c>
      <x:c r="C25" s="27" t="n">
        <x:f>COUNTIFS('Armures_equipement'!$C$7:$C$64,"Défini")</x:f>
        <x:v>24</x:v>
      </x:c>
      <x:c r="D25" s="27" t="n">
        <x:f>COUNTIFS('Armures_equipement'!$C$7:$C$64,"Prototype")</x:f>
        <x:v>34</x:v>
      </x:c>
      <x:c r="E25" s="27" t="n">
        <x:f>COUNTIFS('Armures_equipement'!$C$7:$C$64,"Intégré")</x:f>
        <x:v>0</x:v>
      </x:c>
      <x:c r="F25" s="27" t="n">
        <x:f>COUNTIFS('Armures_equipement'!$C$7:$C$64,"Validé")</x:f>
        <x:v>0</x:v>
      </x:c>
      <x:c r="G25" s="27" t="n">
        <x:f>COUNTIFS('Armures_equipement'!$G$7:$G$64,"Confirmé")</x:f>
        <x:v>2</x:v>
      </x:c>
      <x:c r="H25" s="27" t="n">
        <x:f>COUNTIFS('Armures_equipement'!$G$7:$G$64,"Référence à vérifier")</x:f>
        <x:v>24</x:v>
      </x:c>
      <x:c r="I25" s="27" t="n">
        <x:f>COUNTIFS('Armures_equipement'!$G$7:$G$64,"Adaptation")</x:f>
        <x:v>32</x:v>
      </x:c>
      <x:c r="J25" s="27" t="n">
        <x:f>COUNTIFS('Armures_equipement'!$F$7:$F$64,"ME1")</x:f>
        <x:v>58</x:v>
      </x:c>
      <x:c r="K25" s="27" t="n">
        <x:f>COUNTIFS('Armures_equipement'!$P$7:$P$64,"Extension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COUNTA('Animations'!$A$7:$A$66)</x:f>
        <x:v>60</x:v>
      </x:c>
      <x:c r="C29" s="27" t="n">
        <x:f>COUNTIFS('Animations'!$C$7:$C$66,"Défini")</x:f>
        <x:v>39</x:v>
      </x:c>
      <x:c r="D29" s="27" t="n">
        <x:f>COUNTIFS('Animations'!$C$7:$C$66,"Prototype")</x:f>
        <x:v>21</x:v>
      </x:c>
      <x:c r="E29" s="27" t="n">
        <x:f>COUNTIFS('Animations'!$C$7:$C$66,"Intégré")</x:f>
        <x:v>0</x:v>
      </x:c>
      <x:c r="F29" s="27" t="n">
        <x:f>COUNTIFS('Animations'!$C$7:$C$66,"Validé")</x:f>
        <x:v>0</x:v>
      </x:c>
      <x:c r="G29" s="27" t="n">
        <x:f>COUNTIFS('Animations'!$G$7:$G$66,"Confirmé")</x:f>
        <x:v>0</x:v>
      </x:c>
      <x:c r="H29" s="27" t="n">
        <x:f>COUNTIFS('Animations'!$G$7:$G$66,"Référence à vérifier")</x:f>
        <x:v>0</x:v>
      </x:c>
      <x:c r="I29" s="27" t="n">
        <x:f>COUNTIFS('Animations'!$G$7:$G$66,"Adaptation")</x:f>
        <x:v>60</x:v>
      </x:c>
      <x:c r="J29" s="27" t="n">
        <x:f>COUNTIFS('Animations'!$F$7:$F$66,"ME1")</x:f>
        <x:v>60</x:v>
      </x:c>
      <x:c r="K29" s="27" t="n">
        <x:f>COUNTIFS('Animations'!$P$7:$P$66,"Extension future")</x:f>
        <x:v>0</x:v>
      </x:c>
    </x:row>
    <x:row r="30" ht="22" customHeight="1">
      <x:c r="A30" s="22" t="str">
        <x:v>Sprites</x:v>
      </x:c>
      <x:c r="B30" s="26" t="n">
        <x:f>COUNTA('Sprites'!$A$7:$A$83)</x:f>
        <x:v>77</x:v>
      </x:c>
      <x:c r="C30" s="26" t="n">
        <x:f>COUNTIFS('Sprites'!$C$7:$C$83,"Défini")</x:f>
        <x:v>42</x:v>
      </x:c>
      <x:c r="D30" s="26" t="n">
        <x:f>COUNTIFS('Sprites'!$C$7:$C$83,"Prototype")</x:f>
        <x:v>35</x:v>
      </x:c>
      <x:c r="E30" s="26" t="n">
        <x:f>COUNTIFS('Sprites'!$C$7:$C$83,"Intégré")</x:f>
        <x:v>0</x:v>
      </x:c>
      <x:c r="F30" s="26" t="n">
        <x:f>COUNTIFS('Sprites'!$C$7:$C$83,"Validé")</x:f>
        <x:v>0</x:v>
      </x:c>
      <x:c r="G30" s="26" t="n">
        <x:f>COUNTIFS('Sprites'!$G$7:$G$83,"Confirmé")</x:f>
        <x:v>0</x:v>
      </x:c>
      <x:c r="H30" s="26" t="n">
        <x:f>COUNTIFS('Sprites'!$G$7:$G$83,"Référence à vérifier")</x:f>
        <x:v>0</x:v>
      </x:c>
      <x:c r="I30" s="26" t="n">
        <x:f>COUNTIFS('Sprites'!$G$7:$G$83,"Adaptation")</x:f>
        <x:v>77</x:v>
      </x:c>
      <x:c r="J30" s="26" t="n">
        <x:f>COUNTIFS('Sprites'!$F$7:$F$83,"ME1")</x:f>
        <x:v>77</x:v>
      </x:c>
      <x:c r="K30" s="26" t="n">
        <x:f>COUNTIFS('Sprites'!$P$7:$P$83,"Extension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COUNTA('UI_systemes'!$A$7:$A$51)</x:f>
        <x:v>45</x:v>
      </x:c>
      <x:c r="C33" s="27" t="n">
        <x:f>COUNTIFS('UI_systemes'!$C$7:$C$51,"Défini")</x:f>
        <x:v>8</x:v>
      </x:c>
      <x:c r="D33" s="27" t="n">
        <x:f>COUNTIFS('UI_systemes'!$C$7:$C$51,"Prototype")</x:f>
        <x:v>34</x:v>
      </x:c>
      <x:c r="E33" s="27" t="n">
        <x:f>COUNTIFS('UI_systemes'!$C$7:$C$51,"Intégré")</x:f>
        <x:v>0</x:v>
      </x:c>
      <x:c r="F33" s="27" t="n">
        <x:f>COUNTIFS('UI_systemes'!$C$7:$C$51,"Validé")</x:f>
        <x:v>3</x:v>
      </x:c>
      <x:c r="G33" s="27" t="n">
        <x:f>COUNTIFS('UI_systemes'!$G$7:$G$51,"Confirmé")</x:f>
        <x:v>0</x:v>
      </x:c>
      <x:c r="H33" s="27" t="n">
        <x:f>COUNTIFS('UI_systemes'!$G$7:$G$51,"Référence à vérifier")</x:f>
        <x:v>0</x:v>
      </x:c>
      <x:c r="I33" s="27" t="n">
        <x:f>COUNTIFS('UI_systemes'!$G$7:$G$51,"Adaptation")</x:f>
        <x:v>45</x:v>
      </x:c>
      <x:c r="J33" s="27" t="n">
        <x:f>COUNTIFS('UI_systemes'!$F$7:$F$51,"ME1")</x:f>
        <x:v>40</x:v>
      </x:c>
      <x:c r="K33" s="27" t="n">
        <x:f>COUNTIFS('UI_systemes'!$P$7:$P$51,"Extension future")</x:f>
        <x:v>0</x:v>
      </x:c>
    </x:row>
    <x:row r="34" ht="22" customHeight="1">
      <x:c r="A34" s="22" t="str">
        <x:v>QA</x:v>
      </x:c>
      <x:c r="B34" s="26" t="n">
        <x:f>COUNTA('QA'!$A$7:$A$58)</x:f>
        <x:v>52</x:v>
      </x:c>
      <x:c r="C34" s="26" t="n">
        <x:f>COUNTIFS('QA'!$C$7:$C$58,"Défini")</x:f>
        <x:v>52</x:v>
      </x:c>
      <x:c r="D34" s="26" t="n">
        <x:f>COUNTIFS('QA'!$C$7:$C$58,"Prototype")</x:f>
        <x:v>0</x:v>
      </x:c>
      <x:c r="E34" s="26" t="n">
        <x:f>COUNTIFS('QA'!$C$7:$C$58,"Intégré")</x:f>
        <x:v>0</x:v>
      </x:c>
      <x:c r="F34" s="26" t="n">
        <x:f>COUNTIFS('QA'!$C$7:$C$58,"Validé")</x:f>
        <x:v>0</x:v>
      </x:c>
      <x:c r="G34" s="26" t="n">
        <x:f>COUNTIFS('QA'!$G$7:$G$58,"Confirmé")</x:f>
        <x:v>0</x:v>
      </x:c>
      <x:c r="H34" s="26" t="n">
        <x:f>COUNTIFS('QA'!$G$7:$G$58,"Référence à vérifier")</x:f>
        <x:v>0</x:v>
      </x:c>
      <x:c r="I34" s="26" t="n">
        <x:f>COUNTIFS('QA'!$G$7:$G$58,"Adaptation")</x:f>
        <x:v>52</x:v>
      </x:c>
      <x:c r="J34" s="26" t="n">
        <x:f>COUNTIFS('QA'!$F$7:$F$58,"ME1")</x:f>
        <x:v>52</x:v>
      </x:c>
      <x:c r="K34" s="26" t="n">
        <x:f>COUNTIFS('QA'!$P$7:$P$58,"Extension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1330</x:v>
      </x:c>
      <x:c r="C37" s="28" t="n">
        <x:f>SUM(C10:C35)</x:f>
        <x:v>1035</x:v>
      </x:c>
      <x:c r="D37" s="28" t="n">
        <x:f>SUM(D10:D35)</x:f>
        <x:v>289</x:v>
      </x:c>
      <x:c r="E37" s="28" t="n">
        <x:f>SUM(E10:E35)</x:f>
        <x:v>3</x:v>
      </x:c>
      <x:c r="F37" s="28" t="n">
        <x:f>SUM(F10:F35)</x:f>
        <x:v>3</x:v>
      </x:c>
      <x:c r="G37" s="28" t="n">
        <x:f>SUM(G10:G35)</x:f>
        <x:v>17</x:v>
      </x:c>
      <x:c r="H37" s="28" t="n">
        <x:f>SUM(H10:H35)</x:f>
        <x:v>522</x:v>
      </x:c>
      <x:c r="I37" s="28" t="n">
        <x:f>SUM(I10:I35)</x:f>
        <x:v>791</x:v>
      </x:c>
      <x:c r="J37" s="28" t="n">
        <x:f>SUM(J10:J35)</x:f>
        <x:v>1268</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"ME1,ME2,ME3,TRANSVERSE"</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2019db6ecb9c4823"/>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"ME1,ME2,ME3,TRANSVERSE"</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357f03b1bc954e7c"/>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5043bc441b2d4ddf"/>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"ME1,ME2,ME3,TRANSVERSE"</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9efcc15b67f7441e"/>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"ME1,ME2,ME3,TRANSVERSE"</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694cc2cf7f2e40b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"ME1,ME2,ME3,TRANSVERSE"</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707b64c4e4e248e6"/>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"ME1,ME2,ME3,TRANSVERSE"</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866f94065c084533"/>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daa0c932d5764212"/>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"ME1,ME2,ME3,TRANSVERSE"</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18e33848bb8546d6"/>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a7d756d2150649d1"/>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"ME1,ME2,ME3,TRANSVERSE"</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ba3a5ab3c2f742bb"/>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"ME1,ME2,ME3,TRANSVERSE"</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581b1c9fc601477c"/>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250fdcaa737a422e"/>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3c5b0ebb964249df"/>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sheetData>
  <x:conditionalFormatting sqref="C7:C50">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0">
    <x:cfRule type="cellIs" dxfId="73" priority="4" operator="equal">
      <x:formula>"Référence à vérifier"</x:formula>
    </x:cfRule>
  </x:conditionalFormatting>
  <x:conditionalFormatting sqref="E7:E50">
    <x:cfRule type="cellIs" dxfId="74" priority="5" operator="equal">
      <x:formula>"P0"</x:formula>
    </x:cfRule>
  </x:conditionalFormatting>
  <x:dataValidations count="5">
    <x:dataValidation type="list" sqref="C7:C50">
      <x:formula1>"Défini,Prototype,Intégré,Validé"</x:formula1>
    </x:dataValidation>
    <x:dataValidation type="list" sqref="D7:D50">
      <x:formula1>"À produire,Prototype,Disponible,Validé,Sans objet,Non planifié"</x:formula1>
    </x:dataValidation>
    <x:dataValidation type="list" sqref="E7:E50">
      <x:formula1>"P0,P1,P2"</x:formula1>
    </x:dataValidation>
    <x:dataValidation type="list" sqref="F7:F50">
      <x:formula1>"ME1,ME2,ME3,TRANSVERSE"</x:formula1>
    </x:dataValidation>
    <x:dataValidation type="list" sqref="G7:G50">
      <x:formula1>"Confirmé,Référence à vérifier,Adaptation"</x:formula1>
    </x:dataValidation>
  </x:dataValidations>
  <x:pageMargins left="0.7" right="0.7" top="0.75" bottom="0.75" header="0.3" footer="0.3"/>
  <x:tableParts count="1">
    <x:tablePart xmlns:r="http://schemas.openxmlformats.org/officeDocument/2006/relationships" r:id="Rd069bfc436fa43d9"/>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sheetData>
  <x:conditionalFormatting sqref="C7:C64">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64">
    <x:cfRule type="cellIs" dxfId="78" priority="4" operator="equal">
      <x:formula>"Référence à vérifier"</x:formula>
    </x:cfRule>
  </x:conditionalFormatting>
  <x:conditionalFormatting sqref="E7:E64">
    <x:cfRule type="cellIs" dxfId="79" priority="5" operator="equal">
      <x:formula>"P0"</x:formula>
    </x:cfRule>
  </x:conditionalFormatting>
  <x:dataValidations count="5">
    <x:dataValidation type="list" sqref="C7:C64">
      <x:formula1>"Défini,Prototype,Intégré,Validé"</x:formula1>
    </x:dataValidation>
    <x:dataValidation type="list" sqref="D7:D64">
      <x:formula1>"À produire,Prototype,Disponible,Validé,Sans objet,Non planifié"</x:formula1>
    </x:dataValidation>
    <x:dataValidation type="list" sqref="E7:E64">
      <x:formula1>"P0,P1,P2"</x:formula1>
    </x:dataValidation>
    <x:dataValidation type="list" sqref="F7:F64">
      <x:formula1>"ME1,ME2,ME3,TRANSVERSE"</x:formula1>
    </x:dataValidation>
    <x:dataValidation type="list" sqref="G7:G64">
      <x:formula1>"Confirmé,Référence à vérifier,Adaptation"</x:formula1>
    </x:dataValidation>
  </x:dataValidations>
  <x:pageMargins left="0.7" right="0.7" top="0.75" bottom="0.75" header="0.3" footer="0.3"/>
  <x:tableParts count="1">
    <x:tablePart xmlns:r="http://schemas.openxmlformats.org/officeDocument/2006/relationships" r:id="R10c983855da14d39"/>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8f8ee5e6fff44206"/>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"ME1,ME2,ME3,TRANSVERSE"</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770578cb446f4ca9"/>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"ME1,ME2,ME3,TRANSVERSE"</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0a3a313d2acb45d1"/>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sheetData>
  <x:conditionalFormatting sqref="C7:C66">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6">
    <x:cfRule type="cellIs" dxfId="98" priority="4" operator="equal">
      <x:formula>"Référence à vérifier"</x:formula>
    </x:cfRule>
  </x:conditionalFormatting>
  <x:conditionalFormatting sqref="E7:E66">
    <x:cfRule type="cellIs" dxfId="99" priority="5" operator="equal">
      <x:formula>"P0"</x:formula>
    </x:cfRule>
  </x:conditionalFormatting>
  <x:dataValidations count="5">
    <x:dataValidation type="list" sqref="C7:C66">
      <x:formula1>"Défini,Prototype,Intégré,Validé"</x:formula1>
    </x:dataValidation>
    <x:dataValidation type="list" sqref="D7:D66">
      <x:formula1>"À produire,Prototype,Disponible,Validé,Sans objet,Non planifié"</x:formula1>
    </x:dataValidation>
    <x:dataValidation type="list" sqref="E7:E66">
      <x:formula1>"P0,P1,P2"</x:formula1>
    </x:dataValidation>
    <x:dataValidation type="list" sqref="F7:F66">
      <x:formula1>"ME1,ME2,ME3,TRANSVERSE"</x:formula1>
    </x:dataValidation>
    <x:dataValidation type="list" sqref="G7:G66">
      <x:formula1>"Confirmé,Référence à vérifier,Adaptation"</x:formula1>
    </x:dataValidation>
  </x:dataValidations>
  <x:pageMargins left="0.7" right="0.7" top="0.75" bottom="0.75" header="0.3" footer="0.3"/>
  <x:tableParts count="1">
    <x:tablePart xmlns:r="http://schemas.openxmlformats.org/officeDocument/2006/relationships" r:id="R7ec4583d4a9e4873"/>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sheetData>
  <x:conditionalFormatting sqref="C7:C83">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3">
    <x:cfRule type="cellIs" dxfId="103" priority="4" operator="equal">
      <x:formula>"Référence à vérifier"</x:formula>
    </x:cfRule>
  </x:conditionalFormatting>
  <x:conditionalFormatting sqref="E7:E83">
    <x:cfRule type="cellIs" dxfId="104" priority="5" operator="equal">
      <x:formula>"P0"</x:formula>
    </x:cfRule>
  </x:conditionalFormatting>
  <x:dataValidations count="5">
    <x:dataValidation type="list" sqref="C7:C83">
      <x:formula1>"Défini,Prototype,Intégré,Validé"</x:formula1>
    </x:dataValidation>
    <x:dataValidation type="list" sqref="D7:D83">
      <x:formula1>"À produire,Prototype,Disponible,Validé,Sans objet,Non planifié"</x:formula1>
    </x:dataValidation>
    <x:dataValidation type="list" sqref="E7:E83">
      <x:formula1>"P0,P1,P2"</x:formula1>
    </x:dataValidation>
    <x:dataValidation type="list" sqref="F7:F83">
      <x:formula1>"ME1,ME2,ME3,TRANSVERSE"</x:formula1>
    </x:dataValidation>
    <x:dataValidation type="list" sqref="G7:G83">
      <x:formula1>"Confirmé,Référence à vérifier,Adaptation"</x:formula1>
    </x:dataValidation>
  </x:dataValidations>
  <x:pageMargins left="0.7" right="0.7" top="0.75" bottom="0.75" header="0.3" footer="0.3"/>
  <x:tableParts count="1">
    <x:tablePart xmlns:r="http://schemas.openxmlformats.org/officeDocument/2006/relationships" r:id="R90a417fffd7041e0"/>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4634d6457ab646c8"/>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55a26ecd7f944d2a"/>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88" customHeight="1">
      <x:c r="A47" s="13" t="str">
        <x:v>SYS-chroniques-contextuelles</x:v>
      </x:c>
      <x:c r="B47" s="14" t="str">
        <x:v>Chroniques par œuvre et période</x:v>
      </x:c>
      <x:c r="C47" s="10" t="str">
        <x:v>Prototype</x:v>
      </x:c>
      <x:c r="D47" s="11" t="str">
        <x:v>Sans objet</x:v>
      </x:c>
      <x:c r="E47" s="15" t="str">
        <x:v>P0</x:v>
      </x:c>
      <x:c r="F47" s="15" t="str">
        <x:v>TRANSVERSE</x:v>
      </x:c>
      <x:c r="G47" s="15" t="str">
        <x:v>Adaptation</x:v>
      </x:c>
      <x:c r="H47" s="14" t="str">
        <x:v>Registre documentaire des jeux et médias ; essais tactiques indépendants et sélection strictement conditionnée à une œuvre et un segment.</x:v>
      </x:c>
      <x:c r="I47" s="14" t="str">
        <x:v>Les 28 œuvres et 48 segments sont identifiés ; les essais refusent personnages, objets et sauvegardes étrangers à leur contexte. La campagne ME1 conserve inventaire, décisions et sauvegardes. Les scènes abstraites sont indiquées comme simulations.</x:v>
      </x:c>
      <x:c r="J47" s="14" t="str"/>
      <x:c r="K47" s="14" t="str">
        <x:v>src/chronicles.js</x:v>
      </x:c>
      <x:c r="L47" s="14" t="str">
        <x:v>src/chronicles.js</x:v>
      </x:c>
      <x:c r="M47" s="14" t="str">
        <x:v>SYS-chroniques-contextuelles</x:v>
      </x:c>
      <x:c r="N47" s="14" t="str">
        <x:v>Décisions du fan game ; contexte propre à chaque œuvre.</x:v>
      </x:c>
      <x:c r="O47" s="14" t="str"/>
      <x:c r="P47" s="14" t="str">
        <x:v>Chroniques indépendantes</x:v>
      </x:c>
      <x:c r="Q47" s="14" t="str">
        <x:v>Prototype partiel. Les soutiens autonomes ont HP/durée/propriétaire et ne remplacent aucun combattant natif dans la victoire. Trois portraits partiels ne créent ni sprite animé ni recrutement. Voir tests/combat-support.test.js, tests/chronicles.test.js et docs/CHRONICLES.md. Aucun transfert dans ME1.</x:v>
      </x:c>
    </x:row>
    <x:row r="48" ht="62" customHeight="1">
      <x:c r="A48" s="12" t="str">
        <x:v>SYS-clips-thermiques</x:v>
      </x:c>
      <x:c r="B48" s="7" t="str">
        <x:v>Chargeurs et recharge des Chroniques</x:v>
      </x:c>
      <x:c r="C48" s="10" t="str">
        <x:v>Prototype</x:v>
      </x:c>
      <x:c r="D48" s="11" t="str">
        <x:v>Sans objet</x:v>
      </x:c>
      <x:c r="E48" s="9" t="str">
        <x:v>P0</x:v>
      </x:c>
      <x:c r="F48" s="9" t="str">
        <x:v>TRANSVERSE</x:v>
      </x:c>
      <x:c r="G48" s="9" t="str">
        <x:v>Adaptation</x:v>
      </x:c>
      <x:c r="H48" s="7" t="str">
        <x:v>Chargeur, réserve et action de recharge pour les profils qui utilisent des cartouches thermiques ; mode chaleur conservé pour ME1.</x:v>
      </x:c>
      <x:c r="I48" s="7" t="str">
        <x:v>Les tirs consomment le chargeur, la recharge utilise une action ATB et la réserve ; tir impossible à vide, pas de munitions négatives. Les capacités et le temps ATB restent adaptés, sans certification numérique 1:1.</x:v>
      </x:c>
      <x:c r="J48" s="7" t="str"/>
      <x:c r="K48" s="7" t="str">
        <x:v>src/combat.js</x:v>
      </x:c>
      <x:c r="L48" s="7" t="str">
        <x:v>src/combat.js</x:v>
      </x:c>
      <x:c r="M48" s="7" t="str">
        <x:v>SYS-clips-thermiques</x:v>
      </x:c>
      <x:c r="N48" s="7" t="str">
        <x:v>Principe des cartouches : manuel PC ME2, pages 16–17 ; cadence et capacités ATB adaptées.</x:v>
      </x:c>
      <x:c r="O48" s="7" t="str"/>
      <x:c r="P48" s="7" t="str">
        <x:v>Chroniques indépendantes</x:v>
      </x:c>
      <x:c r="Q48" s="7" t="str">
        <x:v>Prototype partiel. Voir docs/CHRONICLES.md et tests/chronicles.test.js, tests/universe-combat.test.js, scripts/universe-browser.mjs. Aucun nouveau personnage ou équipement futur dans la campagne ME1.</x:v>
      </x:c>
    </x:row>
    <x:row r="49" ht="75" customHeight="1">
      <x:c r="A49" s="13" t="str">
        <x:v>SYS-preparations-chroniques</x:v>
      </x:c>
      <x:c r="B49" s="14" t="str">
        <x:v>Préparations de classes et pouvoirs des Chroniques</x:v>
      </x:c>
      <x:c r="C49" s="10" t="str">
        <x:v>Prototype</x:v>
      </x:c>
      <x:c r="D49" s="11" t="str">
        <x:v>Sans objet</x:v>
      </x:c>
      <x:c r="E49" s="15" t="str">
        <x:v>P0</x:v>
      </x:c>
      <x:c r="F49" s="15" t="str">
        <x:v>TRANSVERSE</x:v>
      </x:c>
      <x:c r="G49" s="15" t="str">
        <x:v>Adaptation</x:v>
      </x:c>
      <x:c r="H49" s="14" t="str">
        <x:v>Sous-ensembles de six classes Shepard pour ME2/ME3 et de trois préparations Ryder ; pouvoirs et armes disponibles conditionnés au contexte.</x:v>
      </x:c>
      <x:c r="I49" s="14" t="str">
        <x:v>Le profil default des anciennes préparations migre sans classe imposée. Modes de munitions appris exclusifs, quatre ports conservés ; classe ou arme incompatible retire le mode. ammoModes reste distinct des notes et sauvegardes ME1. Les valeurs demeurent des adaptations ATB.</x:v>
      </x:c>
      <x:c r="J49" s="14" t="str"/>
      <x:c r="K49" s="14" t="str">
        <x:v>src/chronicles.js</x:v>
      </x:c>
      <x:c r="L49" s="14" t="str">
        <x:v>src/chronicles.js</x:v>
      </x:c>
      <x:c r="M49" s="14" t="str">
        <x:v>SYS-preparations-chroniques</x:v>
      </x:c>
      <x:c r="N49" s="14" t="str">
        <x:v>Système de l’adaptation ; sources propres aux œuvres et aux fiches de contenu.</x:v>
      </x:c>
      <x:c r="O49" s="14" t="str"/>
      <x:c r="P49" s="14" t="str">
        <x:v>Chroniques indépendantes</x:v>
      </x:c>
      <x:c r="Q49" s="14" t="str">
        <x:v>Prototype partiel : tests/chronicle-ammo-sessions.test.js et tests/universe-support-ui.test.js ; commandes et préférences de munitions bornées au vrai kit et à l’œuvre. Voir docs/CHRONICLES.md ; rangs, acquisition et fidélité globale1:1 non certifiés.</x:v>
      </x:c>
    </x:row>
    <x:row r="50" ht="75" customHeight="1">
      <x:c r="A50" s="12" t="str">
        <x:v>SYS-modules-chroniques</x:v>
      </x:c>
      <x:c r="B50" s="7" t="str">
        <x:v>Deux ports de modules dans les Chroniques</x:v>
      </x:c>
      <x:c r="C50" s="10" t="str">
        <x:v>Prototype</x:v>
      </x:c>
      <x:c r="D50" s="11" t="str">
        <x:v>Sans objet</x:v>
      </x:c>
      <x:c r="E50" s="9" t="str">
        <x:v>P0</x:v>
      </x:c>
      <x:c r="F50" s="9" t="str">
        <x:v>TRANSVERSE</x:v>
      </x:c>
      <x:c r="G50" s="9" t="str">
        <x:v>Adaptation</x:v>
      </x:c>
      <x:c r="H50" s="7" t="str">
        <x:v>Modules de canon et de chargeur testables sur fusils d’assaut ME3 à clips, sans transfert d’inventaire ME1.</x:v>
      </x:c>
      <x:c r="I50" s="7" t="str">
        <x:v>Deux familles distinctes, arme parent valide, retrait des modules lors d’un changement d’arme. Le canon renforce uniquement les tirs ; le chargeur réaffecte des munitions de réserve sans en créer. Anciennes préparations à deux slots migrées vers quatre.</x:v>
      </x:c>
      <x:c r="J50" s="7" t="str"/>
      <x:c r="K50" s="7" t="str">
        <x:v>src/universe-equipment.js</x:v>
      </x:c>
      <x:c r="L50" s="7" t="str">
        <x:v>src/universe-equipment.js</x:v>
      </x:c>
      <x:c r="M50" s="7" t="str">
        <x:v>SYS-modules-chroniques</x:v>
      </x:c>
      <x:c r="N50" s="7" t="str">
        <x:v>Système de l’adaptation ; sources propres aux œuvres et aux fiches de contenu.</x:v>
      </x:c>
      <x:c r="O50" s="7" t="str"/>
      <x:c r="P50" s="7" t="str">
        <x:v>Chroniques indépendantes</x:v>
      </x:c>
      <x:c r="Q50" s="7" t="str">
        <x:v>Prototype partiel vérifié : tests/chronicle-expansion.test.js et scripts/chronicle-expansion-browser.mjs. Voir docs/CHRONICLES.md ; aucune validation globale 1:1.</x:v>
      </x:c>
    </x:row>
    <x:row r="51" ht="75" customHeight="1">
      <x:c r="A51" s="13" t="str">
        <x:v>SYS-lectures-chroniques</x:v>
      </x:c>
      <x:c r="B51" s="14" t="str">
        <x:v>Lectures documentaires des Chroniques</x:v>
      </x:c>
      <x:c r="C51" s="10" t="str">
        <x:v>Prototype</x:v>
      </x:c>
      <x:c r="D51" s="11" t="str">
        <x:v>Sans objet</x:v>
      </x:c>
      <x:c r="E51" s="15" t="str">
        <x:v>P0</x:v>
      </x:c>
      <x:c r="F51" s="15" t="str">
        <x:v>TRANSVERSE</x:v>
      </x:c>
      <x:c r="G51" s="15" t="str">
        <x:v>Adaptation</x:v>
      </x:c>
      <x:c r="H51" s="14" t="str">
        <x:v>Seize parcours de lecture et 52 pages de paraphrases factuelles sourcées, isolés des scénarios de combat.</x:v>
      </x:c>
      <x:c r="I51" s="14" t="str">
        <x:v>Navigation et sources visibles ; contexte exact ; découvertes uniques et position conservées à l’import/reprise. readingProgress reste séparé des notes personnelles. Aucun crédit, recrutement, combat gagné ou choix canonique n’est accordé par une lecture.</x:v>
      </x:c>
      <x:c r="J51" s="14" t="str"/>
      <x:c r="K51" s="14" t="str">
        <x:v>src/chronicle-story.js</x:v>
      </x:c>
      <x:c r="L51" s="14" t="str">
        <x:v>src/chronicle-story.js</x:v>
      </x:c>
      <x:c r="M51" s="14" t="str">
        <x:v>SYS-lectures-chroniques</x:v>
      </x:c>
      <x:c r="N51" s="14" t="str">
        <x:v>Système de l’adaptation ; sources propres aux œuvres et aux fiches de contenu.</x:v>
      </x:c>
      <x:c r="O51" s="14" t="str"/>
      <x:c r="P51" s="14" t="str">
        <x:v>Chroniques indépendantes</x:v>
      </x:c>
      <x:c r="Q51" s="14" t="str">
        <x:v>Prototype partiel : tests/chronicle-story.test.js et tests/chronicle-specialists.test.js ; compléments des parcours couverts par scripts/chronicle-specialists-browser.mjs. Voir docs/CHRONICLES.md ; aucune validation globale 1:1.</x:v>
      </x:c>
    </x:row>
  </x:sheetData>
  <x:conditionalFormatting sqref="C7:C51">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51">
    <x:cfRule type="cellIs" dxfId="118" priority="4" operator="equal">
      <x:formula>"Référence à vérifier"</x:formula>
    </x:cfRule>
  </x:conditionalFormatting>
  <x:conditionalFormatting sqref="E7:E51">
    <x:cfRule type="cellIs" dxfId="119" priority="5" operator="equal">
      <x:formula>"P0"</x:formula>
    </x:cfRule>
  </x:conditionalFormatting>
  <x:dataValidations count="5">
    <x:dataValidation type="list" sqref="C7:C51">
      <x:formula1>"Défini,Prototype,Intégré,Validé"</x:formula1>
    </x:dataValidation>
    <x:dataValidation type="list" sqref="D7:D51">
      <x:formula1>"À produire,Prototype,Disponible,Validé,Sans objet,Non planifié"</x:formula1>
    </x:dataValidation>
    <x:dataValidation type="list" sqref="E7:E51">
      <x:formula1>"P0,P1,P2"</x:formula1>
    </x:dataValidation>
    <x:dataValidation type="list" sqref="F7:F51">
      <x:formula1>"ME1,ME2,ME3,TRANSVERSE"</x:formula1>
    </x:dataValidation>
    <x:dataValidation type="list" sqref="G7:G51">
      <x:formula1>"Confirmé,Référence à vérifier,Adaptation"</x:formula1>
    </x:dataValidation>
  </x:dataValidations>
  <x:pageMargins left="0.7" right="0.7" top="0.75" bottom="0.75" header="0.3" footer="0.3"/>
  <x:tableParts count="1">
    <x:tablePart xmlns:r="http://schemas.openxmlformats.org/officeDocument/2006/relationships" r:id="Rd3ff91665a60495d"/>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sheetData>
  <x:conditionalFormatting sqref="C7:C58">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58">
    <x:cfRule type="cellIs" dxfId="123" priority="4" operator="equal">
      <x:formula>"Référence à vérifier"</x:formula>
    </x:cfRule>
  </x:conditionalFormatting>
  <x:conditionalFormatting sqref="E7:E58">
    <x:cfRule type="cellIs" dxfId="124"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9416ef6f514542d6"/>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"ME1,ME2,ME3,TRANSVERSE"</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65bd00155c9144a2"/>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42" customHeight="1">
      <x:c r="A69" s="7"/>
      <x:c r="B69" s="7"/>
      <x:c r="C69" s="7"/>
      <x:c r="D69" s="7"/>
    </x:row>
    <x:row r="70" ht="42" customHeight="1">
      <x:c r="A70" s="7"/>
      <x:c r="B70" s="7"/>
      <x:c r="C70" s="7"/>
      <x:c r="D70" s="7"/>
    </x:row>
    <x:row r="71" ht="68" customHeight="1">
      <x:c r="A71" s="7" t="str">
        <x:v>Périmètre</x:v>
      </x:c>
      <x:c r="B71" s="7" t="str">
        <x:v>Plan de couverture du premier Mass Effect avec extensions ME2 et ME3 séparées. Le prototype jouable condense les lieux et ne constitue pas une reproduction complète. Chroniques indépendantes : références des 28 œuvres et prototypes tactiques isolés pour sept œuvres ; aucun transfert dans la campagne ME1.</x:v>
      </x:c>
      <x:c r="C71" s="7"/>
      <x:c r="D71" s="7"/>
    </x:row>
    <x:row r="72" ht="68" customHeight="1">
      <x:c r="A72" s="7" t="str">
        <x:v>Fidélité</x:v>
      </x:c>
      <x:c r="B72" s="7" t="str">
        <x:v>Aucun asset ni aucune mission n’est déclaré fidèle 1:1 ou terminé sans contrôle explicite.</x:v>
      </x:c>
      <x:c r="C72" s="7"/>
      <x:c r="D72" s="7"/>
    </x:row>
    <x:row r="73" ht="42" customHeight="1">
      <x:c r="A73" s="7" t="str">
        <x:v>Version</x:v>
      </x:c>
      <x:c r="B73" s="7" t="str">
        <x:v>0.2.0</x:v>
      </x:c>
      <x:c r="C73" s="7"/>
      <x:c r="D73" s="7"/>
    </x:row>
    <x:row r="74" ht="42" customHeight="1">
      <x:c r="A74" s="7" t="str">
        <x:v>Date de référence</x:v>
      </x:c>
      <x:c r="B74" s="32" t="d">
        <x:v>2026-10-25T12:00:00.000Z</x:v>
      </x:c>
      <x:c r="C74" s="7"/>
      <x:c r="D74" s="7"/>
    </x:row>
    <x:row r="75" ht="22" customHeight="1">
      <x:c r="A75" s="2"/>
      <x:c r="B75" s="2"/>
      <x:c r="C75" s="2"/>
      <x:c r="D75" s="2"/>
    </x:row>
    <x:row r="76" ht="22" customHeight="1">
      <x:c r="A76" s="2"/>
      <x:c r="B76" s="2"/>
      <x:c r="C76" s="2"/>
      <x:c r="D76" s="2"/>
    </x:row>
    <x:row r="77" ht="22" customHeight="1">
      <x:c r="A77" s="2"/>
      <x:c r="B77" s="2"/>
      <x:c r="C77" s="2"/>
      <x:c r="D77" s="2"/>
    </x:row>
  </x:sheetData>
  <x:pageMargins left="0.7" right="0.7" top="0.75" bottom="0.75" header="0.3" footer="0.3"/>
</x:worksheet>
</file>