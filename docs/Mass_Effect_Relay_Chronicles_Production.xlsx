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3d5d6ae78148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c5ca8aab7e64ff3"/>
    <x:sheet xmlns:r="http://schemas.openxmlformats.org/officeDocument/2006/relationships" name="Personnages" sheetId="2" r:id="R2ae199ca6b5d4065"/>
    <x:sheet xmlns:r="http://schemas.openxmlformats.org/officeDocument/2006/relationships" name="PNJ" sheetId="3" r:id="R9c05cae8c53d4743"/>
    <x:sheet xmlns:r="http://schemas.openxmlformats.org/officeDocument/2006/relationships" name="Especes_factions" sheetId="4" r:id="Rb7f6358696f546cb"/>
    <x:sheet xmlns:r="http://schemas.openxmlformats.org/officeDocument/2006/relationships" name="Mondes" sheetId="5" r:id="R9e01365461db402b"/>
    <x:sheet xmlns:r="http://schemas.openxmlformats.org/officeDocument/2006/relationships" name="Zones" sheetId="6" r:id="Rfc1ba9cc957944fe"/>
    <x:sheet xmlns:r="http://schemas.openxmlformats.org/officeDocument/2006/relationships" name="Liaisons" sheetId="7" r:id="R8c15189bbbdd4c6d"/>
    <x:sheet xmlns:r="http://schemas.openxmlformats.org/officeDocument/2006/relationships" name="Decors" sheetId="8" r:id="Ra03951c805874604"/>
    <x:sheet xmlns:r="http://schemas.openxmlformats.org/officeDocument/2006/relationships" name="Props" sheetId="9" r:id="Rc9fff659a373430a"/>
    <x:sheet xmlns:r="http://schemas.openxmlformats.org/officeDocument/2006/relationships" name="Ennemis_boss" sheetId="10" r:id="R18b182deba7e47b6"/>
    <x:sheet xmlns:r="http://schemas.openxmlformats.org/officeDocument/2006/relationships" name="Missions" sheetId="11" r:id="Rebc9b8e9b9634d6f"/>
    <x:sheet xmlns:r="http://schemas.openxmlformats.org/officeDocument/2006/relationships" name="Secondaires_DLC" sheetId="12" r:id="R8ec5d3643b114d7f"/>
    <x:sheet xmlns:r="http://schemas.openxmlformats.org/officeDocument/2006/relationships" name="Choix_relations" sheetId="13" r:id="R3e1c073579514d48"/>
    <x:sheet xmlns:r="http://schemas.openxmlformats.org/officeDocument/2006/relationships" name="Dialogues" sheetId="14" r:id="Re04518814fc44eef"/>
    <x:sheet xmlns:r="http://schemas.openxmlformats.org/officeDocument/2006/relationships" name="Cinematiques" sheetId="15" r:id="R5216e246028c4546"/>
    <x:sheet xmlns:r="http://schemas.openxmlformats.org/officeDocument/2006/relationships" name="Armes" sheetId="16" r:id="R159d32d5d68643b5"/>
    <x:sheet xmlns:r="http://schemas.openxmlformats.org/officeDocument/2006/relationships" name="Armures_equipement" sheetId="17" r:id="Rc15a705cf4ff4597"/>
    <x:sheet xmlns:r="http://schemas.openxmlformats.org/officeDocument/2006/relationships" name="Pouvoirs" sheetId="18" r:id="Rf043168ff17d4698"/>
    <x:sheet xmlns:r="http://schemas.openxmlformats.org/officeDocument/2006/relationships" name="Movesets_allies" sheetId="19" r:id="R3bddbee8ab9c4e3c"/>
    <x:sheet xmlns:r="http://schemas.openxmlformats.org/officeDocument/2006/relationships" name="Movesets_ennemis" sheetId="20" r:id="R6e91dad97dd5443e"/>
    <x:sheet xmlns:r="http://schemas.openxmlformats.org/officeDocument/2006/relationships" name="Animations" sheetId="21" r:id="R6c15ca54e28f4628"/>
    <x:sheet xmlns:r="http://schemas.openxmlformats.org/officeDocument/2006/relationships" name="Sprites" sheetId="22" r:id="Rf33b03aea0454fa1"/>
    <x:sheet xmlns:r="http://schemas.openxmlformats.org/officeDocument/2006/relationships" name="VFX" sheetId="23" r:id="R118ef5e103944d12"/>
    <x:sheet xmlns:r="http://schemas.openxmlformats.org/officeDocument/2006/relationships" name="Audio" sheetId="24" r:id="R24dbe519ebd34ae8"/>
    <x:sheet xmlns:r="http://schemas.openxmlformats.org/officeDocument/2006/relationships" name="UI_systemes" sheetId="25" r:id="Rade3a8103d924316"/>
    <x:sheet xmlns:r="http://schemas.openxmlformats.org/officeDocument/2006/relationships" name="QA" sheetId="26" r:id="R5575f366e6f34abb"/>
    <x:sheet xmlns:r="http://schemas.openxmlformats.org/officeDocument/2006/relationships" name="Trilogie" sheetId="27" r:id="R4bdec805241741ed"/>
    <x:sheet xmlns:r="http://schemas.openxmlformats.org/officeDocument/2006/relationships" name="Guide" sheetId="28" r:id="Rb5121ec52d6741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7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0C7"/>
      </x:patternFill>
    </x:fill>
    <x:fill>
      <x:patternFill patternType="solid">
        <x:fgColor rgb="FFFFF7E1"/>
      </x:patternFill>
    </x:fill>
    <x:fill>
      <x:patternFill patternType="solid">
        <x:fgColor rgb="FFF8FBFC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5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top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30"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  <x:dxf>
      <x:font>
        <x:b/>
        <x:color rgb="FF865000"/>
      </x:font>
      <x:fill>
        <x:patternFill patternType="solid">
          <x:bgColor rgb="FFFFF1D0"/>
        </x:patternFill>
      </x:fill>
    </x:dxf>
    <x:dxf>
      <x:font>
        <x:b/>
        <x:color rgb="FF0C5966"/>
      </x:font>
      <x:fill>
        <x:patternFill patternType="solid">
          <x:bgColor rgb="FFD9EEF2"/>
        </x:patternFill>
      </x:fill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03609a36944603" /><Relationship Type="http://schemas.openxmlformats.org/officeDocument/2006/relationships/theme" Target="/xl/theme/theme1.xml" Id="Re47698d5b2944a6f" /><Relationship Type="http://schemas.openxmlformats.org/officeDocument/2006/relationships/sharedStrings" Target="/xl/sharedStrings.xml" Id="R91a77c4f5fa2409b" /><Relationship Type="http://schemas.openxmlformats.org/officeDocument/2006/relationships/worksheet" Target="/xl/worksheets/sheet1.xml" Id="Rac5ca8aab7e64ff3" /><Relationship Type="http://schemas.openxmlformats.org/officeDocument/2006/relationships/worksheet" Target="/xl/worksheets/sheet2.xml" Id="R2ae199ca6b5d4065" /><Relationship Type="http://schemas.openxmlformats.org/officeDocument/2006/relationships/worksheet" Target="/xl/worksheets/sheet3.xml" Id="R9c05cae8c53d4743" /><Relationship Type="http://schemas.openxmlformats.org/officeDocument/2006/relationships/worksheet" Target="/xl/worksheets/sheet4.xml" Id="Rb7f6358696f546cb" /><Relationship Type="http://schemas.openxmlformats.org/officeDocument/2006/relationships/worksheet" Target="/xl/worksheets/sheet5.xml" Id="R9e01365461db402b" /><Relationship Type="http://schemas.openxmlformats.org/officeDocument/2006/relationships/worksheet" Target="/xl/worksheets/sheet6.xml" Id="Rfc1ba9cc957944fe" /><Relationship Type="http://schemas.openxmlformats.org/officeDocument/2006/relationships/worksheet" Target="/xl/worksheets/sheet7.xml" Id="R8c15189bbbdd4c6d" /><Relationship Type="http://schemas.openxmlformats.org/officeDocument/2006/relationships/worksheet" Target="/xl/worksheets/sheet8.xml" Id="Ra03951c805874604" /><Relationship Type="http://schemas.openxmlformats.org/officeDocument/2006/relationships/worksheet" Target="/xl/worksheets/sheet9.xml" Id="Rc9fff659a373430a" /><Relationship Type="http://schemas.openxmlformats.org/officeDocument/2006/relationships/worksheet" Target="/xl/worksheets/sheet10.xml" Id="R18b182deba7e47b6" /><Relationship Type="http://schemas.openxmlformats.org/officeDocument/2006/relationships/worksheet" Target="/xl/worksheets/sheet11.xml" Id="Rebc9b8e9b9634d6f" /><Relationship Type="http://schemas.openxmlformats.org/officeDocument/2006/relationships/worksheet" Target="/xl/worksheets/sheet12.xml" Id="R8ec5d3643b114d7f" /><Relationship Type="http://schemas.openxmlformats.org/officeDocument/2006/relationships/worksheet" Target="/xl/worksheets/sheet13.xml" Id="R3e1c073579514d48" /><Relationship Type="http://schemas.openxmlformats.org/officeDocument/2006/relationships/worksheet" Target="/xl/worksheets/sheet14.xml" Id="Re04518814fc44eef" /><Relationship Type="http://schemas.openxmlformats.org/officeDocument/2006/relationships/worksheet" Target="/xl/worksheets/sheet15.xml" Id="R5216e246028c4546" /><Relationship Type="http://schemas.openxmlformats.org/officeDocument/2006/relationships/worksheet" Target="/xl/worksheets/sheet16.xml" Id="R159d32d5d68643b5" /><Relationship Type="http://schemas.openxmlformats.org/officeDocument/2006/relationships/worksheet" Target="/xl/worksheets/sheet17.xml" Id="Rc15a705cf4ff4597" /><Relationship Type="http://schemas.openxmlformats.org/officeDocument/2006/relationships/worksheet" Target="/xl/worksheets/sheet18.xml" Id="Rf043168ff17d4698" /><Relationship Type="http://schemas.openxmlformats.org/officeDocument/2006/relationships/worksheet" Target="/xl/worksheets/sheet19.xml" Id="R3bddbee8ab9c4e3c" /><Relationship Type="http://schemas.openxmlformats.org/officeDocument/2006/relationships/worksheet" Target="/xl/worksheets/sheet20.xml" Id="R6e91dad97dd5443e" /><Relationship Type="http://schemas.openxmlformats.org/officeDocument/2006/relationships/worksheet" Target="/xl/worksheets/sheet21.xml" Id="R6c15ca54e28f4628" /><Relationship Type="http://schemas.openxmlformats.org/officeDocument/2006/relationships/worksheet" Target="/xl/worksheets/sheet22.xml" Id="Rf33b03aea0454fa1" /><Relationship Type="http://schemas.openxmlformats.org/officeDocument/2006/relationships/worksheet" Target="/xl/worksheets/sheet23.xml" Id="R118ef5e103944d12" /><Relationship Type="http://schemas.openxmlformats.org/officeDocument/2006/relationships/worksheet" Target="/xl/worksheets/sheet24.xml" Id="R24dbe519ebd34ae8" /><Relationship Type="http://schemas.openxmlformats.org/officeDocument/2006/relationships/worksheet" Target="/xl/worksheets/sheet25.xml" Id="Rade3a8103d924316" /><Relationship Type="http://schemas.openxmlformats.org/officeDocument/2006/relationships/worksheet" Target="/xl/worksheets/sheet26.xml" Id="R5575f366e6f34abb" /><Relationship Type="http://schemas.openxmlformats.org/officeDocument/2006/relationships/worksheet" Target="/xl/worksheets/sheet27.xml" Id="R4bdec805241741ed" /><Relationship Type="http://schemas.openxmlformats.org/officeDocument/2006/relationships/worksheet" Target="/xl/worksheets/sheet28.xml" Id="Rb5121ec52d6741f1" /></Relationships>
</file>

<file path=xl/tables/table1.xml><?xml version="1.0" encoding="utf-8"?>
<x:table xmlns:x="http://schemas.openxmlformats.org/spreadsheetml/2006/main" id="1" name="Catalog_characters" displayName="Catalog_characters" ref="A6:Q14" headerRowCount="1" totalsRowCount="0" totalsRowShown="0">
  <x:autoFilter ref="A6:Q14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_npcs" displayName="Catalog_npcs" ref="A6:Q72" headerRowCount="1" totalsRowCount="0" totalsRowShown="0">
  <x:autoFilter ref="A6:Q7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_lore" displayName="Catalog_lore" ref="A6:Q42" headerRowCount="1" totalsRowCount="0" totalsRowShown="0">
  <x:autoFilter ref="A6:Q4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_worlds" displayName="Catalog_worlds" ref="A6:Q38" headerRowCount="1" totalsRowCount="0" totalsRowShown="0">
  <x:autoFilter ref="A6:Q3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_zones" displayName="Catalog_zones" ref="A6:Q106" headerRowCount="1" totalsRowCount="0" totalsRowShown="0">
  <x:autoFilter ref="A6:Q10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alog_links" displayName="Catalog_links" ref="A6:Q97" headerRowCount="1" totalsRowCount="0" totalsRowShown="0">
  <x:autoFilter ref="A6:Q97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atalog_scenery" displayName="Catalog_scenery" ref="A6:Q41" headerRowCount="1" totalsRowCount="0" totalsRowShown="0">
  <x:autoFilter ref="A6:Q41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talog_props" displayName="Catalog_props" ref="A6:Q58" headerRowCount="1" totalsRowCount="0" totalsRowShown="0">
  <x:autoFilter ref="A6:Q5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talog_enemies" displayName="Catalog_enemies" ref="A6:Q41" headerRowCount="1" totalsRowCount="0" totalsRowShown="0">
  <x:autoFilter ref="A6:Q41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talog_main_quests" displayName="Catalog_main_quests" ref="A6:Q69" headerRowCount="1" totalsRowCount="0" totalsRowShown="0">
  <x:autoFilter ref="A6:Q69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talog_side_quests" displayName="Catalog_side_quests" ref="A6:Q68" headerRowCount="1" totalsRowCount="0" totalsRowShown="0">
  <x:autoFilter ref="A6:Q6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talog_choices" displayName="Catalog_choices" ref="A6:Q40" headerRowCount="1" totalsRowCount="0" totalsRowShown="0">
  <x:autoFilter ref="A6:Q40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talog_dialogues" displayName="Catalog_dialogues" ref="A6:Q42" headerRowCount="1" totalsRowCount="0" totalsRowShown="0">
  <x:autoFilter ref="A6:Q4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talog_cinematics" displayName="Catalog_cinematics" ref="A6:Q32" headerRowCount="1" totalsRowCount="0" totalsRowShown="0">
  <x:autoFilter ref="A6:Q3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Catalog_weapons" displayName="Catalog_weapons" ref="A6:Q30" headerRowCount="1" totalsRowCount="0" totalsRowShown="0">
  <x:autoFilter ref="A6:Q30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atalog_equipment" displayName="Catalog_equipment" ref="A6:Q32" headerRowCount="1" totalsRowCount="0" totalsRowShown="0">
  <x:autoFilter ref="A6:Q3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atalog_powers" displayName="Catalog_powers" ref="A6:Q36" headerRowCount="1" totalsRowCount="0" totalsRowShown="0">
  <x:autoFilter ref="A6:Q3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Catalog_ally_moves" displayName="Catalog_ally_moves" ref="A6:Q56" headerRowCount="1" totalsRowCount="0" totalsRowShown="0">
  <x:autoFilter ref="A6:Q5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Catalog_enemy_moves" displayName="Catalog_enemy_moves" ref="A6:Q81" headerRowCount="1" totalsRowCount="0" totalsRowShown="0">
  <x:autoFilter ref="A6:Q81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Catalog_animations" displayName="Catalog_animations" ref="A6:Q46" headerRowCount="1" totalsRowCount="0" totalsRowShown="0">
  <x:autoFilter ref="A6:Q4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Catalog_sprites" displayName="Catalog_sprites" ref="A6:Q83" headerRowCount="1" totalsRowCount="0" totalsRowShown="0">
  <x:autoFilter ref="A6:Q83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Catalog_vfx" displayName="Catalog_vfx" ref="A6:Q32" headerRowCount="1" totalsRowCount="0" totalsRowShown="0">
  <x:autoFilter ref="A6:Q32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Catalog_audio" displayName="Catalog_audio" ref="A6:Q36" headerRowCount="1" totalsRowCount="0" totalsRowShown="0">
  <x:autoFilter ref="A6:Q3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Catalog_systems" displayName="Catalog_systems" ref="A6:Q46" headerRowCount="1" totalsRowCount="0" totalsRowShown="0">
  <x:autoFilter ref="A6:Q46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Catalog_qa" displayName="Catalog_qa" ref="A6:Q58" headerRowCount="1" totalsRowCount="0" totalsRowShown="0">
  <x:autoFilter ref="A6:Q58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Catalog_trilogy" displayName="Catalog_trilogy" ref="A6:Q63" headerRowCount="1" totalsRowCount="0" totalsRowShown="0">
  <x:autoFilter ref="A6:Q63"/>
  <x:tableColumns count="17">
    <x:tableColumn id="1" name="Identifiant"/>
    <x:tableColumn id="2" name="Élément"/>
    <x:tableColumn id="3" name="Contenu"/>
    <x:tableColumn id="4" name="Asset"/>
    <x:tableColumn id="5" name="Priorité"/>
    <x:tableColumn id="6" name="Épisode"/>
    <x:tableColumn id="7" name="Canon"/>
    <x:tableColumn id="8" name="Description"/>
    <x:tableColumn id="9" name="Critère d’acceptation"/>
    <x:tableColumn id="10" name="Dépendances"/>
    <x:tableColumn id="11" name="Destination prévue"/>
    <x:tableColumn id="12" name="Fichier existant"/>
    <x:tableColumn id="13" name="Clé dans le jeu"/>
    <x:tableColumn id="14" name="Référence à contrôler"/>
    <x:tableColumn id="15" name="Source URL"/>
    <x:tableColumn id="16" name="Périmètre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0d95d171374e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0635a59ba449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685dde72cac4f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05732c33e8441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15525a854914c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9875284714d480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0e1d11350d2410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de40be9f49e48b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68050f13e8b45a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378a37f0ad2483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53cf59003c27470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dabc1dd61bc04d4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3d17b669c32c4bf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0d5a2650a43495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760e43a3882e40d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314d8c6391ee4a1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d81312c0affa41c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5f0f977c85b0423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b3ca5d5f4bb94d74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c71decb4c7ce4ea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913ae0a8dba8435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72b72298aad74db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69de83dee9a74016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6444fbc15e51469c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94d31f7e805e4751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b6ef6e921b2141cb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7" hidden="0" customWidth="1"/>
    <x:col min="8" max="8" width="21" hidden="0" customWidth="1"/>
    <x:col min="9" max="9" width="16" hidden="0" customWidth="1"/>
    <x:col min="10" max="10" width="12" hidden="0" customWidth="1"/>
    <x:col min="11" max="11" width="1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Mass Effect Relay Chronicles — Production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4" t="str">
        <x:v>ME1 prioritaire. Extensions ME2 et ME3 séparées. Statuts liés aux feuilles de contenu.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</x:row>
    <x:row r="5" ht="22" customHeight="1">
      <x:c r="A5" s="2" t="str">
        <x:v>Éléments suivis</x:v>
      </x:c>
      <x:c r="B5" s="21" t="n">
        <x:f>SUM(B10:B35)</x:f>
        <x:v>1203</x:v>
      </x:c>
      <x:c r="C5" s="2"/>
      <x:c r="D5" s="2" t="str">
        <x:v>Intégrés</x:v>
      </x:c>
      <x:c r="E5" s="21" t="n">
        <x:f>SUM(E10:F35)</x:f>
        <x:v>2</x:v>
      </x:c>
      <x:c r="F5" s="2"/>
      <x:c r="G5" s="2" t="str">
        <x:v>Références à vérifier</x:v>
      </x:c>
      <x:c r="H5" s="21" t="n">
        <x:f>SUM(H10:H35)</x:f>
        <x:v>532</x:v>
      </x:c>
      <x:c r="I5" s="2"/>
      <x:c r="J5" s="2" t="str">
        <x:v>Validés</x:v>
      </x:c>
      <x:c r="K5" s="21" t="n">
        <x:f>SUM(F10:F35)</x:f>
        <x:v>2</x:v>
      </x:c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</x:row>
    <x:row r="7" ht="22" customHeight="1">
      <x:c r="A7" s="4" t="str">
        <x:v>Une ligne décrit un élément à produire ou à vérifier. Un statut Défini ne signifie pas jouable.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34" customHeight="1">
      <x:c r="A9" s="20" t="str">
        <x:v>Catégorie</x:v>
      </x:c>
      <x:c r="B9" s="20" t="str">
        <x:v>Total</x:v>
      </x:c>
      <x:c r="C9" s="20" t="str">
        <x:v>Défini</x:v>
      </x:c>
      <x:c r="D9" s="20" t="str">
        <x:v>Prototype</x:v>
      </x:c>
      <x:c r="E9" s="20" t="str">
        <x:v>Intégré</x:v>
      </x:c>
      <x:c r="F9" s="20" t="str">
        <x:v>Validé</x:v>
      </x:c>
      <x:c r="G9" s="20" t="str">
        <x:v>Canon confirmé</x:v>
      </x:c>
      <x:c r="H9" s="20" t="str">
        <x:v>Réf. à vérifier</x:v>
      </x:c>
      <x:c r="I9" s="20" t="str">
        <x:v>Adaptation</x:v>
      </x:c>
      <x:c r="J9" s="20" t="str">
        <x:v>ME1</x:v>
      </x:c>
      <x:c r="K9" s="20" t="str">
        <x:v>Extension future</x:v>
      </x:c>
    </x:row>
    <x:row r="10" ht="22" customHeight="1">
      <x:c r="A10" s="22" t="str">
        <x:v>Personnages</x:v>
      </x:c>
      <x:c r="B10" s="26" t="n">
        <x:f>COUNTA('Personnages'!$A$7:$A$14)</x:f>
        <x:v>8</x:v>
      </x:c>
      <x:c r="C10" s="26" t="n">
        <x:f>COUNTIFS('Personnages'!$C$7:$C$14,"Défini")</x:f>
        <x:v>0</x:v>
      </x:c>
      <x:c r="D10" s="26" t="n">
        <x:f>COUNTIFS('Personnages'!$C$7:$C$14,"Prototype")</x:f>
        <x:v>8</x:v>
      </x:c>
      <x:c r="E10" s="26" t="n">
        <x:f>COUNTIFS('Personnages'!$C$7:$C$14,"Intégré")</x:f>
        <x:v>0</x:v>
      </x:c>
      <x:c r="F10" s="26" t="n">
        <x:f>COUNTIFS('Personnages'!$C$7:$C$14,"Validé")</x:f>
        <x:v>0</x:v>
      </x:c>
      <x:c r="G10" s="26" t="n">
        <x:f>COUNTIFS('Personnages'!$G$7:$G$14,"Confirmé")</x:f>
        <x:v>0</x:v>
      </x:c>
      <x:c r="H10" s="26" t="n">
        <x:f>COUNTIFS('Personnages'!$G$7:$G$14,"Référence à vérifier")</x:f>
        <x:v>8</x:v>
      </x:c>
      <x:c r="I10" s="26" t="n">
        <x:f>COUNTIFS('Personnages'!$G$7:$G$14,"Adaptation")</x:f>
        <x:v>0</x:v>
      </x:c>
      <x:c r="J10" s="26" t="n">
        <x:f>COUNTIFS('Personnages'!$F$7:$F$14,"ME1")</x:f>
        <x:v>8</x:v>
      </x:c>
      <x:c r="K10" s="26" t="n">
        <x:f>COUNTIFS('Personnages'!$P$7:$P$14,"Extension future")</x:f>
        <x:v>0</x:v>
      </x:c>
    </x:row>
    <x:row r="11" ht="22" customHeight="1">
      <x:c r="A11" s="2" t="str">
        <x:v>PNJ</x:v>
      </x:c>
      <x:c r="B11" s="27" t="n">
        <x:f>COUNTA('PNJ'!$A$7:$A$72)</x:f>
        <x:v>66</x:v>
      </x:c>
      <x:c r="C11" s="27" t="n">
        <x:f>COUNTIFS('PNJ'!$C$7:$C$72,"Défini")</x:f>
        <x:v>61</x:v>
      </x:c>
      <x:c r="D11" s="27" t="n">
        <x:f>COUNTIFS('PNJ'!$C$7:$C$72,"Prototype")</x:f>
        <x:v>5</x:v>
      </x:c>
      <x:c r="E11" s="27" t="n">
        <x:f>COUNTIFS('PNJ'!$C$7:$C$72,"Intégré")</x:f>
        <x:v>0</x:v>
      </x:c>
      <x:c r="F11" s="27" t="n">
        <x:f>COUNTIFS('PNJ'!$C$7:$C$72,"Validé")</x:f>
        <x:v>0</x:v>
      </x:c>
      <x:c r="G11" s="27" t="n">
        <x:f>COUNTIFS('PNJ'!$G$7:$G$72,"Confirmé")</x:f>
        <x:v>0</x:v>
      </x:c>
      <x:c r="H11" s="27" t="n">
        <x:f>COUNTIFS('PNJ'!$G$7:$G$72,"Référence à vérifier")</x:f>
        <x:v>66</x:v>
      </x:c>
      <x:c r="I11" s="27" t="n">
        <x:f>COUNTIFS('PNJ'!$G$7:$G$72,"Adaptation")</x:f>
        <x:v>0</x:v>
      </x:c>
      <x:c r="J11" s="27" t="n">
        <x:f>COUNTIFS('PNJ'!$F$7:$F$72,"ME1")</x:f>
        <x:v>66</x:v>
      </x:c>
      <x:c r="K11" s="27" t="n">
        <x:f>COUNTIFS('PNJ'!$P$7:$P$72,"Extension future")</x:f>
        <x:v>0</x:v>
      </x:c>
    </x:row>
    <x:row r="12" ht="22" customHeight="1">
      <x:c r="A12" s="22" t="str">
        <x:v>Espèces et factions</x:v>
      </x:c>
      <x:c r="B12" s="26" t="n">
        <x:f>COUNTA('Especes_factions'!$A$7:$A$42)</x:f>
        <x:v>36</x:v>
      </x:c>
      <x:c r="C12" s="26" t="n">
        <x:f>COUNTIFS('Especes_factions'!$C$7:$C$42,"Défini")</x:f>
        <x:v>29</x:v>
      </x:c>
      <x:c r="D12" s="26" t="n">
        <x:f>COUNTIFS('Especes_factions'!$C$7:$C$42,"Prototype")</x:f>
        <x:v>7</x:v>
      </x:c>
      <x:c r="E12" s="26" t="n">
        <x:f>COUNTIFS('Especes_factions'!$C$7:$C$42,"Intégré")</x:f>
        <x:v>0</x:v>
      </x:c>
      <x:c r="F12" s="26" t="n">
        <x:f>COUNTIFS('Especes_factions'!$C$7:$C$42,"Validé")</x:f>
        <x:v>0</x:v>
      </x:c>
      <x:c r="G12" s="26" t="n">
        <x:f>COUNTIFS('Especes_factions'!$G$7:$G$42,"Confirmé")</x:f>
        <x:v>0</x:v>
      </x:c>
      <x:c r="H12" s="26" t="n">
        <x:f>COUNTIFS('Especes_factions'!$G$7:$G$42,"Référence à vérifier")</x:f>
        <x:v>36</x:v>
      </x:c>
      <x:c r="I12" s="26" t="n">
        <x:f>COUNTIFS('Especes_factions'!$G$7:$G$42,"Adaptation")</x:f>
        <x:v>0</x:v>
      </x:c>
      <x:c r="J12" s="26" t="n">
        <x:f>COUNTIFS('Especes_factions'!$F$7:$F$42,"ME1")</x:f>
        <x:v>36</x:v>
      </x:c>
      <x:c r="K12" s="26" t="n">
        <x:f>COUNTIFS('Especes_factions'!$P$7:$P$42,"Extension future")</x:f>
        <x:v>0</x:v>
      </x:c>
    </x:row>
    <x:row r="13" ht="22" customHeight="1">
      <x:c r="A13" s="2" t="str">
        <x:v>Mondes</x:v>
      </x:c>
      <x:c r="B13" s="27" t="n">
        <x:f>COUNTA('Mondes'!$A$7:$A$38)</x:f>
        <x:v>32</x:v>
      </x:c>
      <x:c r="C13" s="27" t="n">
        <x:f>COUNTIFS('Mondes'!$C$7:$C$38,"Défini")</x:f>
        <x:v>24</x:v>
      </x:c>
      <x:c r="D13" s="27" t="n">
        <x:f>COUNTIFS('Mondes'!$C$7:$C$38,"Prototype")</x:f>
        <x:v>8</x:v>
      </x:c>
      <x:c r="E13" s="27" t="n">
        <x:f>COUNTIFS('Mondes'!$C$7:$C$38,"Intégré")</x:f>
        <x:v>0</x:v>
      </x:c>
      <x:c r="F13" s="27" t="n">
        <x:f>COUNTIFS('Mondes'!$C$7:$C$38,"Validé")</x:f>
        <x:v>0</x:v>
      </x:c>
      <x:c r="G13" s="27" t="n">
        <x:f>COUNTIFS('Mondes'!$G$7:$G$38,"Confirmé")</x:f>
        <x:v>0</x:v>
      </x:c>
      <x:c r="H13" s="27" t="n">
        <x:f>COUNTIFS('Mondes'!$G$7:$G$38,"Référence à vérifier")</x:f>
        <x:v>32</x:v>
      </x:c>
      <x:c r="I13" s="27" t="n">
        <x:f>COUNTIFS('Mondes'!$G$7:$G$38,"Adaptation")</x:f>
        <x:v>0</x:v>
      </x:c>
      <x:c r="J13" s="27" t="n">
        <x:f>COUNTIFS('Mondes'!$F$7:$F$38,"ME1")</x:f>
        <x:v>32</x:v>
      </x:c>
      <x:c r="K13" s="27" t="n">
        <x:f>COUNTIFS('Mondes'!$P$7:$P$38,"Extension future")</x:f>
        <x:v>0</x:v>
      </x:c>
    </x:row>
    <x:row r="14" ht="22" customHeight="1">
      <x:c r="A14" s="22" t="str">
        <x:v>Zones</x:v>
      </x:c>
      <x:c r="B14" s="26" t="n">
        <x:f>COUNTA('Zones'!$A$7:$A$106)</x:f>
        <x:v>100</x:v>
      </x:c>
      <x:c r="C14" s="26" t="n">
        <x:f>COUNTIFS('Zones'!$C$7:$C$106,"Défini")</x:f>
        <x:v>100</x:v>
      </x:c>
      <x:c r="D14" s="26" t="n">
        <x:f>COUNTIFS('Zones'!$C$7:$C$106,"Prototype")</x:f>
        <x:v>0</x:v>
      </x:c>
      <x:c r="E14" s="26" t="n">
        <x:f>COUNTIFS('Zones'!$C$7:$C$106,"Intégré")</x:f>
        <x:v>0</x:v>
      </x:c>
      <x:c r="F14" s="26" t="n">
        <x:f>COUNTIFS('Zones'!$C$7:$C$106,"Validé")</x:f>
        <x:v>0</x:v>
      </x:c>
      <x:c r="G14" s="26" t="n">
        <x:f>COUNTIFS('Zones'!$G$7:$G$106,"Confirmé")</x:f>
        <x:v>0</x:v>
      </x:c>
      <x:c r="H14" s="26" t="n">
        <x:f>COUNTIFS('Zones'!$G$7:$G$106,"Référence à vérifier")</x:f>
        <x:v>100</x:v>
      </x:c>
      <x:c r="I14" s="26" t="n">
        <x:f>COUNTIFS('Zones'!$G$7:$G$106,"Adaptation")</x:f>
        <x:v>0</x:v>
      </x:c>
      <x:c r="J14" s="26" t="n">
        <x:f>COUNTIFS('Zones'!$F$7:$F$106,"ME1")</x:f>
        <x:v>100</x:v>
      </x:c>
      <x:c r="K14" s="26" t="n">
        <x:f>COUNTIFS('Zones'!$P$7:$P$106,"Extension future")</x:f>
        <x:v>0</x:v>
      </x:c>
    </x:row>
    <x:row r="15" ht="22" customHeight="1">
      <x:c r="A15" s="2" t="str">
        <x:v>Liaisons</x:v>
      </x:c>
      <x:c r="B15" s="27" t="n">
        <x:f>COUNTA('Liaisons'!$A$7:$A$97)</x:f>
        <x:v>91</x:v>
      </x:c>
      <x:c r="C15" s="27" t="n">
        <x:f>COUNTIFS('Liaisons'!$C$7:$C$97,"Défini")</x:f>
        <x:v>91</x:v>
      </x:c>
      <x:c r="D15" s="27" t="n">
        <x:f>COUNTIFS('Liaisons'!$C$7:$C$97,"Prototype")</x:f>
        <x:v>0</x:v>
      </x:c>
      <x:c r="E15" s="27" t="n">
        <x:f>COUNTIFS('Liaisons'!$C$7:$C$97,"Intégré")</x:f>
        <x:v>0</x:v>
      </x:c>
      <x:c r="F15" s="27" t="n">
        <x:f>COUNTIFS('Liaisons'!$C$7:$C$97,"Validé")</x:f>
        <x:v>0</x:v>
      </x:c>
      <x:c r="G15" s="27" t="n">
        <x:f>COUNTIFS('Liaisons'!$G$7:$G$97,"Confirmé")</x:f>
        <x:v>0</x:v>
      </x:c>
      <x:c r="H15" s="27" t="n">
        <x:f>COUNTIFS('Liaisons'!$G$7:$G$97,"Référence à vérifier")</x:f>
        <x:v>0</x:v>
      </x:c>
      <x:c r="I15" s="27" t="n">
        <x:f>COUNTIFS('Liaisons'!$G$7:$G$97,"Adaptation")</x:f>
        <x:v>91</x:v>
      </x:c>
      <x:c r="J15" s="27" t="n">
        <x:f>COUNTIFS('Liaisons'!$F$7:$F$97,"ME1")</x:f>
        <x:v>91</x:v>
      </x:c>
      <x:c r="K15" s="27" t="n">
        <x:f>COUNTIFS('Liaisons'!$P$7:$P$97,"Extension future")</x:f>
        <x:v>0</x:v>
      </x:c>
    </x:row>
    <x:row r="16" ht="22" customHeight="1">
      <x:c r="A16" s="22" t="str">
        <x:v>Décors</x:v>
      </x:c>
      <x:c r="B16" s="26" t="n">
        <x:f>COUNTA('Decors'!$A$7:$A$41)</x:f>
        <x:v>35</x:v>
      </x:c>
      <x:c r="C16" s="26" t="n">
        <x:f>COUNTIFS('Decors'!$C$7:$C$41,"Défini")</x:f>
        <x:v>34</x:v>
      </x:c>
      <x:c r="D16" s="26" t="n">
        <x:f>COUNTIFS('Decors'!$C$7:$C$41,"Prototype")</x:f>
        <x:v>1</x:v>
      </x:c>
      <x:c r="E16" s="26" t="n">
        <x:f>COUNTIFS('Decors'!$C$7:$C$41,"Intégré")</x:f>
        <x:v>0</x:v>
      </x:c>
      <x:c r="F16" s="26" t="n">
        <x:f>COUNTIFS('Decors'!$C$7:$C$41,"Validé")</x:f>
        <x:v>0</x:v>
      </x:c>
      <x:c r="G16" s="26" t="n">
        <x:f>COUNTIFS('Decors'!$G$7:$G$41,"Confirmé")</x:f>
        <x:v>0</x:v>
      </x:c>
      <x:c r="H16" s="26" t="n">
        <x:f>COUNTIFS('Decors'!$G$7:$G$41,"Référence à vérifier")</x:f>
        <x:v>0</x:v>
      </x:c>
      <x:c r="I16" s="26" t="n">
        <x:f>COUNTIFS('Decors'!$G$7:$G$41,"Adaptation")</x:f>
        <x:v>35</x:v>
      </x:c>
      <x:c r="J16" s="26" t="n">
        <x:f>COUNTIFS('Decors'!$F$7:$F$41,"ME1")</x:f>
        <x:v>35</x:v>
      </x:c>
      <x:c r="K16" s="26" t="n">
        <x:f>COUNTIFS('Decors'!$P$7:$P$41,"Extension future")</x:f>
        <x:v>0</x:v>
      </x:c>
    </x:row>
    <x:row r="17" ht="22" customHeight="1">
      <x:c r="A17" s="2" t="str">
        <x:v>Props</x:v>
      </x:c>
      <x:c r="B17" s="27" t="n">
        <x:f>COUNTA('Props'!$A$7:$A$58)</x:f>
        <x:v>52</x:v>
      </x:c>
      <x:c r="C17" s="27" t="n">
        <x:f>COUNTIFS('Props'!$C$7:$C$58,"Défini")</x:f>
        <x:v>52</x:v>
      </x:c>
      <x:c r="D17" s="27" t="n">
        <x:f>COUNTIFS('Props'!$C$7:$C$58,"Prototype")</x:f>
        <x:v>0</x:v>
      </x:c>
      <x:c r="E17" s="27" t="n">
        <x:f>COUNTIFS('Props'!$C$7:$C$58,"Intégré")</x:f>
        <x:v>0</x:v>
      </x:c>
      <x:c r="F17" s="27" t="n">
        <x:f>COUNTIFS('Props'!$C$7:$C$58,"Validé")</x:f>
        <x:v>0</x:v>
      </x:c>
      <x:c r="G17" s="27" t="n">
        <x:f>COUNTIFS('Props'!$G$7:$G$58,"Confirmé")</x:f>
        <x:v>0</x:v>
      </x:c>
      <x:c r="H17" s="27" t="n">
        <x:f>COUNTIFS('Props'!$G$7:$G$58,"Référence à vérifier")</x:f>
        <x:v>0</x:v>
      </x:c>
      <x:c r="I17" s="27" t="n">
        <x:f>COUNTIFS('Props'!$G$7:$G$58,"Adaptation")</x:f>
        <x:v>52</x:v>
      </x:c>
      <x:c r="J17" s="27" t="n">
        <x:f>COUNTIFS('Props'!$F$7:$F$58,"ME1")</x:f>
        <x:v>52</x:v>
      </x:c>
      <x:c r="K17" s="27" t="n">
        <x:f>COUNTIFS('Props'!$P$7:$P$58,"Extension future")</x:f>
        <x:v>0</x:v>
      </x:c>
    </x:row>
    <x:row r="18" ht="22" customHeight="1">
      <x:c r="A18" s="22" t="str">
        <x:v>Ennemis et boss</x:v>
      </x:c>
      <x:c r="B18" s="26" t="n">
        <x:f>COUNTA('Ennemis_boss'!$A$7:$A$41)</x:f>
        <x:v>35</x:v>
      </x:c>
      <x:c r="C18" s="26" t="n">
        <x:f>COUNTIFS('Ennemis_boss'!$C$7:$C$41,"Défini")</x:f>
        <x:v>31</x:v>
      </x:c>
      <x:c r="D18" s="26" t="n">
        <x:f>COUNTIFS('Ennemis_boss'!$C$7:$C$41,"Prototype")</x:f>
        <x:v>4</x:v>
      </x:c>
      <x:c r="E18" s="26" t="n">
        <x:f>COUNTIFS('Ennemis_boss'!$C$7:$C$41,"Intégré")</x:f>
        <x:v>0</x:v>
      </x:c>
      <x:c r="F18" s="26" t="n">
        <x:f>COUNTIFS('Ennemis_boss'!$C$7:$C$41,"Validé")</x:f>
        <x:v>0</x:v>
      </x:c>
      <x:c r="G18" s="26" t="n">
        <x:f>COUNTIFS('Ennemis_boss'!$G$7:$G$41,"Confirmé")</x:f>
        <x:v>0</x:v>
      </x:c>
      <x:c r="H18" s="26" t="n">
        <x:f>COUNTIFS('Ennemis_boss'!$G$7:$G$41,"Référence à vérifier")</x:f>
        <x:v>35</x:v>
      </x:c>
      <x:c r="I18" s="26" t="n">
        <x:f>COUNTIFS('Ennemis_boss'!$G$7:$G$41,"Adaptation")</x:f>
        <x:v>0</x:v>
      </x:c>
      <x:c r="J18" s="26" t="n">
        <x:f>COUNTIFS('Ennemis_boss'!$F$7:$F$41,"ME1")</x:f>
        <x:v>35</x:v>
      </x:c>
      <x:c r="K18" s="26" t="n">
        <x:f>COUNTIFS('Ennemis_boss'!$P$7:$P$41,"Extension future")</x:f>
        <x:v>0</x:v>
      </x:c>
    </x:row>
    <x:row r="19" ht="22" customHeight="1">
      <x:c r="A19" s="2" t="str">
        <x:v>Missions</x:v>
      </x:c>
      <x:c r="B19" s="27" t="n">
        <x:f>COUNTA('Missions'!$A$7:$A$69)</x:f>
        <x:v>63</x:v>
      </x:c>
      <x:c r="C19" s="27" t="n">
        <x:f>COUNTIFS('Missions'!$C$7:$C$69,"Défini")</x:f>
        <x:v>42</x:v>
      </x:c>
      <x:c r="D19" s="27" t="n">
        <x:f>COUNTIFS('Missions'!$C$7:$C$69,"Prototype")</x:f>
        <x:v>21</x:v>
      </x:c>
      <x:c r="E19" s="27" t="n">
        <x:f>COUNTIFS('Missions'!$C$7:$C$69,"Intégré")</x:f>
        <x:v>0</x:v>
      </x:c>
      <x:c r="F19" s="27" t="n">
        <x:f>COUNTIFS('Missions'!$C$7:$C$69,"Validé")</x:f>
        <x:v>0</x:v>
      </x:c>
      <x:c r="G19" s="27" t="n">
        <x:f>COUNTIFS('Missions'!$G$7:$G$69,"Confirmé")</x:f>
        <x:v>0</x:v>
      </x:c>
      <x:c r="H19" s="27" t="n">
        <x:f>COUNTIFS('Missions'!$G$7:$G$69,"Référence à vérifier")</x:f>
        <x:v>42</x:v>
      </x:c>
      <x:c r="I19" s="27" t="n">
        <x:f>COUNTIFS('Missions'!$G$7:$G$69,"Adaptation")</x:f>
        <x:v>21</x:v>
      </x:c>
      <x:c r="J19" s="27" t="n">
        <x:f>COUNTIFS('Missions'!$F$7:$F$69,"ME1")</x:f>
        <x:v>63</x:v>
      </x:c>
      <x:c r="K19" s="27" t="n">
        <x:f>COUNTIFS('Missions'!$P$7:$P$69,"Extension future")</x:f>
        <x:v>0</x:v>
      </x:c>
    </x:row>
    <x:row r="20" ht="22" customHeight="1">
      <x:c r="A20" s="22" t="str">
        <x:v>Secondaires et DLC</x:v>
      </x:c>
      <x:c r="B20" s="26" t="n">
        <x:f>COUNTA('Secondaires_DLC'!$A$7:$A$68)</x:f>
        <x:v>62</x:v>
      </x:c>
      <x:c r="C20" s="26" t="n">
        <x:f>COUNTIFS('Secondaires_DLC'!$C$7:$C$68,"Défini")</x:f>
        <x:v>62</x:v>
      </x:c>
      <x:c r="D20" s="26" t="n">
        <x:f>COUNTIFS('Secondaires_DLC'!$C$7:$C$68,"Prototype")</x:f>
        <x:v>0</x:v>
      </x:c>
      <x:c r="E20" s="26" t="n">
        <x:f>COUNTIFS('Secondaires_DLC'!$C$7:$C$68,"Intégré")</x:f>
        <x:v>0</x:v>
      </x:c>
      <x:c r="F20" s="26" t="n">
        <x:f>COUNTIFS('Secondaires_DLC'!$C$7:$C$68,"Validé")</x:f>
        <x:v>0</x:v>
      </x:c>
      <x:c r="G20" s="26" t="n">
        <x:f>COUNTIFS('Secondaires_DLC'!$G$7:$G$68,"Confirmé")</x:f>
        <x:v>0</x:v>
      </x:c>
      <x:c r="H20" s="26" t="n">
        <x:f>COUNTIFS('Secondaires_DLC'!$G$7:$G$68,"Référence à vérifier")</x:f>
        <x:v>62</x:v>
      </x:c>
      <x:c r="I20" s="26" t="n">
        <x:f>COUNTIFS('Secondaires_DLC'!$G$7:$G$68,"Adaptation")</x:f>
        <x:v>0</x:v>
      </x:c>
      <x:c r="J20" s="26" t="n">
        <x:f>COUNTIFS('Secondaires_DLC'!$F$7:$F$68,"ME1")</x:f>
        <x:v>62</x:v>
      </x:c>
      <x:c r="K20" s="26" t="n">
        <x:f>COUNTIFS('Secondaires_DLC'!$P$7:$P$68,"Extension future")</x:f>
        <x:v>0</x:v>
      </x:c>
    </x:row>
    <x:row r="21" ht="22" customHeight="1">
      <x:c r="A21" s="2" t="str">
        <x:v>Choix et relations</x:v>
      </x:c>
      <x:c r="B21" s="27" t="n">
        <x:f>COUNTA('Choix_relations'!$A$7:$A$40)</x:f>
        <x:v>34</x:v>
      </x:c>
      <x:c r="C21" s="27" t="n">
        <x:f>COUNTIFS('Choix_relations'!$C$7:$C$40,"Défini")</x:f>
        <x:v>34</x:v>
      </x:c>
      <x:c r="D21" s="27" t="n">
        <x:f>COUNTIFS('Choix_relations'!$C$7:$C$40,"Prototype")</x:f>
        <x:v>0</x:v>
      </x:c>
      <x:c r="E21" s="27" t="n">
        <x:f>COUNTIFS('Choix_relations'!$C$7:$C$40,"Intégré")</x:f>
        <x:v>0</x:v>
      </x:c>
      <x:c r="F21" s="27" t="n">
        <x:f>COUNTIFS('Choix_relations'!$C$7:$C$40,"Validé")</x:f>
        <x:v>0</x:v>
      </x:c>
      <x:c r="G21" s="27" t="n">
        <x:f>COUNTIFS('Choix_relations'!$G$7:$G$40,"Confirmé")</x:f>
        <x:v>0</x:v>
      </x:c>
      <x:c r="H21" s="27" t="n">
        <x:f>COUNTIFS('Choix_relations'!$G$7:$G$40,"Référence à vérifier")</x:f>
        <x:v>34</x:v>
      </x:c>
      <x:c r="I21" s="27" t="n">
        <x:f>COUNTIFS('Choix_relations'!$G$7:$G$40,"Adaptation")</x:f>
        <x:v>0</x:v>
      </x:c>
      <x:c r="J21" s="27" t="n">
        <x:f>COUNTIFS('Choix_relations'!$F$7:$F$40,"ME1")</x:f>
        <x:v>34</x:v>
      </x:c>
      <x:c r="K21" s="27" t="n">
        <x:f>COUNTIFS('Choix_relations'!$P$7:$P$40,"Extension future")</x:f>
        <x:v>0</x:v>
      </x:c>
    </x:row>
    <x:row r="22" ht="22" customHeight="1">
      <x:c r="A22" s="22" t="str">
        <x:v>Dialogues</x:v>
      </x:c>
      <x:c r="B22" s="26" t="n">
        <x:f>COUNTA('Dialogues'!$A$7:$A$42)</x:f>
        <x:v>36</x:v>
      </x:c>
      <x:c r="C22" s="26" t="n">
        <x:f>COUNTIFS('Dialogues'!$C$7:$C$42,"Défini")</x:f>
        <x:v>36</x:v>
      </x:c>
      <x:c r="D22" s="26" t="n">
        <x:f>COUNTIFS('Dialogues'!$C$7:$C$42,"Prototype")</x:f>
        <x:v>0</x:v>
      </x:c>
      <x:c r="E22" s="26" t="n">
        <x:f>COUNTIFS('Dialogues'!$C$7:$C$42,"Intégré")</x:f>
        <x:v>0</x:v>
      </x:c>
      <x:c r="F22" s="26" t="n">
        <x:f>COUNTIFS('Dialogues'!$C$7:$C$42,"Validé")</x:f>
        <x:v>0</x:v>
      </x:c>
      <x:c r="G22" s="26" t="n">
        <x:f>COUNTIFS('Dialogues'!$G$7:$G$42,"Confirmé")</x:f>
        <x:v>0</x:v>
      </x:c>
      <x:c r="H22" s="26" t="n">
        <x:f>COUNTIFS('Dialogues'!$G$7:$G$42,"Référence à vérifier")</x:f>
        <x:v>0</x:v>
      </x:c>
      <x:c r="I22" s="26" t="n">
        <x:f>COUNTIFS('Dialogues'!$G$7:$G$42,"Adaptation")</x:f>
        <x:v>36</x:v>
      </x:c>
      <x:c r="J22" s="26" t="n">
        <x:f>COUNTIFS('Dialogues'!$F$7:$F$42,"ME1")</x:f>
        <x:v>36</x:v>
      </x:c>
      <x:c r="K22" s="26" t="n">
        <x:f>COUNTIFS('Dialogues'!$P$7:$P$42,"Extension future")</x:f>
        <x:v>0</x:v>
      </x:c>
    </x:row>
    <x:row r="23" ht="22" customHeight="1">
      <x:c r="A23" s="2" t="str">
        <x:v>Cinématiques</x:v>
      </x:c>
      <x:c r="B23" s="27" t="n">
        <x:f>COUNTA('Cinematiques'!$A$7:$A$32)</x:f>
        <x:v>26</x:v>
      </x:c>
      <x:c r="C23" s="27" t="n">
        <x:f>COUNTIFS('Cinematiques'!$C$7:$C$32,"Défini")</x:f>
        <x:v>26</x:v>
      </x:c>
      <x:c r="D23" s="27" t="n">
        <x:f>COUNTIFS('Cinematiques'!$C$7:$C$32,"Prototype")</x:f>
        <x:v>0</x:v>
      </x:c>
      <x:c r="E23" s="27" t="n">
        <x:f>COUNTIFS('Cinematiques'!$C$7:$C$32,"Intégré")</x:f>
        <x:v>0</x:v>
      </x:c>
      <x:c r="F23" s="27" t="n">
        <x:f>COUNTIFS('Cinematiques'!$C$7:$C$32,"Validé")</x:f>
        <x:v>0</x:v>
      </x:c>
      <x:c r="G23" s="27" t="n">
        <x:f>COUNTIFS('Cinematiques'!$G$7:$G$32,"Confirmé")</x:f>
        <x:v>0</x:v>
      </x:c>
      <x:c r="H23" s="27" t="n">
        <x:f>COUNTIFS('Cinematiques'!$G$7:$G$32,"Référence à vérifier")</x:f>
        <x:v>0</x:v>
      </x:c>
      <x:c r="I23" s="27" t="n">
        <x:f>COUNTIFS('Cinematiques'!$G$7:$G$32,"Adaptation")</x:f>
        <x:v>26</x:v>
      </x:c>
      <x:c r="J23" s="27" t="n">
        <x:f>COUNTIFS('Cinematiques'!$F$7:$F$32,"ME1")</x:f>
        <x:v>26</x:v>
      </x:c>
      <x:c r="K23" s="27" t="n">
        <x:f>COUNTIFS('Cinematiques'!$P$7:$P$32,"Extension future")</x:f>
        <x:v>0</x:v>
      </x:c>
    </x:row>
    <x:row r="24" ht="22" customHeight="1">
      <x:c r="A24" s="22" t="str">
        <x:v>Armes</x:v>
      </x:c>
      <x:c r="B24" s="26" t="n">
        <x:f>COUNTA('Armes'!$A$7:$A$30)</x:f>
        <x:v>24</x:v>
      </x:c>
      <x:c r="C24" s="26" t="n">
        <x:f>COUNTIFS('Armes'!$C$7:$C$30,"Défini")</x:f>
        <x:v>24</x:v>
      </x:c>
      <x:c r="D24" s="26" t="n">
        <x:f>COUNTIFS('Armes'!$C$7:$C$30,"Prototype")</x:f>
        <x:v>0</x:v>
      </x:c>
      <x:c r="E24" s="26" t="n">
        <x:f>COUNTIFS('Armes'!$C$7:$C$30,"Intégré")</x:f>
        <x:v>0</x:v>
      </x:c>
      <x:c r="F24" s="26" t="n">
        <x:f>COUNTIFS('Armes'!$C$7:$C$30,"Validé")</x:f>
        <x:v>0</x:v>
      </x:c>
      <x:c r="G24" s="26" t="n">
        <x:f>COUNTIFS('Armes'!$G$7:$G$30,"Confirmé")</x:f>
        <x:v>0</x:v>
      </x:c>
      <x:c r="H24" s="26" t="n">
        <x:f>COUNTIFS('Armes'!$G$7:$G$30,"Référence à vérifier")</x:f>
        <x:v>24</x:v>
      </x:c>
      <x:c r="I24" s="26" t="n">
        <x:f>COUNTIFS('Armes'!$G$7:$G$30,"Adaptation")</x:f>
        <x:v>0</x:v>
      </x:c>
      <x:c r="J24" s="26" t="n">
        <x:f>COUNTIFS('Armes'!$F$7:$F$30,"ME1")</x:f>
        <x:v>24</x:v>
      </x:c>
      <x:c r="K24" s="26" t="n">
        <x:f>COUNTIFS('Armes'!$P$7:$P$30,"Extension future")</x:f>
        <x:v>0</x:v>
      </x:c>
    </x:row>
    <x:row r="25" ht="22" customHeight="1">
      <x:c r="A25" s="2" t="str">
        <x:v>Armures et équipement</x:v>
      </x:c>
      <x:c r="B25" s="27" t="n">
        <x:f>COUNTA('Armures_equipement'!$A$7:$A$32)</x:f>
        <x:v>26</x:v>
      </x:c>
      <x:c r="C25" s="27" t="n">
        <x:f>COUNTIFS('Armures_equipement'!$C$7:$C$32,"Défini")</x:f>
        <x:v>26</x:v>
      </x:c>
      <x:c r="D25" s="27" t="n">
        <x:f>COUNTIFS('Armures_equipement'!$C$7:$C$32,"Prototype")</x:f>
        <x:v>0</x:v>
      </x:c>
      <x:c r="E25" s="27" t="n">
        <x:f>COUNTIFS('Armures_equipement'!$C$7:$C$32,"Intégré")</x:f>
        <x:v>0</x:v>
      </x:c>
      <x:c r="F25" s="27" t="n">
        <x:f>COUNTIFS('Armures_equipement'!$C$7:$C$32,"Validé")</x:f>
        <x:v>0</x:v>
      </x:c>
      <x:c r="G25" s="27" t="n">
        <x:f>COUNTIFS('Armures_equipement'!$G$7:$G$32,"Confirmé")</x:f>
        <x:v>0</x:v>
      </x:c>
      <x:c r="H25" s="27" t="n">
        <x:f>COUNTIFS('Armures_equipement'!$G$7:$G$32,"Référence à vérifier")</x:f>
        <x:v>26</x:v>
      </x:c>
      <x:c r="I25" s="27" t="n">
        <x:f>COUNTIFS('Armures_equipement'!$G$7:$G$32,"Adaptation")</x:f>
        <x:v>0</x:v>
      </x:c>
      <x:c r="J25" s="27" t="n">
        <x:f>COUNTIFS('Armures_equipement'!$F$7:$F$32,"ME1")</x:f>
        <x:v>26</x:v>
      </x:c>
      <x:c r="K25" s="27" t="n">
        <x:f>COUNTIFS('Armures_equipement'!$P$7:$P$32,"Extension future")</x:f>
        <x:v>0</x:v>
      </x:c>
    </x:row>
    <x:row r="26" ht="22" customHeight="1">
      <x:c r="A26" s="22" t="str">
        <x:v>Pouvoirs</x:v>
      </x:c>
      <x:c r="B26" s="26" t="n">
        <x:f>COUNTA('Pouvoirs'!$A$7:$A$36)</x:f>
        <x:v>30</x:v>
      </x:c>
      <x:c r="C26" s="26" t="n">
        <x:f>COUNTIFS('Pouvoirs'!$C$7:$C$36,"Défini")</x:f>
        <x:v>17</x:v>
      </x:c>
      <x:c r="D26" s="26" t="n">
        <x:f>COUNTIFS('Pouvoirs'!$C$7:$C$36,"Prototype")</x:f>
        <x:v>13</x:v>
      </x:c>
      <x:c r="E26" s="26" t="n">
        <x:f>COUNTIFS('Pouvoirs'!$C$7:$C$36,"Intégré")</x:f>
        <x:v>0</x:v>
      </x:c>
      <x:c r="F26" s="26" t="n">
        <x:f>COUNTIFS('Pouvoirs'!$C$7:$C$36,"Validé")</x:f>
        <x:v>0</x:v>
      </x:c>
      <x:c r="G26" s="26" t="n">
        <x:f>COUNTIFS('Pouvoirs'!$G$7:$G$36,"Confirmé")</x:f>
        <x:v>15</x:v>
      </x:c>
      <x:c r="H26" s="26" t="n">
        <x:f>COUNTIFS('Pouvoirs'!$G$7:$G$36,"Référence à vérifier")</x:f>
        <x:v>10</x:v>
      </x:c>
      <x:c r="I26" s="26" t="n">
        <x:f>COUNTIFS('Pouvoirs'!$G$7:$G$36,"Adaptation")</x:f>
        <x:v>5</x:v>
      </x:c>
      <x:c r="J26" s="26" t="n">
        <x:f>COUNTIFS('Pouvoirs'!$F$7:$F$36,"ME1")</x:f>
        <x:v>30</x:v>
      </x:c>
      <x:c r="K26" s="26" t="n">
        <x:f>COUNTIFS('Pouvoirs'!$P$7:$P$36,"Extension future")</x:f>
        <x:v>0</x:v>
      </x:c>
    </x:row>
    <x:row r="27" ht="22" customHeight="1">
      <x:c r="A27" s="2" t="str">
        <x:v>Movesets alliés</x:v>
      </x:c>
      <x:c r="B27" s="27" t="n">
        <x:f>COUNTA('Movesets_allies'!$A$7:$A$56)</x:f>
        <x:v>50</x:v>
      </x:c>
      <x:c r="C27" s="27" t="n">
        <x:f>COUNTIFS('Movesets_allies'!$C$7:$C$56,"Défini")</x:f>
        <x:v>50</x:v>
      </x:c>
      <x:c r="D27" s="27" t="n">
        <x:f>COUNTIFS('Movesets_allies'!$C$7:$C$56,"Prototype")</x:f>
        <x:v>0</x:v>
      </x:c>
      <x:c r="E27" s="27" t="n">
        <x:f>COUNTIFS('Movesets_allies'!$C$7:$C$56,"Intégré")</x:f>
        <x:v>0</x:v>
      </x:c>
      <x:c r="F27" s="27" t="n">
        <x:f>COUNTIFS('Movesets_allies'!$C$7:$C$56,"Validé")</x:f>
        <x:v>0</x:v>
      </x:c>
      <x:c r="G27" s="27" t="n">
        <x:f>COUNTIFS('Movesets_allies'!$G$7:$G$56,"Confirmé")</x:f>
        <x:v>0</x:v>
      </x:c>
      <x:c r="H27" s="27" t="n">
        <x:f>COUNTIFS('Movesets_allies'!$G$7:$G$56,"Référence à vérifier")</x:f>
        <x:v>0</x:v>
      </x:c>
      <x:c r="I27" s="27" t="n">
        <x:f>COUNTIFS('Movesets_allies'!$G$7:$G$56,"Adaptation")</x:f>
        <x:v>50</x:v>
      </x:c>
      <x:c r="J27" s="27" t="n">
        <x:f>COUNTIFS('Movesets_allies'!$F$7:$F$56,"ME1")</x:f>
        <x:v>50</x:v>
      </x:c>
      <x:c r="K27" s="27" t="n">
        <x:f>COUNTIFS('Movesets_allies'!$P$7:$P$56,"Extension future")</x:f>
        <x:v>0</x:v>
      </x:c>
    </x:row>
    <x:row r="28" ht="22" customHeight="1">
      <x:c r="A28" s="22" t="str">
        <x:v>Movesets ennemis</x:v>
      </x:c>
      <x:c r="B28" s="26" t="n">
        <x:f>COUNTA('Movesets_ennemis'!$A$7:$A$81)</x:f>
        <x:v>75</x:v>
      </x:c>
      <x:c r="C28" s="26" t="n">
        <x:f>COUNTIFS('Movesets_ennemis'!$C$7:$C$81,"Défini")</x:f>
        <x:v>75</x:v>
      </x:c>
      <x:c r="D28" s="26" t="n">
        <x:f>COUNTIFS('Movesets_ennemis'!$C$7:$C$81,"Prototype")</x:f>
        <x:v>0</x:v>
      </x:c>
      <x:c r="E28" s="26" t="n">
        <x:f>COUNTIFS('Movesets_ennemis'!$C$7:$C$81,"Intégré")</x:f>
        <x:v>0</x:v>
      </x:c>
      <x:c r="F28" s="26" t="n">
        <x:f>COUNTIFS('Movesets_ennemis'!$C$7:$C$81,"Validé")</x:f>
        <x:v>0</x:v>
      </x:c>
      <x:c r="G28" s="26" t="n">
        <x:f>COUNTIFS('Movesets_ennemis'!$G$7:$G$81,"Confirmé")</x:f>
        <x:v>0</x:v>
      </x:c>
      <x:c r="H28" s="26" t="n">
        <x:f>COUNTIFS('Movesets_ennemis'!$G$7:$G$81,"Référence à vérifier")</x:f>
        <x:v>0</x:v>
      </x:c>
      <x:c r="I28" s="26" t="n">
        <x:f>COUNTIFS('Movesets_ennemis'!$G$7:$G$81,"Adaptation")</x:f>
        <x:v>75</x:v>
      </x:c>
      <x:c r="J28" s="26" t="n">
        <x:f>COUNTIFS('Movesets_ennemis'!$F$7:$F$81,"ME1")</x:f>
        <x:v>75</x:v>
      </x:c>
      <x:c r="K28" s="26" t="n">
        <x:f>COUNTIFS('Movesets_ennemis'!$P$7:$P$81,"Extension future")</x:f>
        <x:v>0</x:v>
      </x:c>
    </x:row>
    <x:row r="29" ht="22" customHeight="1">
      <x:c r="A29" s="2" t="str">
        <x:v>Animations</x:v>
      </x:c>
      <x:c r="B29" s="27" t="n">
        <x:f>COUNTA('Animations'!$A$7:$A$46)</x:f>
        <x:v>40</x:v>
      </x:c>
      <x:c r="C29" s="27" t="n">
        <x:f>COUNTIFS('Animations'!$C$7:$C$46,"Défini")</x:f>
        <x:v>39</x:v>
      </x:c>
      <x:c r="D29" s="27" t="n">
        <x:f>COUNTIFS('Animations'!$C$7:$C$46,"Prototype")</x:f>
        <x:v>1</x:v>
      </x:c>
      <x:c r="E29" s="27" t="n">
        <x:f>COUNTIFS('Animations'!$C$7:$C$46,"Intégré")</x:f>
        <x:v>0</x:v>
      </x:c>
      <x:c r="F29" s="27" t="n">
        <x:f>COUNTIFS('Animations'!$C$7:$C$46,"Validé")</x:f>
        <x:v>0</x:v>
      </x:c>
      <x:c r="G29" s="27" t="n">
        <x:f>COUNTIFS('Animations'!$G$7:$G$46,"Confirmé")</x:f>
        <x:v>0</x:v>
      </x:c>
      <x:c r="H29" s="27" t="n">
        <x:f>COUNTIFS('Animations'!$G$7:$G$46,"Référence à vérifier")</x:f>
        <x:v>0</x:v>
      </x:c>
      <x:c r="I29" s="27" t="n">
        <x:f>COUNTIFS('Animations'!$G$7:$G$46,"Adaptation")</x:f>
        <x:v>40</x:v>
      </x:c>
      <x:c r="J29" s="27" t="n">
        <x:f>COUNTIFS('Animations'!$F$7:$F$46,"ME1")</x:f>
        <x:v>40</x:v>
      </x:c>
      <x:c r="K29" s="27" t="n">
        <x:f>COUNTIFS('Animations'!$P$7:$P$46,"Extension future")</x:f>
        <x:v>0</x:v>
      </x:c>
    </x:row>
    <x:row r="30" ht="22" customHeight="1">
      <x:c r="A30" s="22" t="str">
        <x:v>Sprites</x:v>
      </x:c>
      <x:c r="B30" s="26" t="n">
        <x:f>COUNTA('Sprites'!$A$7:$A$83)</x:f>
        <x:v>77</x:v>
      </x:c>
      <x:c r="C30" s="26" t="n">
        <x:f>COUNTIFS('Sprites'!$C$7:$C$83,"Défini")</x:f>
        <x:v>42</x:v>
      </x:c>
      <x:c r="D30" s="26" t="n">
        <x:f>COUNTIFS('Sprites'!$C$7:$C$83,"Prototype")</x:f>
        <x:v>35</x:v>
      </x:c>
      <x:c r="E30" s="26" t="n">
        <x:f>COUNTIFS('Sprites'!$C$7:$C$83,"Intégré")</x:f>
        <x:v>0</x:v>
      </x:c>
      <x:c r="F30" s="26" t="n">
        <x:f>COUNTIFS('Sprites'!$C$7:$C$83,"Validé")</x:f>
        <x:v>0</x:v>
      </x:c>
      <x:c r="G30" s="26" t="n">
        <x:f>COUNTIFS('Sprites'!$G$7:$G$83,"Confirmé")</x:f>
        <x:v>0</x:v>
      </x:c>
      <x:c r="H30" s="26" t="n">
        <x:f>COUNTIFS('Sprites'!$G$7:$G$83,"Référence à vérifier")</x:f>
        <x:v>0</x:v>
      </x:c>
      <x:c r="I30" s="26" t="n">
        <x:f>COUNTIFS('Sprites'!$G$7:$G$83,"Adaptation")</x:f>
        <x:v>77</x:v>
      </x:c>
      <x:c r="J30" s="26" t="n">
        <x:f>COUNTIFS('Sprites'!$F$7:$F$83,"ME1")</x:f>
        <x:v>77</x:v>
      </x:c>
      <x:c r="K30" s="26" t="n">
        <x:f>COUNTIFS('Sprites'!$P$7:$P$83,"Extension future")</x:f>
        <x:v>0</x:v>
      </x:c>
    </x:row>
    <x:row r="31" ht="22" customHeight="1">
      <x:c r="A31" s="2" t="str">
        <x:v>VFX</x:v>
      </x:c>
      <x:c r="B31" s="27" t="n">
        <x:f>COUNTA('VFX'!$A$7:$A$32)</x:f>
        <x:v>26</x:v>
      </x:c>
      <x:c r="C31" s="27" t="n">
        <x:f>COUNTIFS('VFX'!$C$7:$C$32,"Défini")</x:f>
        <x:v>26</x:v>
      </x:c>
      <x:c r="D31" s="27" t="n">
        <x:f>COUNTIFS('VFX'!$C$7:$C$32,"Prototype")</x:f>
        <x:v>0</x:v>
      </x:c>
      <x:c r="E31" s="27" t="n">
        <x:f>COUNTIFS('VFX'!$C$7:$C$32,"Intégré")</x:f>
        <x:v>0</x:v>
      </x:c>
      <x:c r="F31" s="27" t="n">
        <x:f>COUNTIFS('VFX'!$C$7:$C$32,"Validé")</x:f>
        <x:v>0</x:v>
      </x:c>
      <x:c r="G31" s="27" t="n">
        <x:f>COUNTIFS('VFX'!$G$7:$G$32,"Confirmé")</x:f>
        <x:v>0</x:v>
      </x:c>
      <x:c r="H31" s="27" t="n">
        <x:f>COUNTIFS('VFX'!$G$7:$G$32,"Référence à vérifier")</x:f>
        <x:v>0</x:v>
      </x:c>
      <x:c r="I31" s="27" t="n">
        <x:f>COUNTIFS('VFX'!$G$7:$G$32,"Adaptation")</x:f>
        <x:v>26</x:v>
      </x:c>
      <x:c r="J31" s="27" t="n">
        <x:f>COUNTIFS('VFX'!$F$7:$F$32,"ME1")</x:f>
        <x:v>26</x:v>
      </x:c>
      <x:c r="K31" s="27" t="n">
        <x:f>COUNTIFS('VFX'!$P$7:$P$32,"Extension future")</x:f>
        <x:v>0</x:v>
      </x:c>
    </x:row>
    <x:row r="32" ht="22" customHeight="1">
      <x:c r="A32" s="22" t="str">
        <x:v>Audio</x:v>
      </x:c>
      <x:c r="B32" s="26" t="n">
        <x:f>COUNTA('Audio'!$A$7:$A$36)</x:f>
        <x:v>30</x:v>
      </x:c>
      <x:c r="C32" s="26" t="n">
        <x:f>COUNTIFS('Audio'!$C$7:$C$36,"Défini")</x:f>
        <x:v>30</x:v>
      </x:c>
      <x:c r="D32" s="26" t="n">
        <x:f>COUNTIFS('Audio'!$C$7:$C$36,"Prototype")</x:f>
        <x:v>0</x:v>
      </x:c>
      <x:c r="E32" s="26" t="n">
        <x:f>COUNTIFS('Audio'!$C$7:$C$36,"Intégré")</x:f>
        <x:v>0</x:v>
      </x:c>
      <x:c r="F32" s="26" t="n">
        <x:f>COUNTIFS('Audio'!$C$7:$C$36,"Validé")</x:f>
        <x:v>0</x:v>
      </x:c>
      <x:c r="G32" s="26" t="n">
        <x:f>COUNTIFS('Audio'!$G$7:$G$36,"Confirmé")</x:f>
        <x:v>0</x:v>
      </x:c>
      <x:c r="H32" s="26" t="n">
        <x:f>COUNTIFS('Audio'!$G$7:$G$36,"Référence à vérifier")</x:f>
        <x:v>0</x:v>
      </x:c>
      <x:c r="I32" s="26" t="n">
        <x:f>COUNTIFS('Audio'!$G$7:$G$36,"Adaptation")</x:f>
        <x:v>30</x:v>
      </x:c>
      <x:c r="J32" s="26" t="n">
        <x:f>COUNTIFS('Audio'!$F$7:$F$36,"ME1")</x:f>
        <x:v>30</x:v>
      </x:c>
      <x:c r="K32" s="26" t="n">
        <x:f>COUNTIFS('Audio'!$P$7:$P$36,"Extension future")</x:f>
        <x:v>0</x:v>
      </x:c>
    </x:row>
    <x:row r="33" ht="22" customHeight="1">
      <x:c r="A33" s="2" t="str">
        <x:v>Systèmes et UI</x:v>
      </x:c>
      <x:c r="B33" s="27" t="n">
        <x:f>COUNTA('UI_systemes'!$A$7:$A$46)</x:f>
        <x:v>40</x:v>
      </x:c>
      <x:c r="C33" s="27" t="n">
        <x:f>COUNTIFS('UI_systemes'!$C$7:$C$46,"Défini")</x:f>
        <x:v>10</x:v>
      </x:c>
      <x:c r="D33" s="27" t="n">
        <x:f>COUNTIFS('UI_systemes'!$C$7:$C$46,"Prototype")</x:f>
        <x:v>28</x:v>
      </x:c>
      <x:c r="E33" s="27" t="n">
        <x:f>COUNTIFS('UI_systemes'!$C$7:$C$46,"Intégré")</x:f>
        <x:v>0</x:v>
      </x:c>
      <x:c r="F33" s="27" t="n">
        <x:f>COUNTIFS('UI_systemes'!$C$7:$C$46,"Validé")</x:f>
        <x:v>2</x:v>
      </x:c>
      <x:c r="G33" s="27" t="n">
        <x:f>COUNTIFS('UI_systemes'!$G$7:$G$46,"Confirmé")</x:f>
        <x:v>0</x:v>
      </x:c>
      <x:c r="H33" s="27" t="n">
        <x:f>COUNTIFS('UI_systemes'!$G$7:$G$46,"Référence à vérifier")</x:f>
        <x:v>0</x:v>
      </x:c>
      <x:c r="I33" s="27" t="n">
        <x:f>COUNTIFS('UI_systemes'!$G$7:$G$46,"Adaptation")</x:f>
        <x:v>40</x:v>
      </x:c>
      <x:c r="J33" s="27" t="n">
        <x:f>COUNTIFS('UI_systemes'!$F$7:$F$46,"ME1")</x:f>
        <x:v>40</x:v>
      </x:c>
      <x:c r="K33" s="27" t="n">
        <x:f>COUNTIFS('UI_systemes'!$P$7:$P$46,"Extension future")</x:f>
        <x:v>0</x:v>
      </x:c>
    </x:row>
    <x:row r="34" ht="22" customHeight="1">
      <x:c r="A34" s="22" t="str">
        <x:v>QA</x:v>
      </x:c>
      <x:c r="B34" s="26" t="n">
        <x:f>COUNTA('QA'!$A$7:$A$58)</x:f>
        <x:v>52</x:v>
      </x:c>
      <x:c r="C34" s="26" t="n">
        <x:f>COUNTIFS('QA'!$C$7:$C$58,"Défini")</x:f>
        <x:v>52</x:v>
      </x:c>
      <x:c r="D34" s="26" t="n">
        <x:f>COUNTIFS('QA'!$C$7:$C$58,"Prototype")</x:f>
        <x:v>0</x:v>
      </x:c>
      <x:c r="E34" s="26" t="n">
        <x:f>COUNTIFS('QA'!$C$7:$C$58,"Intégré")</x:f>
        <x:v>0</x:v>
      </x:c>
      <x:c r="F34" s="26" t="n">
        <x:f>COUNTIFS('QA'!$C$7:$C$58,"Validé")</x:f>
        <x:v>0</x:v>
      </x:c>
      <x:c r="G34" s="26" t="n">
        <x:f>COUNTIFS('QA'!$G$7:$G$58,"Confirmé")</x:f>
        <x:v>0</x:v>
      </x:c>
      <x:c r="H34" s="26" t="n">
        <x:f>COUNTIFS('QA'!$G$7:$G$58,"Référence à vérifier")</x:f>
        <x:v>0</x:v>
      </x:c>
      <x:c r="I34" s="26" t="n">
        <x:f>COUNTIFS('QA'!$G$7:$G$58,"Adaptation")</x:f>
        <x:v>52</x:v>
      </x:c>
      <x:c r="J34" s="26" t="n">
        <x:f>COUNTIFS('QA'!$F$7:$F$58,"ME1")</x:f>
        <x:v>52</x:v>
      </x:c>
      <x:c r="K34" s="26" t="n">
        <x:f>COUNTIFS('QA'!$P$7:$P$58,"Extension future")</x:f>
        <x:v>0</x:v>
      </x:c>
    </x:row>
    <x:row r="35" ht="22" customHeight="1">
      <x:c r="A35" s="2" t="str">
        <x:v>Trilogie</x:v>
      </x:c>
      <x:c r="B35" s="27" t="n">
        <x:f>COUNTA('Trilogie'!$A$7:$A$63)</x:f>
        <x:v>57</x:v>
      </x:c>
      <x:c r="C35" s="27" t="n">
        <x:f>COUNTIFS('Trilogie'!$C$7:$C$63,"Défini")</x:f>
        <x:v>57</x:v>
      </x:c>
      <x:c r="D35" s="27" t="n">
        <x:f>COUNTIFS('Trilogie'!$C$7:$C$63,"Prototype")</x:f>
        <x:v>0</x:v>
      </x:c>
      <x:c r="E35" s="27" t="n">
        <x:f>COUNTIFS('Trilogie'!$C$7:$C$63,"Intégré")</x:f>
        <x:v>0</x:v>
      </x:c>
      <x:c r="F35" s="27" t="n">
        <x:f>COUNTIFS('Trilogie'!$C$7:$C$63,"Validé")</x:f>
        <x:v>0</x:v>
      </x:c>
      <x:c r="G35" s="27" t="n">
        <x:f>COUNTIFS('Trilogie'!$G$7:$G$63,"Confirmé")</x:f>
        <x:v>0</x:v>
      </x:c>
      <x:c r="H35" s="27" t="n">
        <x:f>COUNTIFS('Trilogie'!$G$7:$G$63,"Référence à vérifier")</x:f>
        <x:v>57</x:v>
      </x:c>
      <x:c r="I35" s="27" t="n">
        <x:f>COUNTIFS('Trilogie'!$G$7:$G$63,"Adaptation")</x:f>
        <x:v>0</x:v>
      </x:c>
      <x:c r="J35" s="27" t="n">
        <x:f>COUNTIFS('Trilogie'!$F$7:$F$63,"ME1")</x:f>
        <x:v>0</x:v>
      </x:c>
      <x:c r="K35" s="27" t="n">
        <x:f>COUNTIFS('Trilogie'!$P$7:$P$63,"Extension future")</x:f>
        <x:v>57</x:v>
      </x:c>
    </x:row>
    <x:row r="36" ht="22" customHeight="1">
      <x:c r="A36" s="2"/>
      <x:c r="B36" s="27"/>
      <x:c r="C36" s="27"/>
      <x:c r="D36" s="27"/>
      <x:c r="E36" s="27"/>
      <x:c r="F36" s="27"/>
      <x:c r="G36" s="27"/>
      <x:c r="H36" s="27"/>
      <x:c r="I36" s="27"/>
      <x:c r="J36" s="27"/>
      <x:c r="K36" s="27"/>
    </x:row>
    <x:row r="37" ht="28" customHeight="1">
      <x:c r="A37" s="17" t="str">
        <x:v>TOTAL</x:v>
      </x:c>
      <x:c r="B37" s="28" t="n">
        <x:f>SUM(B10:B35)</x:f>
        <x:v>1203</x:v>
      </x:c>
      <x:c r="C37" s="28" t="n">
        <x:f>SUM(C10:C35)</x:f>
        <x:v>1070</x:v>
      </x:c>
      <x:c r="D37" s="28" t="n">
        <x:f>SUM(D10:D35)</x:f>
        <x:v>131</x:v>
      </x:c>
      <x:c r="E37" s="28" t="n">
        <x:f>SUM(E10:E35)</x:f>
        <x:v>0</x:v>
      </x:c>
      <x:c r="F37" s="28" t="n">
        <x:f>SUM(F10:F35)</x:f>
        <x:v>2</x:v>
      </x:c>
      <x:c r="G37" s="28" t="n">
        <x:f>SUM(G10:G35)</x:f>
        <x:v>15</x:v>
      </x:c>
      <x:c r="H37" s="28" t="n">
        <x:f>SUM(H10:H35)</x:f>
        <x:v>532</x:v>
      </x:c>
      <x:c r="I37" s="28" t="n">
        <x:f>SUM(I10:I35)</x:f>
        <x:v>656</x:v>
      </x:c>
      <x:c r="J37" s="28" t="n">
        <x:f>SUM(J10:J35)</x:f>
        <x:v>1146</x:v>
      </x:c>
      <x:c r="K37" s="28" t="n">
        <x:f>SUM(K10:K35)</x:f>
        <x:v>57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22" customHeight="1">
      <x:c r="A39" s="2" t="str">
        <x:v>Prototype : contenu simplifié. Intégré : présence vérifiée. Validé : preuve de contrôle disponible.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22" customHeight="1">
      <x:c r="A41" s="2" t="str">
        <x:v>Les chemins « Destination prévue » ne sont pas des fichiers existants. Consulter « Fichier existant » pour les preuves.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Shepard, équipiers et identités jouables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100" customHeight="1">
      <x:c r="A7" s="13" t="str">
        <x:v>CHR-shepard</x:v>
      </x:c>
      <x:c r="B7" s="14" t="str">
        <x:v>Shepard</x:v>
      </x:c>
      <x:c r="C7" s="10" t="str">
        <x:v>Prototype</x:v>
      </x:c>
      <x:c r="D7" s="11" t="str">
        <x:v>Prototype</x:v>
      </x:c>
      <x:c r="E7" s="15" t="str">
        <x:v>P0</x:v>
      </x:c>
      <x:c r="F7" s="15" t="str">
        <x:v>ME1</x:v>
      </x:c>
      <x:c r="G7" s="15" t="str">
        <x:v>Référence à vérifier</x:v>
      </x:c>
      <x:c r="H7" s="14" t="str">
        <x:v>Commandement personnalisable, classe choisie, origines et profil psychologique conservés.</x:v>
      </x:c>
      <x:c r="I7" s="14" t="str">
        <x:v>Même identité dans portrait, sprite, sauvegarde et dialogues.</x:v>
      </x:c>
      <x:c r="J7" s="14" t="str"/>
      <x:c r="K7" s="14" t="str">
        <x:v>content/characters/CHR-shepard.json</x:v>
      </x:c>
      <x:c r="L7" s="14" t="str">
        <x:v>src/game-data.js</x:v>
      </x:c>
      <x:c r="M7" s="14" t="str">
        <x:v>CREW.shepard</x:v>
      </x:c>
      <x:c r="N7" s="14" t="str">
        <x:v>Index secondaire ; capture du jeu requise avant validation</x:v>
      </x:c>
      <x:c r="O7" s="14" t="str">
        <x:v>https://masseffect.fandom.com/wiki/Squad</x:v>
      </x:c>
      <x:c r="P7" s="14" t="str">
        <x:v>Production ME1</x:v>
      </x:c>
      <x:c r="Q7" s="14" t="str">
        <x:v>Apparence masculine/féminine, origine et profil psychologique sélectionnables et persistés dans src/commander.js et src/state.js. Portraits et sprites cohérents en exploration et combat après reprise/import. Variante féminine statique ; marche masculine de 16 images / 4 directions. Réactions narratives aux antécédents, créateur facial, huit directions, costumes et fidélité artistique finale restent à produire ou vérifier. Tests : tests/commander.test.js, tests/commander-world.test.js, scripts/commander-browser.mjs.</x:v>
      </x:c>
    </x:row>
    <x:row r="8" ht="49" customHeight="1">
      <x:c r="A8" s="12" t="str">
        <x:v>CHR-ashley-williams</x:v>
      </x:c>
      <x:c r="B8" s="7" t="str">
        <x:v>Ashley Williams</x:v>
      </x:c>
      <x:c r="C8" s="10" t="str">
        <x:v>Prototype</x:v>
      </x:c>
      <x:c r="D8" s="11" t="str">
        <x:v>Prototype</x:v>
      </x:c>
      <x:c r="E8" s="9" t="str">
        <x:v>P0</x:v>
      </x:c>
      <x:c r="F8" s="9" t="str">
        <x:v>ME1</x:v>
      </x:c>
      <x:c r="G8" s="9" t="str">
        <x:v>Référence à vérifier</x:v>
      </x:c>
      <x:c r="H8" s="7" t="str">
        <x:v>Soldate de l’Alliance rencontrée sur Eden Prime ; spécialisation militaire.</x:v>
      </x:c>
      <x:c r="I8" s="7" t="str">
        <x:v>Tenue ME1, attitudes et disponibilité narrative vérifiées.</x:v>
      </x:c>
      <x:c r="J8" s="7" t="str"/>
      <x:c r="K8" s="7" t="str">
        <x:v>content/characters/CHR-ashley-williams.json</x:v>
      </x:c>
      <x:c r="L8" s="7" t="str">
        <x:v>src/game-data.js</x:v>
      </x:c>
      <x:c r="M8" s="7" t="str">
        <x:v>CREW.ashley</x:v>
      </x:c>
      <x:c r="N8" s="7" t="str">
        <x:v>Index secondaire ; capture du jeu requise avant validation</x:v>
      </x:c>
      <x:c r="O8" s="7" t="str">
        <x:v>https://masseffect.fandom.com/wiki/Squad</x:v>
      </x:c>
      <x:c r="P8" s="7" t="str">
        <x:v>Production ME1</x:v>
      </x:c>
      <x:c r="Q8" s="7" t="str">
        <x:v>Personnage présent dans le prototype. Sprite statique en atlas et mouvements du moteur ; animation complète et fidélité visuelle finale à produire.</x:v>
      </x:c>
    </x:row>
    <x:row r="9" ht="49" customHeight="1">
      <x:c r="A9" s="13" t="str">
        <x:v>CHR-kaidan-alenko</x:v>
      </x:c>
      <x:c r="B9" s="14" t="str">
        <x:v>Kaidan Alenko</x:v>
      </x:c>
      <x:c r="C9" s="10" t="str">
        <x:v>Prototype</x:v>
      </x:c>
      <x:c r="D9" s="11" t="str">
        <x:v>Prototype</x:v>
      </x:c>
      <x:c r="E9" s="15" t="str">
        <x:v>P0</x:v>
      </x:c>
      <x:c r="F9" s="15" t="str">
        <x:v>ME1</x:v>
      </x:c>
      <x:c r="G9" s="15" t="str">
        <x:v>Référence à vérifier</x:v>
      </x:c>
      <x:c r="H9" s="14" t="str">
        <x:v>Officier humain associant technologie et biotique.</x:v>
      </x:c>
      <x:c r="I9" s="14" t="str">
        <x:v>Profil L2 traité dans les dialogues ; pouvoirs de ME1 uniquement.</x:v>
      </x:c>
      <x:c r="J9" s="14" t="str"/>
      <x:c r="K9" s="14" t="str">
        <x:v>content/characters/CHR-kaidan-alenko.json</x:v>
      </x:c>
      <x:c r="L9" s="14" t="str">
        <x:v>src/game-data.js</x:v>
      </x:c>
      <x:c r="M9" s="14" t="str">
        <x:v>CREW.kaidan</x:v>
      </x:c>
      <x:c r="N9" s="14" t="str">
        <x:v>Index secondaire ; capture du jeu requise avant validation</x:v>
      </x:c>
      <x:c r="O9" s="14" t="str">
        <x:v>https://masseffect.fandom.com/wiki/Squad</x:v>
      </x:c>
      <x:c r="P9" s="14" t="str">
        <x:v>Production ME1</x:v>
      </x:c>
      <x:c r="Q9" s="14" t="str">
        <x:v>Personnage présent dans le prototype. Sprite statique en atlas et mouvements du moteur ; animation complète et fidélité visuelle finale à produire.</x:v>
      </x:c>
    </x:row>
    <x:row r="10" ht="49" customHeight="1">
      <x:c r="A10" s="12" t="str">
        <x:v>CHR-garrus-vakarian</x:v>
      </x:c>
      <x:c r="B10" s="7" t="str">
        <x:v>Garrus Vakarian</x:v>
      </x:c>
      <x:c r="C10" s="10" t="str">
        <x:v>Prototype</x:v>
      </x:c>
      <x:c r="D10" s="11" t="str">
        <x:v>Prototype</x:v>
      </x:c>
      <x:c r="E10" s="9" t="str">
        <x:v>P0</x:v>
      </x:c>
      <x:c r="F10" s="9" t="str">
        <x:v>ME1</x:v>
      </x:c>
      <x:c r="G10" s="9" t="str">
        <x:v>Référence à vérifier</x:v>
      </x:c>
      <x:c r="H10" s="7" t="str">
        <x:v>Turien du SSC dont l’enquête rejoint celle de Shepard.</x:v>
      </x:c>
      <x:c r="I10" s="7" t="str">
        <x:v>Silhouette turienne et apparence antérieure aux blessures de ME2.</x:v>
      </x:c>
      <x:c r="J10" s="7" t="str"/>
      <x:c r="K10" s="7" t="str">
        <x:v>content/characters/CHR-garrus-vakarian.json</x:v>
      </x:c>
      <x:c r="L10" s="7" t="str">
        <x:v>src/game-data.js</x:v>
      </x:c>
      <x:c r="M10" s="7" t="str">
        <x:v>CREW.garrus</x:v>
      </x:c>
      <x:c r="N10" s="7" t="str">
        <x:v>Index secondaire ; capture du jeu requise avant validation</x:v>
      </x:c>
      <x:c r="O10" s="7" t="str">
        <x:v>https://masseffect.fandom.com/wiki/Squad</x:v>
      </x:c>
      <x:c r="P10" s="7" t="str">
        <x:v>Production ME1</x:v>
      </x:c>
      <x:c r="Q10" s="7" t="str">
        <x:v>Personnage présent dans le prototype. Sprite statique en atlas et mouvements du moteur ; animation complète et fidélité visuelle finale à produire.</x:v>
      </x:c>
    </x:row>
    <x:row r="11" ht="49" customHeight="1">
      <x:c r="A11" s="13" t="str">
        <x:v>CHR-urdnot-wrex</x:v>
      </x:c>
      <x:c r="B11" s="14" t="str">
        <x:v>Urdnot Wrex</x:v>
      </x:c>
      <x:c r="C11" s="10" t="str">
        <x:v>Prototype</x:v>
      </x:c>
      <x:c r="D11" s="11" t="str">
        <x:v>Prototype</x:v>
      </x:c>
      <x:c r="E11" s="15" t="str">
        <x:v>P0</x:v>
      </x:c>
      <x:c r="F11" s="15" t="str">
        <x:v>ME1</x:v>
      </x:c>
      <x:c r="G11" s="15" t="str">
        <x:v>Référence à vérifier</x:v>
      </x:c>
      <x:c r="H11" s="14" t="str">
        <x:v>Mercenaire krogan, résistance et biotique.</x:v>
      </x:c>
      <x:c r="I11" s="14" t="str">
        <x:v>Masse corporelle, armure et embranchements de Virmire respectés.</x:v>
      </x:c>
      <x:c r="J11" s="14" t="str"/>
      <x:c r="K11" s="14" t="str">
        <x:v>content/characters/CHR-urdnot-wrex.json</x:v>
      </x:c>
      <x:c r="L11" s="14" t="str">
        <x:v>src/game-data.js</x:v>
      </x:c>
      <x:c r="M11" s="14" t="str">
        <x:v>CREW.wrex</x:v>
      </x:c>
      <x:c r="N11" s="14" t="str">
        <x:v>Index secondaire ; capture du jeu requise avant validation</x:v>
      </x:c>
      <x:c r="O11" s="14" t="str">
        <x:v>https://masseffect.fandom.com/wiki/Squad</x:v>
      </x:c>
      <x:c r="P11" s="14" t="str">
        <x:v>Production ME1</x:v>
      </x:c>
      <x:c r="Q11" s="14" t="str">
        <x:v>Personnage présent dans le prototype. Sprite statique en atlas et mouvements du moteur ; animation complète et fidélité visuelle finale à produire.</x:v>
      </x:c>
    </x:row>
    <x:row r="12" ht="49" customHeight="1">
      <x:c r="A12" s="12" t="str">
        <x:v>CHR-tali-zorah-nar-rayya</x:v>
      </x:c>
      <x:c r="B12" s="7" t="str">
        <x:v>Tali'Zorah nar Rayya</x:v>
      </x:c>
      <x:c r="C12" s="10" t="str">
        <x:v>Prototype</x:v>
      </x:c>
      <x:c r="D12" s="11" t="str">
        <x:v>Prototype</x:v>
      </x:c>
      <x:c r="E12" s="9" t="str">
        <x:v>P0</x:v>
      </x:c>
      <x:c r="F12" s="9" t="str">
        <x:v>ME1</x:v>
      </x:c>
      <x:c r="G12" s="9" t="str">
        <x:v>Référence à vérifier</x:v>
      </x:c>
      <x:c r="H12" s="7" t="str">
        <x:v>Quarienne en pèlerinage, compétences technologiques.</x:v>
      </x:c>
      <x:c r="I12" s="7" t="str">
        <x:v>Nom, masque et combinaison de ME1 ; aucune tenue tardive par défaut.</x:v>
      </x:c>
      <x:c r="J12" s="7" t="str"/>
      <x:c r="K12" s="7" t="str">
        <x:v>content/characters/CHR-tali-zorah-nar-rayya.json</x:v>
      </x:c>
      <x:c r="L12" s="7" t="str">
        <x:v>src/game-data.js</x:v>
      </x:c>
      <x:c r="M12" s="7" t="str">
        <x:v>CREW.tali</x:v>
      </x:c>
      <x:c r="N12" s="7" t="str">
        <x:v>Index secondaire ; capture du jeu requise avant validation</x:v>
      </x:c>
      <x:c r="O12" s="7" t="str">
        <x:v>https://masseffect.fandom.com/wiki/Squad</x:v>
      </x:c>
      <x:c r="P12" s="7" t="str">
        <x:v>Production ME1</x:v>
      </x:c>
      <x:c r="Q12" s="7" t="str">
        <x:v>Personnage présent dans le prototype. Sprite statique en atlas et mouvements du moteur ; animation complète et fidélité visuelle finale à produire.</x:v>
      </x:c>
    </x:row>
    <x:row r="13" ht="49" customHeight="1">
      <x:c r="A13" s="13" t="str">
        <x:v>CHR-liara-t-soni</x:v>
      </x:c>
      <x:c r="B13" s="14" t="str">
        <x:v>Liara T'Soni</x:v>
      </x:c>
      <x:c r="C13" s="10" t="str">
        <x:v>Prototype</x:v>
      </x:c>
      <x:c r="D13" s="11" t="str">
        <x:v>Prototype</x:v>
      </x:c>
      <x:c r="E13" s="15" t="str">
        <x:v>P0</x:v>
      </x:c>
      <x:c r="F13" s="15" t="str">
        <x:v>ME1</x:v>
      </x:c>
      <x:c r="G13" s="15" t="str">
        <x:v>Référence à vérifier</x:v>
      </x:c>
      <x:c r="H13" s="14" t="str">
        <x:v>Archéologue asari spécialisée en biotique.</x:v>
      </x:c>
      <x:c r="I13" s="14" t="str">
        <x:v>Tenue et personnalité de son recrutement sur Therum.</x:v>
      </x:c>
      <x:c r="J13" s="14" t="str"/>
      <x:c r="K13" s="14" t="str">
        <x:v>content/characters/CHR-liara-t-soni.json</x:v>
      </x:c>
      <x:c r="L13" s="14" t="str">
        <x:v>src/game-data.js</x:v>
      </x:c>
      <x:c r="M13" s="14" t="str">
        <x:v>CREW.liara</x:v>
      </x:c>
      <x:c r="N13" s="14" t="str">
        <x:v>Index secondaire ; capture du jeu requise avant validation</x:v>
      </x:c>
      <x:c r="O13" s="14" t="str">
        <x:v>https://masseffect.fandom.com/wiki/Squad</x:v>
      </x:c>
      <x:c r="P13" s="14" t="str">
        <x:v>Production ME1</x:v>
      </x:c>
      <x:c r="Q13" s="14" t="str">
        <x:v>Personnage présent dans le prototype. Sprite statique en atlas et mouvements du moteur ; animation complète et fidélité visuelle finale à produire.</x:v>
      </x:c>
    </x:row>
    <x:row r="14" ht="49" customHeight="1">
      <x:c r="A14" s="12" t="str">
        <x:v>CHR-jenkins</x:v>
      </x:c>
      <x:c r="B14" s="7" t="str">
        <x:v>Jenkins</x:v>
      </x:c>
      <x:c r="C14" s="10" t="str">
        <x:v>Prototype</x:v>
      </x:c>
      <x:c r="D14" s="11" t="str">
        <x:v>Prototype</x:v>
      </x:c>
      <x:c r="E14" s="9" t="str">
        <x:v>P0</x:v>
      </x:c>
      <x:c r="F14" s="9" t="str">
        <x:v>ME1</x:v>
      </x:c>
      <x:c r="G14" s="9" t="str">
        <x:v>Référence à vérifier</x:v>
      </x:c>
      <x:c r="H14" s="7" t="str">
        <x:v>Équipier temporaire du prologue.</x:v>
      </x:c>
      <x:c r="I14" s="7" t="str">
        <x:v>Disponibilité limitée au prologue et perte narrative persistante.</x:v>
      </x:c>
      <x:c r="J14" s="7" t="str"/>
      <x:c r="K14" s="7" t="str">
        <x:v>content/characters/CHR-jenkins.json</x:v>
      </x:c>
      <x:c r="L14" s="7" t="str">
        <x:v>src/game-data.js</x:v>
      </x:c>
      <x:c r="M14" s="7" t="str">
        <x:v>CREW.jenkins</x:v>
      </x:c>
      <x:c r="N14" s="7" t="str">
        <x:v>Index secondaire ; capture du jeu requise avant validation</x:v>
      </x:c>
      <x:c r="O14" s="7" t="str">
        <x:v>https://masseffect.fandom.com/wiki/Squad</x:v>
      </x:c>
      <x:c r="P14" s="7" t="str">
        <x:v>Production ME1</x:v>
      </x:c>
      <x:c r="Q14" s="7" t="str">
        <x:v>Personnage présent dans le prototype. Sprite statique en atlas et mouvements du moteur ; animation complète et fidélité visuelle finale à produire.</x:v>
      </x:c>
    </x:row>
  </x:sheetData>
  <x:conditionalFormatting sqref="C7:C14">
    <x:cfRule type="cellIs" dxfId="0" priority="1" operator="equal">
      <x:formula>"Prototype"</x:formula>
    </x:cfRule>
    <x:cfRule type="cellIs" dxfId="1" priority="2" operator="equal">
      <x:formula>"Intégré"</x:formula>
    </x:cfRule>
    <x:cfRule type="cellIs" dxfId="2" priority="3" operator="equal">
      <x:formula>"Validé"</x:formula>
    </x:cfRule>
  </x:conditionalFormatting>
  <x:conditionalFormatting sqref="G7:G14">
    <x:cfRule type="cellIs" dxfId="3" priority="4" operator="equal">
      <x:formula>"Référence à vérifier"</x:formula>
    </x:cfRule>
  </x:conditionalFormatting>
  <x:conditionalFormatting sqref="E7:E14">
    <x:cfRule type="cellIs" dxfId="4" priority="5" operator="equal">
      <x:formula>"P0"</x:formula>
    </x:cfRule>
  </x:conditionalFormatting>
  <x:dataValidations count="5">
    <x:dataValidation type="list" sqref="C7:C14">
      <x:formula1>"Défini,Prototype,Intégré,Validé"</x:formula1>
    </x:dataValidation>
    <x:dataValidation type="list" sqref="D7:D14">
      <x:formula1>"À produire,Prototype,Disponible,Validé,Sans objet,Non planifié"</x:formula1>
    </x:dataValidation>
    <x:dataValidation type="list" sqref="E7:E14">
      <x:formula1>"P0,P1,P2"</x:formula1>
    </x:dataValidation>
    <x:dataValidation type="list" sqref="F7:F14">
      <x:formula1>"ME1,ME2,ME3"</x:formula1>
    </x:dataValidation>
    <x:dataValidation type="list" sqref="G7:G14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0d95d171374ee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NPC-david-anderson</x:v>
      </x:c>
      <x:c r="B7" s="14" t="str">
        <x:v>David Anderson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Capitaine au début du récit, soutien politique et mentor de Shepard.</x:v>
      </x:c>
      <x:c r="I7" s="14" t="str">
        <x:v>Rang et affectation correspondant au chapitre.</x:v>
      </x:c>
      <x:c r="J7" s="14" t="str"/>
      <x:c r="K7" s="14" t="str">
        <x:v>content/npcs/NPC-david-anderson.json</x:v>
      </x:c>
      <x:c r="L7" s="14" t="str">
        <x:v>public/assets/npc-atlas.png</x:v>
      </x:c>
      <x:c r="M7" s="14" t="str">
        <x:v>NPC_KEYS.anderson</x:v>
      </x:c>
      <x:c r="N7" s="14" t="str">
        <x:v>Nom et rôle à recouper dans le jeu et son codex ; guide utilisé comme point de départ.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>
        <x:v>Atlas 4 × 2, ligne 1, colonne 2. Silhouette placée dans une scène par src/world.js. Costume, visage, dialogues et animations complets à vérifier ou produire.</x:v>
      </x:c>
    </x:row>
    <x:row r="8" ht="49" customHeight="1">
      <x:c r="A8" s="12" t="str">
        <x:v>NPC-jeff-joker-moreau</x:v>
      </x:c>
      <x:c r="B8" s="7" t="str">
        <x:v>Jeff Joker Moreau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Pilote du Normandy SR-1, échanges dans le cockpit.</x:v>
      </x:c>
      <x:c r="I8" s="7" t="str">
        <x:v>Déplacements et animations cohérents avec son état physique.</x:v>
      </x:c>
      <x:c r="J8" s="7" t="str"/>
      <x:c r="K8" s="7" t="str">
        <x:v>content/npcs/NPC-jeff-joker-moreau.json</x:v>
      </x:c>
      <x:c r="L8" s="7" t="str">
        <x:v>public/assets/npc-atlas.png</x:v>
      </x:c>
      <x:c r="M8" s="7" t="str">
        <x:v>NPC_KEYS.joker</x:v>
      </x:c>
      <x:c r="N8" s="7" t="str">
        <x:v>Nom et rôle à recouper dans le jeu et son codex ; guide utilisé comme point de départ.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>
        <x:v>Atlas 4 × 2, ligne 1, colonne 3. Silhouette placée dans une scène par src/world.js. Costume, visage, dialogues et animations complets à vérifier ou produire.</x:v>
      </x:c>
    </x:row>
    <x:row r="9" ht="49" customHeight="1">
      <x:c r="A9" s="13" t="str">
        <x:v>NPC-karin-chakwas</x:v>
      </x:c>
      <x:c r="B9" s="14" t="str">
        <x:v>Karin Chakwas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Médecin du Normandy ; dialogue et présence à l’infirmerie.</x:v>
      </x:c>
      <x:c r="I9" s="14" t="str">
        <x:v>Aucune fonction de combat attribuée.</x:v>
      </x:c>
      <x:c r="J9" s="14" t="str"/>
      <x:c r="K9" s="14" t="str">
        <x:v>content/npcs/NPC-karin-chakwas.json</x:v>
      </x:c>
      <x:c r="L9" s="14" t="str">
        <x:v>public/assets/npc-atlas.png</x:v>
      </x:c>
      <x:c r="M9" s="14" t="str">
        <x:v>NPC_KEYS.chakwas</x:v>
      </x:c>
      <x:c r="N9" s="14" t="str">
        <x:v>Nom et rôle à recouper dans le jeu et son codex ; guide utilisé comme point de départ.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>
        <x:v>Atlas 4 × 2, ligne 1, colonne 4. Silhouette placée dans une scène par src/world.js. Costume, visage, dialogues et animations complets à vérifier ou produire.</x:v>
      </x:c>
    </x:row>
    <x:row r="10" ht="36" customHeight="1">
      <x:c r="A10" s="12" t="str">
        <x:v>NPC-greg-adams</x:v>
      </x:c>
      <x:c r="B10" s="7" t="str">
        <x:v>Greg Adams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Ingénieur du SR-1, explications de propulsion.</x:v>
      </x:c>
      <x:c r="I10" s="7" t="str">
        <x:v>Position cohérente dans le pont technique.</x:v>
      </x:c>
      <x:c r="J10" s="7" t="str"/>
      <x:c r="K10" s="7" t="str">
        <x:v>content/npcs/NPC-greg-adams.json</x:v>
      </x:c>
      <x:c r="L10" s="7" t="str"/>
      <x:c r="M10" s="7" t="str"/>
      <x:c r="N10" s="7" t="str">
        <x:v>Nom et rôle à recouper dans le jeu et son codex ; guide utilisé comme point de départ.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NPC-charles-pressly</x:v>
      </x:c>
      <x:c r="B11" s="14" t="str">
        <x:v>Charles Pressly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Navigateur du Normandy et interlocuteur récurrent.</x:v>
      </x:c>
      <x:c r="I11" s="14" t="str">
        <x:v>Dialogue évoluant avec la progression.</x:v>
      </x:c>
      <x:c r="J11" s="14" t="str"/>
      <x:c r="K11" s="14" t="str">
        <x:v>content/npcs/NPC-charles-pressly.json</x:v>
      </x:c>
      <x:c r="L11" s="14" t="str"/>
      <x:c r="M11" s="14" t="str"/>
      <x:c r="N11" s="14" t="str">
        <x:v>Nom et rôle à recouper dans le jeu et son codex ; guide utilisé comme point de départ.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NPC-officier-des-requisitions</x:v>
      </x:c>
      <x:c r="B12" s="7" t="str">
        <x:v>Officier des réquisitions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Service d’équipement dans la soute du SR-1.</x:v>
      </x:c>
      <x:c r="I12" s="7" t="str">
        <x:v>Stocks liés aux licences et à la progression.</x:v>
      </x:c>
      <x:c r="J12" s="7" t="str"/>
      <x:c r="K12" s="7" t="str">
        <x:v>content/npcs/NPC-officier-des-requisitions.json</x:v>
      </x:c>
      <x:c r="L12" s="7" t="str"/>
      <x:c r="M12" s="7" t="str"/>
      <x:c r="N12" s="7" t="str">
        <x:v>Nom et rôle à recouper dans le jeu et son codex ; guide utilisé comme point de départ.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NPC-richard-l-jenkins</x:v>
      </x:c>
      <x:c r="B13" s="14" t="str">
        <x:v>Richard L. Jenkins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Présentation avant la mission Eden Prime.</x:v>
      </x:c>
      <x:c r="I13" s="14" t="str">
        <x:v>Éviter doublon entre son identité PNJ et sa fiche équipier.</x:v>
      </x:c>
      <x:c r="J13" s="14" t="str"/>
      <x:c r="K13" s="14" t="str">
        <x:v>content/npcs/NPC-richard-l-jenkins.json</x:v>
      </x:c>
      <x:c r="L13" s="14" t="str"/>
      <x:c r="M13" s="14" t="str"/>
      <x:c r="N13" s="14" t="str">
        <x:v>Nom et rôle à recouper dans le jeu et son codex ; guide utilisé comme point de départ.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49" customHeight="1">
      <x:c r="A14" s="12" t="str">
        <x:v>NPC-nihlus-kryik</x:v>
      </x:c>
      <x:c r="B14" s="7" t="str">
        <x:v>Nihlus Kryik</x:v>
      </x:c>
      <x:c r="C14" s="10" t="str">
        <x:v>Défini</x:v>
      </x:c>
      <x:c r="D14" s="11" t="str">
        <x:v>Prototype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Spectre turien chargé d’observer Shepard.</x:v>
      </x:c>
      <x:c r="I14" s="7" t="str">
        <x:v>Ordre des scènes du prologue préservé.</x:v>
      </x:c>
      <x:c r="J14" s="7" t="str"/>
      <x:c r="K14" s="7" t="str">
        <x:v>content/npcs/NPC-nihlus-kryik.json</x:v>
      </x:c>
      <x:c r="L14" s="7" t="str">
        <x:v>public/assets/npc-atlas.png</x:v>
      </x:c>
      <x:c r="M14" s="7" t="str">
        <x:v>NPC_KEYS.nihlus</x:v>
      </x:c>
      <x:c r="N14" s="7" t="str">
        <x:v>Nom et rôle à recouper dans le jeu et son codex ; guide utilisé comme point de départ.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>
        <x:v>Atlas 4 × 2, ligne 2, colonne 1. Image présente dans l’atlas ; aucune présence de scène contrôlée. Costume, visage, dialogues et animations complets à vérifier ou produire.</x:v>
      </x:c>
    </x:row>
    <x:row r="15" ht="49" customHeight="1">
      <x:c r="A15" s="13" t="str">
        <x:v>NPC-donnel-udina</x:v>
      </x:c>
      <x:c r="B15" s="14" t="str">
        <x:v>Donnel Udina</x:v>
      </x:c>
      <x:c r="C15" s="10" t="str">
        <x:v>Prototype</x:v>
      </x:c>
      <x:c r="D15" s="11" t="str">
        <x:v>Prototype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Ambassadeur humain à la Citadelle.</x:v>
      </x:c>
      <x:c r="I15" s="14" t="str">
        <x:v>Bureau et réactions politiques dépendants du chapitre.</x:v>
      </x:c>
      <x:c r="J15" s="14" t="str"/>
      <x:c r="K15" s="14" t="str">
        <x:v>content/npcs/NPC-donnel-udina.json</x:v>
      </x:c>
      <x:c r="L15" s="14" t="str">
        <x:v>public/assets/npc-atlas.png</x:v>
      </x:c>
      <x:c r="M15" s="14" t="str">
        <x:v>NPC_KEYS.udina</x:v>
      </x:c>
      <x:c r="N15" s="14" t="str">
        <x:v>Nom et rôle à recouper dans le jeu et son codex ; guide utilisé comme point de départ.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>
        <x:v>Atlas 4 × 2, ligne 2, colonne 2. Silhouette placée dans une scène par src/world.js. Costume, visage, dialogues et animations complets à vérifier ou produire.</x:v>
      </x:c>
    </x:row>
    <x:row r="16" ht="36" customHeight="1">
      <x:c r="A16" s="12" t="str">
        <x:v>NPC-conseillere-asari</x:v>
      </x:c>
      <x:c r="B16" s="7" t="str">
        <x:v>Conseillère asari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Membre du Conseil avant les choix finaux.</x:v>
      </x:c>
      <x:c r="I16" s="7" t="str">
        <x:v>Répliques et rôle politique contrôlés sur référence ME1.</x:v>
      </x:c>
      <x:c r="J16" s="7" t="str"/>
      <x:c r="K16" s="7" t="str">
        <x:v>content/npcs/NPC-conseillere-asari.json</x:v>
      </x:c>
      <x:c r="L16" s="7" t="str"/>
      <x:c r="M16" s="7" t="str"/>
      <x:c r="N16" s="7" t="str">
        <x:v>Nom et rôle à recouper dans le jeu et son codex ; guide utilisé comme point de départ.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NPC-conseiller-turien</x:v>
      </x:c>
      <x:c r="B17" s="14" t="str">
        <x:v>Conseiller turien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Membre du Conseil et contradicteur politique.</x:v>
      </x:c>
      <x:c r="I17" s="14" t="str">
        <x:v>Portrait, voix originale de remplacement et gestuelle cohérents.</x:v>
      </x:c>
      <x:c r="J17" s="14" t="str"/>
      <x:c r="K17" s="14" t="str">
        <x:v>content/npcs/NPC-conseiller-turien.json</x:v>
      </x:c>
      <x:c r="L17" s="14" t="str"/>
      <x:c r="M17" s="14" t="str"/>
      <x:c r="N17" s="14" t="str">
        <x:v>Nom et rôle à recouper dans le jeu et son codex ; guide utilisé comme point de départ.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NPC-conseiller-galarien</x:v>
      </x:c>
      <x:c r="B18" s="7" t="str">
        <x:v>Conseiller galarien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Membre du Conseil.</x:v>
      </x:c>
      <x:c r="I18" s="7" t="str">
        <x:v>Identité visuelle distincte de son successeur éventuel.</x:v>
      </x:c>
      <x:c r="J18" s="7" t="str"/>
      <x:c r="K18" s="7" t="str">
        <x:v>content/npcs/NPC-conseiller-galarien.json</x:v>
      </x:c>
      <x:c r="L18" s="7" t="str"/>
      <x:c r="M18" s="7" t="str"/>
      <x:c r="N18" s="7" t="str">
        <x:v>Nom et rôle à recouper dans le jeu et son codex ; guide utilisé comme point de départ.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NPC-ambassadeur-elcor-calyn</x:v>
      </x:c>
      <x:c r="B19" s="14" t="str">
        <x:v>Ambassadeur elcor Calyn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Diplomatie elcor dans les ambassades.</x:v>
      </x:c>
      <x:c r="I19" s="14" t="str">
        <x:v>Intention émotionnelle explicitée dans les textes.</x:v>
      </x:c>
      <x:c r="J19" s="14" t="str"/>
      <x:c r="K19" s="14" t="str">
        <x:v>content/npcs/NPC-ambassadeur-elcor-calyn.json</x:v>
      </x:c>
      <x:c r="L19" s="14" t="str"/>
      <x:c r="M19" s="14" t="str"/>
      <x:c r="N19" s="14" t="str">
        <x:v>Nom et rôle à recouper dans le jeu et son codex ; guide utilisé comme point de départ.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NPC-ambassadeur-volus-din-korlack</x:v>
      </x:c>
      <x:c r="B20" s="7" t="str">
        <x:v>Ambassadeur volus Din Korlack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Interlocuteur politique volus.</x:v>
      </x:c>
      <x:c r="I20" s="7" t="str">
        <x:v>Respiration et combinaison intégrale visibles.</x:v>
      </x:c>
      <x:c r="J20" s="7" t="str"/>
      <x:c r="K20" s="7" t="str">
        <x:v>content/npcs/NPC-ambassadeur-volus-din-korlack.json</x:v>
      </x:c>
      <x:c r="L20" s="7" t="str"/>
      <x:c r="M20" s="7" t="str"/>
      <x:c r="N20" s="7" t="str">
        <x:v>Nom et rôle à recouper dans le jeu et son codex ; guide utilisé comme point de départ.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NPC-executor-pallin</x:v>
      </x:c>
      <x:c r="B21" s="14" t="str">
        <x:v>Executor Pallin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Responsable du SSC, débat sur la sécurité.</x:v>
      </x:c>
      <x:c r="I21" s="14" t="str">
        <x:v>Uniforme et protocole de la première Citadelle.</x:v>
      </x:c>
      <x:c r="J21" s="14" t="str"/>
      <x:c r="K21" s="14" t="str">
        <x:v>content/npcs/NPC-executor-pallin.json</x:v>
      </x:c>
      <x:c r="L21" s="14" t="str"/>
      <x:c r="M21" s="14" t="str"/>
      <x:c r="N21" s="14" t="str">
        <x:v>Nom et rôle à recouper dans le jeu et son codex ; guide utilisé comme point de départ.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NPC-harkin</x:v>
      </x:c>
      <x:c r="B22" s="7" t="str">
        <x:v>Harkin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Ancien agent du SSC rencontré au bar.</x:v>
      </x:c>
      <x:c r="I22" s="7" t="str">
        <x:v>Informations nécessaires à la piste Garrus.</x:v>
      </x:c>
      <x:c r="J22" s="7" t="str"/>
      <x:c r="K22" s="7" t="str">
        <x:v>content/npcs/NPC-harkin.json</x:v>
      </x:c>
      <x:c r="L22" s="7" t="str"/>
      <x:c r="M22" s="7" t="str"/>
      <x:c r="N22" s="7" t="str">
        <x:v>Nom et rôle à recouper dans le jeu et son codex ; guide utilisé comme point de départ.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NPC-barla-von</x:v>
      </x:c>
      <x:c r="B23" s="14" t="str">
        <x:v>Barla Von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Courtier volus et contact du Courtier de l’Ombre.</x:v>
      </x:c>
      <x:c r="I23" s="14" t="str">
        <x:v>Échange situé dans le quartier prévu.</x:v>
      </x:c>
      <x:c r="J23" s="14" t="str"/>
      <x:c r="K23" s="14" t="str">
        <x:v>content/npcs/NPC-barla-von.json</x:v>
      </x:c>
      <x:c r="L23" s="14" t="str"/>
      <x:c r="M23" s="14" t="str"/>
      <x:c r="N23" s="14" t="str">
        <x:v>Nom et rôle à recouper dans le jeu et son codex ; guide utilisé comme point de départ.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NPC-fist</x:v>
      </x:c>
      <x:c r="B24" s="7" t="str">
        <x:v>Fist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Propriétaire de Chora’s Den lié à l’enquête.</x:v>
      </x:c>
      <x:c r="I24" s="7" t="str">
        <x:v>État vivant ou mort persistant selon l’équipe et les choix.</x:v>
      </x:c>
      <x:c r="J24" s="7" t="str"/>
      <x:c r="K24" s="7" t="str">
        <x:v>content/npcs/NPC-fist.json</x:v>
      </x:c>
      <x:c r="L24" s="7" t="str"/>
      <x:c r="M24" s="7" t="str"/>
      <x:c r="N24" s="7" t="str">
        <x:v>Nom et rôle à recouper dans le jeu et son codex ; guide utilisé comme point de départ.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NPC-dr-chloe-michel</x:v>
      </x:c>
      <x:c r="B25" s="14" t="str">
        <x:v>Dr Chloe Michel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Médecin de la clinique des Secteurs.</x:v>
      </x:c>
      <x:c r="I25" s="14" t="str">
        <x:v>Service et quête de chantage séparés.</x:v>
      </x:c>
      <x:c r="J25" s="14" t="str"/>
      <x:c r="K25" s="14" t="str">
        <x:v>content/npcs/NPC-dr-chloe-michel.json</x:v>
      </x:c>
      <x:c r="L25" s="14" t="str"/>
      <x:c r="M25" s="14" t="str"/>
      <x:c r="N25" s="14" t="str">
        <x:v>Nom et rôle à recouper dans le jeu et son codex ; guide utilisé comme point de départ.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NPC-conrad-verner</x:v>
      </x:c>
      <x:c r="B26" s="7" t="str">
        <x:v>Conrad Verner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Admirateur récurrent de Shepard.</x:v>
      </x:c>
      <x:c r="I26" s="7" t="str">
        <x:v>Progression de ses rencontres sans répétition prématurée.</x:v>
      </x:c>
      <x:c r="J26" s="7" t="str"/>
      <x:c r="K26" s="7" t="str">
        <x:v>content/npcs/NPC-conrad-verner.json</x:v>
      </x:c>
      <x:c r="L26" s="7" t="str"/>
      <x:c r="M26" s="7" t="str"/>
      <x:c r="N26" s="7" t="str">
        <x:v>Nom et rôle à recouper dans le jeu et son codex ; guide utilisé comme point de départ.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49" customHeight="1">
      <x:c r="A27" s="13" t="str">
        <x:v>NPC-emily-wong</x:v>
      </x:c>
      <x:c r="B27" s="14" t="str">
        <x:v>Emily Wong</x:v>
      </x:c>
      <x:c r="C27" s="10" t="str">
        <x:v>Défini</x:v>
      </x:c>
      <x:c r="D27" s="11" t="str">
        <x:v>Prototype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Journaliste proposant une enquête.</x:v>
      </x:c>
      <x:c r="I27" s="14" t="str">
        <x:v>Remise de données liée aux missions.</x:v>
      </x:c>
      <x:c r="J27" s="14" t="str"/>
      <x:c r="K27" s="14" t="str">
        <x:v>content/npcs/NPC-emily-wong.json</x:v>
      </x:c>
      <x:c r="L27" s="14" t="str">
        <x:v>public/assets/npc-atlas.png</x:v>
      </x:c>
      <x:c r="M27" s="14" t="str">
        <x:v>NPC_KEYS.emily</x:v>
      </x:c>
      <x:c r="N27" s="14" t="str">
        <x:v>Nom et rôle à recouper dans le jeu et son codex ; guide utilisé comme point de départ.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>
        <x:v>Atlas 4 × 2, ligne 2, colonne 4. Image présente dans l’atlas ; aucune présence de scène contrôlée. Costume, visage, dialogues et animations complets à vérifier ou produire.</x:v>
      </x:c>
    </x:row>
    <x:row r="28" ht="36" customHeight="1">
      <x:c r="A28" s="12" t="str">
        <x:v>NPC-khalisah-al-jilani</x:v>
      </x:c>
      <x:c r="B28" s="7" t="str">
        <x:v>Khalisah al-Jilani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Journaliste réalisant une interview.</x:v>
      </x:c>
      <x:c r="I28" s="7" t="str">
        <x:v>Chaque réponse produit la réaction prévue.</x:v>
      </x:c>
      <x:c r="J28" s="7" t="str"/>
      <x:c r="K28" s="7" t="str">
        <x:v>content/npcs/NPC-khalisah-al-jilani.json</x:v>
      </x:c>
      <x:c r="L28" s="7" t="str"/>
      <x:c r="M28" s="7" t="str"/>
      <x:c r="N28" s="7" t="str">
        <x:v>Nom et rôle à recouper dans le jeu et son codex ; guide utilisé comme point de départ.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NPC-sha-ira</x:v>
      </x:c>
      <x:c r="B29" s="14" t="str">
        <x:v>Sha'ira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Consort de la Citadelle.</x:v>
      </x:c>
      <x:c r="I29" s="14" t="str">
        <x:v>Quête et récompense relationnelle vérifiées.</x:v>
      </x:c>
      <x:c r="J29" s="14" t="str"/>
      <x:c r="K29" s="14" t="str">
        <x:v>content/npcs/NPC-sha-ira.json</x:v>
      </x:c>
      <x:c r="L29" s="14" t="str"/>
      <x:c r="M29" s="14" t="str"/>
      <x:c r="N29" s="14" t="str">
        <x:v>Nom et rôle à recouper dans le jeu et son codex ; guide utilisé comme point de départ.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NPC-septimus-oraka</x:v>
      </x:c>
      <x:c r="B30" s="7" t="str">
        <x:v>Septimus Oraka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Général turien en conflit avec Sha’ira.</x:v>
      </x:c>
      <x:c r="I30" s="7" t="str">
        <x:v>Résolution diplomatique ou coercitive suivie.</x:v>
      </x:c>
      <x:c r="J30" s="7" t="str"/>
      <x:c r="K30" s="7" t="str">
        <x:v>content/npcs/NPC-septimus-oraka.json</x:v>
      </x:c>
      <x:c r="L30" s="7" t="str"/>
      <x:c r="M30" s="7" t="str"/>
      <x:c r="N30" s="7" t="str">
        <x:v>Nom et rôle à recouper dans le jeu et son codex ; guide utilisé comme point de départ.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NPC-xeltan</x:v>
      </x:c>
      <x:c r="B31" s="14" t="str">
        <x:v>Xeltan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Diplomate elcor concerné par la rumeur.</x:v>
      </x:c>
      <x:c r="I31" s="14" t="str">
        <x:v>Dialogue débloqué après découverte pertinente.</x:v>
      </x:c>
      <x:c r="J31" s="14" t="str"/>
      <x:c r="K31" s="14" t="str">
        <x:v>content/npcs/NPC-xeltan.json</x:v>
      </x:c>
      <x:c r="L31" s="14" t="str"/>
      <x:c r="M31" s="14" t="str"/>
      <x:c r="N31" s="14" t="str">
        <x:v>Nom et rôle à recouper dans le jeu et son codex ; guide utilisé comme point de départ.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NPC-doran</x:v>
      </x:c>
      <x:c r="B32" s="7" t="str">
        <x:v>Doran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Patron du Flux.</x:v>
      </x:c>
      <x:c r="I32" s="7" t="str">
        <x:v>Accueil, contexte et mini-jeu à documenter.</x:v>
      </x:c>
      <x:c r="J32" s="7" t="str"/>
      <x:c r="K32" s="7" t="str">
        <x:v>content/npcs/NPC-doran.json</x:v>
      </x:c>
      <x:c r="L32" s="7" t="str"/>
      <x:c r="M32" s="7" t="str"/>
      <x:c r="N32" s="7" t="str">
        <x:v>Nom et rôle à recouper dans le jeu et son codex ; guide utilisé comme point de départ.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NPC-rita</x:v>
      </x:c>
      <x:c r="B33" s="14" t="str">
        <x:v>Rita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Sœur de Jenna, déclenche une enquête.</x:v>
      </x:c>
      <x:c r="I33" s="14" t="str">
        <x:v>Étapes du journal liées à la sécurité de Jenna.</x:v>
      </x:c>
      <x:c r="J33" s="14" t="str"/>
      <x:c r="K33" s="14" t="str">
        <x:v>content/npcs/NPC-rita.json</x:v>
      </x:c>
      <x:c r="L33" s="14" t="str"/>
      <x:c r="M33" s="14" t="str"/>
      <x:c r="N33" s="14" t="str">
        <x:v>Nom et rôle à recouper dans le jeu et son codex ; guide utilisé comme point de départ.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NPC-jenna</x:v>
      </x:c>
      <x:c r="B34" s="7" t="str">
        <x:v>Jenna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Employée liée à une opération du SSC.</x:v>
      </x:c>
      <x:c r="I34" s="7" t="str">
        <x:v>Présence changée après résolution.</x:v>
      </x:c>
      <x:c r="J34" s="7" t="str"/>
      <x:c r="K34" s="7" t="str">
        <x:v>content/npcs/NPC-jenna.json</x:v>
      </x:c>
      <x:c r="L34" s="7" t="str"/>
      <x:c r="M34" s="7" t="str"/>
      <x:c r="N34" s="7" t="str">
        <x:v>Nom et rôle à recouper dans le jeu et son codex ; guide utilisé comme point de départ.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NPC-chellik</x:v>
      </x:c>
      <x:c r="B35" s="14" t="str">
        <x:v>Chellik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Agent turien du SSC.</x:v>
      </x:c>
      <x:c r="I35" s="14" t="str">
        <x:v>Conditions du marché et résultat conservés.</x:v>
      </x:c>
      <x:c r="J35" s="14" t="str"/>
      <x:c r="K35" s="14" t="str">
        <x:v>content/npcs/NPC-chellik.json</x:v>
      </x:c>
      <x:c r="L35" s="14" t="str"/>
      <x:c r="M35" s="14" t="str"/>
      <x:c r="N35" s="14" t="str">
        <x:v>Nom et rôle à recouper dans le jeu et son codex ; guide utilisé comme point de départ.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NPC-jax</x:v>
      </x:c>
      <x:c r="B36" s="7" t="str">
        <x:v>Jax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Contact du trafic d’armes.</x:v>
      </x:c>
      <x:c r="I36" s="7" t="str">
        <x:v>Marché clandestin traité comme rencontre conditionnelle.</x:v>
      </x:c>
      <x:c r="J36" s="7" t="str"/>
      <x:c r="K36" s="7" t="str">
        <x:v>content/npcs/NPC-jax.json</x:v>
      </x:c>
      <x:c r="L36" s="7" t="str"/>
      <x:c r="M36" s="7" t="str"/>
      <x:c r="N36" s="7" t="str">
        <x:v>Nom et rôle à recouper dans le jeu et son codex ; guide utilisé comme point de départ.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NPC-chorban</x:v>
      </x:c>
      <x:c r="B37" s="14" t="str">
        <x:v>Chorban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Chercheur sur les Veilleurs.</x:v>
      </x:c>
      <x:c r="I37" s="14" t="str">
        <x:v>Journal des scans sans rendre les Veilleurs hostiles.</x:v>
      </x:c>
      <x:c r="J37" s="14" t="str"/>
      <x:c r="K37" s="14" t="str">
        <x:v>content/npcs/NPC-chorban.json</x:v>
      </x:c>
      <x:c r="L37" s="14" t="str"/>
      <x:c r="M37" s="14" t="str"/>
      <x:c r="N37" s="14" t="str">
        <x:v>Nom et rôle à recouper dans le jeu et son codex ; guide utilisé comme point de départ.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NPC-jahleed</x:v>
      </x:c>
      <x:c r="B38" s="7" t="str">
        <x:v>Jahleed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Volus impliqué dans l’étude des Veilleurs.</x:v>
      </x:c>
      <x:c r="I38" s="7" t="str">
        <x:v>Branches de réconciliation et remise des données.</x:v>
      </x:c>
      <x:c r="J38" s="7" t="str"/>
      <x:c r="K38" s="7" t="str">
        <x:v>content/npcs/NPC-jahleed.json</x:v>
      </x:c>
      <x:c r="L38" s="7" t="str"/>
      <x:c r="M38" s="7" t="str"/>
      <x:c r="N38" s="7" t="str">
        <x:v>Nom et rôle à recouper dans le jeu et son codex ; guide utilisé comme point de départ.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  <x:row r="39" ht="36" customHeight="1">
      <x:c r="A39" s="13" t="str">
        <x:v>NPC-schells</x:v>
      </x:c>
      <x:c r="B39" s="14" t="str">
        <x:v>Schells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Galarien étudiant une machine de jeu.</x:v>
      </x:c>
      <x:c r="I39" s="14" t="str">
        <x:v>Choix de coopération ou dénonciation mémorisé.</x:v>
      </x:c>
      <x:c r="J39" s="14" t="str"/>
      <x:c r="K39" s="14" t="str">
        <x:v>content/npcs/NPC-schells.json</x:v>
      </x:c>
      <x:c r="L39" s="14" t="str"/>
      <x:c r="M39" s="14" t="str"/>
      <x:c r="N39" s="14" t="str">
        <x:v>Nom et rôle à recouper dans le jeu et son codex ; guide utilisé comme point de départ.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/>
    </x:row>
    <x:row r="40" ht="36" customHeight="1">
      <x:c r="A40" s="12" t="str">
        <x:v>NPC-samesh-bhatia</x:v>
      </x:c>
      <x:c r="B40" s="7" t="str">
        <x:v>Samesh Bhatia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Demande la restitution du corps de son épouse.</x:v>
      </x:c>
      <x:c r="I40" s="7" t="str">
        <x:v>Sujet traité sans récompense comique.</x:v>
      </x:c>
      <x:c r="J40" s="7" t="str"/>
      <x:c r="K40" s="7" t="str">
        <x:v>content/npcs/NPC-samesh-bhatia.json</x:v>
      </x:c>
      <x:c r="L40" s="7" t="str"/>
      <x:c r="M40" s="7" t="str"/>
      <x:c r="N40" s="7" t="str">
        <x:v>Nom et rôle à recouper dans le jeu et son codex ; guide utilisé comme point de départ.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/>
    </x:row>
    <x:row r="41" ht="36" customHeight="1">
      <x:c r="A41" s="13" t="str">
        <x:v>NPC-bosker</x:v>
      </x:c>
      <x:c r="B41" s="14" t="str">
        <x:v>Bosker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Responsable administratif de la restitution.</x:v>
      </x:c>
      <x:c r="I41" s="14" t="str">
        <x:v>Conditions de persuasion traçables.</x:v>
      </x:c>
      <x:c r="J41" s="14" t="str"/>
      <x:c r="K41" s="14" t="str">
        <x:v>content/npcs/NPC-bosker.json</x:v>
      </x:c>
      <x:c r="L41" s="14" t="str"/>
      <x:c r="M41" s="14" t="str"/>
      <x:c r="N41" s="14" t="str">
        <x:v>Nom et rôle à recouper dans le jeu et son codex ; guide utilisé comme point de départ.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  <x:row r="42" ht="36" customHeight="1">
      <x:c r="A42" s="12" t="str">
        <x:v>NPC-admiral-kahoku</x:v>
      </x:c>
      <x:c r="B42" s="7" t="str">
        <x:v>Admiral Kahoku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Officier de l’Alliance inquiet pour ses hommes.</x:v>
      </x:c>
      <x:c r="I42" s="7" t="str">
        <x:v>Enchaînement avec Cerberus respecté.</x:v>
      </x:c>
      <x:c r="J42" s="7" t="str"/>
      <x:c r="K42" s="7" t="str">
        <x:v>content/npcs/NPC-admiral-kahoku.json</x:v>
      </x:c>
      <x:c r="L42" s="7" t="str"/>
      <x:c r="M42" s="7" t="str"/>
      <x:c r="N42" s="7" t="str">
        <x:v>Nom et rôle à recouper dans le jeu et son codex ; guide utilisé comme point de départ.</x:v>
      </x:c>
      <x:c r="O42" s="7" t="str">
        <x:v>https://na.llnet.bioware.cdn.ea.com/u/f/eagames/bioware/masseffect/prima/prima_guide_me_pc.pdf</x:v>
      </x:c>
      <x:c r="P42" s="7" t="str">
        <x:v>Production ME1</x:v>
      </x:c>
      <x:c r="Q42" s="7" t="str"/>
    </x:row>
    <x:row r="43" ht="36" customHeight="1">
      <x:c r="A43" s="13" t="str">
        <x:v>NPC-helena-blake</x:v>
      </x:c>
      <x:c r="B43" s="14" t="str">
        <x:v>Helena Blake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Référence à vérifier</x:v>
      </x:c>
      <x:c r="H43" s="14" t="str">
        <x:v>Commanditaire de missions criminelles.</x:v>
      </x:c>
      <x:c r="I43" s="14" t="str">
        <x:v>Motivation et confrontation finale vérifiées.</x:v>
      </x:c>
      <x:c r="J43" s="14" t="str"/>
      <x:c r="K43" s="14" t="str">
        <x:v>content/npcs/NPC-helena-blake.json</x:v>
      </x:c>
      <x:c r="L43" s="14" t="str"/>
      <x:c r="M43" s="14" t="str"/>
      <x:c r="N43" s="14" t="str">
        <x:v>Nom et rôle à recouper dans le jeu et son codex ; guide utilisé comme point de départ.</x:v>
      </x:c>
      <x:c r="O43" s="14" t="str">
        <x:v>https://na.llnet.bioware.cdn.ea.com/u/f/eagames/bioware/masseffect/prima/prima_guide_me_pc.pdf</x:v>
      </x:c>
      <x:c r="P43" s="14" t="str">
        <x:v>Production ME1</x:v>
      </x:c>
      <x:c r="Q43" s="14" t="str"/>
    </x:row>
    <x:row r="44" ht="36" customHeight="1">
      <x:c r="A44" s="12" t="str">
        <x:v>NPC-nassana-dantius</x:v>
      </x:c>
      <x:c r="B44" s="7" t="str">
        <x:v>Nassana Dantius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Référence à vérifier</x:v>
      </x:c>
      <x:c r="H44" s="7" t="str">
        <x:v>Diplomate asari donnant une mission.</x:v>
      </x:c>
      <x:c r="I44" s="7" t="str">
        <x:v>Mensonge et découverte de la situation pris en compte.</x:v>
      </x:c>
      <x:c r="J44" s="7" t="str"/>
      <x:c r="K44" s="7" t="str">
        <x:v>content/npcs/NPC-nassana-dantius.json</x:v>
      </x:c>
      <x:c r="L44" s="7" t="str"/>
      <x:c r="M44" s="7" t="str"/>
      <x:c r="N44" s="7" t="str">
        <x:v>Nom et rôle à recouper dans le jeu et son codex ; guide utilisé comme point de départ.</x:v>
      </x:c>
      <x:c r="O44" s="7" t="str">
        <x:v>https://na.llnet.bioware.cdn.ea.com/u/f/eagames/bioware/masseffect/prima/prima_guide_me_pc.pdf</x:v>
      </x:c>
      <x:c r="P44" s="7" t="str">
        <x:v>Production ME1</x:v>
      </x:c>
      <x:c r="Q44" s="7" t="str"/>
    </x:row>
    <x:row r="45" ht="36" customHeight="1">
      <x:c r="A45" s="13" t="str">
        <x:v>NPC-elanos-haliat</x:v>
      </x:c>
      <x:c r="B45" s="14" t="str">
        <x:v>Elanos Haliat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Référence à vérifier</x:v>
      </x:c>
      <x:c r="H45" s="14" t="str">
        <x:v>Adversaire lié à un piège contre Shepard.</x:v>
      </x:c>
      <x:c r="I45" s="14" t="str">
        <x:v>Apparence et lien au profil héros de guerre à revérifier.</x:v>
      </x:c>
      <x:c r="J45" s="14" t="str"/>
      <x:c r="K45" s="14" t="str">
        <x:v>content/npcs/NPC-elanos-haliat.json</x:v>
      </x:c>
      <x:c r="L45" s="14" t="str"/>
      <x:c r="M45" s="14" t="str"/>
      <x:c r="N45" s="14" t="str">
        <x:v>Nom et rôle à recouper dans le jeu et son codex ; guide utilisé comme point de départ.</x:v>
      </x:c>
      <x:c r="O45" s="14" t="str">
        <x:v>https://na.llnet.bioware.cdn.ea.com/u/f/eagames/bioware/masseffect/prima/prima_guide_me_pc.pdf</x:v>
      </x:c>
      <x:c r="P45" s="14" t="str">
        <x:v>Production ME1</x:v>
      </x:c>
      <x:c r="Q45" s="14" t="str"/>
    </x:row>
    <x:row r="46" ht="36" customHeight="1">
      <x:c r="A46" s="12" t="str">
        <x:v>NPC-shiala</x:v>
      </x:c>
      <x:c r="B46" s="7" t="str">
        <x:v>Shiala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Référence à vérifier</x:v>
      </x:c>
      <x:c r="H46" s="7" t="str">
        <x:v>Asari impliquée dans l’histoire de Feros.</x:v>
      </x:c>
      <x:c r="I46" s="7" t="str">
        <x:v>État après le Thorian et choix de Shepard conservés.</x:v>
      </x:c>
      <x:c r="J46" s="7" t="str"/>
      <x:c r="K46" s="7" t="str">
        <x:v>content/npcs/NPC-shiala.json</x:v>
      </x:c>
      <x:c r="L46" s="7" t="str"/>
      <x:c r="M46" s="7" t="str"/>
      <x:c r="N46" s="7" t="str">
        <x:v>Nom et rôle à recouper dans le jeu et son codex ; guide utilisé comme point de départ.</x:v>
      </x:c>
      <x:c r="O46" s="7" t="str">
        <x:v>https://na.llnet.bioware.cdn.ea.com/u/f/eagames/bioware/masseffect/prima/prima_guide_me_pc.pdf</x:v>
      </x:c>
      <x:c r="P46" s="7" t="str">
        <x:v>Production ME1</x:v>
      </x:c>
      <x:c r="Q46" s="7" t="str"/>
    </x:row>
    <x:row r="47" ht="36" customHeight="1">
      <x:c r="A47" s="13" t="str">
        <x:v>NPC-fai-dan</x:v>
      </x:c>
      <x:c r="B47" s="14" t="str">
        <x:v>Fai Dan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Référence à vérifier</x:v>
      </x:c>
      <x:c r="H47" s="14" t="str">
        <x:v>Responsable de Zhu’s Hope.</x:v>
      </x:c>
      <x:c r="I47" s="14" t="str">
        <x:v>Présence et destin liés à l’état de la colonie.</x:v>
      </x:c>
      <x:c r="J47" s="14" t="str"/>
      <x:c r="K47" s="14" t="str">
        <x:v>content/npcs/NPC-fai-dan.json</x:v>
      </x:c>
      <x:c r="L47" s="14" t="str"/>
      <x:c r="M47" s="14" t="str"/>
      <x:c r="N47" s="14" t="str">
        <x:v>Nom et rôle à recouper dans le jeu et son codex ; guide utilisé comme point de départ.</x:v>
      </x:c>
      <x:c r="O47" s="14" t="str">
        <x:v>https://na.llnet.bioware.cdn.ea.com/u/f/eagames/bioware/masseffect/prima/prima_guide_me_pc.pdf</x:v>
      </x:c>
      <x:c r="P47" s="14" t="str">
        <x:v>Production ME1</x:v>
      </x:c>
      <x:c r="Q47" s="14" t="str"/>
    </x:row>
    <x:row r="48" ht="36" customHeight="1">
      <x:c r="A48" s="12" t="str">
        <x:v>NPC-arcelia-silva-martinez</x:v>
      </x:c>
      <x:c r="B48" s="7" t="str">
        <x:v>Arcelia Silva Martinez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Référence à vérifier</x:v>
      </x:c>
      <x:c r="H48" s="7" t="str">
        <x:v>Habitante de Zhu’s Hope.</x:v>
      </x:c>
      <x:c r="I48" s="7" t="str">
        <x:v>Réactions cohérentes avec la situation de la colonie.</x:v>
      </x:c>
      <x:c r="J48" s="7" t="str"/>
      <x:c r="K48" s="7" t="str">
        <x:v>content/npcs/NPC-arcelia-silva-martinez.json</x:v>
      </x:c>
      <x:c r="L48" s="7" t="str"/>
      <x:c r="M48" s="7" t="str"/>
      <x:c r="N48" s="7" t="str">
        <x:v>Nom et rôle à recouper dans le jeu et son codex ; guide utilisé comme point de départ.</x:v>
      </x:c>
      <x:c r="O48" s="7" t="str">
        <x:v>https://na.llnet.bioware.cdn.ea.com/u/f/eagames/bioware/masseffect/prima/prima_guide_me_pc.pdf</x:v>
      </x:c>
      <x:c r="P48" s="7" t="str">
        <x:v>Production ME1</x:v>
      </x:c>
      <x:c r="Q48" s="7" t="str"/>
    </x:row>
    <x:row r="49" ht="36" customHeight="1">
      <x:c r="A49" s="13" t="str">
        <x:v>NPC-macha-doyle</x:v>
      </x:c>
      <x:c r="B49" s="14" t="str">
        <x:v>Macha Doyle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Référence à vérifier</x:v>
      </x:c>
      <x:c r="H49" s="14" t="str">
        <x:v>Habitante demandant le rétablissement de l’eau.</x:v>
      </x:c>
      <x:c r="I49" s="14" t="str">
        <x:v>Validation après activation de toutes les vannes.</x:v>
      </x:c>
      <x:c r="J49" s="14" t="str"/>
      <x:c r="K49" s="14" t="str">
        <x:v>content/npcs/NPC-macha-doyle.json</x:v>
      </x:c>
      <x:c r="L49" s="14" t="str"/>
      <x:c r="M49" s="14" t="str"/>
      <x:c r="N49" s="14" t="str">
        <x:v>Nom et rôle à recouper dans le jeu et son codex ; guide utilisé comme point de départ.</x:v>
      </x:c>
      <x:c r="O49" s="14" t="str">
        <x:v>https://na.llnet.bioware.cdn.ea.com/u/f/eagames/bioware/masseffect/prima/prima_guide_me_pc.pdf</x:v>
      </x:c>
      <x:c r="P49" s="14" t="str">
        <x:v>Production ME1</x:v>
      </x:c>
      <x:c r="Q49" s="14" t="str"/>
    </x:row>
    <x:row r="50" ht="36" customHeight="1">
      <x:c r="A50" s="12" t="str">
        <x:v>NPC-davin-reynolds</x:v>
      </x:c>
      <x:c r="B50" s="7" t="str">
        <x:v>Davin Reynolds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Référence à vérifier</x:v>
      </x:c>
      <x:c r="H50" s="7" t="str">
        <x:v>Habitant chargé du ravitaillement.</x:v>
      </x:c>
      <x:c r="I50" s="7" t="str">
        <x:v>Récompense conditionnée à la résolution des varrens.</x:v>
      </x:c>
      <x:c r="J50" s="7" t="str"/>
      <x:c r="K50" s="7" t="str">
        <x:v>content/npcs/NPC-davin-reynolds.json</x:v>
      </x:c>
      <x:c r="L50" s="7" t="str"/>
      <x:c r="M50" s="7" t="str"/>
      <x:c r="N50" s="7" t="str">
        <x:v>Nom et rôle à recouper dans le jeu et son codex ; guide utilisé comme point de départ.</x:v>
      </x:c>
      <x:c r="O50" s="7" t="str">
        <x:v>https://na.llnet.bioware.cdn.ea.com/u/f/eagames/bioware/masseffect/prima/prima_guide_me_pc.pdf</x:v>
      </x:c>
      <x:c r="P50" s="7" t="str">
        <x:v>Production ME1</x:v>
      </x:c>
      <x:c r="Q50" s="7" t="str"/>
    </x:row>
    <x:row r="51" ht="36" customHeight="1">
      <x:c r="A51" s="13" t="str">
        <x:v>NPC-may-o-connell</x:v>
      </x:c>
      <x:c r="B51" s="14" t="str">
        <x:v>May O'Connell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Référence à vérifier</x:v>
      </x:c>
      <x:c r="H51" s="14" t="str">
        <x:v>Habitante liée à l’alimentation électrique.</x:v>
      </x:c>
      <x:c r="I51" s="14" t="str">
        <x:v>Besoin de cellules énergétiques affiché.</x:v>
      </x:c>
      <x:c r="J51" s="14" t="str"/>
      <x:c r="K51" s="14" t="str">
        <x:v>content/npcs/NPC-may-o-connell.json</x:v>
      </x:c>
      <x:c r="L51" s="14" t="str"/>
      <x:c r="M51" s="14" t="str"/>
      <x:c r="N51" s="14" t="str">
        <x:v>Nom et rôle à recouper dans le jeu et son codex ; guide utilisé comme point de départ.</x:v>
      </x:c>
      <x:c r="O51" s="14" t="str">
        <x:v>https://na.llnet.bioware.cdn.ea.com/u/f/eagames/bioware/masseffect/prima/prima_guide_me_pc.pdf</x:v>
      </x:c>
      <x:c r="P51" s="14" t="str">
        <x:v>Production ME1</x:v>
      </x:c>
      <x:c r="Q51" s="14" t="str"/>
    </x:row>
    <x:row r="52" ht="36" customHeight="1">
      <x:c r="A52" s="12" t="str">
        <x:v>NPC-lizbeth-baynham</x:v>
      </x:c>
      <x:c r="B52" s="7" t="str">
        <x:v>Lizbeth Baynham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Référence à vérifier</x:v>
      </x:c>
      <x:c r="H52" s="7" t="str">
        <x:v>Employée d’ExoGeni rencontrée sur Feros.</x:v>
      </x:c>
      <x:c r="I52" s="7" t="str">
        <x:v>Retour auprès de sa mère pris en compte.</x:v>
      </x:c>
      <x:c r="J52" s="7" t="str"/>
      <x:c r="K52" s="7" t="str">
        <x:v>content/npcs/NPC-lizbeth-baynham.json</x:v>
      </x:c>
      <x:c r="L52" s="7" t="str"/>
      <x:c r="M52" s="7" t="str"/>
      <x:c r="N52" s="7" t="str">
        <x:v>Nom et rôle à recouper dans le jeu et son codex ; guide utilisé comme point de départ.</x:v>
      </x:c>
      <x:c r="O52" s="7" t="str">
        <x:v>https://na.llnet.bioware.cdn.ea.com/u/f/eagames/bioware/masseffect/prima/prima_guide_me_pc.pdf</x:v>
      </x:c>
      <x:c r="P52" s="7" t="str">
        <x:v>Production ME1</x:v>
      </x:c>
      <x:c r="Q52" s="7" t="str"/>
    </x:row>
    <x:row r="53" ht="36" customHeight="1">
      <x:c r="A53" s="13" t="str">
        <x:v>NPC-juliana-baynham</x:v>
      </x:c>
      <x:c r="B53" s="14" t="str">
        <x:v>Juliana Baynham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Référence à vérifier</x:v>
      </x:c>
      <x:c r="H53" s="14" t="str">
        <x:v>Mère de Lizbeth, interlocutrice au camp.</x:v>
      </x:c>
      <x:c r="I53" s="14" t="str">
        <x:v>État du dialogue dépendant du sauvetage.</x:v>
      </x:c>
      <x:c r="J53" s="14" t="str"/>
      <x:c r="K53" s="14" t="str">
        <x:v>content/npcs/NPC-juliana-baynham.json</x:v>
      </x:c>
      <x:c r="L53" s="14" t="str"/>
      <x:c r="M53" s="14" t="str"/>
      <x:c r="N53" s="14" t="str">
        <x:v>Nom et rôle à recouper dans le jeu et son codex ; guide utilisé comme point de départ.</x:v>
      </x:c>
      <x:c r="O53" s="14" t="str">
        <x:v>https://na.llnet.bioware.cdn.ea.com/u/f/eagames/bioware/masseffect/prima/prima_guide_me_pc.pdf</x:v>
      </x:c>
      <x:c r="P53" s="14" t="str">
        <x:v>Production ME1</x:v>
      </x:c>
      <x:c r="Q53" s="14" t="str"/>
    </x:row>
    <x:row r="54" ht="36" customHeight="1">
      <x:c r="A54" s="12" t="str">
        <x:v>NPC-ethan-jeong</x:v>
      </x:c>
      <x:c r="B54" s="7" t="str">
        <x:v>Ethan Jeong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Référence à vérifier</x:v>
      </x:c>
      <x:c r="H54" s="7" t="str">
        <x:v>Représentant d’ExoGeni.</x:v>
      </x:c>
      <x:c r="I54" s="7" t="str">
        <x:v>Persuasion et recours à la force gérés séparément.</x:v>
      </x:c>
      <x:c r="J54" s="7" t="str"/>
      <x:c r="K54" s="7" t="str">
        <x:v>content/npcs/NPC-ethan-jeong.json</x:v>
      </x:c>
      <x:c r="L54" s="7" t="str"/>
      <x:c r="M54" s="7" t="str"/>
      <x:c r="N54" s="7" t="str">
        <x:v>Nom et rôle à recouper dans le jeu et son codex ; guide utilisé comme point de départ.</x:v>
      </x:c>
      <x:c r="O54" s="7" t="str">
        <x:v>https://na.llnet.bioware.cdn.ea.com/u/f/eagames/bioware/masseffect/prima/prima_guide_me_pc.pdf</x:v>
      </x:c>
      <x:c r="P54" s="7" t="str">
        <x:v>Production ME1</x:v>
      </x:c>
      <x:c r="Q54" s="7" t="str"/>
    </x:row>
    <x:row r="55" ht="36" customHeight="1">
      <x:c r="A55" s="13" t="str">
        <x:v>NPC-gianna-parasini</x:v>
      </x:c>
      <x:c r="B55" s="14" t="str">
        <x:v>Gianna Parasini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Référence à vérifier</x:v>
      </x:c>
      <x:c r="H55" s="14" t="str">
        <x:v>Assistante et enquêtrice sur Noveria.</x:v>
      </x:c>
      <x:c r="I55" s="14" t="str">
        <x:v>Révélation de sa fonction au bon moment.</x:v>
      </x:c>
      <x:c r="J55" s="14" t="str"/>
      <x:c r="K55" s="14" t="str">
        <x:v>content/npcs/NPC-gianna-parasini.json</x:v>
      </x:c>
      <x:c r="L55" s="14" t="str"/>
      <x:c r="M55" s="14" t="str"/>
      <x:c r="N55" s="14" t="str">
        <x:v>Nom et rôle à recouper dans le jeu et son codex ; guide utilisé comme point de départ.</x:v>
      </x:c>
      <x:c r="O55" s="14" t="str">
        <x:v>https://na.llnet.bioware.cdn.ea.com/u/f/eagames/bioware/masseffect/prima/prima_guide_me_pc.pdf</x:v>
      </x:c>
      <x:c r="P55" s="14" t="str">
        <x:v>Production ME1</x:v>
      </x:c>
      <x:c r="Q55" s="14" t="str"/>
    </x:row>
    <x:row r="56" ht="36" customHeight="1">
      <x:c r="A56" s="12" t="str">
        <x:v>NPC-administrator-anoleis</x:v>
      </x:c>
      <x:c r="B56" s="7" t="str">
        <x:v>Administrator Anoleis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Référence à vérifier</x:v>
      </x:c>
      <x:c r="H56" s="7" t="str">
        <x:v>Administrateur de Port Hanshan.</x:v>
      </x:c>
      <x:c r="I56" s="7" t="str">
        <x:v>Documents, corruption et issue d’enquête persistants.</x:v>
      </x:c>
      <x:c r="J56" s="7" t="str"/>
      <x:c r="K56" s="7" t="str">
        <x:v>content/npcs/NPC-administrator-anoleis.json</x:v>
      </x:c>
      <x:c r="L56" s="7" t="str"/>
      <x:c r="M56" s="7" t="str"/>
      <x:c r="N56" s="7" t="str">
        <x:v>Nom et rôle à recouper dans le jeu et son codex ; guide utilisé comme point de départ.</x:v>
      </x:c>
      <x:c r="O56" s="7" t="str">
        <x:v>https://na.llnet.bioware.cdn.ea.com/u/f/eagames/bioware/masseffect/prima/prima_guide_me_pc.pdf</x:v>
      </x:c>
      <x:c r="P56" s="7" t="str">
        <x:v>Production ME1</x:v>
      </x:c>
      <x:c r="Q56" s="7" t="str"/>
    </x:row>
    <x:row r="57" ht="36" customHeight="1">
      <x:c r="A57" s="13" t="str">
        <x:v>NPC-lorik-qui-in</x:v>
      </x:c>
      <x:c r="B57" s="14" t="str">
        <x:v>Lorik Qui'in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Référence à vérifier</x:v>
      </x:c>
      <x:c r="H57" s="14" t="str">
        <x:v>Cadre turien de Synthetic Insights.</x:v>
      </x:c>
      <x:c r="I57" s="14" t="str">
        <x:v>Preuves et témoignage comme objectifs distincts.</x:v>
      </x:c>
      <x:c r="J57" s="14" t="str"/>
      <x:c r="K57" s="14" t="str">
        <x:v>content/npcs/NPC-lorik-qui-in.json</x:v>
      </x:c>
      <x:c r="L57" s="14" t="str"/>
      <x:c r="M57" s="14" t="str"/>
      <x:c r="N57" s="14" t="str">
        <x:v>Nom et rôle à recouper dans le jeu et son codex ; guide utilisé comme point de départ.</x:v>
      </x:c>
      <x:c r="O57" s="14" t="str">
        <x:v>https://na.llnet.bioware.cdn.ea.com/u/f/eagames/bioware/masseffect/prima/prima_guide_me_pc.pdf</x:v>
      </x:c>
      <x:c r="P57" s="14" t="str">
        <x:v>Production ME1</x:v>
      </x:c>
      <x:c r="Q57" s="14" t="str"/>
    </x:row>
    <x:row r="58" ht="36" customHeight="1">
      <x:c r="A58" s="12" t="str">
        <x:v>NPC-lilihierax</x:v>
      </x:c>
      <x:c r="B58" s="7" t="str">
        <x:v>Lilihierax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Référence à vérifier</x:v>
      </x:c>
      <x:c r="H58" s="7" t="str">
        <x:v>Mécanicien turien du garage.</x:v>
      </x:c>
      <x:c r="I58" s="7" t="str">
        <x:v>Informations de route avant départ vers Peak 15.</x:v>
      </x:c>
      <x:c r="J58" s="7" t="str"/>
      <x:c r="K58" s="7" t="str">
        <x:v>content/npcs/NPC-lilihierax.json</x:v>
      </x:c>
      <x:c r="L58" s="7" t="str"/>
      <x:c r="M58" s="7" t="str"/>
      <x:c r="N58" s="7" t="str">
        <x:v>Nom et rôle à recouper dans le jeu et son codex ; guide utilisé comme point de départ.</x:v>
      </x:c>
      <x:c r="O58" s="7" t="str">
        <x:v>https://na.llnet.bioware.cdn.ea.com/u/f/eagames/bioware/masseffect/prima/prima_guide_me_pc.pdf</x:v>
      </x:c>
      <x:c r="P58" s="7" t="str">
        <x:v>Production ME1</x:v>
      </x:c>
      <x:c r="Q58" s="7" t="str"/>
    </x:row>
    <x:row r="59" ht="36" customHeight="1">
      <x:c r="A59" s="13" t="str">
        <x:v>NPC-opold</x:v>
      </x:c>
      <x:c r="B59" s="14" t="str">
        <x:v>Opold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Référence à vérifier</x:v>
      </x:c>
      <x:c r="H59" s="14" t="str">
        <x:v>Marchand hanari.</x:v>
      </x:c>
      <x:c r="I59" s="14" t="str">
        <x:v>Contrebande et destinataire contrôlés.</x:v>
      </x:c>
      <x:c r="J59" s="14" t="str"/>
      <x:c r="K59" s="14" t="str">
        <x:v>content/npcs/NPC-opold.json</x:v>
      </x:c>
      <x:c r="L59" s="14" t="str"/>
      <x:c r="M59" s="14" t="str"/>
      <x:c r="N59" s="14" t="str">
        <x:v>Nom et rôle à recouper dans le jeu et son codex ; guide utilisé comme point de départ.</x:v>
      </x:c>
      <x:c r="O59" s="14" t="str">
        <x:v>https://na.llnet.bioware.cdn.ea.com/u/f/eagames/bioware/masseffect/prima/prima_guide_me_pc.pdf</x:v>
      </x:c>
      <x:c r="P59" s="14" t="str">
        <x:v>Production ME1</x:v>
      </x:c>
      <x:c r="Q59" s="14" t="str"/>
    </x:row>
    <x:row r="60" ht="36" customHeight="1">
      <x:c r="A60" s="12" t="str">
        <x:v>NPC-inamorda</x:v>
      </x:c>
      <x:c r="B60" s="7" t="str">
        <x:v>Inamorda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Référence à vérifier</x:v>
      </x:c>
      <x:c r="H60" s="7" t="str">
        <x:v>Acheteur krogan impliqué dans la contrebande.</x:v>
      </x:c>
      <x:c r="I60" s="7" t="str">
        <x:v>Disponibilité selon les branches de la mission.</x:v>
      </x:c>
      <x:c r="J60" s="7" t="str"/>
      <x:c r="K60" s="7" t="str">
        <x:v>content/npcs/NPC-inamorda.json</x:v>
      </x:c>
      <x:c r="L60" s="7" t="str"/>
      <x:c r="M60" s="7" t="str"/>
      <x:c r="N60" s="7" t="str">
        <x:v>Nom et rôle à recouper dans le jeu et son codex ; guide utilisé comme point de départ.</x:v>
      </x:c>
      <x:c r="O60" s="7" t="str">
        <x:v>https://na.llnet.bioware.cdn.ea.com/u/f/eagames/bioware/masseffect/prima/prima_guide_me_pc.pdf</x:v>
      </x:c>
      <x:c r="P60" s="7" t="str">
        <x:v>Production ME1</x:v>
      </x:c>
      <x:c r="Q60" s="7" t="str"/>
    </x:row>
    <x:row r="61" ht="36" customHeight="1">
      <x:c r="A61" s="13" t="str">
        <x:v>NPC-maeko-matsuo</x:v>
      </x:c>
      <x:c r="B61" s="14" t="str">
        <x:v>Maeko Matsuo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Référence à vérifier</x:v>
      </x:c>
      <x:c r="H61" s="14" t="str">
        <x:v>Responsable de la sécurité de Port Hanshan.</x:v>
      </x:c>
      <x:c r="I61" s="14" t="str">
        <x:v>Interventions limitées aux scènes pertinentes.</x:v>
      </x:c>
      <x:c r="J61" s="14" t="str"/>
      <x:c r="K61" s="14" t="str">
        <x:v>content/npcs/NPC-maeko-matsuo.json</x:v>
      </x:c>
      <x:c r="L61" s="14" t="str"/>
      <x:c r="M61" s="14" t="str"/>
      <x:c r="N61" s="14" t="str">
        <x:v>Nom et rôle à recouper dans le jeu et son codex ; guide utilisé comme point de départ.</x:v>
      </x:c>
      <x:c r="O61" s="14" t="str">
        <x:v>https://na.llnet.bioware.cdn.ea.com/u/f/eagames/bioware/masseffect/prima/prima_guide_me_pc.pdf</x:v>
      </x:c>
      <x:c r="P61" s="14" t="str">
        <x:v>Production ME1</x:v>
      </x:c>
      <x:c r="Q61" s="14" t="str"/>
    </x:row>
    <x:row r="62" ht="36" customHeight="1">
      <x:c r="A62" s="12" t="str">
        <x:v>NPC-kaira-stirling</x:v>
      </x:c>
      <x:c r="B62" s="7" t="str">
        <x:v>Kaira Stirling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Référence à vérifier</x:v>
      </x:c>
      <x:c r="H62" s="7" t="str">
        <x:v>Agent de sécurité hostile.</x:v>
      </x:c>
      <x:c r="I62" s="7" t="str">
        <x:v>Issue de confrontation et état du laboratoire concordants.</x:v>
      </x:c>
      <x:c r="J62" s="7" t="str"/>
      <x:c r="K62" s="7" t="str">
        <x:v>content/npcs/NPC-kaira-stirling.json</x:v>
      </x:c>
      <x:c r="L62" s="7" t="str"/>
      <x:c r="M62" s="7" t="str"/>
      <x:c r="N62" s="7" t="str">
        <x:v>Nom et rôle à recouper dans le jeu et son codex ; guide utilisé comme point de départ.</x:v>
      </x:c>
      <x:c r="O62" s="7" t="str">
        <x:v>https://na.llnet.bioware.cdn.ea.com/u/f/eagames/bioware/masseffect/prima/prima_guide_me_pc.pdf</x:v>
      </x:c>
      <x:c r="P62" s="7" t="str">
        <x:v>Production ME1</x:v>
      </x:c>
      <x:c r="Q62" s="7" t="str"/>
    </x:row>
    <x:row r="63" ht="36" customHeight="1">
      <x:c r="A63" s="13" t="str">
        <x:v>NPC-mira</x:v>
      </x:c>
      <x:c r="B63" s="14" t="str">
        <x:v>Mira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Référence à vérifier</x:v>
      </x:c>
      <x:c r="H63" s="14" t="str">
        <x:v>Intelligence virtuelle de Peak 15.</x:v>
      </x:c>
      <x:c r="I63" s="14" t="str">
        <x:v>Hologramme et accès par niveaux d’autorisation.</x:v>
      </x:c>
      <x:c r="J63" s="14" t="str"/>
      <x:c r="K63" s="14" t="str">
        <x:v>content/npcs/NPC-mira.json</x:v>
      </x:c>
      <x:c r="L63" s="14" t="str"/>
      <x:c r="M63" s="14" t="str"/>
      <x:c r="N63" s="14" t="str">
        <x:v>Nom et rôle à recouper dans le jeu et son codex ; guide utilisé comme point de départ.</x:v>
      </x:c>
      <x:c r="O63" s="14" t="str">
        <x:v>https://na.llnet.bioware.cdn.ea.com/u/f/eagames/bioware/masseffect/prima/prima_guide_me_pc.pdf</x:v>
      </x:c>
      <x:c r="P63" s="14" t="str">
        <x:v>Production ME1</x:v>
      </x:c>
      <x:c r="Q63" s="14" t="str"/>
    </x:row>
    <x:row r="64" ht="36" customHeight="1">
      <x:c r="A64" s="12" t="str">
        <x:v>NPC-dr-zev-cohen</x:v>
      </x:c>
      <x:c r="B64" s="7" t="str">
        <x:v>Dr Zev Cohen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Référence à vérifier</x:v>
      </x:c>
      <x:c r="H64" s="7" t="str">
        <x:v>Médecin de la station de recherche.</x:v>
      </x:c>
      <x:c r="I64" s="7" t="str">
        <x:v>Traitement et accès aux laboratoires liés.</x:v>
      </x:c>
      <x:c r="J64" s="7" t="str"/>
      <x:c r="K64" s="7" t="str">
        <x:v>content/npcs/NPC-dr-zev-cohen.json</x:v>
      </x:c>
      <x:c r="L64" s="7" t="str"/>
      <x:c r="M64" s="7" t="str"/>
      <x:c r="N64" s="7" t="str">
        <x:v>Nom et rôle à recouper dans le jeu et son codex ; guide utilisé comme point de départ.</x:v>
      </x:c>
      <x:c r="O64" s="7" t="str">
        <x:v>https://na.llnet.bioware.cdn.ea.com/u/f/eagames/bioware/masseffect/prima/prima_guide_me_pc.pdf</x:v>
      </x:c>
      <x:c r="P64" s="7" t="str">
        <x:v>Production ME1</x:v>
      </x:c>
      <x:c r="Q64" s="7" t="str"/>
    </x:row>
    <x:row r="65" ht="36" customHeight="1">
      <x:c r="A65" s="13" t="str">
        <x:v>NPC-captain-ventralis</x:v>
      </x:c>
      <x:c r="B65" s="14" t="str">
        <x:v>Captain Ventralis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Référence à vérifier</x:v>
      </x:c>
      <x:c r="H65" s="14" t="str">
        <x:v>Chef de sécurité survivant à Peak 15.</x:v>
      </x:c>
      <x:c r="I65" s="14" t="str">
        <x:v>Réaction à l’infiltration cohérente.</x:v>
      </x:c>
      <x:c r="J65" s="14" t="str"/>
      <x:c r="K65" s="14" t="str">
        <x:v>content/npcs/NPC-captain-ventralis.json</x:v>
      </x:c>
      <x:c r="L65" s="14" t="str"/>
      <x:c r="M65" s="14" t="str"/>
      <x:c r="N65" s="14" t="str">
        <x:v>Nom et rôle à recouper dans le jeu et son codex ; guide utilisé comme point de départ.</x:v>
      </x:c>
      <x:c r="O65" s="14" t="str">
        <x:v>https://na.llnet.bioware.cdn.ea.com/u/f/eagames/bioware/masseffect/prima/prima_guide_me_pc.pdf</x:v>
      </x:c>
      <x:c r="P65" s="14" t="str">
        <x:v>Production ME1</x:v>
      </x:c>
      <x:c r="Q65" s="14" t="str"/>
    </x:row>
    <x:row r="66" ht="36" customHeight="1">
      <x:c r="A66" s="12" t="str">
        <x:v>NPC-yaroslev-tartakovsky</x:v>
      </x:c>
      <x:c r="B66" s="7" t="str">
        <x:v>Yaroslev Tartakovsky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Référence à vérifier</x:v>
      </x:c>
      <x:c r="H66" s="7" t="str">
        <x:v>Scientifique dans les laboratoires chauds.</x:v>
      </x:c>
      <x:c r="I66" s="7" t="str">
        <x:v>Séquence de purge fidèle à sa fonction.</x:v>
      </x:c>
      <x:c r="J66" s="7" t="str"/>
      <x:c r="K66" s="7" t="str">
        <x:v>content/npcs/NPC-yaroslev-tartakovsky.json</x:v>
      </x:c>
      <x:c r="L66" s="7" t="str"/>
      <x:c r="M66" s="7" t="str"/>
      <x:c r="N66" s="7" t="str">
        <x:v>Nom et rôle à recouper dans le jeu et son codex ; guide utilisé comme point de départ.</x:v>
      </x:c>
      <x:c r="O66" s="7" t="str">
        <x:v>https://na.llnet.bioware.cdn.ea.com/u/f/eagames/bioware/masseffect/prima/prima_guide_me_pc.pdf</x:v>
      </x:c>
      <x:c r="P66" s="7" t="str">
        <x:v>Production ME1</x:v>
      </x:c>
      <x:c r="Q66" s="7" t="str"/>
    </x:row>
    <x:row r="67" ht="49" customHeight="1">
      <x:c r="A67" s="13" t="str">
        <x:v>NPC-kirrahe</x:v>
      </x:c>
      <x:c r="B67" s="14" t="str">
        <x:v>Kirrahe</x:v>
      </x:c>
      <x:c r="C67" s="10" t="str">
        <x:v>Prototype</x:v>
      </x:c>
      <x:c r="D67" s="11" t="str">
        <x:v>Prototype</x:v>
      </x:c>
      <x:c r="E67" s="15" t="str">
        <x:v>P1</x:v>
      </x:c>
      <x:c r="F67" s="15" t="str">
        <x:v>ME1</x:v>
      </x:c>
      <x:c r="G67" s="15" t="str">
        <x:v>Référence à vérifier</x:v>
      </x:c>
      <x:c r="H67" s="14" t="str">
        <x:v>Capitaine galarien sur Virmire.</x:v>
      </x:c>
      <x:c r="I67" s="14" t="str">
        <x:v>Soutien reçu et survie suivis par des drapeaux précis.</x:v>
      </x:c>
      <x:c r="J67" s="14" t="str"/>
      <x:c r="K67" s="14" t="str">
        <x:v>content/npcs/NPC-kirrahe.json</x:v>
      </x:c>
      <x:c r="L67" s="14" t="str">
        <x:v>public/assets/npc-atlas.png</x:v>
      </x:c>
      <x:c r="M67" s="14" t="str">
        <x:v>NPC_KEYS.kirrahe</x:v>
      </x:c>
      <x:c r="N67" s="14" t="str">
        <x:v>Nom et rôle à recouper dans le jeu et son codex ; guide utilisé comme point de départ.</x:v>
      </x:c>
      <x:c r="O67" s="14" t="str">
        <x:v>https://na.llnet.bioware.cdn.ea.com/u/f/eagames/bioware/masseffect/prima/prima_guide_me_pc.pdf</x:v>
      </x:c>
      <x:c r="P67" s="14" t="str">
        <x:v>Production ME1</x:v>
      </x:c>
      <x:c r="Q67" s="14" t="str">
        <x:v>Atlas 4 × 2, ligne 2, colonne 3. Silhouette placée dans une scène par src/world.js. Costume, visage, dialogues et animations complets à vérifier ou produire.</x:v>
      </x:c>
    </x:row>
    <x:row r="68" ht="36" customHeight="1">
      <x:c r="A68" s="12" t="str">
        <x:v>NPC-commander-rentola</x:v>
      </x:c>
      <x:c r="B68" s="7" t="str">
        <x:v>Commander Rentola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Référence à vérifier</x:v>
      </x:c>
      <x:c r="H68" s="7" t="str">
        <x:v>Officier des STG sur Virmire.</x:v>
      </x:c>
      <x:c r="I68" s="7" t="str">
        <x:v>Service et dialogues dans le camp.</x:v>
      </x:c>
      <x:c r="J68" s="7" t="str"/>
      <x:c r="K68" s="7" t="str">
        <x:v>content/npcs/NPC-commander-rentola.json</x:v>
      </x:c>
      <x:c r="L68" s="7" t="str"/>
      <x:c r="M68" s="7" t="str"/>
      <x:c r="N68" s="7" t="str">
        <x:v>Nom et rôle à recouper dans le jeu et son codex ; guide utilisé comme point de départ.</x:v>
      </x:c>
      <x:c r="O68" s="7" t="str">
        <x:v>https://na.llnet.bioware.cdn.ea.com/u/f/eagames/bioware/masseffect/prima/prima_guide_me_pc.pdf</x:v>
      </x:c>
      <x:c r="P68" s="7" t="str">
        <x:v>Production ME1</x:v>
      </x:c>
      <x:c r="Q68" s="7" t="str"/>
    </x:row>
    <x:row r="69" ht="36" customHeight="1">
      <x:c r="A69" s="13" t="str">
        <x:v>NPC-rana-thanoptis</x:v>
      </x:c>
      <x:c r="B69" s="14" t="str">
        <x:v>Rana Thanoptis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Référence à vérifier</x:v>
      </x:c>
      <x:c r="H69" s="14" t="str">
        <x:v>Scientifique asari au laboratoire de Virmire.</x:v>
      </x:c>
      <x:c r="I69" s="14" t="str">
        <x:v>Choix de la laisser partir conservé pour export futur.</x:v>
      </x:c>
      <x:c r="J69" s="14" t="str"/>
      <x:c r="K69" s="14" t="str">
        <x:v>content/npcs/NPC-rana-thanoptis.json</x:v>
      </x:c>
      <x:c r="L69" s="14" t="str"/>
      <x:c r="M69" s="14" t="str"/>
      <x:c r="N69" s="14" t="str">
        <x:v>Nom et rôle à recouper dans le jeu et son codex ; guide utilisé comme point de départ.</x:v>
      </x:c>
      <x:c r="O69" s="14" t="str">
        <x:v>https://na.llnet.bioware.cdn.ea.com/u/f/eagames/bioware/masseffect/prima/prima_guide_me_pc.pdf</x:v>
      </x:c>
      <x:c r="P69" s="14" t="str">
        <x:v>Production ME1</x:v>
      </x:c>
      <x:c r="Q69" s="14" t="str"/>
    </x:row>
    <x:row r="70" ht="36" customHeight="1">
      <x:c r="A70" s="12" t="str">
        <x:v>NPC-major-kyle</x:v>
      </x:c>
      <x:c r="B70" s="7" t="str">
        <x:v>Major Kyle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Référence à vérifier</x:v>
      </x:c>
      <x:c r="H70" s="7" t="str">
        <x:v>Ancien militaire à la tête d’un groupe biotique.</x:v>
      </x:c>
      <x:c r="I70" s="7" t="str">
        <x:v>Dialogue et résolution pacifique possibles.</x:v>
      </x:c>
      <x:c r="J70" s="7" t="str"/>
      <x:c r="K70" s="7" t="str">
        <x:v>content/npcs/NPC-major-kyle.json</x:v>
      </x:c>
      <x:c r="L70" s="7" t="str"/>
      <x:c r="M70" s="7" t="str"/>
      <x:c r="N70" s="7" t="str">
        <x:v>Nom et rôle à recouper dans le jeu et son codex ; guide utilisé comme point de départ.</x:v>
      </x:c>
      <x:c r="O70" s="7" t="str">
        <x:v>https://na.llnet.bioware.cdn.ea.com/u/f/eagames/bioware/masseffect/prima/prima_guide_me_pc.pdf</x:v>
      </x:c>
      <x:c r="P70" s="7" t="str">
        <x:v>Production ME1</x:v>
      </x:c>
      <x:c r="Q70" s="7" t="str"/>
    </x:row>
    <x:row r="71" ht="36" customHeight="1">
      <x:c r="A71" s="13" t="str">
        <x:v>NPC-toombs</x:v>
      </x:c>
      <x:c r="B71" s="14" t="str">
        <x:v>Toombs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Référence à vérifier</x:v>
      </x:c>
      <x:c r="H71" s="14" t="str">
        <x:v>Survivant lié aux expériences de Cerberus.</x:v>
      </x:c>
      <x:c r="I71" s="14" t="str">
        <x:v>Réactions au profil psychologique de Shepard.</x:v>
      </x:c>
      <x:c r="J71" s="14" t="str"/>
      <x:c r="K71" s="14" t="str">
        <x:v>content/npcs/NPC-toombs.json</x:v>
      </x:c>
      <x:c r="L71" s="14" t="str"/>
      <x:c r="M71" s="14" t="str"/>
      <x:c r="N71" s="14" t="str">
        <x:v>Nom et rôle à recouper dans le jeu et son codex ; guide utilisé comme point de départ.</x:v>
      </x:c>
      <x:c r="O71" s="14" t="str">
        <x:v>https://na.llnet.bioware.cdn.ea.com/u/f/eagames/bioware/masseffect/prima/prima_guide_me_pc.pdf</x:v>
      </x:c>
      <x:c r="P71" s="14" t="str">
        <x:v>Production ME1</x:v>
      </x:c>
      <x:c r="Q71" s="14" t="str"/>
    </x:row>
    <x:row r="72" ht="36" customHeight="1">
      <x:c r="A72" s="12" t="str">
        <x:v>NPC-vigil</x:v>
      </x:c>
      <x:c r="B72" s="7" t="str">
        <x:v>Vigil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Référence à vérifier</x:v>
      </x:c>
      <x:c r="H72" s="7" t="str">
        <x:v>Intelligence virtuelle prothéenne sur Ilos.</x:v>
      </x:c>
      <x:c r="I72" s="7" t="str">
        <x:v>Exposition délivrée après les révélations nécessaires.</x:v>
      </x:c>
      <x:c r="J72" s="7" t="str"/>
      <x:c r="K72" s="7" t="str">
        <x:v>content/npcs/NPC-vigil.json</x:v>
      </x:c>
      <x:c r="L72" s="7" t="str"/>
      <x:c r="M72" s="7" t="str"/>
      <x:c r="N72" s="7" t="str">
        <x:v>Nom et rôle à recouper dans le jeu et son codex ; guide utilisé comme point de départ.</x:v>
      </x:c>
      <x:c r="O72" s="7" t="str">
        <x:v>https://na.llnet.bioware.cdn.ea.com/u/f/eagames/bioware/masseffect/prima/prima_guide_me_pc.pdf</x:v>
      </x:c>
      <x:c r="P72" s="7" t="str">
        <x:v>Production ME1</x:v>
      </x:c>
      <x:c r="Q72" s="7" t="str"/>
    </x:row>
  </x:sheetData>
  <x:conditionalFormatting sqref="C7:C72">
    <x:cfRule type="cellIs" dxfId="5" priority="1" operator="equal">
      <x:formula>"Prototype"</x:formula>
    </x:cfRule>
    <x:cfRule type="cellIs" dxfId="6" priority="2" operator="equal">
      <x:formula>"Intégré"</x:formula>
    </x:cfRule>
    <x:cfRule type="cellIs" dxfId="7" priority="3" operator="equal">
      <x:formula>"Validé"</x:formula>
    </x:cfRule>
  </x:conditionalFormatting>
  <x:conditionalFormatting sqref="G7:G72">
    <x:cfRule type="cellIs" dxfId="8" priority="4" operator="equal">
      <x:formula>"Référence à vérifier"</x:formula>
    </x:cfRule>
  </x:conditionalFormatting>
  <x:conditionalFormatting sqref="E7:E72">
    <x:cfRule type="cellIs" dxfId="9" priority="5" operator="equal">
      <x:formula>"P0"</x:formula>
    </x:cfRule>
  </x:conditionalFormatting>
  <x:dataValidations count="5">
    <x:dataValidation type="list" sqref="C7:C72">
      <x:formula1>"Défini,Prototype,Intégré,Validé"</x:formula1>
    </x:dataValidation>
    <x:dataValidation type="list" sqref="D7:D72">
      <x:formula1>"À produire,Prototype,Disponible,Validé,Sans objet,Non planifié"</x:formula1>
    </x:dataValidation>
    <x:dataValidation type="list" sqref="E7:E72">
      <x:formula1>"P0,P1,P2"</x:formula1>
    </x:dataValidation>
    <x:dataValidation type="list" sqref="F7:F72">
      <x:formula1>"ME1,ME2,ME3"</x:formula1>
    </x:dataValidation>
    <x:dataValidation type="list" sqref="G7:G7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0635a59ba4496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LOR-humains</x:v>
      </x:c>
      <x:c r="B7" s="14" t="str">
        <x:v>Humains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Espèce de Shepard, Alliance et colonies.</x:v>
      </x:c>
      <x:c r="I7" s="14" t="str">
        <x:v>Variété de visages, âges et tenues sans uniforme universel.</x:v>
      </x:c>
      <x:c r="J7" s="14" t="str"/>
      <x:c r="K7" s="14" t="str">
        <x:v>content/lore/LOR-humains.json</x:v>
      </x:c>
      <x:c r="L7" s="14" t="str"/>
      <x:c r="M7" s="14" t="str"/>
      <x:c r="N7" s="14" t="str">
        <x:v>Nomenclature de couverture à vérifier dans le codex ME1 avant validation.</x:v>
      </x:c>
      <x:c r="O7" s="14" t="str">
        <x:v>https://www.ea.com/fr/games/mass-effect/mass-effect-legendary-edition</x:v>
      </x:c>
      <x:c r="P7" s="14" t="str">
        <x:v>Production ME1</x:v>
      </x:c>
      <x:c r="Q7" s="14" t="str"/>
    </x:row>
    <x:row r="8" ht="36" customHeight="1">
      <x:c r="A8" s="12" t="str">
        <x:v>LOR-asari</x:v>
      </x:c>
      <x:c r="B8" s="7" t="str">
        <x:v>Asari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Espèce monogenrée à crêtes crâniennes et capacités biotiques.</x:v>
      </x:c>
      <x:c r="I8" s="7" t="str">
        <x:v>Anatomie et diversité culturelle à documenter.</x:v>
      </x:c>
      <x:c r="J8" s="7" t="str"/>
      <x:c r="K8" s="7" t="str">
        <x:v>content/lore/LOR-asari.json</x:v>
      </x:c>
      <x:c r="L8" s="7" t="str">
        <x:v>src/game-data.js</x:v>
      </x:c>
      <x:c r="M8" s="7" t="str">
        <x:v>CODEX.asari</x:v>
      </x:c>
      <x:c r="N8" s="7" t="str">
        <x:v>Nomenclature de couverture à vérifier dans le codex ME1 avant validation.</x:v>
      </x:c>
      <x:c r="O8" s="7" t="str">
        <x:v>https://www.ea.com/fr/games/mass-effect/mass-effect-legendary-edition</x:v>
      </x:c>
      <x:c r="P8" s="7" t="str">
        <x:v>Production ME1</x:v>
      </x:c>
      <x:c r="Q8" s="7" t="str">
        <x:v>Entrée de codex courte présente. Dossier encyclopédique et références détaillées à compléter.</x:v>
      </x:c>
    </x:row>
    <x:row r="9" ht="36" customHeight="1">
      <x:c r="A9" s="13" t="str">
        <x:v>LOR-turiens</x:v>
      </x:c>
      <x:c r="B9" s="14" t="str">
        <x:v>Turiens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Espèce à plaques faciales et posture distinctive.</x:v>
      </x:c>
      <x:c r="I9" s="14" t="str">
        <x:v>Silhouette et articulations contrôlées par vues multiples.</x:v>
      </x:c>
      <x:c r="J9" s="14" t="str"/>
      <x:c r="K9" s="14" t="str">
        <x:v>content/lore/LOR-turiens.json</x:v>
      </x:c>
      <x:c r="L9" s="14" t="str">
        <x:v>src/game-data.js</x:v>
      </x:c>
      <x:c r="M9" s="14" t="str">
        <x:v>CODEX.turian</x:v>
      </x:c>
      <x:c r="N9" s="14" t="str">
        <x:v>Nomenclature de couverture à vérifier dans le codex ME1 avant validation.</x:v>
      </x:c>
      <x:c r="O9" s="14" t="str">
        <x:v>https://www.ea.com/fr/games/mass-effect/mass-effect-legendary-edition</x:v>
      </x:c>
      <x:c r="P9" s="14" t="str">
        <x:v>Production ME1</x:v>
      </x:c>
      <x:c r="Q9" s="14" t="str">
        <x:v>Entrée de codex courte présente. Dossier encyclopédique et références détaillées à compléter.</x:v>
      </x:c>
    </x:row>
    <x:row r="10" ht="36" customHeight="1">
      <x:c r="A10" s="12" t="str">
        <x:v>LOR-galariens</x:v>
      </x:c>
      <x:c r="B10" s="7" t="str">
        <x:v>Galariens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Espèce fine aux membres et au crâne allongés.</x:v>
      </x:c>
      <x:c r="I10" s="7" t="str">
        <x:v>Échelle, mains et cadence gestuelle spécifiques.</x:v>
      </x:c>
      <x:c r="J10" s="7" t="str"/>
      <x:c r="K10" s="7" t="str">
        <x:v>content/lore/LOR-galariens.json</x:v>
      </x:c>
      <x:c r="L10" s="7" t="str"/>
      <x:c r="M10" s="7" t="str"/>
      <x:c r="N10" s="7" t="str">
        <x:v>Nomenclature de couverture à vérifier dans le codex ME1 avant validation.</x:v>
      </x:c>
      <x:c r="O10" s="7" t="str">
        <x:v>https://www.ea.com/fr/games/mass-effect/mass-effect-legendary-edition</x:v>
      </x:c>
      <x:c r="P10" s="7" t="str">
        <x:v>Production ME1</x:v>
      </x:c>
      <x:c r="Q10" s="7" t="str"/>
    </x:row>
    <x:row r="11" ht="36" customHeight="1">
      <x:c r="A11" s="13" t="str">
        <x:v>LOR-krogans</x:v>
      </x:c>
      <x:c r="B11" s="14" t="str">
        <x:v>Krogans</x:v>
      </x:c>
      <x:c r="C11" s="10" t="str">
        <x:v>Prototype</x:v>
      </x:c>
      <x:c r="D11" s="11" t="str">
        <x:v>Prototype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Espèce massive à plaques et bosse dorsale.</x:v>
      </x:c>
      <x:c r="I11" s="14" t="str">
        <x:v>Volume du torse conservé dans tous les angles.</x:v>
      </x:c>
      <x:c r="J11" s="14" t="str"/>
      <x:c r="K11" s="14" t="str">
        <x:v>content/lore/LOR-krogans.json</x:v>
      </x:c>
      <x:c r="L11" s="14" t="str">
        <x:v>src/game-data.js</x:v>
      </x:c>
      <x:c r="M11" s="14" t="str">
        <x:v>CODEX.krogan</x:v>
      </x:c>
      <x:c r="N11" s="14" t="str">
        <x:v>Nomenclature de couverture à vérifier dans le codex ME1 avant validation.</x:v>
      </x:c>
      <x:c r="O11" s="14" t="str">
        <x:v>https://www.ea.com/fr/games/mass-effect/mass-effect-legendary-edition</x:v>
      </x:c>
      <x:c r="P11" s="14" t="str">
        <x:v>Production ME1</x:v>
      </x:c>
      <x:c r="Q11" s="14" t="str">
        <x:v>Entrée de codex courte présente. Dossier encyclopédique et références détaillées à compléter.</x:v>
      </x:c>
    </x:row>
    <x:row r="12" ht="36" customHeight="1">
      <x:c r="A12" s="12" t="str">
        <x:v>LOR-quariens</x:v>
      </x:c>
      <x:c r="B12" s="7" t="str">
        <x:v>Quariens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Espèce portant des combinaisons environnementales.</x:v>
      </x:c>
      <x:c r="I12" s="7" t="str">
        <x:v>Masques, mains et jambes respectés.</x:v>
      </x:c>
      <x:c r="J12" s="7" t="str"/>
      <x:c r="K12" s="7" t="str">
        <x:v>content/lore/LOR-quariens.json</x:v>
      </x:c>
      <x:c r="L12" s="7" t="str">
        <x:v>src/game-data.js</x:v>
      </x:c>
      <x:c r="M12" s="7" t="str">
        <x:v>CODEX.quarian</x:v>
      </x:c>
      <x:c r="N12" s="7" t="str">
        <x:v>Nomenclature de couverture à vérifier dans le codex ME1 avant validation.</x:v>
      </x:c>
      <x:c r="O12" s="7" t="str">
        <x:v>https://www.ea.com/fr/games/mass-effect/mass-effect-legendary-edition</x:v>
      </x:c>
      <x:c r="P12" s="7" t="str">
        <x:v>Production ME1</x:v>
      </x:c>
      <x:c r="Q12" s="7" t="str">
        <x:v>Entrée de codex courte présente. Dossier encyclopédique et références détaillées à compléter.</x:v>
      </x:c>
    </x:row>
    <x:row r="13" ht="36" customHeight="1">
      <x:c r="A13" s="13" t="str">
        <x:v>LOR-volus</x:v>
      </x:c>
      <x:c r="B13" s="14" t="str">
        <x:v>Volus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Espèce en combinaison pressurisée.</x:v>
      </x:c>
      <x:c r="I13" s="14" t="str">
        <x:v>Aucun visage découvert sans justification canonique.</x:v>
      </x:c>
      <x:c r="J13" s="14" t="str"/>
      <x:c r="K13" s="14" t="str">
        <x:v>content/lore/LOR-volus.json</x:v>
      </x:c>
      <x:c r="L13" s="14" t="str"/>
      <x:c r="M13" s="14" t="str"/>
      <x:c r="N13" s="14" t="str">
        <x:v>Nomenclature de couverture à vérifier dans le codex ME1 avant validation.</x:v>
      </x:c>
      <x:c r="O13" s="14" t="str">
        <x:v>https://www.ea.com/fr/games/mass-effect/mass-effect-legendary-edition</x:v>
      </x:c>
      <x:c r="P13" s="14" t="str">
        <x:v>Production ME1</x:v>
      </x:c>
      <x:c r="Q13" s="14" t="str"/>
    </x:row>
    <x:row r="14" ht="36" customHeight="1">
      <x:c r="A14" s="12" t="str">
        <x:v>LOR-elcors</x:v>
      </x:c>
      <x:c r="B14" s="7" t="str">
        <x:v>Elcors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Quadrupèdes massifs exprimant l’intention de leurs paroles.</x:v>
      </x:c>
      <x:c r="I14" s="7" t="str">
        <x:v>Animations lentes et passages dimensionnés.</x:v>
      </x:c>
      <x:c r="J14" s="7" t="str"/>
      <x:c r="K14" s="7" t="str">
        <x:v>content/lore/LOR-elcors.json</x:v>
      </x:c>
      <x:c r="L14" s="7" t="str"/>
      <x:c r="M14" s="7" t="str"/>
      <x:c r="N14" s="7" t="str">
        <x:v>Nomenclature de couverture à vérifier dans le codex ME1 avant validation.</x:v>
      </x:c>
      <x:c r="O14" s="7" t="str">
        <x:v>https://www.ea.com/fr/games/mass-effect/mass-effect-legendary-edition</x:v>
      </x:c>
      <x:c r="P14" s="7" t="str">
        <x:v>Production ME1</x:v>
      </x:c>
      <x:c r="Q14" s="7" t="str"/>
    </x:row>
    <x:row r="15" ht="36" customHeight="1">
      <x:c r="A15" s="13" t="str">
        <x:v>LOR-hanaris</x:v>
      </x:c>
      <x:c r="B15" s="14" t="str">
        <x:v>Hanaris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Espèce à tentacules utilisant une aide à la lévitation.</x:v>
      </x:c>
      <x:c r="I15" s="14" t="str">
        <x:v>Déplacement sans marche humanoïde.</x:v>
      </x:c>
      <x:c r="J15" s="14" t="str"/>
      <x:c r="K15" s="14" t="str">
        <x:v>content/lore/LOR-hanaris.json</x:v>
      </x:c>
      <x:c r="L15" s="14" t="str"/>
      <x:c r="M15" s="14" t="str"/>
      <x:c r="N15" s="14" t="str">
        <x:v>Nomenclature de couverture à vérifier dans le codex ME1 avant validation.</x:v>
      </x:c>
      <x:c r="O15" s="14" t="str">
        <x:v>https://www.ea.com/fr/games/mass-effect/mass-effect-legendary-edition</x:v>
      </x:c>
      <x:c r="P15" s="14" t="str">
        <x:v>Production ME1</x:v>
      </x:c>
      <x:c r="Q15" s="14" t="str"/>
    </x:row>
    <x:row r="16" ht="36" customHeight="1">
      <x:c r="A16" s="12" t="str">
        <x:v>LOR-veilleurs</x:v>
      </x:c>
      <x:c r="B16" s="7" t="str">
        <x:v>Veilleurs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Maintenance de la Citadelle.</x:v>
      </x:c>
      <x:c r="I16" s="7" t="str">
        <x:v>Présence ambiante, non combattante.</x:v>
      </x:c>
      <x:c r="J16" s="7" t="str"/>
      <x:c r="K16" s="7" t="str">
        <x:v>content/lore/LOR-veilleurs.json</x:v>
      </x:c>
      <x:c r="L16" s="7" t="str"/>
      <x:c r="M16" s="7" t="str"/>
      <x:c r="N16" s="7" t="str">
        <x:v>Nomenclature de couverture à vérifier dans le codex ME1 avant validation.</x:v>
      </x:c>
      <x:c r="O16" s="7" t="str">
        <x:v>https://www.ea.com/fr/games/mass-effect/mass-effect-legendary-edition</x:v>
      </x:c>
      <x:c r="P16" s="7" t="str">
        <x:v>Production ME1</x:v>
      </x:c>
      <x:c r="Q16" s="7" t="str"/>
    </x:row>
    <x:row r="17" ht="36" customHeight="1">
      <x:c r="A17" s="13" t="str">
        <x:v>LOR-butariens</x:v>
      </x:c>
      <x:c r="B17" s="14" t="str">
        <x:v>Butariens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Espèce à quatre yeux, présente notamment dans le DLC X57.</x:v>
      </x:c>
      <x:c r="I17" s="14" t="str">
        <x:v>Visages et équipement propres à l’époque.</x:v>
      </x:c>
      <x:c r="J17" s="14" t="str"/>
      <x:c r="K17" s="14" t="str">
        <x:v>content/lore/LOR-butariens.json</x:v>
      </x:c>
      <x:c r="L17" s="14" t="str"/>
      <x:c r="M17" s="14" t="str"/>
      <x:c r="N17" s="14" t="str">
        <x:v>Nomenclature de couverture à vérifier dans le codex ME1 avant validation.</x:v>
      </x:c>
      <x:c r="O17" s="14" t="str">
        <x:v>https://www.ea.com/fr/games/mass-effect/mass-effect-legendary-edition</x:v>
      </x:c>
      <x:c r="P17" s="14" t="str">
        <x:v>Production ME1</x:v>
      </x:c>
      <x:c r="Q17" s="14" t="str"/>
    </x:row>
    <x:row r="18" ht="36" customHeight="1">
      <x:c r="A18" s="12" t="str">
        <x:v>LOR-geth</x:v>
      </x:c>
      <x:c r="B18" s="7" t="str">
        <x:v>Geth</x:v>
      </x:c>
      <x:c r="C18" s="10" t="str">
        <x:v>Prototype</x:v>
      </x:c>
      <x:c r="D18" s="11" t="str">
        <x:v>Prototype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Intelligences synthétiques distribuées.</x:v>
      </x:c>
      <x:c r="I18" s="7" t="str">
        <x:v>Ne pas présenter tous les geth comme une personnalité unique.</x:v>
      </x:c>
      <x:c r="J18" s="7" t="str"/>
      <x:c r="K18" s="7" t="str">
        <x:v>content/lore/LOR-geth.json</x:v>
      </x:c>
      <x:c r="L18" s="7" t="str">
        <x:v>src/game-data.js</x:v>
      </x:c>
      <x:c r="M18" s="7" t="str">
        <x:v>CODEX.geth</x:v>
      </x:c>
      <x:c r="N18" s="7" t="str">
        <x:v>Nomenclature de couverture à vérifier dans le codex ME1 avant validation.</x:v>
      </x:c>
      <x:c r="O18" s="7" t="str">
        <x:v>https://www.ea.com/fr/games/mass-effect/mass-effect-legendary-edition</x:v>
      </x:c>
      <x:c r="P18" s="7" t="str">
        <x:v>Production ME1</x:v>
      </x:c>
      <x:c r="Q18" s="7" t="str">
        <x:v>Entrée de codex courte présente. Dossier encyclopédique et références détaillées à compléter.</x:v>
      </x:c>
    </x:row>
    <x:row r="19" ht="36" customHeight="1">
      <x:c r="A19" s="13" t="str">
        <x:v>LOR-rachni</x:v>
      </x:c>
      <x:c r="B19" s="14" t="str">
        <x:v>Rachni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Espèce insectoïde liée à Noveria.</x:v>
      </x:c>
      <x:c r="I19" s="14" t="str">
        <x:v>Travailleurs, soldats et reine clairement distincts.</x:v>
      </x:c>
      <x:c r="J19" s="14" t="str"/>
      <x:c r="K19" s="14" t="str">
        <x:v>content/lore/LOR-rachni.json</x:v>
      </x:c>
      <x:c r="L19" s="14" t="str"/>
      <x:c r="M19" s="14" t="str"/>
      <x:c r="N19" s="14" t="str">
        <x:v>Nomenclature de couverture à vérifier dans le codex ME1 avant validation.</x:v>
      </x:c>
      <x:c r="O19" s="14" t="str">
        <x:v>https://www.ea.com/fr/games/mass-effect/mass-effect-legendary-edition</x:v>
      </x:c>
      <x:c r="P19" s="14" t="str">
        <x:v>Production ME1</x:v>
      </x:c>
      <x:c r="Q19" s="14" t="str"/>
    </x:row>
    <x:row r="20" ht="36" customHeight="1">
      <x:c r="A20" s="12" t="str">
        <x:v>LOR-protheens</x:v>
      </x:c>
      <x:c r="B20" s="7" t="str">
        <x:v>Prothéens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Civilisation connue par les vestiges et révélations de ME1.</x:v>
      </x:c>
      <x:c r="I20" s="7" t="str">
        <x:v>Limiter les informations au savoir du chapitre.</x:v>
      </x:c>
      <x:c r="J20" s="7" t="str"/>
      <x:c r="K20" s="7" t="str">
        <x:v>content/lore/LOR-protheens.json</x:v>
      </x:c>
      <x:c r="L20" s="7" t="str"/>
      <x:c r="M20" s="7" t="str"/>
      <x:c r="N20" s="7" t="str">
        <x:v>Nomenclature de couverture à vérifier dans le codex ME1 avant validation.</x:v>
      </x:c>
      <x:c r="O20" s="7" t="str">
        <x:v>https://www.ea.com/fr/games/mass-effect/mass-effect-legendary-edition</x:v>
      </x:c>
      <x:c r="P20" s="7" t="str">
        <x:v>Production ME1</x:v>
      </x:c>
      <x:c r="Q20" s="7" t="str"/>
    </x:row>
    <x:row r="21" ht="36" customHeight="1">
      <x:c r="A21" s="13" t="str">
        <x:v>LOR-moissonneurs</x:v>
      </x:c>
      <x:c r="B21" s="14" t="str">
        <x:v>Moissonneurs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Menace révélée progressivement.</x:v>
      </x:c>
      <x:c r="I21" s="14" t="str">
        <x:v>Échelle et statut narratif conservés.</x:v>
      </x:c>
      <x:c r="J21" s="14" t="str"/>
      <x:c r="K21" s="14" t="str">
        <x:v>content/lore/LOR-moissonneurs.json</x:v>
      </x:c>
      <x:c r="L21" s="14" t="str"/>
      <x:c r="M21" s="14" t="str"/>
      <x:c r="N21" s="14" t="str">
        <x:v>Nomenclature de couverture à vérifier dans le codex ME1 avant validation.</x:v>
      </x:c>
      <x:c r="O21" s="14" t="str">
        <x:v>https://www.ea.com/fr/games/mass-effect/mass-effect-legendary-edition</x:v>
      </x:c>
      <x:c r="P21" s="14" t="str">
        <x:v>Production ME1</x:v>
      </x:c>
      <x:c r="Q21" s="14" t="str"/>
    </x:row>
    <x:row r="22" ht="36" customHeight="1">
      <x:c r="A22" s="12" t="str">
        <x:v>LOR-thorien</x:v>
      </x:c>
      <x:c r="B22" s="7" t="str">
        <x:v>Thorien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Entité liée à Feros.</x:v>
      </x:c>
      <x:c r="I22" s="7" t="str">
        <x:v>Présence et mécanismes biologiques vérifiés.</x:v>
      </x:c>
      <x:c r="J22" s="7" t="str"/>
      <x:c r="K22" s="7" t="str">
        <x:v>content/lore/LOR-thorien.json</x:v>
      </x:c>
      <x:c r="L22" s="7" t="str"/>
      <x:c r="M22" s="7" t="str"/>
      <x:c r="N22" s="7" t="str">
        <x:v>Nomenclature de couverture à vérifier dans le codex ME1 avant validation.</x:v>
      </x:c>
      <x:c r="O22" s="7" t="str">
        <x:v>https://www.ea.com/fr/games/mass-effect/mass-effect-legendary-edition</x:v>
      </x:c>
      <x:c r="P22" s="7" t="str">
        <x:v>Production ME1</x:v>
      </x:c>
      <x:c r="Q22" s="7" t="str"/>
    </x:row>
    <x:row r="23" ht="36" customHeight="1">
      <x:c r="A23" s="13" t="str">
        <x:v>LOR-varrens</x:v>
      </x:c>
      <x:c r="B23" s="14" t="str">
        <x:v>Varrens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Faune agressive rencontrée en exploration.</x:v>
      </x:c>
      <x:c r="I23" s="14" t="str">
        <x:v>Morphologie quadrupède et comportement de meute.</x:v>
      </x:c>
      <x:c r="J23" s="14" t="str"/>
      <x:c r="K23" s="14" t="str">
        <x:v>content/lore/LOR-varrens.json</x:v>
      </x:c>
      <x:c r="L23" s="14" t="str"/>
      <x:c r="M23" s="14" t="str"/>
      <x:c r="N23" s="14" t="str">
        <x:v>Nomenclature de couverture à vérifier dans le codex ME1 avant validation.</x:v>
      </x:c>
      <x:c r="O23" s="14" t="str">
        <x:v>https://www.ea.com/fr/games/mass-effect/mass-effect-legendary-edition</x:v>
      </x:c>
      <x:c r="P23" s="14" t="str">
        <x:v>Production ME1</x:v>
      </x:c>
      <x:c r="Q23" s="14" t="str"/>
    </x:row>
    <x:row r="24" ht="36" customHeight="1">
      <x:c r="A24" s="12" t="str">
        <x:v>LOR-devoreurs</x:v>
      </x:c>
      <x:c r="B24" s="7" t="str">
        <x:v>Dévoreurs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Prédateurs souterrains géants.</x:v>
      </x:c>
      <x:c r="I24" s="7" t="str">
        <x:v>Combat et danger conçus autour du Mako.</x:v>
      </x:c>
      <x:c r="J24" s="7" t="str"/>
      <x:c r="K24" s="7" t="str">
        <x:v>content/lore/LOR-devoreurs.json</x:v>
      </x:c>
      <x:c r="L24" s="7" t="str"/>
      <x:c r="M24" s="7" t="str"/>
      <x:c r="N24" s="7" t="str">
        <x:v>Nomenclature de couverture à vérifier dans le codex ME1 avant validation.</x:v>
      </x:c>
      <x:c r="O24" s="7" t="str">
        <x:v>https://www.ea.com/fr/games/mass-effect/mass-effect-legendary-edition</x:v>
      </x:c>
      <x:c r="P24" s="7" t="str">
        <x:v>Production ME1</x:v>
      </x:c>
      <x:c r="Q24" s="7" t="str"/>
    </x:row>
    <x:row r="25" ht="36" customHeight="1">
      <x:c r="A25" s="13" t="str">
        <x:v>LOR-alliance-interstellaire</x:v>
      </x:c>
      <x:c r="B25" s="14" t="str">
        <x:v>Alliance interstellaire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Organisation militaire et politique humaine.</x:v>
      </x:c>
      <x:c r="I25" s="14" t="str">
        <x:v>Rangs, insignes et matériels concordants.</x:v>
      </x:c>
      <x:c r="J25" s="14" t="str"/>
      <x:c r="K25" s="14" t="str">
        <x:v>content/lore/LOR-alliance-interstellaire.json</x:v>
      </x:c>
      <x:c r="L25" s="14" t="str"/>
      <x:c r="M25" s="14" t="str"/>
      <x:c r="N25" s="14" t="str">
        <x:v>Nomenclature de couverture à vérifier dans le codex ME1 avant validation.</x:v>
      </x:c>
      <x:c r="O25" s="14" t="str">
        <x:v>https://www.ea.com/fr/games/mass-effect/mass-effect-legendary-edition</x:v>
      </x:c>
      <x:c r="P25" s="14" t="str">
        <x:v>Production ME1</x:v>
      </x:c>
      <x:c r="Q25" s="14" t="str"/>
    </x:row>
    <x:row r="26" ht="36" customHeight="1">
      <x:c r="A26" s="12" t="str">
        <x:v>LOR-conseil-de-la-citadelle</x:v>
      </x:c>
      <x:c r="B26" s="7" t="str">
        <x:v>Conseil de la Citadelle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Autorité diplomatique.</x:v>
      </x:c>
      <x:c r="I26" s="7" t="str">
        <x:v>Composition liée à l’état narratif.</x:v>
      </x:c>
      <x:c r="J26" s="7" t="str"/>
      <x:c r="K26" s="7" t="str">
        <x:v>content/lore/LOR-conseil-de-la-citadelle.json</x:v>
      </x:c>
      <x:c r="L26" s="7" t="str"/>
      <x:c r="M26" s="7" t="str"/>
      <x:c r="N26" s="7" t="str">
        <x:v>Nomenclature de couverture à vérifier dans le codex ME1 avant validation.</x:v>
      </x:c>
      <x:c r="O26" s="7" t="str">
        <x:v>https://www.ea.com/fr/games/mass-effect/mass-effect-legendary-edition</x:v>
      </x:c>
      <x:c r="P26" s="7" t="str">
        <x:v>Production ME1</x:v>
      </x:c>
      <x:c r="Q26" s="7" t="str"/>
    </x:row>
    <x:row r="27" ht="36" customHeight="1">
      <x:c r="A27" s="13" t="str">
        <x:v>LOR-spectres</x:v>
      </x:c>
      <x:c r="B27" s="14" t="str">
        <x:v>Spectres</x:v>
      </x:c>
      <x:c r="C27" s="10" t="str">
        <x:v>Prototype</x:v>
      </x:c>
      <x:c r="D27" s="11" t="str">
        <x:v>Prototype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Agents dotés d’une grande autonomie.</x:v>
      </x:c>
      <x:c r="I27" s="14" t="str">
        <x:v>Statut débloqué lors de l’intronisation.</x:v>
      </x:c>
      <x:c r="J27" s="14" t="str"/>
      <x:c r="K27" s="14" t="str">
        <x:v>content/lore/LOR-spectres.json</x:v>
      </x:c>
      <x:c r="L27" s="14" t="str">
        <x:v>src/game-data.js</x:v>
      </x:c>
      <x:c r="M27" s="14" t="str">
        <x:v>CODEX.spectre</x:v>
      </x:c>
      <x:c r="N27" s="14" t="str">
        <x:v>Nomenclature de couverture à vérifier dans le codex ME1 avant validation.</x:v>
      </x:c>
      <x:c r="O27" s="14" t="str">
        <x:v>https://www.ea.com/fr/games/mass-effect/mass-effect-legendary-edition</x:v>
      </x:c>
      <x:c r="P27" s="14" t="str">
        <x:v>Production ME1</x:v>
      </x:c>
      <x:c r="Q27" s="14" t="str">
        <x:v>Entrée de codex courte présente. Dossier encyclopédique et références détaillées à compléter.</x:v>
      </x:c>
    </x:row>
    <x:row r="28" ht="36" customHeight="1">
      <x:c r="A28" s="12" t="str">
        <x:v>LOR-ssc</x:v>
      </x:c>
      <x:c r="B28" s="7" t="str">
        <x:v>SSC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Sécurité de la Citadelle.</x:v>
      </x:c>
      <x:c r="I28" s="7" t="str">
        <x:v>Uniformes et droits d’accès propres aux secteurs.</x:v>
      </x:c>
      <x:c r="J28" s="7" t="str"/>
      <x:c r="K28" s="7" t="str">
        <x:v>content/lore/LOR-ssc.json</x:v>
      </x:c>
      <x:c r="L28" s="7" t="str"/>
      <x:c r="M28" s="7" t="str"/>
      <x:c r="N28" s="7" t="str">
        <x:v>Nomenclature de couverture à vérifier dans le codex ME1 avant validation.</x:v>
      </x:c>
      <x:c r="O28" s="7" t="str">
        <x:v>https://www.ea.com/fr/games/mass-effect/mass-effect-legendary-edition</x:v>
      </x:c>
      <x:c r="P28" s="7" t="str">
        <x:v>Production ME1</x:v>
      </x:c>
      <x:c r="Q28" s="7" t="str"/>
    </x:row>
    <x:row r="29" ht="36" customHeight="1">
      <x:c r="A29" s="13" t="str">
        <x:v>LOR-stg</x:v>
      </x:c>
      <x:c r="B29" s="14" t="str">
        <x:v>STG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Groupes spéciaux galariens.</x:v>
      </x:c>
      <x:c r="I29" s="14" t="str">
        <x:v>Équipement et objectifs de l’opération Virmire.</x:v>
      </x:c>
      <x:c r="J29" s="14" t="str"/>
      <x:c r="K29" s="14" t="str">
        <x:v>content/lore/LOR-stg.json</x:v>
      </x:c>
      <x:c r="L29" s="14" t="str"/>
      <x:c r="M29" s="14" t="str"/>
      <x:c r="N29" s="14" t="str">
        <x:v>Nomenclature de couverture à vérifier dans le codex ME1 avant validation.</x:v>
      </x:c>
      <x:c r="O29" s="14" t="str">
        <x:v>https://www.ea.com/fr/games/mass-effect/mass-effect-legendary-edition</x:v>
      </x:c>
      <x:c r="P29" s="14" t="str">
        <x:v>Production ME1</x:v>
      </x:c>
      <x:c r="Q29" s="14" t="str"/>
    </x:row>
    <x:row r="30" ht="36" customHeight="1">
      <x:c r="A30" s="12" t="str">
        <x:v>LOR-cerberus-me1</x:v>
      </x:c>
      <x:c r="B30" s="7" t="str">
        <x:v>Cerberus ME1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Cellules clandestines rencontrées dans les missions annexes.</x:v>
      </x:c>
      <x:c r="I30" s="7" t="str">
        <x:v>Ne pas importer l’organisation alliée de ME2.</x:v>
      </x:c>
      <x:c r="J30" s="7" t="str"/>
      <x:c r="K30" s="7" t="str">
        <x:v>content/lore/LOR-cerberus-me1.json</x:v>
      </x:c>
      <x:c r="L30" s="7" t="str"/>
      <x:c r="M30" s="7" t="str"/>
      <x:c r="N30" s="7" t="str">
        <x:v>Nomenclature de couverture à vérifier dans le codex ME1 avant validation.</x:v>
      </x:c>
      <x:c r="O30" s="7" t="str">
        <x:v>https://www.ea.com/fr/games/mass-effect/mass-effect-legendary-edition</x:v>
      </x:c>
      <x:c r="P30" s="7" t="str">
        <x:v>Production ME1</x:v>
      </x:c>
      <x:c r="Q30" s="7" t="str"/>
    </x:row>
    <x:row r="31" ht="36" customHeight="1">
      <x:c r="A31" s="13" t="str">
        <x:v>LOR-exogeni</x:v>
      </x:c>
      <x:c r="B31" s="14" t="str">
        <x:v>ExoGeni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Entreprise liée à l’exploitation de Feros.</x:v>
      </x:c>
      <x:c r="I31" s="14" t="str">
        <x:v>Logo, terminaux et documents distincts.</x:v>
      </x:c>
      <x:c r="J31" s="14" t="str"/>
      <x:c r="K31" s="14" t="str">
        <x:v>content/lore/LOR-exogeni.json</x:v>
      </x:c>
      <x:c r="L31" s="14" t="str"/>
      <x:c r="M31" s="14" t="str"/>
      <x:c r="N31" s="14" t="str">
        <x:v>Nomenclature de couverture à vérifier dans le codex ME1 avant validation.</x:v>
      </x:c>
      <x:c r="O31" s="14" t="str">
        <x:v>https://www.ea.com/fr/games/mass-effect/mass-effect-legendary-edition</x:v>
      </x:c>
      <x:c r="P31" s="14" t="str">
        <x:v>Production ME1</x:v>
      </x:c>
      <x:c r="Q31" s="14" t="str"/>
    </x:row>
    <x:row r="32" ht="36" customHeight="1">
      <x:c r="A32" s="12" t="str">
        <x:v>LOR-binary-helix</x:v>
      </x:c>
      <x:c r="B32" s="7" t="str">
        <x:v>Binary Helix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Entreprise impliquée sur Noveria.</x:v>
      </x:c>
      <x:c r="I32" s="7" t="str">
        <x:v>Marquage des laboratoires rattaché au bon site.</x:v>
      </x:c>
      <x:c r="J32" s="7" t="str"/>
      <x:c r="K32" s="7" t="str">
        <x:v>content/lore/LOR-binary-helix.json</x:v>
      </x:c>
      <x:c r="L32" s="7" t="str"/>
      <x:c r="M32" s="7" t="str"/>
      <x:c r="N32" s="7" t="str">
        <x:v>Nomenclature de couverture à vérifier dans le codex ME1 avant validation.</x:v>
      </x:c>
      <x:c r="O32" s="7" t="str">
        <x:v>https://www.ea.com/fr/games/mass-effect/mass-effect-legendary-edition</x:v>
      </x:c>
      <x:c r="P32" s="7" t="str">
        <x:v>Production ME1</x:v>
      </x:c>
      <x:c r="Q32" s="7" t="str"/>
    </x:row>
    <x:row r="33" ht="36" customHeight="1">
      <x:c r="A33" s="13" t="str">
        <x:v>LOR-synthetic-insights</x:v>
      </x:c>
      <x:c r="B33" s="14" t="str">
        <x:v>Synthetic Insights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Entreprise de recherche sur Noveria.</x:v>
      </x:c>
      <x:c r="I33" s="14" t="str">
        <x:v>Architecture de bureaux et preuves correspondantes.</x:v>
      </x:c>
      <x:c r="J33" s="14" t="str"/>
      <x:c r="K33" s="14" t="str">
        <x:v>content/lore/LOR-synthetic-insights.json</x:v>
      </x:c>
      <x:c r="L33" s="14" t="str"/>
      <x:c r="M33" s="14" t="str"/>
      <x:c r="N33" s="14" t="str">
        <x:v>Nomenclature de couverture à vérifier dans le codex ME1 avant validation.</x:v>
      </x:c>
      <x:c r="O33" s="14" t="str">
        <x:v>https://www.ea.com/fr/games/mass-effect/mass-effect-legendary-edition</x:v>
      </x:c>
      <x:c r="P33" s="14" t="str">
        <x:v>Production ME1</x:v>
      </x:c>
      <x:c r="Q33" s="14" t="str"/>
    </x:row>
    <x:row r="34" ht="36" customHeight="1">
      <x:c r="A34" s="12" t="str">
        <x:v>LOR-courtier-de-l-ombre</x:v>
      </x:c>
      <x:c r="B34" s="7" t="str">
        <x:v>Courtier de l’Ombre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Réseau d’information dont l’identité reste cachée dans ME1.</x:v>
      </x:c>
      <x:c r="I34" s="7" t="str">
        <x:v>Aucune révélation de ME2 anticipée.</x:v>
      </x:c>
      <x:c r="J34" s="7" t="str"/>
      <x:c r="K34" s="7" t="str">
        <x:v>content/lore/LOR-courtier-de-l-ombre.json</x:v>
      </x:c>
      <x:c r="L34" s="7" t="str"/>
      <x:c r="M34" s="7" t="str"/>
      <x:c r="N34" s="7" t="str">
        <x:v>Nomenclature de couverture à vérifier dans le codex ME1 avant validation.</x:v>
      </x:c>
      <x:c r="O34" s="7" t="str">
        <x:v>https://www.ea.com/fr/games/mass-effect/mass-effect-legendary-edition</x:v>
      </x:c>
      <x:c r="P34" s="7" t="str">
        <x:v>Production ME1</x:v>
      </x:c>
      <x:c r="Q34" s="7" t="str"/>
    </x:row>
    <x:row r="35" ht="36" customHeight="1">
      <x:c r="A35" s="13" t="str">
        <x:v>LOR-flotte-nomade</x:v>
      </x:c>
      <x:c r="B35" s="14" t="str">
        <x:v>Flotte nomade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Communauté quarienne évoquée par Tali.</x:v>
      </x:c>
      <x:c r="I35" s="14" t="str">
        <x:v>Pas de visite inventée présentée comme mission ME1.</x:v>
      </x:c>
      <x:c r="J35" s="14" t="str"/>
      <x:c r="K35" s="14" t="str">
        <x:v>content/lore/LOR-flotte-nomade.json</x:v>
      </x:c>
      <x:c r="L35" s="14" t="str"/>
      <x:c r="M35" s="14" t="str"/>
      <x:c r="N35" s="14" t="str">
        <x:v>Nomenclature de couverture à vérifier dans le codex ME1 avant validation.</x:v>
      </x:c>
      <x:c r="O35" s="14" t="str">
        <x:v>https://www.ea.com/fr/games/mass-effect/mass-effect-legendary-edition</x:v>
      </x:c>
      <x:c r="P35" s="14" t="str">
        <x:v>Production ME1</x:v>
      </x:c>
      <x:c r="Q35" s="14" t="str"/>
    </x:row>
    <x:row r="36" ht="36" customHeight="1">
      <x:c r="A36" s="12" t="str">
        <x:v>LOR-hierarchie-turienne</x:v>
      </x:c>
      <x:c r="B36" s="7" t="str">
        <x:v>Hiérarchie turienne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Organisation militaire et politique turienne.</x:v>
      </x:c>
      <x:c r="I36" s="7" t="str">
        <x:v>Codex et dialogues de contexte vérifiés.</x:v>
      </x:c>
      <x:c r="J36" s="7" t="str"/>
      <x:c r="K36" s="7" t="str">
        <x:v>content/lore/LOR-hierarchie-turienne.json</x:v>
      </x:c>
      <x:c r="L36" s="7" t="str"/>
      <x:c r="M36" s="7" t="str"/>
      <x:c r="N36" s="7" t="str">
        <x:v>Nomenclature de couverture à vérifier dans le codex ME1 avant validation.</x:v>
      </x:c>
      <x:c r="O36" s="7" t="str">
        <x:v>https://www.ea.com/fr/games/mass-effect/mass-effect-legendary-edition</x:v>
      </x:c>
      <x:c r="P36" s="7" t="str">
        <x:v>Production ME1</x:v>
      </x:c>
      <x:c r="Q36" s="7" t="str"/>
    </x:row>
    <x:row r="37" ht="36" customHeight="1">
      <x:c r="A37" s="13" t="str">
        <x:v>LOR-clans-krogans</x:v>
      </x:c>
      <x:c r="B37" s="14" t="str">
        <x:v>Clans krogans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Structures claniques et tensions liées au génophage.</x:v>
      </x:c>
      <x:c r="I37" s="14" t="str">
        <x:v>Wrex n’est pas encore dans tous ses rôles futurs.</x:v>
      </x:c>
      <x:c r="J37" s="14" t="str"/>
      <x:c r="K37" s="14" t="str">
        <x:v>content/lore/LOR-clans-krogans.json</x:v>
      </x:c>
      <x:c r="L37" s="14" t="str"/>
      <x:c r="M37" s="14" t="str"/>
      <x:c r="N37" s="14" t="str">
        <x:v>Nomenclature de couverture à vérifier dans le codex ME1 avant validation.</x:v>
      </x:c>
      <x:c r="O37" s="14" t="str">
        <x:v>https://www.ea.com/fr/games/mass-effect/mass-effect-legendary-edition</x:v>
      </x:c>
      <x:c r="P37" s="14" t="str">
        <x:v>Production ME1</x:v>
      </x:c>
      <x:c r="Q37" s="14" t="str"/>
    </x:row>
    <x:row r="38" ht="36" customHeight="1">
      <x:c r="A38" s="12" t="str">
        <x:v>LOR-mercenaires-des-systemes-terminus</x:v>
      </x:c>
      <x:c r="B38" s="7" t="str">
        <x:v>Mercenaires des systèmes Terminus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Adversaires et contrats locaux.</x:v>
      </x:c>
      <x:c r="I38" s="7" t="str">
        <x:v>Éviter les trois grandes bandes de ME2 imposées à ME1.</x:v>
      </x:c>
      <x:c r="J38" s="7" t="str"/>
      <x:c r="K38" s="7" t="str">
        <x:v>content/lore/LOR-mercenaires-des-systemes-terminus.json</x:v>
      </x:c>
      <x:c r="L38" s="7" t="str"/>
      <x:c r="M38" s="7" t="str"/>
      <x:c r="N38" s="7" t="str">
        <x:v>Nomenclature de couverture à vérifier dans le codex ME1 avant validation.</x:v>
      </x:c>
      <x:c r="O38" s="7" t="str">
        <x:v>https://www.ea.com/fr/games/mass-effect/mass-effect-legendary-edition</x:v>
      </x:c>
      <x:c r="P38" s="7" t="str">
        <x:v>Production ME1</x:v>
      </x:c>
      <x:c r="Q38" s="7" t="str"/>
    </x:row>
    <x:row r="39" ht="36" customHeight="1">
      <x:c r="A39" s="13" t="str">
        <x:v>LOR-genophage</x:v>
      </x:c>
      <x:c r="B39" s="14" t="str">
        <x:v>Génophage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Sujet central de l’histoire krogane.</x:v>
      </x:c>
      <x:c r="I39" s="14" t="str">
        <x:v>Débat et conséquences sans solution importée de ME3.</x:v>
      </x:c>
      <x:c r="J39" s="14" t="str"/>
      <x:c r="K39" s="14" t="str">
        <x:v>content/lore/LOR-genophage.json</x:v>
      </x:c>
      <x:c r="L39" s="14" t="str"/>
      <x:c r="M39" s="14" t="str"/>
      <x:c r="N39" s="14" t="str">
        <x:v>Nomenclature de couverture à vérifier dans le codex ME1 avant validation.</x:v>
      </x:c>
      <x:c r="O39" s="14" t="str">
        <x:v>https://www.ea.com/fr/games/mass-effect/mass-effect-legendary-edition</x:v>
      </x:c>
      <x:c r="P39" s="14" t="str">
        <x:v>Production ME1</x:v>
      </x:c>
      <x:c r="Q39" s="14" t="str"/>
    </x:row>
    <x:row r="40" ht="36" customHeight="1">
      <x:c r="A40" s="12" t="str">
        <x:v>LOR-indoctrinement</x:v>
      </x:c>
      <x:c r="B40" s="7" t="str">
        <x:v>Indoctrinement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Influence liée aux Moissonneurs.</x:v>
      </x:c>
      <x:c r="I40" s="7" t="str">
        <x:v>Indices progressifs et absence de jauge révélant trop tôt le mystère.</x:v>
      </x:c>
      <x:c r="J40" s="7" t="str"/>
      <x:c r="K40" s="7" t="str">
        <x:v>content/lore/LOR-indoctrinement.json</x:v>
      </x:c>
      <x:c r="L40" s="7" t="str"/>
      <x:c r="M40" s="7" t="str"/>
      <x:c r="N40" s="7" t="str">
        <x:v>Nomenclature de couverture à vérifier dans le codex ME1 avant validation.</x:v>
      </x:c>
      <x:c r="O40" s="7" t="str">
        <x:v>https://www.ea.com/fr/games/mass-effect/mass-effect-legendary-edition</x:v>
      </x:c>
      <x:c r="P40" s="7" t="str">
        <x:v>Production ME1</x:v>
      </x:c>
      <x:c r="Q40" s="7" t="str"/>
    </x:row>
    <x:row r="41" ht="36" customHeight="1">
      <x:c r="A41" s="13" t="str">
        <x:v>LOR-relais-cosmodesiques</x:v>
      </x:c>
      <x:c r="B41" s="14" t="str">
        <x:v>Relais cosmodésiques</x:v>
      </x:c>
      <x:c r="C41" s="10" t="str">
        <x:v>Prototype</x:v>
      </x:c>
      <x:c r="D41" s="11" t="str">
        <x:v>Prototype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Réseau de déplacement galactique.</x:v>
      </x:c>
      <x:c r="I41" s="14" t="str">
        <x:v>Carte et accès distinguent amas, systèmes et planètes.</x:v>
      </x:c>
      <x:c r="J41" s="14" t="str"/>
      <x:c r="K41" s="14" t="str">
        <x:v>content/lore/LOR-relais-cosmodesiques.json</x:v>
      </x:c>
      <x:c r="L41" s="14" t="str">
        <x:v>src/game-data.js</x:v>
      </x:c>
      <x:c r="M41" s="14" t="str">
        <x:v>CODEX.relay</x:v>
      </x:c>
      <x:c r="N41" s="14" t="str">
        <x:v>Nomenclature de couverture à vérifier dans le codex ME1 avant validation.</x:v>
      </x:c>
      <x:c r="O41" s="14" t="str">
        <x:v>https://www.ea.com/fr/games/mass-effect/mass-effect-legendary-edition</x:v>
      </x:c>
      <x:c r="P41" s="14" t="str">
        <x:v>Production ME1</x:v>
      </x:c>
      <x:c r="Q41" s="14" t="str">
        <x:v>Entrée de codex courte présente. Dossier encyclopédique et références détaillées à compléter.</x:v>
      </x:c>
    </x:row>
    <x:row r="42" ht="36" customHeight="1">
      <x:c r="A42" s="12" t="str">
        <x:v>LOR-element-zero</x:v>
      </x:c>
      <x:c r="B42" s="7" t="str">
        <x:v>Élément zéro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Fondement des effets de masse.</x:v>
      </x:c>
      <x:c r="I42" s="7" t="str">
        <x:v>Descriptions et technologies vérifiées dans le codex.</x:v>
      </x:c>
      <x:c r="J42" s="7" t="str"/>
      <x:c r="K42" s="7" t="str">
        <x:v>content/lore/LOR-element-zero.json</x:v>
      </x:c>
      <x:c r="L42" s="7" t="str"/>
      <x:c r="M42" s="7" t="str"/>
      <x:c r="N42" s="7" t="str">
        <x:v>Nomenclature de couverture à vérifier dans le codex ME1 avant validation.</x:v>
      </x:c>
      <x:c r="O42" s="7" t="str">
        <x:v>https://www.ea.com/fr/games/mass-effect/mass-effect-legendary-edition</x:v>
      </x:c>
      <x:c r="P42" s="7" t="str">
        <x:v>Production ME1</x:v>
      </x:c>
      <x:c r="Q42" s="7" t="str"/>
    </x:row>
  </x:sheetData>
  <x:conditionalFormatting sqref="C7:C42">
    <x:cfRule type="cellIs" dxfId="10" priority="1" operator="equal">
      <x:formula>"Prototype"</x:formula>
    </x:cfRule>
    <x:cfRule type="cellIs" dxfId="11" priority="2" operator="equal">
      <x:formula>"Intégré"</x:formula>
    </x:cfRule>
    <x:cfRule type="cellIs" dxfId="12" priority="3" operator="equal">
      <x:formula>"Validé"</x:formula>
    </x:cfRule>
  </x:conditionalFormatting>
  <x:conditionalFormatting sqref="G7:G42">
    <x:cfRule type="cellIs" dxfId="13" priority="4" operator="equal">
      <x:formula>"Référence à vérifier"</x:formula>
    </x:cfRule>
  </x:conditionalFormatting>
  <x:conditionalFormatting sqref="E7:E42">
    <x:cfRule type="cellIs" dxfId="14" priority="5" operator="equal">
      <x:formula>"P0"</x:formula>
    </x:cfRule>
  </x:conditionalFormatting>
  <x:dataValidations count="5">
    <x:dataValidation type="list" sqref="C7:C42">
      <x:formula1>"Défini,Prototype,Intégré,Validé"</x:formula1>
    </x:dataValidation>
    <x:dataValidation type="list" sqref="D7:D42">
      <x:formula1>"À produire,Prototype,Disponible,Validé,Sans objet,Non planifié"</x:formula1>
    </x:dataValidation>
    <x:dataValidation type="list" sqref="E7:E42">
      <x:formula1>"P0,P1,P2"</x:formula1>
    </x:dataValidation>
    <x:dataValidation type="list" sqref="F7:F42">
      <x:formula1>"ME1,ME2,ME3"</x:formula1>
    </x:dataValidation>
    <x:dataValidation type="list" sqref="G7:G4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85dde72cac4fd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88" customHeight="1">
      <x:c r="A7" s="13" t="str">
        <x:v>WRL-normandy-sr-1</x:v>
      </x:c>
      <x:c r="B7" s="14" t="str">
        <x:v>Normandy SR-1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Base mobile du premier épisode.</x:v>
      </x:c>
      <x:c r="I7" s="14" t="str">
        <x:v>Plan SR-1 et ponts cohérents ; aucune cabine du SR-2.</x:v>
      </x:c>
      <x:c r="J7" s="14" t="str"/>
      <x:c r="K7" s="14" t="str">
        <x:v>content/worlds/WRL-normandy-sr-1.json</x:v>
      </x:c>
      <x:c r="L7" s="14" t="str">
        <x:v>src/world-data.js</x:v>
      </x:c>
      <x:c r="M7" s="14" t="str">
        <x:v>normandy</x:v>
      </x:c>
      <x:c r="N7" s="14" t="str">
        <x:v>Planète et mission de référence à relever dans ME1 ; données de couverture non validées.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>
        <x:v>Décor 3D original et condensé dans src/world.js. Les sous-zones du plan de couverture restent à construire et les proportions canoniques à relever. Coque illustrée dans public/assets/vehicle-atlas.png, quadrant supérieur gauche ; l’intérieur condensé est prouvé par src/world-data.js. Aucun pilotage du vaisseau.</x:v>
      </x:c>
    </x:row>
    <x:row r="8" ht="49" customHeight="1">
      <x:c r="A8" s="12" t="str">
        <x:v>WRL-eden-prime</x:v>
      </x:c>
      <x:c r="B8" s="7" t="str">
        <x:v>Eden Prime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Colonie verte frappée par l’attaque geth.</x:v>
      </x:c>
      <x:c r="I8" s="7" t="str">
        <x:v>Végétation, fermes et ciel de bataille selon la référence choisie.</x:v>
      </x:c>
      <x:c r="J8" s="7" t="str"/>
      <x:c r="K8" s="7" t="str">
        <x:v>content/worlds/WRL-eden-prime.json</x:v>
      </x:c>
      <x:c r="L8" s="7" t="str">
        <x:v>src/world-data.js</x:v>
      </x:c>
      <x:c r="M8" s="7" t="str">
        <x:v>eden-prime</x:v>
      </x:c>
      <x:c r="N8" s="7" t="str">
        <x:v>Planète et mission de référence à relever dans ME1 ; données de couverture non validées.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>
        <x:v>Décor 3D original et condensé dans src/world.js. Les sous-zones du plan de couverture restent à construire et les proportions canoniques à relever.</x:v>
      </x:c>
    </x:row>
    <x:row r="9" ht="49" customHeight="1">
      <x:c r="A9" s="13" t="str">
        <x:v>WRL-citadelle</x:v>
      </x:c>
      <x:c r="B9" s="14" t="str">
        <x:v>Citadelle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Station avec Présidium, Secteurs et tour du Conseil.</x:v>
      </x:c>
      <x:c r="I9" s="14" t="str">
        <x:v>Échelle monumentale et axes spatiaux reconnaissables.</x:v>
      </x:c>
      <x:c r="J9" s="14" t="str"/>
      <x:c r="K9" s="14" t="str">
        <x:v>content/worlds/WRL-citadelle.json</x:v>
      </x:c>
      <x:c r="L9" s="14" t="str">
        <x:v>src/world-data.js</x:v>
      </x:c>
      <x:c r="M9" s="14" t="str">
        <x:v>citadel, citadel-finale</x:v>
      </x:c>
      <x:c r="N9" s="14" t="str">
        <x:v>Planète et mission de référence à relever dans ME1 ; données de couverture non validées.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>
        <x:v>Décor 3D original et condensé dans src/world.js. Les sous-zones du plan de couverture restent à construire et les proportions canoniques à relever.</x:v>
      </x:c>
    </x:row>
    <x:row r="10" ht="49" customHeight="1">
      <x:c r="A10" s="12" t="str">
        <x:v>WRL-therum</x:v>
      </x:c>
      <x:c r="B10" s="7" t="str">
        <x:v>Therum</x:v>
      </x:c>
      <x:c r="C10" s="10" t="str">
        <x:v>Prototype</x:v>
      </x:c>
      <x:c r="D10" s="11" t="str">
        <x:v>Prototype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Site volcanique d’excavation prothéenne.</x:v>
      </x:c>
      <x:c r="I10" s="7" t="str">
        <x:v>Lave, mines et accès à Liara reliés logiquement.</x:v>
      </x:c>
      <x:c r="J10" s="7" t="str"/>
      <x:c r="K10" s="7" t="str">
        <x:v>content/worlds/WRL-therum.json</x:v>
      </x:c>
      <x:c r="L10" s="7" t="str">
        <x:v>src/world-data.js</x:v>
      </x:c>
      <x:c r="M10" s="7" t="str">
        <x:v>therum</x:v>
      </x:c>
      <x:c r="N10" s="7" t="str">
        <x:v>Planète et mission de référence à relever dans ME1 ; données de couverture non validées.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>
        <x:v>Décor 3D original et condensé dans src/world.js. Les sous-zones du plan de couverture restent à construire et les proportions canoniques à relever.</x:v>
      </x:c>
    </x:row>
    <x:row r="11" ht="49" customHeight="1">
      <x:c r="A11" s="13" t="str">
        <x:v>WRL-feros</x:v>
      </x:c>
      <x:c r="B11" s="14" t="str">
        <x:v>Feros</x:v>
      </x:c>
      <x:c r="C11" s="10" t="str">
        <x:v>Prototype</x:v>
      </x:c>
      <x:c r="D11" s="11" t="str">
        <x:v>Prototype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Colonie de Zhu’s Hope dans des ruines anciennes.</x:v>
      </x:c>
      <x:c r="I11" s="14" t="str">
        <x:v>Verticalité et installations ExoGeni conservées.</x:v>
      </x:c>
      <x:c r="J11" s="14" t="str"/>
      <x:c r="K11" s="14" t="str">
        <x:v>content/worlds/WRL-feros.json</x:v>
      </x:c>
      <x:c r="L11" s="14" t="str">
        <x:v>src/world-data.js</x:v>
      </x:c>
      <x:c r="M11" s="14" t="str">
        <x:v>feros</x:v>
      </x:c>
      <x:c r="N11" s="14" t="str">
        <x:v>Planète et mission de référence à relever dans ME1 ; données de couverture non validées.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>
        <x:v>Décor 3D original et condensé dans src/world.js. Les sous-zones du plan de couverture restent à construire et les proportions canoniques à relever.</x:v>
      </x:c>
    </x:row>
    <x:row r="12" ht="49" customHeight="1">
      <x:c r="A12" s="12" t="str">
        <x:v>WRL-noveria</x:v>
      </x:c>
      <x:c r="B12" s="7" t="str">
        <x:v>Noveria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Monde glacial et installations de recherche.</x:v>
      </x:c>
      <x:c r="I12" s="7" t="str">
        <x:v>Port Hanshan, route et Peak 15 distingués.</x:v>
      </x:c>
      <x:c r="J12" s="7" t="str"/>
      <x:c r="K12" s="7" t="str">
        <x:v>content/worlds/WRL-noveria.json</x:v>
      </x:c>
      <x:c r="L12" s="7" t="str">
        <x:v>src/world-data.js</x:v>
      </x:c>
      <x:c r="M12" s="7" t="str">
        <x:v>noveria</x:v>
      </x:c>
      <x:c r="N12" s="7" t="str">
        <x:v>Planète et mission de référence à relever dans ME1 ; données de couverture non validées.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>
        <x:v>Décor 3D original et condensé dans src/world.js. Les sous-zones du plan de couverture restent à construire et les proportions canoniques à relever.</x:v>
      </x:c>
    </x:row>
    <x:row r="13" ht="49" customHeight="1">
      <x:c r="A13" s="13" t="str">
        <x:v>WRL-virmire</x:v>
      </x:c>
      <x:c r="B13" s="14" t="str">
        <x:v>Virmire</x:v>
      </x:c>
      <x:c r="C13" s="10" t="str">
        <x:v>Prototype</x:v>
      </x:c>
      <x:c r="D13" s="11" t="str">
        <x:v>Prototype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Littoral tropical et base de Saren.</x:v>
      </x:c>
      <x:c r="I13" s="14" t="str">
        <x:v>Progression depuis le camp STG jusqu’au site d’extraction.</x:v>
      </x:c>
      <x:c r="J13" s="14" t="str"/>
      <x:c r="K13" s="14" t="str">
        <x:v>content/worlds/WRL-virmire.json</x:v>
      </x:c>
      <x:c r="L13" s="14" t="str">
        <x:v>src/world-data.js</x:v>
      </x:c>
      <x:c r="M13" s="14" t="str">
        <x:v>virmire</x:v>
      </x:c>
      <x:c r="N13" s="14" t="str">
        <x:v>Planète et mission de référence à relever dans ME1 ; données de couverture non validées.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>
        <x:v>Décor 3D original et condensé dans src/world.js. Les sous-zones du plan de couverture restent à construire et les proportions canoniques à relever.</x:v>
      </x:c>
    </x:row>
    <x:row r="14" ht="49" customHeight="1">
      <x:c r="A14" s="12" t="str">
        <x:v>WRL-ilos</x:v>
      </x:c>
      <x:c r="B14" s="7" t="str">
        <x:v>Ilos</x:v>
      </x:c>
      <x:c r="C14" s="10" t="str">
        <x:v>Prototype</x:v>
      </x:c>
      <x:c r="D14" s="11" t="str">
        <x:v>Prototype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Vestiges prothéens envahis par la végétation.</x:v>
      </x:c>
      <x:c r="I14" s="7" t="str">
        <x:v>Révélations et parcours final au Mako préservés.</x:v>
      </x:c>
      <x:c r="J14" s="7" t="str"/>
      <x:c r="K14" s="7" t="str">
        <x:v>content/worlds/WRL-ilos.json</x:v>
      </x:c>
      <x:c r="L14" s="7" t="str">
        <x:v>src/world-data.js</x:v>
      </x:c>
      <x:c r="M14" s="7" t="str">
        <x:v>ilos</x:v>
      </x:c>
      <x:c r="N14" s="7" t="str">
        <x:v>Planète et mission de référence à relever dans ME1 ; données de couverture non validées.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>
        <x:v>Décor 3D original et condensé dans src/world.js. Les sous-zones du plan de couverture restent à construire et les proportions canoniques à relever.</x:v>
      </x:c>
    </x:row>
    <x:row r="15" ht="36" customHeight="1">
      <x:c r="A15" s="13" t="str">
        <x:v>WRL-asteroide-x57</x:v>
      </x:c>
      <x:c r="B15" s="14" t="str">
        <x:v>Astéroïde X57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Site du DLC Bring Down the Sky.</x:v>
      </x:c>
      <x:c r="I15" s="14" t="str">
        <x:v>Propulseurs et menace orbitale lisibles.</x:v>
      </x:c>
      <x:c r="J15" s="14" t="str"/>
      <x:c r="K15" s="14" t="str">
        <x:v>content/worlds/WRL-asteroide-x57.json</x:v>
      </x:c>
      <x:c r="L15" s="14" t="str"/>
      <x:c r="M15" s="14" t="str"/>
      <x:c r="N15" s="14" t="str">
        <x:v>Planète et mission de référence à relever dans ME1 ; données de couverture non validées.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WRL-station-pinnacle</x:v>
      </x:c>
      <x:c r="B16" s="7" t="str">
        <x:v>Station Pinnacle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Installation du DLC de simulation.</x:v>
      </x:c>
      <x:c r="I16" s="7" t="str">
        <x:v>Extension séparée ; non incluse par défaut dans Legendary Edition.</x:v>
      </x:c>
      <x:c r="J16" s="7" t="str"/>
      <x:c r="K16" s="7" t="str">
        <x:v>content/worlds/WRL-station-pinnacle.json</x:v>
      </x:c>
      <x:c r="L16" s="7" t="str"/>
      <x:c r="M16" s="7" t="str"/>
      <x:c r="N16" s="7" t="str">
        <x:v>Planète et mission de référence à relever dans ME1 ; données de couverture non validées.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WRL-luna</x:v>
      </x:c>
      <x:c r="B17" s="14" t="str">
        <x:v>Luna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Base d’entraînement et drones sur la Lune.</x:v>
      </x:c>
      <x:c r="I17" s="14" t="str">
        <x:v>Terre visible et environnement lunaire documenté.</x:v>
      </x:c>
      <x:c r="J17" s="14" t="str"/>
      <x:c r="K17" s="14" t="str">
        <x:v>content/worlds/WRL-luna.json</x:v>
      </x:c>
      <x:c r="L17" s="14" t="str"/>
      <x:c r="M17" s="14" t="str"/>
      <x:c r="N17" s="14" t="str">
        <x:v>Planète et mission de référence à relever dans ME1 ; données de couverture non validées.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WRL-eletania</x:v>
      </x:c>
      <x:c r="B18" s="7" t="str">
        <x:v>Eletania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Monde de la mission de module de données.</x:v>
      </x:c>
      <x:c r="I18" s="7" t="str">
        <x:v>Faune locale et artefact distincts.</x:v>
      </x:c>
      <x:c r="J18" s="7" t="str"/>
      <x:c r="K18" s="7" t="str">
        <x:v>content/worlds/WRL-eletania.json</x:v>
      </x:c>
      <x:c r="L18" s="7" t="str"/>
      <x:c r="M18" s="7" t="str"/>
      <x:c r="N18" s="7" t="str">
        <x:v>Planète et mission de référence à relever dans ME1 ; données de couverture non validées.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WRL-edolus</x:v>
      </x:c>
      <x:c r="B19" s="14" t="str">
        <x:v>Edolus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Monde de la mission d’équipe disparue.</x:v>
      </x:c>
      <x:c r="I19" s="14" t="str">
        <x:v>Danger souterrain et balise de détresse.</x:v>
      </x:c>
      <x:c r="J19" s="14" t="str"/>
      <x:c r="K19" s="14" t="str">
        <x:v>content/worlds/WRL-edolus.json</x:v>
      </x:c>
      <x:c r="L19" s="14" t="str"/>
      <x:c r="M19" s="14" t="str"/>
      <x:c r="N19" s="14" t="str">
        <x:v>Planète et mission de référence à relever dans ME1 ; données de couverture non validées.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WRL-antibaar</x:v>
      </x:c>
      <x:c r="B20" s="7" t="str">
        <x:v>Antibaar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Monde d’incursions geth.</x:v>
      </x:c>
      <x:c r="I20" s="7" t="str">
        <x:v>Camp et météo à relever dans le jeu.</x:v>
      </x:c>
      <x:c r="J20" s="7" t="str"/>
      <x:c r="K20" s="7" t="str">
        <x:v>content/worlds/WRL-antibaar.json</x:v>
      </x:c>
      <x:c r="L20" s="7" t="str"/>
      <x:c r="M20" s="7" t="str"/>
      <x:c r="N20" s="7" t="str">
        <x:v>Planète et mission de référence à relever dans ME1 ; données de couverture non validées.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WRL-casbin</x:v>
      </x:c>
      <x:c r="B21" s="14" t="str">
        <x:v>Casbin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Monde d’incursions geth.</x:v>
      </x:c>
      <x:c r="I21" s="14" t="str">
        <x:v>Zone d’atterrissage et défense à relever.</x:v>
      </x:c>
      <x:c r="J21" s="14" t="str"/>
      <x:c r="K21" s="14" t="str">
        <x:v>content/worlds/WRL-casbin.json</x:v>
      </x:c>
      <x:c r="L21" s="14" t="str"/>
      <x:c r="M21" s="14" t="str"/>
      <x:c r="N21" s="14" t="str">
        <x:v>Planète et mission de référence à relever dans ME1 ; données de couverture non validées.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WRL-maji</x:v>
      </x:c>
      <x:c r="B22" s="7" t="str">
        <x:v>Maji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Monde d’incursions geth.</x:v>
      </x:c>
      <x:c r="I22" s="7" t="str">
        <x:v>Plateforme ennemie à cartographier.</x:v>
      </x:c>
      <x:c r="J22" s="7" t="str"/>
      <x:c r="K22" s="7" t="str">
        <x:v>content/worlds/WRL-maji.json</x:v>
      </x:c>
      <x:c r="L22" s="7" t="str"/>
      <x:c r="M22" s="7" t="str"/>
      <x:c r="N22" s="7" t="str">
        <x:v>Planète et mission de référence à relever dans ME1 ; données de couverture non validées.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WRL-rayingri</x:v>
      </x:c>
      <x:c r="B23" s="14" t="str">
        <x:v>Rayingri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Monde d’incursions geth.</x:v>
      </x:c>
      <x:c r="I23" s="14" t="str">
        <x:v>Installation et assaut à documenter.</x:v>
      </x:c>
      <x:c r="J23" s="14" t="str"/>
      <x:c r="K23" s="14" t="str">
        <x:v>content/worlds/WRL-rayingri.json</x:v>
      </x:c>
      <x:c r="L23" s="14" t="str"/>
      <x:c r="M23" s="14" t="str"/>
      <x:c r="N23" s="14" t="str">
        <x:v>Planète et mission de référence à relever dans ME1 ; données de couverture non validées.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WRL-solcrum</x:v>
      </x:c>
      <x:c r="B24" s="7" t="str">
        <x:v>Solcrum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Base finale des incursions geth.</x:v>
      </x:c>
      <x:c r="I24" s="7" t="str">
        <x:v>Intérieur et serveur liés à la mission de Tali.</x:v>
      </x:c>
      <x:c r="J24" s="7" t="str"/>
      <x:c r="K24" s="7" t="str">
        <x:v>content/worlds/WRL-solcrum.json</x:v>
      </x:c>
      <x:c r="L24" s="7" t="str"/>
      <x:c r="M24" s="7" t="str"/>
      <x:c r="N24" s="7" t="str">
        <x:v>Planète et mission de référence à relever dans ME1 ; données de couverture non validées.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WRL-agebinium</x:v>
      </x:c>
      <x:c r="B25" s="14" t="str">
        <x:v>Agebinium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Monde du piège de la sonde d’espionnage.</x:v>
      </x:c>
      <x:c r="I25" s="14" t="str">
        <x:v>Mine, sortie et camp mercenaire cohérents.</x:v>
      </x:c>
      <x:c r="J25" s="14" t="str"/>
      <x:c r="K25" s="14" t="str">
        <x:v>content/worlds/WRL-agebinium.json</x:v>
      </x:c>
      <x:c r="L25" s="14" t="str"/>
      <x:c r="M25" s="14" t="str"/>
      <x:c r="N25" s="14" t="str">
        <x:v>Planète et mission de référence à relever dans ME1 ; données de couverture non validées.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WRL-klensal</x:v>
      </x:c>
      <x:c r="B26" s="7" t="str">
        <x:v>Klensal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Monde d’une mission de crime organisé.</x:v>
      </x:c>
      <x:c r="I26" s="7" t="str">
        <x:v>Camp et chef de bande à relever.</x:v>
      </x:c>
      <x:c r="J26" s="7" t="str"/>
      <x:c r="K26" s="7" t="str">
        <x:v>content/worlds/WRL-klensal.json</x:v>
      </x:c>
      <x:c r="L26" s="7" t="str"/>
      <x:c r="M26" s="7" t="str"/>
      <x:c r="N26" s="7" t="str">
        <x:v>Planète et mission de référence à relever dans ME1 ; données de couverture non validées.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WRL-mavigon</x:v>
      </x:c>
      <x:c r="B27" s="14" t="str">
        <x:v>Mavigon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Monde d’une mission de crime organisé.</x:v>
      </x:c>
      <x:c r="I27" s="14" t="str">
        <x:v>Froid et accès aux installations documentés.</x:v>
      </x:c>
      <x:c r="J27" s="14" t="str"/>
      <x:c r="K27" s="14" t="str">
        <x:v>content/worlds/WRL-mavigon.json</x:v>
      </x:c>
      <x:c r="L27" s="14" t="str"/>
      <x:c r="M27" s="14" t="str"/>
      <x:c r="N27" s="14" t="str">
        <x:v>Planète et mission de référence à relever dans ME1 ; données de couverture non validées.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WRL-amaranthine</x:v>
      </x:c>
      <x:c r="B28" s="7" t="str">
        <x:v>Amaranthine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Destination de confrontation avec Helena Blake.</x:v>
      </x:c>
      <x:c r="I28" s="7" t="str">
        <x:v>Branches de dialogue et combat distinctes.</x:v>
      </x:c>
      <x:c r="J28" s="7" t="str"/>
      <x:c r="K28" s="7" t="str">
        <x:v>content/worlds/WRL-amaranthine.json</x:v>
      </x:c>
      <x:c r="L28" s="7" t="str"/>
      <x:c r="M28" s="7" t="str"/>
      <x:c r="N28" s="7" t="str">
        <x:v>Planète et mission de référence à relever dans ME1 ; données de couverture non validées.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WRL-ontarom</x:v>
      </x:c>
      <x:c r="B29" s="14" t="str">
        <x:v>Ontarom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Destination de la mission du scientifique mort.</x:v>
      </x:c>
      <x:c r="I29" s="14" t="str">
        <x:v>Ferme et prise d’otage à vérifier.</x:v>
      </x:c>
      <x:c r="J29" s="14" t="str"/>
      <x:c r="K29" s="14" t="str">
        <x:v>content/worlds/WRL-ontarom.json</x:v>
      </x:c>
      <x:c r="L29" s="14" t="str"/>
      <x:c r="M29" s="14" t="str"/>
      <x:c r="N29" s="14" t="str">
        <x:v>Planète et mission de référence à relever dans ME1 ; données de couverture non validées.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WRL-nepheron</x:v>
      </x:c>
      <x:c r="B30" s="7" t="str">
        <x:v>Nepheron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Site d’expériences Cerberus.</x:v>
      </x:c>
      <x:c r="I30" s="7" t="str">
        <x:v>Bases et vagues documentées.</x:v>
      </x:c>
      <x:c r="J30" s="7" t="str"/>
      <x:c r="K30" s="7" t="str">
        <x:v>content/worlds/WRL-nepheron.json</x:v>
      </x:c>
      <x:c r="L30" s="7" t="str"/>
      <x:c r="M30" s="7" t="str"/>
      <x:c r="N30" s="7" t="str">
        <x:v>Planète et mission de référence à relever dans ME1 ; données de couverture non validées.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WRL-binthu</x:v>
      </x:c>
      <x:c r="B31" s="14" t="str">
        <x:v>Binthu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Site lié aux chiens de l’enfer.</x:v>
      </x:c>
      <x:c r="I31" s="14" t="str">
        <x:v>Installations et révélation à documenter.</x:v>
      </x:c>
      <x:c r="J31" s="14" t="str"/>
      <x:c r="K31" s="14" t="str">
        <x:v>content/worlds/WRL-binthu.json</x:v>
      </x:c>
      <x:c r="L31" s="14" t="str"/>
      <x:c r="M31" s="14" t="str"/>
      <x:c r="N31" s="14" t="str">
        <x:v>Planète et mission de référence à relever dans ME1 ; données de couverture non validées.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WRL-chasca</x:v>
      </x:c>
      <x:c r="B32" s="7" t="str">
        <x:v>Chasca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Colonie silencieuse liée aux cadavres.</x:v>
      </x:c>
      <x:c r="I32" s="7" t="str">
        <x:v>Bâtiments et menace répertoriés.</x:v>
      </x:c>
      <x:c r="J32" s="7" t="str"/>
      <x:c r="K32" s="7" t="str">
        <x:v>content/worlds/WRL-chasca.json</x:v>
      </x:c>
      <x:c r="L32" s="7" t="str"/>
      <x:c r="M32" s="7" t="str"/>
      <x:c r="N32" s="7" t="str">
        <x:v>Planète et mission de référence à relever dans ME1 ; données de couverture non validées.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WRL-nodacrux</x:v>
      </x:c>
      <x:c r="B33" s="14" t="str">
        <x:v>Nodacrux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Destination d’un indice trouvé sur Feros.</x:v>
      </x:c>
      <x:c r="I33" s="14" t="str">
        <x:v>Développement ExoGeni à documenter.</x:v>
      </x:c>
      <x:c r="J33" s="14" t="str"/>
      <x:c r="K33" s="14" t="str">
        <x:v>content/worlds/WRL-nodacrux.json</x:v>
      </x:c>
      <x:c r="L33" s="14" t="str"/>
      <x:c r="M33" s="14" t="str"/>
      <x:c r="N33" s="14" t="str">
        <x:v>Planète et mission de référence à relever dans ME1 ; données de couverture non validées.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WRL-presrop</x:v>
      </x:c>
      <x:c r="B34" s="7" t="str">
        <x:v>Presrop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Base du Major Kyle.</x:v>
      </x:c>
      <x:c r="I34" s="7" t="str">
        <x:v>Approche diplomatique et enceintes séparées.</x:v>
      </x:c>
      <x:c r="J34" s="7" t="str"/>
      <x:c r="K34" s="7" t="str">
        <x:v>content/worlds/WRL-presrop.json</x:v>
      </x:c>
      <x:c r="L34" s="7" t="str"/>
      <x:c r="M34" s="7" t="str"/>
      <x:c r="N34" s="7" t="str">
        <x:v>Planète et mission de référence à relever dans ME1 ; données de couverture non validées.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WRL-sharjila</x:v>
      </x:c>
      <x:c r="B35" s="14" t="str">
        <x:v>Sharjila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Destination de la mission de Nassana.</x:v>
      </x:c>
      <x:c r="I35" s="14" t="str">
        <x:v>Forteresse et sœur de la commanditaire à vérifier.</x:v>
      </x:c>
      <x:c r="J35" s="14" t="str"/>
      <x:c r="K35" s="14" t="str">
        <x:v>content/worlds/WRL-sharjila.json</x:v>
      </x:c>
      <x:c r="L35" s="14" t="str"/>
      <x:c r="M35" s="14" t="str"/>
      <x:c r="N35" s="14" t="str">
        <x:v>Planète et mission de référence à relever dans ME1 ; données de couverture non validées.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WRL-trebin</x:v>
      </x:c>
      <x:c r="B36" s="7" t="str">
        <x:v>Trebin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Site de la mission de scientifiques disparus.</x:v>
      </x:c>
      <x:c r="I36" s="7" t="str">
        <x:v>Camp vide et fouilles liés.</x:v>
      </x:c>
      <x:c r="J36" s="7" t="str"/>
      <x:c r="K36" s="7" t="str">
        <x:v>content/worlds/WRL-trebin.json</x:v>
      </x:c>
      <x:c r="L36" s="7" t="str"/>
      <x:c r="M36" s="7" t="str"/>
      <x:c r="N36" s="7" t="str">
        <x:v>Planète et mission de référence à relever dans ME1 ; données de couverture non validées.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WRL-xawin</x:v>
      </x:c>
      <x:c r="B37" s="14" t="str">
        <x:v>Xawin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Destination d’un vaisseau marchand disparu.</x:v>
      </x:c>
      <x:c r="I37" s="14" t="str">
        <x:v>Camp, données et sort des occupants documentés.</x:v>
      </x:c>
      <x:c r="J37" s="14" t="str"/>
      <x:c r="K37" s="14" t="str">
        <x:v>content/worlds/WRL-xawin.json</x:v>
      </x:c>
      <x:c r="L37" s="14" t="str"/>
      <x:c r="M37" s="14" t="str"/>
      <x:c r="N37" s="14" t="str">
        <x:v>Planète et mission de référence à relever dans ME1 ; données de couverture non validées.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WRL-nonuel</x:v>
      </x:c>
      <x:c r="B38" s="7" t="str">
        <x:v>Nonuel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Destination d’une négociation de l’Alliance.</x:v>
      </x:c>
      <x:c r="I38" s="7" t="str">
        <x:v>Conditions de déblocage liées au profil moral.</x:v>
      </x:c>
      <x:c r="J38" s="7" t="str"/>
      <x:c r="K38" s="7" t="str">
        <x:v>content/worlds/WRL-nonuel.json</x:v>
      </x:c>
      <x:c r="L38" s="7" t="str"/>
      <x:c r="M38" s="7" t="str"/>
      <x:c r="N38" s="7" t="str">
        <x:v>Planète et mission de référence à relever dans ME1 ; données de couverture non validées.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</x:sheetData>
  <x:conditionalFormatting sqref="C7:C38">
    <x:cfRule type="cellIs" dxfId="15" priority="1" operator="equal">
      <x:formula>"Prototype"</x:formula>
    </x:cfRule>
    <x:cfRule type="cellIs" dxfId="16" priority="2" operator="equal">
      <x:formula>"Intégré"</x:formula>
    </x:cfRule>
    <x:cfRule type="cellIs" dxfId="17" priority="3" operator="equal">
      <x:formula>"Validé"</x:formula>
    </x:cfRule>
  </x:conditionalFormatting>
  <x:conditionalFormatting sqref="G7:G38">
    <x:cfRule type="cellIs" dxfId="18" priority="4" operator="equal">
      <x:formula>"Référence à vérifier"</x:formula>
    </x:cfRule>
  </x:conditionalFormatting>
  <x:conditionalFormatting sqref="E7:E38">
    <x:cfRule type="cellIs" dxfId="19" priority="5" operator="equal">
      <x:formula>"P0"</x:formula>
    </x:cfRule>
  </x:conditionalFormatting>
  <x:dataValidations count="5">
    <x:dataValidation type="list" sqref="C7:C38">
      <x:formula1>"Défini,Prototype,Intégré,Validé"</x:formula1>
    </x:dataValidation>
    <x:dataValidation type="list" sqref="D7:D38">
      <x:formula1>"À produire,Prototype,Disponible,Validé,Sans objet,Non planifié"</x:formula1>
    </x:dataValidation>
    <x:dataValidation type="list" sqref="E7:E38">
      <x:formula1>"P0,P1,P2"</x:formula1>
    </x:dataValidation>
    <x:dataValidation type="list" sqref="F7:F38">
      <x:formula1>"ME1,ME2,ME3"</x:formula1>
    </x:dataValidation>
    <x:dataValidation type="list" sqref="G7:G3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5732c33e84414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ZON-normandy-sr-1-cockpit</x:v>
      </x:c>
      <x:c r="B7" s="14" t="str">
        <x:v>Normandy SR-1 — Cockpit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Pilotage et dialogue avec Joker</x:v>
      </x:c>
      <x:c r="I7" s="14" t="str">
        <x:v>Entrées, sorties, volumes et personnages cartographiés sur captures de référence.</x:v>
      </x:c>
      <x:c r="J7" s="14" t="str">
        <x:v>WRL-normandy-sr-1</x:v>
      </x:c>
      <x:c r="K7" s="14" t="str">
        <x:v>content/maps/normandy-sr-1/cockpit.json</x:v>
      </x:c>
      <x:c r="L7" s="14" t="str"/>
      <x:c r="M7" s="14" t="str"/>
      <x:c r="N7" s="14" t="str">
        <x:v>Relevé de Normandy SR-1 dans ME1 requis ; noms descriptifs pour la production.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/>
    </x:row>
    <x:row r="8" ht="36" customHeight="1">
      <x:c r="A8" s="12" t="str">
        <x:v>ZON-normandy-sr-1-passerelle</x:v>
      </x:c>
      <x:c r="B8" s="7" t="str">
        <x:v>Normandy SR-1 — Passerelle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Navigation et équipage</x:v>
      </x:c>
      <x:c r="I8" s="7" t="str">
        <x:v>Entrées, sorties, volumes et personnages cartographiés sur captures de référence.</x:v>
      </x:c>
      <x:c r="J8" s="7" t="str">
        <x:v>WRL-normandy-sr-1</x:v>
      </x:c>
      <x:c r="K8" s="7" t="str">
        <x:v>content/maps/normandy-sr-1/passerelle.json</x:v>
      </x:c>
      <x:c r="L8" s="7" t="str"/>
      <x:c r="M8" s="7" t="str"/>
      <x:c r="N8" s="7" t="str">
        <x:v>Relevé de Normandy SR-1 dans ME1 requis ; noms descriptifs pour la production.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/>
    </x:row>
    <x:row r="9" ht="36" customHeight="1">
      <x:c r="A9" s="13" t="str">
        <x:v>ZON-normandy-sr-1-cic</x:v>
      </x:c>
      <x:c r="B9" s="14" t="str">
        <x:v>Normandy SR-1 — CIC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Carte galactique et commandement</x:v>
      </x:c>
      <x:c r="I9" s="14" t="str">
        <x:v>Entrées, sorties, volumes et personnages cartographiés sur captures de référence.</x:v>
      </x:c>
      <x:c r="J9" s="14" t="str">
        <x:v>WRL-normandy-sr-1</x:v>
      </x:c>
      <x:c r="K9" s="14" t="str">
        <x:v>content/maps/normandy-sr-1/cic.json</x:v>
      </x:c>
      <x:c r="L9" s="14" t="str"/>
      <x:c r="M9" s="14" t="str"/>
      <x:c r="N9" s="14" t="str">
        <x:v>Relevé de Normandy SR-1 dans ME1 requis ; noms descriptifs pour la production.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/>
    </x:row>
    <x:row r="10" ht="36" customHeight="1">
      <x:c r="A10" s="12" t="str">
        <x:v>ZON-normandy-sr-1-salle-de-communication</x:v>
      </x:c>
      <x:c r="B10" s="7" t="str">
        <x:v>Normandy SR-1 — Salle de communication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Briefings et transmission au Conseil</x:v>
      </x:c>
      <x:c r="I10" s="7" t="str">
        <x:v>Entrées, sorties, volumes et personnages cartographiés sur captures de référence.</x:v>
      </x:c>
      <x:c r="J10" s="7" t="str">
        <x:v>WRL-normandy-sr-1</x:v>
      </x:c>
      <x:c r="K10" s="7" t="str">
        <x:v>content/maps/normandy-sr-1/salle-de-communication.json</x:v>
      </x:c>
      <x:c r="L10" s="7" t="str"/>
      <x:c r="M10" s="7" t="str"/>
      <x:c r="N10" s="7" t="str">
        <x:v>Relevé de Normandy SR-1 dans ME1 requis ; noms descriptifs pour la production.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ZON-normandy-sr-1-mess</x:v>
      </x:c>
      <x:c r="B11" s="14" t="str">
        <x:v>Normandy SR-1 — Mess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Échanges avec les équipiers</x:v>
      </x:c>
      <x:c r="I11" s="14" t="str">
        <x:v>Entrées, sorties, volumes et personnages cartographiés sur captures de référence.</x:v>
      </x:c>
      <x:c r="J11" s="14" t="str">
        <x:v>WRL-normandy-sr-1</x:v>
      </x:c>
      <x:c r="K11" s="14" t="str">
        <x:v>content/maps/normandy-sr-1/mess.json</x:v>
      </x:c>
      <x:c r="L11" s="14" t="str"/>
      <x:c r="M11" s="14" t="str"/>
      <x:c r="N11" s="14" t="str">
        <x:v>Relevé de Normandy SR-1 dans ME1 requis ; noms descriptifs pour la production.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ZON-normandy-sr-1-infirmerie</x:v>
      </x:c>
      <x:c r="B12" s="7" t="str">
        <x:v>Normandy SR-1 — Infirmerie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Chakwas et repos</x:v>
      </x:c>
      <x:c r="I12" s="7" t="str">
        <x:v>Entrées, sorties, volumes et personnages cartographiés sur captures de référence.</x:v>
      </x:c>
      <x:c r="J12" s="7" t="str">
        <x:v>WRL-normandy-sr-1</x:v>
      </x:c>
      <x:c r="K12" s="7" t="str">
        <x:v>content/maps/normandy-sr-1/infirmerie.json</x:v>
      </x:c>
      <x:c r="L12" s="7" t="str"/>
      <x:c r="M12" s="7" t="str"/>
      <x:c r="N12" s="7" t="str">
        <x:v>Relevé de Normandy SR-1 dans ME1 requis ; noms descriptifs pour la production.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ZON-normandy-sr-1-quartiers-du-commandant</x:v>
      </x:c>
      <x:c r="B13" s="14" t="str">
        <x:v>Normandy SR-1 — Quartiers du commandant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Espace personnel du SR-1</x:v>
      </x:c>
      <x:c r="I13" s="14" t="str">
        <x:v>Entrées, sorties, volumes et personnages cartographiés sur captures de référence.</x:v>
      </x:c>
      <x:c r="J13" s="14" t="str">
        <x:v>WRL-normandy-sr-1</x:v>
      </x:c>
      <x:c r="K13" s="14" t="str">
        <x:v>content/maps/normandy-sr-1/quartiers-du-commandant.json</x:v>
      </x:c>
      <x:c r="L13" s="14" t="str"/>
      <x:c r="M13" s="14" t="str"/>
      <x:c r="N13" s="14" t="str">
        <x:v>Relevé de Normandy SR-1 dans ME1 requis ; noms descriptifs pour la production.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36" customHeight="1">
      <x:c r="A14" s="12" t="str">
        <x:v>ZON-normandy-sr-1-baie-technique</x:v>
      </x:c>
      <x:c r="B14" s="7" t="str">
        <x:v>Normandy SR-1 — Baie technique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Propulsion et Adams</x:v>
      </x:c>
      <x:c r="I14" s="7" t="str">
        <x:v>Entrées, sorties, volumes et personnages cartographiés sur captures de référence.</x:v>
      </x:c>
      <x:c r="J14" s="7" t="str">
        <x:v>WRL-normandy-sr-1</x:v>
      </x:c>
      <x:c r="K14" s="7" t="str">
        <x:v>content/maps/normandy-sr-1/baie-technique.json</x:v>
      </x:c>
      <x:c r="L14" s="7" t="str"/>
      <x:c r="M14" s="7" t="str"/>
      <x:c r="N14" s="7" t="str">
        <x:v>Relevé de Normandy SR-1 dans ME1 requis ; noms descriptifs pour la production.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/>
    </x:row>
    <x:row r="15" ht="36" customHeight="1">
      <x:c r="A15" s="13" t="str">
        <x:v>ZON-normandy-sr-1-soute-mako</x:v>
      </x:c>
      <x:c r="B15" s="14" t="str">
        <x:v>Normandy SR-1 — Soute Mako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Véhicule, armurerie et réquisitions</x:v>
      </x:c>
      <x:c r="I15" s="14" t="str">
        <x:v>Entrées, sorties, volumes et personnages cartographiés sur captures de référence.</x:v>
      </x:c>
      <x:c r="J15" s="14" t="str">
        <x:v>WRL-normandy-sr-1</x:v>
      </x:c>
      <x:c r="K15" s="14" t="str">
        <x:v>content/maps/normandy-sr-1/soute-mako.json</x:v>
      </x:c>
      <x:c r="L15" s="14" t="str"/>
      <x:c r="M15" s="14" t="str"/>
      <x:c r="N15" s="14" t="str">
        <x:v>Relevé de Normandy SR-1 dans ME1 requis ; noms descriptifs pour la production.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ZON-normandy-sr-1-sas-de-debarquement</x:v>
      </x:c>
      <x:c r="B16" s="7" t="str">
        <x:v>Normandy SR-1 — Sas de débarquement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Sélection du commando</x:v>
      </x:c>
      <x:c r="I16" s="7" t="str">
        <x:v>Entrées, sorties, volumes et personnages cartographiés sur captures de référence.</x:v>
      </x:c>
      <x:c r="J16" s="7" t="str">
        <x:v>WRL-normandy-sr-1</x:v>
      </x:c>
      <x:c r="K16" s="7" t="str">
        <x:v>content/maps/normandy-sr-1/sas-de-debarquement.json</x:v>
      </x:c>
      <x:c r="L16" s="7" t="str"/>
      <x:c r="M16" s="7" t="str"/>
      <x:c r="N16" s="7" t="str">
        <x:v>Relevé de Normandy SR-1 dans ME1 requis ; noms descriptifs pour la production.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ZON-eden-prime-zone-de-largage</x:v>
      </x:c>
      <x:c r="B17" s="14" t="str">
        <x:v>Eden Prime — Zone de largage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Arrivée du commando</x:v>
      </x:c>
      <x:c r="I17" s="14" t="str">
        <x:v>Entrées, sorties, volumes et personnages cartographiés sur captures de référence.</x:v>
      </x:c>
      <x:c r="J17" s="14" t="str">
        <x:v>WRL-eden-prime</x:v>
      </x:c>
      <x:c r="K17" s="14" t="str">
        <x:v>content/maps/eden-prime/zone-de-largage.json</x:v>
      </x:c>
      <x:c r="L17" s="14" t="str"/>
      <x:c r="M17" s="14" t="str"/>
      <x:c r="N17" s="14" t="str">
        <x:v>Relevé de Eden Prime dans ME1 requis ; noms descriptifs pour la production.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ZON-eden-prime-sentier-des-drones</x:v>
      </x:c>
      <x:c r="B18" s="7" t="str">
        <x:v>Eden Prime — Sentier des drones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Premier affrontement et Jenkins</x:v>
      </x:c>
      <x:c r="I18" s="7" t="str">
        <x:v>Entrées, sorties, volumes et personnages cartographiés sur captures de référence.</x:v>
      </x:c>
      <x:c r="J18" s="7" t="str">
        <x:v>WRL-eden-prime</x:v>
      </x:c>
      <x:c r="K18" s="7" t="str">
        <x:v>content/maps/eden-prime/sentier-des-drones.json</x:v>
      </x:c>
      <x:c r="L18" s="7" t="str"/>
      <x:c r="M18" s="7" t="str"/>
      <x:c r="N18" s="7" t="str">
        <x:v>Relevé de Eden Prime dans ME1 requis ; noms descriptifs pour la production.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ZON-eden-prime-ferme-attaquee</x:v>
      </x:c>
      <x:c r="B19" s="14" t="str">
        <x:v>Eden Prime — Ferme attaquée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Survivants et arrivée d’Ashley</x:v>
      </x:c>
      <x:c r="I19" s="14" t="str">
        <x:v>Entrées, sorties, volumes et personnages cartographiés sur captures de référence.</x:v>
      </x:c>
      <x:c r="J19" s="14" t="str">
        <x:v>WRL-eden-prime</x:v>
      </x:c>
      <x:c r="K19" s="14" t="str">
        <x:v>content/maps/eden-prime/ferme-attaquee.json</x:v>
      </x:c>
      <x:c r="L19" s="14" t="str"/>
      <x:c r="M19" s="14" t="str"/>
      <x:c r="N19" s="14" t="str">
        <x:v>Relevé de Eden Prime dans ME1 requis ; noms descriptifs pour la production.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ZON-eden-prime-site-de-fouille</x:v>
      </x:c>
      <x:c r="B20" s="7" t="str">
        <x:v>Eden Prime — Site de fouille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Emplacement initial de la balise</x:v>
      </x:c>
      <x:c r="I20" s="7" t="str">
        <x:v>Entrées, sorties, volumes et personnages cartographiés sur captures de référence.</x:v>
      </x:c>
      <x:c r="J20" s="7" t="str">
        <x:v>WRL-eden-prime</x:v>
      </x:c>
      <x:c r="K20" s="7" t="str">
        <x:v>content/maps/eden-prime/site-de-fouille.json</x:v>
      </x:c>
      <x:c r="L20" s="7" t="str"/>
      <x:c r="M20" s="7" t="str"/>
      <x:c r="N20" s="7" t="str">
        <x:v>Relevé de Eden Prime dans ME1 requis ; noms descriptifs pour la production.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ZON-eden-prime-campement-scientifique</x:v>
      </x:c>
      <x:c r="B21" s="14" t="str">
        <x:v>Eden Prime — Campement scientifique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Abris et témoignages</x:v>
      </x:c>
      <x:c r="I21" s="14" t="str">
        <x:v>Entrées, sorties, volumes et personnages cartographiés sur captures de référence.</x:v>
      </x:c>
      <x:c r="J21" s="14" t="str">
        <x:v>WRL-eden-prime</x:v>
      </x:c>
      <x:c r="K21" s="14" t="str">
        <x:v>content/maps/eden-prime/campement-scientifique.json</x:v>
      </x:c>
      <x:c r="L21" s="14" t="str"/>
      <x:c r="M21" s="14" t="str"/>
      <x:c r="N21" s="14" t="str">
        <x:v>Relevé de Eden Prime dans ME1 requis ; noms descriptifs pour la production.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ZON-eden-prime-quai-ferroviaire</x:v>
      </x:c>
      <x:c r="B22" s="7" t="str">
        <x:v>Eden Prime — Quai ferroviaire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Nihlus et témoins</x:v>
      </x:c>
      <x:c r="I22" s="7" t="str">
        <x:v>Entrées, sorties, volumes et personnages cartographiés sur captures de référence.</x:v>
      </x:c>
      <x:c r="J22" s="7" t="str">
        <x:v>WRL-eden-prime</x:v>
      </x:c>
      <x:c r="K22" s="7" t="str">
        <x:v>content/maps/eden-prime/quai-ferroviaire.json</x:v>
      </x:c>
      <x:c r="L22" s="7" t="str"/>
      <x:c r="M22" s="7" t="str"/>
      <x:c r="N22" s="7" t="str">
        <x:v>Relevé de Eden Prime dans ME1 requis ; noms descriptifs pour la production.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ZON-eden-prime-train-de-fret</x:v>
      </x:c>
      <x:c r="B23" s="14" t="str">
        <x:v>Eden Prime — Train de fret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Progression entre les quais</x:v>
      </x:c>
      <x:c r="I23" s="14" t="str">
        <x:v>Entrées, sorties, volumes et personnages cartographiés sur captures de référence.</x:v>
      </x:c>
      <x:c r="J23" s="14" t="str">
        <x:v>WRL-eden-prime</x:v>
      </x:c>
      <x:c r="K23" s="14" t="str">
        <x:v>content/maps/eden-prime/train-de-fret.json</x:v>
      </x:c>
      <x:c r="L23" s="14" t="str"/>
      <x:c r="M23" s="14" t="str"/>
      <x:c r="N23" s="14" t="str">
        <x:v>Relevé de Eden Prime dans ME1 requis ; noms descriptifs pour la production.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ZON-eden-prime-plateforme-de-desamorcage</x:v>
      </x:c>
      <x:c r="B24" s="7" t="str">
        <x:v>Eden Prime — Plateforme de désamorçage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Charges geth et chronomètre</x:v>
      </x:c>
      <x:c r="I24" s="7" t="str">
        <x:v>Entrées, sorties, volumes et personnages cartographiés sur captures de référence.</x:v>
      </x:c>
      <x:c r="J24" s="7" t="str">
        <x:v>WRL-eden-prime</x:v>
      </x:c>
      <x:c r="K24" s="7" t="str">
        <x:v>content/maps/eden-prime/plateforme-de-desamorcage.json</x:v>
      </x:c>
      <x:c r="L24" s="7" t="str"/>
      <x:c r="M24" s="7" t="str"/>
      <x:c r="N24" s="7" t="str">
        <x:v>Relevé de Eden Prime dans ME1 requis ; noms descriptifs pour la production.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ZON-eden-prime-plateforme-de-la-balise</x:v>
      </x:c>
      <x:c r="B25" s="14" t="str">
        <x:v>Eden Prime — Plateforme de la balise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Contact final avec la balise</x:v>
      </x:c>
      <x:c r="I25" s="14" t="str">
        <x:v>Entrées, sorties, volumes et personnages cartographiés sur captures de référence.</x:v>
      </x:c>
      <x:c r="J25" s="14" t="str">
        <x:v>WRL-eden-prime</x:v>
      </x:c>
      <x:c r="K25" s="14" t="str">
        <x:v>content/maps/eden-prime/plateforme-de-la-balise.json</x:v>
      </x:c>
      <x:c r="L25" s="14" t="str"/>
      <x:c r="M25" s="14" t="str"/>
      <x:c r="N25" s="14" t="str">
        <x:v>Relevé de Eden Prime dans ME1 requis ; noms descriptifs pour la production.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ZON-citadelle-dock-du-normandy</x:v>
      </x:c>
      <x:c r="B26" s="7" t="str">
        <x:v>Citadelle — Dock du Normandy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Arrivée et départ</x:v>
      </x:c>
      <x:c r="I26" s="7" t="str">
        <x:v>Entrées, sorties, volumes et personnages cartographiés sur captures de référence.</x:v>
      </x:c>
      <x:c r="J26" s="7" t="str">
        <x:v>WRL-citadelle</x:v>
      </x:c>
      <x:c r="K26" s="7" t="str">
        <x:v>content/maps/citadelle/dock-du-normandy.json</x:v>
      </x:c>
      <x:c r="L26" s="7" t="str"/>
      <x:c r="M26" s="7" t="str"/>
      <x:c r="N26" s="7" t="str">
        <x:v>Relevé de Citadelle dans ME1 requis ; noms descriptifs pour la production.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ZON-citadelle-hall-des-ambassades</x:v>
      </x:c>
      <x:c r="B27" s="14" t="str">
        <x:v>Citadelle — Hall des ambassades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Accès diplomatiques</x:v>
      </x:c>
      <x:c r="I27" s="14" t="str">
        <x:v>Entrées, sorties, volumes et personnages cartographiés sur captures de référence.</x:v>
      </x:c>
      <x:c r="J27" s="14" t="str">
        <x:v>WRL-citadelle</x:v>
      </x:c>
      <x:c r="K27" s="14" t="str">
        <x:v>content/maps/citadelle/hall-des-ambassades.json</x:v>
      </x:c>
      <x:c r="L27" s="14" t="str"/>
      <x:c r="M27" s="14" t="str"/>
      <x:c r="N27" s="14" t="str">
        <x:v>Relevé de Citadelle dans ME1 requis ; noms descriptifs pour la production.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ZON-citadelle-bureau-d-udina</x:v>
      </x:c>
      <x:c r="B28" s="7" t="str">
        <x:v>Citadelle — Bureau d’Udina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Briefings politiques</x:v>
      </x:c>
      <x:c r="I28" s="7" t="str">
        <x:v>Entrées, sorties, volumes et personnages cartographiés sur captures de référence.</x:v>
      </x:c>
      <x:c r="J28" s="7" t="str">
        <x:v>WRL-citadelle</x:v>
      </x:c>
      <x:c r="K28" s="7" t="str">
        <x:v>content/maps/citadelle/bureau-d-udina.json</x:v>
      </x:c>
      <x:c r="L28" s="7" t="str"/>
      <x:c r="M28" s="7" t="str"/>
      <x:c r="N28" s="7" t="str">
        <x:v>Relevé de Citadelle dans ME1 requis ; noms descriptifs pour la production.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ZON-citadelle-salon-elcor-volus</x:v>
      </x:c>
      <x:c r="B29" s="14" t="str">
        <x:v>Citadelle — Salon elcor-volus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Rencontres diplomatiques</x:v>
      </x:c>
      <x:c r="I29" s="14" t="str">
        <x:v>Entrées, sorties, volumes et personnages cartographiés sur captures de référence.</x:v>
      </x:c>
      <x:c r="J29" s="14" t="str">
        <x:v>WRL-citadelle</x:v>
      </x:c>
      <x:c r="K29" s="14" t="str">
        <x:v>content/maps/citadelle/salon-elcor-volus.json</x:v>
      </x:c>
      <x:c r="L29" s="14" t="str"/>
      <x:c r="M29" s="14" t="str"/>
      <x:c r="N29" s="14" t="str">
        <x:v>Relevé de Citadelle dans ME1 requis ; noms descriptifs pour la production.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ZON-citadelle-tour-du-conseil</x:v>
      </x:c>
      <x:c r="B30" s="7" t="str">
        <x:v>Citadelle — Tour du Conseil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Audiences</x:v>
      </x:c>
      <x:c r="I30" s="7" t="str">
        <x:v>Entrées, sorties, volumes et personnages cartographiés sur captures de référence.</x:v>
      </x:c>
      <x:c r="J30" s="7" t="str">
        <x:v>WRL-citadelle</x:v>
      </x:c>
      <x:c r="K30" s="7" t="str">
        <x:v>content/maps/citadelle/tour-du-conseil.json</x:v>
      </x:c>
      <x:c r="L30" s="7" t="str"/>
      <x:c r="M30" s="7" t="str"/>
      <x:c r="N30" s="7" t="str">
        <x:v>Relevé de Citadelle dans ME1 requis ; noms descriptifs pour la production.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ZON-citadelle-jardins-du-presidium</x:v>
      </x:c>
      <x:c r="B31" s="14" t="str">
        <x:v>Citadelle — Jardins du Présidium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Promenade et Veilleurs</x:v>
      </x:c>
      <x:c r="I31" s="14" t="str">
        <x:v>Entrées, sorties, volumes et personnages cartographiés sur captures de référence.</x:v>
      </x:c>
      <x:c r="J31" s="14" t="str">
        <x:v>WRL-citadelle</x:v>
      </x:c>
      <x:c r="K31" s="14" t="str">
        <x:v>content/maps/citadelle/jardins-du-presidium.json</x:v>
      </x:c>
      <x:c r="L31" s="14" t="str"/>
      <x:c r="M31" s="14" t="str"/>
      <x:c r="N31" s="14" t="str">
        <x:v>Relevé de Citadelle dans ME1 requis ; noms descriptifs pour la production.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ZON-citadelle-banque-de-barla-von</x:v>
      </x:c>
      <x:c r="B32" s="7" t="str">
        <x:v>Citadelle — Banque de Barla Von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Informations financières</x:v>
      </x:c>
      <x:c r="I32" s="7" t="str">
        <x:v>Entrées, sorties, volumes et personnages cartographiés sur captures de référence.</x:v>
      </x:c>
      <x:c r="J32" s="7" t="str">
        <x:v>WRL-citadelle</x:v>
      </x:c>
      <x:c r="K32" s="7" t="str">
        <x:v>content/maps/citadelle/banque-de-barla-von.json</x:v>
      </x:c>
      <x:c r="L32" s="7" t="str"/>
      <x:c r="M32" s="7" t="str"/>
      <x:c r="N32" s="7" t="str">
        <x:v>Relevé de Citadelle dans ME1 requis ; noms descriptifs pour la production.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ZON-citadelle-chambres-de-la-consort</x:v>
      </x:c>
      <x:c r="B33" s="14" t="str">
        <x:v>Citadelle — Chambres de la Consort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Quête de Sha’ira</x:v>
      </x:c>
      <x:c r="I33" s="14" t="str">
        <x:v>Entrées, sorties, volumes et personnages cartographiés sur captures de référence.</x:v>
      </x:c>
      <x:c r="J33" s="14" t="str">
        <x:v>WRL-citadelle</x:v>
      </x:c>
      <x:c r="K33" s="14" t="str">
        <x:v>content/maps/citadelle/chambres-de-la-consort.json</x:v>
      </x:c>
      <x:c r="L33" s="14" t="str"/>
      <x:c r="M33" s="14" t="str"/>
      <x:c r="N33" s="14" t="str">
        <x:v>Relevé de Citadelle dans ME1 requis ; noms descriptifs pour la production.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ZON-citadelle-emporium</x:v>
      </x:c>
      <x:c r="B34" s="7" t="str">
        <x:v>Citadelle — Emporium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Commerce du Présidium</x:v>
      </x:c>
      <x:c r="I34" s="7" t="str">
        <x:v>Entrées, sorties, volumes et personnages cartographiés sur captures de référence.</x:v>
      </x:c>
      <x:c r="J34" s="7" t="str">
        <x:v>WRL-citadelle</x:v>
      </x:c>
      <x:c r="K34" s="7" t="str">
        <x:v>content/maps/citadelle/emporium.json</x:v>
      </x:c>
      <x:c r="L34" s="7" t="str"/>
      <x:c r="M34" s="7" t="str"/>
      <x:c r="N34" s="7" t="str">
        <x:v>Relevé de Citadelle dans ME1 requis ; noms descriptifs pour la production.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ZON-citadelle-transition-des-secteurs</x:v>
      </x:c>
      <x:c r="B35" s="14" t="str">
        <x:v>Citadelle — Transition des Secteurs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Ascenseurs et contrôles</x:v>
      </x:c>
      <x:c r="I35" s="14" t="str">
        <x:v>Entrées, sorties, volumes et personnages cartographiés sur captures de référence.</x:v>
      </x:c>
      <x:c r="J35" s="14" t="str">
        <x:v>WRL-citadelle</x:v>
      </x:c>
      <x:c r="K35" s="14" t="str">
        <x:v>content/maps/citadelle/transition-des-secteurs.json</x:v>
      </x:c>
      <x:c r="L35" s="14" t="str"/>
      <x:c r="M35" s="14" t="str"/>
      <x:c r="N35" s="14" t="str">
        <x:v>Relevé de Citadelle dans ME1 requis ; noms descriptifs pour la production.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ZON-citadelle-marche-des-secteurs</x:v>
      </x:c>
      <x:c r="B36" s="7" t="str">
        <x:v>Citadelle — Marché des Secteurs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Commerçants et passants</x:v>
      </x:c>
      <x:c r="I36" s="7" t="str">
        <x:v>Entrées, sorties, volumes et personnages cartographiés sur captures de référence.</x:v>
      </x:c>
      <x:c r="J36" s="7" t="str">
        <x:v>WRL-citadelle</x:v>
      </x:c>
      <x:c r="K36" s="7" t="str">
        <x:v>content/maps/citadelle/marche-des-secteurs.json</x:v>
      </x:c>
      <x:c r="L36" s="7" t="str"/>
      <x:c r="M36" s="7" t="str"/>
      <x:c r="N36" s="7" t="str">
        <x:v>Relevé de Citadelle dans ME1 requis ; noms descriptifs pour la production.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ZON-citadelle-clinique-de-michel</x:v>
      </x:c>
      <x:c r="B37" s="14" t="str">
        <x:v>Citadelle — Clinique de Michel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Enquête et soins</x:v>
      </x:c>
      <x:c r="I37" s="14" t="str">
        <x:v>Entrées, sorties, volumes et personnages cartographiés sur captures de référence.</x:v>
      </x:c>
      <x:c r="J37" s="14" t="str">
        <x:v>WRL-citadelle</x:v>
      </x:c>
      <x:c r="K37" s="14" t="str">
        <x:v>content/maps/citadelle/clinique-de-michel.json</x:v>
      </x:c>
      <x:c r="L37" s="14" t="str"/>
      <x:c r="M37" s="14" t="str"/>
      <x:c r="N37" s="14" t="str">
        <x:v>Relevé de Citadelle dans ME1 requis ; noms descriptifs pour la production.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ZON-citadelle-chora-s-den</x:v>
      </x:c>
      <x:c r="B38" s="7" t="str">
        <x:v>Citadelle — Chora’s Den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Fist et Harkin</x:v>
      </x:c>
      <x:c r="I38" s="7" t="str">
        <x:v>Entrées, sorties, volumes et personnages cartographiés sur captures de référence.</x:v>
      </x:c>
      <x:c r="J38" s="7" t="str">
        <x:v>WRL-citadelle</x:v>
      </x:c>
      <x:c r="K38" s="7" t="str">
        <x:v>content/maps/citadelle/chora-s-den.json</x:v>
      </x:c>
      <x:c r="L38" s="7" t="str"/>
      <x:c r="M38" s="7" t="str"/>
      <x:c r="N38" s="7" t="str">
        <x:v>Relevé de Citadelle dans ME1 requis ; noms descriptifs pour la production.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  <x:row r="39" ht="36" customHeight="1">
      <x:c r="A39" s="13" t="str">
        <x:v>ZON-citadelle-allee-de-tali</x:v>
      </x:c>
      <x:c r="B39" s="14" t="str">
        <x:v>Citadelle — Allée de Tali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Sauvetage et recrutement</x:v>
      </x:c>
      <x:c r="I39" s="14" t="str">
        <x:v>Entrées, sorties, volumes et personnages cartographiés sur captures de référence.</x:v>
      </x:c>
      <x:c r="J39" s="14" t="str">
        <x:v>WRL-citadelle</x:v>
      </x:c>
      <x:c r="K39" s="14" t="str">
        <x:v>content/maps/citadelle/allee-de-tali.json</x:v>
      </x:c>
      <x:c r="L39" s="14" t="str"/>
      <x:c r="M39" s="14" t="str"/>
      <x:c r="N39" s="14" t="str">
        <x:v>Relevé de Citadelle dans ME1 requis ; noms descriptifs pour la production.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/>
    </x:row>
    <x:row r="40" ht="36" customHeight="1">
      <x:c r="A40" s="12" t="str">
        <x:v>ZON-citadelle-flux</x:v>
      </x:c>
      <x:c r="B40" s="7" t="str">
        <x:v>Citadelle — Flux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Bar, détente et enquêtes</x:v>
      </x:c>
      <x:c r="I40" s="7" t="str">
        <x:v>Entrées, sorties, volumes et personnages cartographiés sur captures de référence.</x:v>
      </x:c>
      <x:c r="J40" s="7" t="str">
        <x:v>WRL-citadelle</x:v>
      </x:c>
      <x:c r="K40" s="7" t="str">
        <x:v>content/maps/citadelle/flux.json</x:v>
      </x:c>
      <x:c r="L40" s="7" t="str"/>
      <x:c r="M40" s="7" t="str"/>
      <x:c r="N40" s="7" t="str">
        <x:v>Relevé de Citadelle dans ME1 requis ; noms descriptifs pour la production.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/>
    </x:row>
    <x:row r="41" ht="36" customHeight="1">
      <x:c r="A41" s="13" t="str">
        <x:v>ZON-citadelle-academie-du-ssc</x:v>
      </x:c>
      <x:c r="B41" s="14" t="str">
        <x:v>Citadelle — Académie du SSC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Sécurité et Wrex</x:v>
      </x:c>
      <x:c r="I41" s="14" t="str">
        <x:v>Entrées, sorties, volumes et personnages cartographiés sur captures de référence.</x:v>
      </x:c>
      <x:c r="J41" s="14" t="str">
        <x:v>WRL-citadelle</x:v>
      </x:c>
      <x:c r="K41" s="14" t="str">
        <x:v>content/maps/citadelle/academie-du-ssc.json</x:v>
      </x:c>
      <x:c r="L41" s="14" t="str"/>
      <x:c r="M41" s="14" t="str"/>
      <x:c r="N41" s="14" t="str">
        <x:v>Relevé de Citadelle dans ME1 requis ; noms descriptifs pour la production.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  <x:row r="42" ht="36" customHeight="1">
      <x:c r="A42" s="12" t="str">
        <x:v>ZON-citadelle-bureaux-du-ssc</x:v>
      </x:c>
      <x:c r="B42" s="7" t="str">
        <x:v>Citadelle — Bureaux du SSC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Enquêtes et recrutement</x:v>
      </x:c>
      <x:c r="I42" s="7" t="str">
        <x:v>Entrées, sorties, volumes et personnages cartographiés sur captures de référence.</x:v>
      </x:c>
      <x:c r="J42" s="7" t="str">
        <x:v>WRL-citadelle</x:v>
      </x:c>
      <x:c r="K42" s="7" t="str">
        <x:v>content/maps/citadelle/bureaux-du-ssc.json</x:v>
      </x:c>
      <x:c r="L42" s="7" t="str"/>
      <x:c r="M42" s="7" t="str"/>
      <x:c r="N42" s="7" t="str">
        <x:v>Relevé de Citadelle dans ME1 requis ; noms descriptifs pour la production.</x:v>
      </x:c>
      <x:c r="O42" s="7" t="str">
        <x:v>https://na.llnet.bioware.cdn.ea.com/u/f/eagames/bioware/masseffect/prima/prima_guide_me_pc.pdf</x:v>
      </x:c>
      <x:c r="P42" s="7" t="str">
        <x:v>Production ME1</x:v>
      </x:c>
      <x:c r="Q42" s="7" t="str"/>
    </x:row>
    <x:row r="43" ht="36" customHeight="1">
      <x:c r="A43" s="13" t="str">
        <x:v>ZON-citadelle-baie-de-trafic</x:v>
      </x:c>
      <x:c r="B43" s="14" t="str">
        <x:v>Citadelle — Baie de trafic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Référence à vérifier</x:v>
      </x:c>
      <x:c r="H43" s="14" t="str">
        <x:v>Quêtes de contrebande</x:v>
      </x:c>
      <x:c r="I43" s="14" t="str">
        <x:v>Entrées, sorties, volumes et personnages cartographiés sur captures de référence.</x:v>
      </x:c>
      <x:c r="J43" s="14" t="str">
        <x:v>WRL-citadelle</x:v>
      </x:c>
      <x:c r="K43" s="14" t="str">
        <x:v>content/maps/citadelle/baie-de-trafic.json</x:v>
      </x:c>
      <x:c r="L43" s="14" t="str"/>
      <x:c r="M43" s="14" t="str"/>
      <x:c r="N43" s="14" t="str">
        <x:v>Relevé de Citadelle dans ME1 requis ; noms descriptifs pour la production.</x:v>
      </x:c>
      <x:c r="O43" s="14" t="str">
        <x:v>https://na.llnet.bioware.cdn.ea.com/u/f/eagames/bioware/masseffect/prima/prima_guide_me_pc.pdf</x:v>
      </x:c>
      <x:c r="P43" s="14" t="str">
        <x:v>Production ME1</x:v>
      </x:c>
      <x:c r="Q43" s="14" t="str"/>
    </x:row>
    <x:row r="44" ht="36" customHeight="1">
      <x:c r="A44" s="12" t="str">
        <x:v>ZON-citadelle-ascenseur-de-la-tour</x:v>
      </x:c>
      <x:c r="B44" s="7" t="str">
        <x:v>Citadelle — Ascenseur de la tour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Référence à vérifier</x:v>
      </x:c>
      <x:c r="H44" s="7" t="str">
        <x:v>Transition finale</x:v>
      </x:c>
      <x:c r="I44" s="7" t="str">
        <x:v>Entrées, sorties, volumes et personnages cartographiés sur captures de référence.</x:v>
      </x:c>
      <x:c r="J44" s="7" t="str">
        <x:v>WRL-citadelle</x:v>
      </x:c>
      <x:c r="K44" s="7" t="str">
        <x:v>content/maps/citadelle/ascenseur-de-la-tour.json</x:v>
      </x:c>
      <x:c r="L44" s="7" t="str"/>
      <x:c r="M44" s="7" t="str"/>
      <x:c r="N44" s="7" t="str">
        <x:v>Relevé de Citadelle dans ME1 requis ; noms descriptifs pour la production.</x:v>
      </x:c>
      <x:c r="O44" s="7" t="str">
        <x:v>https://na.llnet.bioware.cdn.ea.com/u/f/eagames/bioware/masseffect/prima/prima_guide_me_pc.pdf</x:v>
      </x:c>
      <x:c r="P44" s="7" t="str">
        <x:v>Production ME1</x:v>
      </x:c>
      <x:c r="Q44" s="7" t="str"/>
    </x:row>
    <x:row r="45" ht="36" customHeight="1">
      <x:c r="A45" s="13" t="str">
        <x:v>ZON-citadelle-exterieur-de-la-tour</x:v>
      </x:c>
      <x:c r="B45" s="14" t="str">
        <x:v>Citadelle — Extérieur de la tour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Référence à vérifier</x:v>
      </x:c>
      <x:c r="H45" s="14" t="str">
        <x:v>Assaut final en gravité maîtrisée</x:v>
      </x:c>
      <x:c r="I45" s="14" t="str">
        <x:v>Entrées, sorties, volumes et personnages cartographiés sur captures de référence.</x:v>
      </x:c>
      <x:c r="J45" s="14" t="str">
        <x:v>WRL-citadelle</x:v>
      </x:c>
      <x:c r="K45" s="14" t="str">
        <x:v>content/maps/citadelle/exterieur-de-la-tour.json</x:v>
      </x:c>
      <x:c r="L45" s="14" t="str"/>
      <x:c r="M45" s="14" t="str"/>
      <x:c r="N45" s="14" t="str">
        <x:v>Relevé de Citadelle dans ME1 requis ; noms descriptifs pour la production.</x:v>
      </x:c>
      <x:c r="O45" s="14" t="str">
        <x:v>https://na.llnet.bioware.cdn.ea.com/u/f/eagames/bioware/masseffect/prima/prima_guide_me_pc.pdf</x:v>
      </x:c>
      <x:c r="P45" s="14" t="str">
        <x:v>Production ME1</x:v>
      </x:c>
      <x:c r="Q45" s="14" t="str"/>
    </x:row>
    <x:row r="46" ht="36" customHeight="1">
      <x:c r="A46" s="12" t="str">
        <x:v>ZON-therum-plaine-d-atterrissage</x:v>
      </x:c>
      <x:c r="B46" s="7" t="str">
        <x:v>Therum — Plaine d’atterrissage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Référence à vérifier</x:v>
      </x:c>
      <x:c r="H46" s="7" t="str">
        <x:v>Départ en Mako</x:v>
      </x:c>
      <x:c r="I46" s="7" t="str">
        <x:v>Entrées, sorties, volumes et personnages cartographiés sur captures de référence.</x:v>
      </x:c>
      <x:c r="J46" s="7" t="str">
        <x:v>WRL-therum</x:v>
      </x:c>
      <x:c r="K46" s="7" t="str">
        <x:v>content/maps/therum/plaine-d-atterrissage.json</x:v>
      </x:c>
      <x:c r="L46" s="7" t="str"/>
      <x:c r="M46" s="7" t="str"/>
      <x:c r="N46" s="7" t="str">
        <x:v>Relevé de Therum dans ME1 requis ; noms descriptifs pour la production.</x:v>
      </x:c>
      <x:c r="O46" s="7" t="str">
        <x:v>https://na.llnet.bioware.cdn.ea.com/u/f/eagames/bioware/masseffect/prima/prima_guide_me_pc.pdf</x:v>
      </x:c>
      <x:c r="P46" s="7" t="str">
        <x:v>Production ME1</x:v>
      </x:c>
      <x:c r="Q46" s="7" t="str"/>
    </x:row>
    <x:row r="47" ht="36" customHeight="1">
      <x:c r="A47" s="13" t="str">
        <x:v>ZON-therum-canyon-de-lave</x:v>
      </x:c>
      <x:c r="B47" s="14" t="str">
        <x:v>Therum — Canyon de lave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Référence à vérifier</x:v>
      </x:c>
      <x:c r="H47" s="14" t="str">
        <x:v>Trajet sous le feu geth</x:v>
      </x:c>
      <x:c r="I47" s="14" t="str">
        <x:v>Entrées, sorties, volumes et personnages cartographiés sur captures de référence.</x:v>
      </x:c>
      <x:c r="J47" s="14" t="str">
        <x:v>WRL-therum</x:v>
      </x:c>
      <x:c r="K47" s="14" t="str">
        <x:v>content/maps/therum/canyon-de-lave.json</x:v>
      </x:c>
      <x:c r="L47" s="14" t="str"/>
      <x:c r="M47" s="14" t="str"/>
      <x:c r="N47" s="14" t="str">
        <x:v>Relevé de Therum dans ME1 requis ; noms descriptifs pour la production.</x:v>
      </x:c>
      <x:c r="O47" s="14" t="str">
        <x:v>https://na.llnet.bioware.cdn.ea.com/u/f/eagames/bioware/masseffect/prima/prima_guide_me_pc.pdf</x:v>
      </x:c>
      <x:c r="P47" s="14" t="str">
        <x:v>Production ME1</x:v>
      </x:c>
      <x:c r="Q47" s="14" t="str"/>
    </x:row>
    <x:row r="48" ht="36" customHeight="1">
      <x:c r="A48" s="12" t="str">
        <x:v>ZON-therum-poste-de-raffinerie</x:v>
      </x:c>
      <x:c r="B48" s="7" t="str">
        <x:v>Therum — Poste de raffinerie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Référence à vérifier</x:v>
      </x:c>
      <x:c r="H48" s="7" t="str">
        <x:v>Défenses et portes</x:v>
      </x:c>
      <x:c r="I48" s="7" t="str">
        <x:v>Entrées, sorties, volumes et personnages cartographiés sur captures de référence.</x:v>
      </x:c>
      <x:c r="J48" s="7" t="str">
        <x:v>WRL-therum</x:v>
      </x:c>
      <x:c r="K48" s="7" t="str">
        <x:v>content/maps/therum/poste-de-raffinerie.json</x:v>
      </x:c>
      <x:c r="L48" s="7" t="str"/>
      <x:c r="M48" s="7" t="str"/>
      <x:c r="N48" s="7" t="str">
        <x:v>Relevé de Therum dans ME1 requis ; noms descriptifs pour la production.</x:v>
      </x:c>
      <x:c r="O48" s="7" t="str">
        <x:v>https://na.llnet.bioware.cdn.ea.com/u/f/eagames/bioware/masseffect/prima/prima_guide_me_pc.pdf</x:v>
      </x:c>
      <x:c r="P48" s="7" t="str">
        <x:v>Production ME1</x:v>
      </x:c>
      <x:c r="Q48" s="7" t="str"/>
    </x:row>
    <x:row r="49" ht="36" customHeight="1">
      <x:c r="A49" s="13" t="str">
        <x:v>ZON-therum-acces-de-la-mine</x:v>
      </x:c>
      <x:c r="B49" s="14" t="str">
        <x:v>Therum — Accès de la mine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Référence à vérifier</x:v>
      </x:c>
      <x:c r="H49" s="14" t="str">
        <x:v>Progression à pied</x:v>
      </x:c>
      <x:c r="I49" s="14" t="str">
        <x:v>Entrées, sorties, volumes et personnages cartographiés sur captures de référence.</x:v>
      </x:c>
      <x:c r="J49" s="14" t="str">
        <x:v>WRL-therum</x:v>
      </x:c>
      <x:c r="K49" s="14" t="str">
        <x:v>content/maps/therum/acces-de-la-mine.json</x:v>
      </x:c>
      <x:c r="L49" s="14" t="str"/>
      <x:c r="M49" s="14" t="str"/>
      <x:c r="N49" s="14" t="str">
        <x:v>Relevé de Therum dans ME1 requis ; noms descriptifs pour la production.</x:v>
      </x:c>
      <x:c r="O49" s="14" t="str">
        <x:v>https://na.llnet.bioware.cdn.ea.com/u/f/eagames/bioware/masseffect/prima/prima_guide_me_pc.pdf</x:v>
      </x:c>
      <x:c r="P49" s="14" t="str">
        <x:v>Production ME1</x:v>
      </x:c>
      <x:c r="Q49" s="14" t="str"/>
    </x:row>
    <x:row r="50" ht="36" customHeight="1">
      <x:c r="A50" s="12" t="str">
        <x:v>ZON-therum-galerie-d-excavation</x:v>
      </x:c>
      <x:c r="B50" s="7" t="str">
        <x:v>Therum — Galerie d’excavation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Référence à vérifier</x:v>
      </x:c>
      <x:c r="H50" s="7" t="str">
        <x:v>Geth et archéologie</x:v>
      </x:c>
      <x:c r="I50" s="7" t="str">
        <x:v>Entrées, sorties, volumes et personnages cartographiés sur captures de référence.</x:v>
      </x:c>
      <x:c r="J50" s="7" t="str">
        <x:v>WRL-therum</x:v>
      </x:c>
      <x:c r="K50" s="7" t="str">
        <x:v>content/maps/therum/galerie-d-excavation.json</x:v>
      </x:c>
      <x:c r="L50" s="7" t="str"/>
      <x:c r="M50" s="7" t="str"/>
      <x:c r="N50" s="7" t="str">
        <x:v>Relevé de Therum dans ME1 requis ; noms descriptifs pour la production.</x:v>
      </x:c>
      <x:c r="O50" s="7" t="str">
        <x:v>https://na.llnet.bioware.cdn.ea.com/u/f/eagames/bioware/masseffect/prima/prima_guide_me_pc.pdf</x:v>
      </x:c>
      <x:c r="P50" s="7" t="str">
        <x:v>Production ME1</x:v>
      </x:c>
      <x:c r="Q50" s="7" t="str"/>
    </x:row>
    <x:row r="51" ht="36" customHeight="1">
      <x:c r="A51" s="13" t="str">
        <x:v>ZON-therum-barriere-protheenne</x:v>
      </x:c>
      <x:c r="B51" s="14" t="str">
        <x:v>Therum — Barrière prothéenne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Référence à vérifier</x:v>
      </x:c>
      <x:c r="H51" s="14" t="str">
        <x:v>Liara immobilisée</x:v>
      </x:c>
      <x:c r="I51" s="14" t="str">
        <x:v>Entrées, sorties, volumes et personnages cartographiés sur captures de référence.</x:v>
      </x:c>
      <x:c r="J51" s="14" t="str">
        <x:v>WRL-therum</x:v>
      </x:c>
      <x:c r="K51" s="14" t="str">
        <x:v>content/maps/therum/barriere-protheenne.json</x:v>
      </x:c>
      <x:c r="L51" s="14" t="str"/>
      <x:c r="M51" s="14" t="str"/>
      <x:c r="N51" s="14" t="str">
        <x:v>Relevé de Therum dans ME1 requis ; noms descriptifs pour la production.</x:v>
      </x:c>
      <x:c r="O51" s="14" t="str">
        <x:v>https://na.llnet.bioware.cdn.ea.com/u/f/eagames/bioware/masseffect/prima/prima_guide_me_pc.pdf</x:v>
      </x:c>
      <x:c r="P51" s="14" t="str">
        <x:v>Production ME1</x:v>
      </x:c>
      <x:c r="Q51" s="14" t="str"/>
    </x:row>
    <x:row r="52" ht="36" customHeight="1">
      <x:c r="A52" s="12" t="str">
        <x:v>ZON-therum-ascenseur-de-sortie</x:v>
      </x:c>
      <x:c r="B52" s="7" t="str">
        <x:v>Therum — Ascenseur de sortie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Référence à vérifier</x:v>
      </x:c>
      <x:c r="H52" s="7" t="str">
        <x:v>Confrontation et extraction</x:v>
      </x:c>
      <x:c r="I52" s="7" t="str">
        <x:v>Entrées, sorties, volumes et personnages cartographiés sur captures de référence.</x:v>
      </x:c>
      <x:c r="J52" s="7" t="str">
        <x:v>WRL-therum</x:v>
      </x:c>
      <x:c r="K52" s="7" t="str">
        <x:v>content/maps/therum/ascenseur-de-sortie.json</x:v>
      </x:c>
      <x:c r="L52" s="7" t="str"/>
      <x:c r="M52" s="7" t="str"/>
      <x:c r="N52" s="7" t="str">
        <x:v>Relevé de Therum dans ME1 requis ; noms descriptifs pour la production.</x:v>
      </x:c>
      <x:c r="O52" s="7" t="str">
        <x:v>https://na.llnet.bioware.cdn.ea.com/u/f/eagames/bioware/masseffect/prima/prima_guide_me_pc.pdf</x:v>
      </x:c>
      <x:c r="P52" s="7" t="str">
        <x:v>Production ME1</x:v>
      </x:c>
      <x:c r="Q52" s="7" t="str"/>
    </x:row>
    <x:row r="53" ht="36" customHeight="1">
      <x:c r="A53" s="13" t="str">
        <x:v>ZON-feros-port-de-zhu-s-hope</x:v>
      </x:c>
      <x:c r="B53" s="14" t="str">
        <x:v>Feros — Port de Zhu’s Hope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Référence à vérifier</x:v>
      </x:c>
      <x:c r="H53" s="14" t="str">
        <x:v>Arrivée dans la colonie</x:v>
      </x:c>
      <x:c r="I53" s="14" t="str">
        <x:v>Entrées, sorties, volumes et personnages cartographiés sur captures de référence.</x:v>
      </x:c>
      <x:c r="J53" s="14" t="str">
        <x:v>WRL-feros</x:v>
      </x:c>
      <x:c r="K53" s="14" t="str">
        <x:v>content/maps/feros/port-de-zhu-s-hope.json</x:v>
      </x:c>
      <x:c r="L53" s="14" t="str"/>
      <x:c r="M53" s="14" t="str"/>
      <x:c r="N53" s="14" t="str">
        <x:v>Relevé de Feros dans ME1 requis ; noms descriptifs pour la production.</x:v>
      </x:c>
      <x:c r="O53" s="14" t="str">
        <x:v>https://na.llnet.bioware.cdn.ea.com/u/f/eagames/bioware/masseffect/prima/prima_guide_me_pc.pdf</x:v>
      </x:c>
      <x:c r="P53" s="14" t="str">
        <x:v>Production ME1</x:v>
      </x:c>
      <x:c r="Q53" s="14" t="str"/>
    </x:row>
    <x:row r="54" ht="36" customHeight="1">
      <x:c r="A54" s="12" t="str">
        <x:v>ZON-feros-abri-des-colons</x:v>
      </x:c>
      <x:c r="B54" s="7" t="str">
        <x:v>Feros — Abri des colons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Référence à vérifier</x:v>
      </x:c>
      <x:c r="H54" s="7" t="str">
        <x:v>Discussions et services</x:v>
      </x:c>
      <x:c r="I54" s="7" t="str">
        <x:v>Entrées, sorties, volumes et personnages cartographiés sur captures de référence.</x:v>
      </x:c>
      <x:c r="J54" s="7" t="str">
        <x:v>WRL-feros</x:v>
      </x:c>
      <x:c r="K54" s="7" t="str">
        <x:v>content/maps/feros/abri-des-colons.json</x:v>
      </x:c>
      <x:c r="L54" s="7" t="str"/>
      <x:c r="M54" s="7" t="str"/>
      <x:c r="N54" s="7" t="str">
        <x:v>Relevé de Feros dans ME1 requis ; noms descriptifs pour la production.</x:v>
      </x:c>
      <x:c r="O54" s="7" t="str">
        <x:v>https://na.llnet.bioware.cdn.ea.com/u/f/eagames/bioware/masseffect/prima/prima_guide_me_pc.pdf</x:v>
      </x:c>
      <x:c r="P54" s="7" t="str">
        <x:v>Production ME1</x:v>
      </x:c>
      <x:c r="Q54" s="7" t="str"/>
    </x:row>
    <x:row r="55" ht="36" customHeight="1">
      <x:c r="A55" s="13" t="str">
        <x:v>ZON-feros-tunnels-de-maintenance</x:v>
      </x:c>
      <x:c r="B55" s="14" t="str">
        <x:v>Feros — Tunnels de maintenance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Référence à vérifier</x:v>
      </x:c>
      <x:c r="H55" s="14" t="str">
        <x:v>Eau et infestation</x:v>
      </x:c>
      <x:c r="I55" s="14" t="str">
        <x:v>Entrées, sorties, volumes et personnages cartographiés sur captures de référence.</x:v>
      </x:c>
      <x:c r="J55" s="14" t="str">
        <x:v>WRL-feros</x:v>
      </x:c>
      <x:c r="K55" s="14" t="str">
        <x:v>content/maps/feros/tunnels-de-maintenance.json</x:v>
      </x:c>
      <x:c r="L55" s="14" t="str"/>
      <x:c r="M55" s="14" t="str"/>
      <x:c r="N55" s="14" t="str">
        <x:v>Relevé de Feros dans ME1 requis ; noms descriptifs pour la production.</x:v>
      </x:c>
      <x:c r="O55" s="14" t="str">
        <x:v>https://na.llnet.bioware.cdn.ea.com/u/f/eagames/bioware/masseffect/prima/prima_guide_me_pc.pdf</x:v>
      </x:c>
      <x:c r="P55" s="14" t="str">
        <x:v>Production ME1</x:v>
      </x:c>
      <x:c r="Q55" s="14" t="str"/>
    </x:row>
    <x:row r="56" ht="36" customHeight="1">
      <x:c r="A56" s="12" t="str">
        <x:v>ZON-feros-pont-effondre</x:v>
      </x:c>
      <x:c r="B56" s="7" t="str">
        <x:v>Feros — Pont effondré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Référence à vérifier</x:v>
      </x:c>
      <x:c r="H56" s="7" t="str">
        <x:v>Énergie et varrens</x:v>
      </x:c>
      <x:c r="I56" s="7" t="str">
        <x:v>Entrées, sorties, volumes et personnages cartographiés sur captures de référence.</x:v>
      </x:c>
      <x:c r="J56" s="7" t="str">
        <x:v>WRL-feros</x:v>
      </x:c>
      <x:c r="K56" s="7" t="str">
        <x:v>content/maps/feros/pont-effondre.json</x:v>
      </x:c>
      <x:c r="L56" s="7" t="str"/>
      <x:c r="M56" s="7" t="str"/>
      <x:c r="N56" s="7" t="str">
        <x:v>Relevé de Feros dans ME1 requis ; noms descriptifs pour la production.</x:v>
      </x:c>
      <x:c r="O56" s="7" t="str">
        <x:v>https://na.llnet.bioware.cdn.ea.com/u/f/eagames/bioware/masseffect/prima/prima_guide_me_pc.pdf</x:v>
      </x:c>
      <x:c r="P56" s="7" t="str">
        <x:v>Production ME1</x:v>
      </x:c>
      <x:c r="Q56" s="7" t="str"/>
    </x:row>
    <x:row r="57" ht="36" customHeight="1">
      <x:c r="A57" s="13" t="str">
        <x:v>ZON-feros-voie-aerienne</x:v>
      </x:c>
      <x:c r="B57" s="14" t="str">
        <x:v>Feros — Voie aérienne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Référence à vérifier</x:v>
      </x:c>
      <x:c r="H57" s="14" t="str">
        <x:v>Parcours Mako vers ExoGeni</x:v>
      </x:c>
      <x:c r="I57" s="14" t="str">
        <x:v>Entrées, sorties, volumes et personnages cartographiés sur captures de référence.</x:v>
      </x:c>
      <x:c r="J57" s="14" t="str">
        <x:v>WRL-feros</x:v>
      </x:c>
      <x:c r="K57" s="14" t="str">
        <x:v>content/maps/feros/voie-aerienne.json</x:v>
      </x:c>
      <x:c r="L57" s="14" t="str"/>
      <x:c r="M57" s="14" t="str"/>
      <x:c r="N57" s="14" t="str">
        <x:v>Relevé de Feros dans ME1 requis ; noms descriptifs pour la production.</x:v>
      </x:c>
      <x:c r="O57" s="14" t="str">
        <x:v>https://na.llnet.bioware.cdn.ea.com/u/f/eagames/bioware/masseffect/prima/prima_guide_me_pc.pdf</x:v>
      </x:c>
      <x:c r="P57" s="14" t="str">
        <x:v>Production ME1</x:v>
      </x:c>
      <x:c r="Q57" s="14" t="str"/>
    </x:row>
    <x:row r="58" ht="36" customHeight="1">
      <x:c r="A58" s="12" t="str">
        <x:v>ZON-feros-camp-de-refugies</x:v>
      </x:c>
      <x:c r="B58" s="7" t="str">
        <x:v>Feros — Camp de réfugiés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Référence à vérifier</x:v>
      </x:c>
      <x:c r="H58" s="7" t="str">
        <x:v>Juliana et Jeong</x:v>
      </x:c>
      <x:c r="I58" s="7" t="str">
        <x:v>Entrées, sorties, volumes et personnages cartographiés sur captures de référence.</x:v>
      </x:c>
      <x:c r="J58" s="7" t="str">
        <x:v>WRL-feros</x:v>
      </x:c>
      <x:c r="K58" s="7" t="str">
        <x:v>content/maps/feros/camp-de-refugies.json</x:v>
      </x:c>
      <x:c r="L58" s="7" t="str"/>
      <x:c r="M58" s="7" t="str"/>
      <x:c r="N58" s="7" t="str">
        <x:v>Relevé de Feros dans ME1 requis ; noms descriptifs pour la production.</x:v>
      </x:c>
      <x:c r="O58" s="7" t="str">
        <x:v>https://na.llnet.bioware.cdn.ea.com/u/f/eagames/bioware/masseffect/prima/prima_guide_me_pc.pdf</x:v>
      </x:c>
      <x:c r="P58" s="7" t="str">
        <x:v>Production ME1</x:v>
      </x:c>
      <x:c r="Q58" s="7" t="str"/>
    </x:row>
    <x:row r="59" ht="36" customHeight="1">
      <x:c r="A59" s="13" t="str">
        <x:v>ZON-feros-rez-de-chaussee-exogeni</x:v>
      </x:c>
      <x:c r="B59" s="14" t="str">
        <x:v>Feros — Rez-de-chaussée ExoGeni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Référence à vérifier</x:v>
      </x:c>
      <x:c r="H59" s="14" t="str">
        <x:v>Accès détruit</x:v>
      </x:c>
      <x:c r="I59" s="14" t="str">
        <x:v>Entrées, sorties, volumes et personnages cartographiés sur captures de référence.</x:v>
      </x:c>
      <x:c r="J59" s="14" t="str">
        <x:v>WRL-feros</x:v>
      </x:c>
      <x:c r="K59" s="14" t="str">
        <x:v>content/maps/feros/rez-de-chaussee-exogeni.json</x:v>
      </x:c>
      <x:c r="L59" s="14" t="str"/>
      <x:c r="M59" s="14" t="str"/>
      <x:c r="N59" s="14" t="str">
        <x:v>Relevé de Feros dans ME1 requis ; noms descriptifs pour la production.</x:v>
      </x:c>
      <x:c r="O59" s="14" t="str">
        <x:v>https://na.llnet.bioware.cdn.ea.com/u/f/eagames/bioware/masseffect/prima/prima_guide_me_pc.pdf</x:v>
      </x:c>
      <x:c r="P59" s="14" t="str">
        <x:v>Production ME1</x:v>
      </x:c>
      <x:c r="Q59" s="14" t="str"/>
    </x:row>
    <x:row r="60" ht="36" customHeight="1">
      <x:c r="A60" s="12" t="str">
        <x:v>ZON-feros-salle-de-lizbeth</x:v>
      </x:c>
      <x:c r="B60" s="7" t="str">
        <x:v>Feros — Salle de Lizbeth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Référence à vérifier</x:v>
      </x:c>
      <x:c r="H60" s="7" t="str">
        <x:v>Survivante et récit</x:v>
      </x:c>
      <x:c r="I60" s="7" t="str">
        <x:v>Entrées, sorties, volumes et personnages cartographiés sur captures de référence.</x:v>
      </x:c>
      <x:c r="J60" s="7" t="str">
        <x:v>WRL-feros</x:v>
      </x:c>
      <x:c r="K60" s="7" t="str">
        <x:v>content/maps/feros/salle-de-lizbeth.json</x:v>
      </x:c>
      <x:c r="L60" s="7" t="str"/>
      <x:c r="M60" s="7" t="str"/>
      <x:c r="N60" s="7" t="str">
        <x:v>Relevé de Feros dans ME1 requis ; noms descriptifs pour la production.</x:v>
      </x:c>
      <x:c r="O60" s="7" t="str">
        <x:v>https://na.llnet.bioware.cdn.ea.com/u/f/eagames/bioware/masseffect/prima/prima_guide_me_pc.pdf</x:v>
      </x:c>
      <x:c r="P60" s="7" t="str">
        <x:v>Production ME1</x:v>
      </x:c>
      <x:c r="Q60" s="7" t="str"/>
    </x:row>
    <x:row r="61" ht="36" customHeight="1">
      <x:c r="A61" s="13" t="str">
        <x:v>ZON-feros-bureaux-exogeni</x:v>
      </x:c>
      <x:c r="B61" s="14" t="str">
        <x:v>Feros — Bureaux ExoGeni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Référence à vérifier</x:v>
      </x:c>
      <x:c r="H61" s="14" t="str">
        <x:v>Terminaux et données</x:v>
      </x:c>
      <x:c r="I61" s="14" t="str">
        <x:v>Entrées, sorties, volumes et personnages cartographiés sur captures de référence.</x:v>
      </x:c>
      <x:c r="J61" s="14" t="str">
        <x:v>WRL-feros</x:v>
      </x:c>
      <x:c r="K61" s="14" t="str">
        <x:v>content/maps/feros/bureaux-exogeni.json</x:v>
      </x:c>
      <x:c r="L61" s="14" t="str"/>
      <x:c r="M61" s="14" t="str"/>
      <x:c r="N61" s="14" t="str">
        <x:v>Relevé de Feros dans ME1 requis ; noms descriptifs pour la production.</x:v>
      </x:c>
      <x:c r="O61" s="14" t="str">
        <x:v>https://na.llnet.bioware.cdn.ea.com/u/f/eagames/bioware/masseffect/prima/prima_guide_me_pc.pdf</x:v>
      </x:c>
      <x:c r="P61" s="14" t="str">
        <x:v>Production ME1</x:v>
      </x:c>
      <x:c r="Q61" s="14" t="str"/>
    </x:row>
    <x:row r="62" ht="36" customHeight="1">
      <x:c r="A62" s="12" t="str">
        <x:v>ZON-feros-ancrage-du-vaisseau-geth</x:v>
      </x:c>
      <x:c r="B62" s="7" t="str">
        <x:v>Feros — Ancrage du vaisseau geth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Référence à vérifier</x:v>
      </x:c>
      <x:c r="H62" s="7" t="str">
        <x:v>Mécanisme de dégagement</x:v>
      </x:c>
      <x:c r="I62" s="7" t="str">
        <x:v>Entrées, sorties, volumes et personnages cartographiés sur captures de référence.</x:v>
      </x:c>
      <x:c r="J62" s="7" t="str">
        <x:v>WRL-feros</x:v>
      </x:c>
      <x:c r="K62" s="7" t="str">
        <x:v>content/maps/feros/ancrage-du-vaisseau-geth.json</x:v>
      </x:c>
      <x:c r="L62" s="7" t="str"/>
      <x:c r="M62" s="7" t="str"/>
      <x:c r="N62" s="7" t="str">
        <x:v>Relevé de Feros dans ME1 requis ; noms descriptifs pour la production.</x:v>
      </x:c>
      <x:c r="O62" s="7" t="str">
        <x:v>https://na.llnet.bioware.cdn.ea.com/u/f/eagames/bioware/masseffect/prima/prima_guide_me_pc.pdf</x:v>
      </x:c>
      <x:c r="P62" s="7" t="str">
        <x:v>Production ME1</x:v>
      </x:c>
      <x:c r="Q62" s="7" t="str"/>
    </x:row>
    <x:row r="63" ht="36" customHeight="1">
      <x:c r="A63" s="13" t="str">
        <x:v>ZON-feros-retour-a-zhu-s-hope</x:v>
      </x:c>
      <x:c r="B63" s="14" t="str">
        <x:v>Feros — Retour à Zhu’s Hope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Référence à vérifier</x:v>
      </x:c>
      <x:c r="H63" s="14" t="str">
        <x:v>Colons sous influence</x:v>
      </x:c>
      <x:c r="I63" s="14" t="str">
        <x:v>Entrées, sorties, volumes et personnages cartographiés sur captures de référence.</x:v>
      </x:c>
      <x:c r="J63" s="14" t="str">
        <x:v>WRL-feros</x:v>
      </x:c>
      <x:c r="K63" s="14" t="str">
        <x:v>content/maps/feros/retour-a-zhu-s-hope.json</x:v>
      </x:c>
      <x:c r="L63" s="14" t="str"/>
      <x:c r="M63" s="14" t="str"/>
      <x:c r="N63" s="14" t="str">
        <x:v>Relevé de Feros dans ME1 requis ; noms descriptifs pour la production.</x:v>
      </x:c>
      <x:c r="O63" s="14" t="str">
        <x:v>https://na.llnet.bioware.cdn.ea.com/u/f/eagames/bioware/masseffect/prima/prima_guide_me_pc.pdf</x:v>
      </x:c>
      <x:c r="P63" s="14" t="str">
        <x:v>Production ME1</x:v>
      </x:c>
      <x:c r="Q63" s="14" t="str"/>
    </x:row>
    <x:row r="64" ht="36" customHeight="1">
      <x:c r="A64" s="12" t="str">
        <x:v>ZON-feros-sous-sol-du-thorian</x:v>
      </x:c>
      <x:c r="B64" s="7" t="str">
        <x:v>Feros — Sous-sol du Thorian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Référence à vérifier</x:v>
      </x:c>
      <x:c r="H64" s="7" t="str">
        <x:v>Combat et révélation</x:v>
      </x:c>
      <x:c r="I64" s="7" t="str">
        <x:v>Entrées, sorties, volumes et personnages cartographiés sur captures de référence.</x:v>
      </x:c>
      <x:c r="J64" s="7" t="str">
        <x:v>WRL-feros</x:v>
      </x:c>
      <x:c r="K64" s="7" t="str">
        <x:v>content/maps/feros/sous-sol-du-thorian.json</x:v>
      </x:c>
      <x:c r="L64" s="7" t="str"/>
      <x:c r="M64" s="7" t="str"/>
      <x:c r="N64" s="7" t="str">
        <x:v>Relevé de Feros dans ME1 requis ; noms descriptifs pour la production.</x:v>
      </x:c>
      <x:c r="O64" s="7" t="str">
        <x:v>https://na.llnet.bioware.cdn.ea.com/u/f/eagames/bioware/masseffect/prima/prima_guide_me_pc.pdf</x:v>
      </x:c>
      <x:c r="P64" s="7" t="str">
        <x:v>Production ME1</x:v>
      </x:c>
      <x:c r="Q64" s="7" t="str"/>
    </x:row>
    <x:row r="65" ht="36" customHeight="1">
      <x:c r="A65" s="13" t="str">
        <x:v>ZON-noveria-controle-de-port-hanshan</x:v>
      </x:c>
      <x:c r="B65" s="14" t="str">
        <x:v>Noveria — Contrôle de Port Hanshan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Référence à vérifier</x:v>
      </x:c>
      <x:c r="H65" s="14" t="str">
        <x:v>Inspection initiale</x:v>
      </x:c>
      <x:c r="I65" s="14" t="str">
        <x:v>Entrées, sorties, volumes et personnages cartographiés sur captures de référence.</x:v>
      </x:c>
      <x:c r="J65" s="14" t="str">
        <x:v>WRL-noveria</x:v>
      </x:c>
      <x:c r="K65" s="14" t="str">
        <x:v>content/maps/noveria/controle-de-port-hanshan.json</x:v>
      </x:c>
      <x:c r="L65" s="14" t="str"/>
      <x:c r="M65" s="14" t="str"/>
      <x:c r="N65" s="14" t="str">
        <x:v>Relevé de Noveria dans ME1 requis ; noms descriptifs pour la production.</x:v>
      </x:c>
      <x:c r="O65" s="14" t="str">
        <x:v>https://na.llnet.bioware.cdn.ea.com/u/f/eagames/bioware/masseffect/prima/prima_guide_me_pc.pdf</x:v>
      </x:c>
      <x:c r="P65" s="14" t="str">
        <x:v>Production ME1</x:v>
      </x:c>
      <x:c r="Q65" s="14" t="str"/>
    </x:row>
    <x:row r="66" ht="36" customHeight="1">
      <x:c r="A66" s="12" t="str">
        <x:v>ZON-noveria-hall-de-port-hanshan</x:v>
      </x:c>
      <x:c r="B66" s="7" t="str">
        <x:v>Noveria — Hall de Port Hanshan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Référence à vérifier</x:v>
      </x:c>
      <x:c r="H66" s="7" t="str">
        <x:v>Administration et commerce</x:v>
      </x:c>
      <x:c r="I66" s="7" t="str">
        <x:v>Entrées, sorties, volumes et personnages cartographiés sur captures de référence.</x:v>
      </x:c>
      <x:c r="J66" s="7" t="str">
        <x:v>WRL-noveria</x:v>
      </x:c>
      <x:c r="K66" s="7" t="str">
        <x:v>content/maps/noveria/hall-de-port-hanshan.json</x:v>
      </x:c>
      <x:c r="L66" s="7" t="str"/>
      <x:c r="M66" s="7" t="str"/>
      <x:c r="N66" s="7" t="str">
        <x:v>Relevé de Noveria dans ME1 requis ; noms descriptifs pour la production.</x:v>
      </x:c>
      <x:c r="O66" s="7" t="str">
        <x:v>https://na.llnet.bioware.cdn.ea.com/u/f/eagames/bioware/masseffect/prima/prima_guide_me_pc.pdf</x:v>
      </x:c>
      <x:c r="P66" s="7" t="str">
        <x:v>Production ME1</x:v>
      </x:c>
      <x:c r="Q66" s="7" t="str"/>
    </x:row>
    <x:row r="67" ht="36" customHeight="1">
      <x:c r="A67" s="13" t="str">
        <x:v>ZON-noveria-bureau-d-anoleis</x:v>
      </x:c>
      <x:c r="B67" s="14" t="str">
        <x:v>Noveria — Bureau d’Anoleis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Référence à vérifier</x:v>
      </x:c>
      <x:c r="H67" s="14" t="str">
        <x:v>Négociation du laissez-passer</x:v>
      </x:c>
      <x:c r="I67" s="14" t="str">
        <x:v>Entrées, sorties, volumes et personnages cartographiés sur captures de référence.</x:v>
      </x:c>
      <x:c r="J67" s="14" t="str">
        <x:v>WRL-noveria</x:v>
      </x:c>
      <x:c r="K67" s="14" t="str">
        <x:v>content/maps/noveria/bureau-d-anoleis.json</x:v>
      </x:c>
      <x:c r="L67" s="14" t="str"/>
      <x:c r="M67" s="14" t="str"/>
      <x:c r="N67" s="14" t="str">
        <x:v>Relevé de Noveria dans ME1 requis ; noms descriptifs pour la production.</x:v>
      </x:c>
      <x:c r="O67" s="14" t="str">
        <x:v>https://na.llnet.bioware.cdn.ea.com/u/f/eagames/bioware/masseffect/prima/prima_guide_me_pc.pdf</x:v>
      </x:c>
      <x:c r="P67" s="14" t="str">
        <x:v>Production ME1</x:v>
      </x:c>
      <x:c r="Q67" s="14" t="str"/>
    </x:row>
    <x:row r="68" ht="36" customHeight="1">
      <x:c r="A68" s="12" t="str">
        <x:v>ZON-noveria-hotel</x:v>
      </x:c>
      <x:c r="B68" s="7" t="str">
        <x:v>Noveria — Hôtel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Référence à vérifier</x:v>
      </x:c>
      <x:c r="H68" s="7" t="str">
        <x:v>Rencontres et affaire Lorik</x:v>
      </x:c>
      <x:c r="I68" s="7" t="str">
        <x:v>Entrées, sorties, volumes et personnages cartographiés sur captures de référence.</x:v>
      </x:c>
      <x:c r="J68" s="7" t="str">
        <x:v>WRL-noveria</x:v>
      </x:c>
      <x:c r="K68" s="7" t="str">
        <x:v>content/maps/noveria/hotel.json</x:v>
      </x:c>
      <x:c r="L68" s="7" t="str"/>
      <x:c r="M68" s="7" t="str"/>
      <x:c r="N68" s="7" t="str">
        <x:v>Relevé de Noveria dans ME1 requis ; noms descriptifs pour la production.</x:v>
      </x:c>
      <x:c r="O68" s="7" t="str">
        <x:v>https://na.llnet.bioware.cdn.ea.com/u/f/eagames/bioware/masseffect/prima/prima_guide_me_pc.pdf</x:v>
      </x:c>
      <x:c r="P68" s="7" t="str">
        <x:v>Production ME1</x:v>
      </x:c>
      <x:c r="Q68" s="7" t="str"/>
    </x:row>
    <x:row r="69" ht="36" customHeight="1">
      <x:c r="A69" s="13" t="str">
        <x:v>ZON-noveria-synthetic-insights</x:v>
      </x:c>
      <x:c r="B69" s="14" t="str">
        <x:v>Noveria — Synthetic Insights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Référence à vérifier</x:v>
      </x:c>
      <x:c r="H69" s="14" t="str">
        <x:v>Recherche des preuves</x:v>
      </x:c>
      <x:c r="I69" s="14" t="str">
        <x:v>Entrées, sorties, volumes et personnages cartographiés sur captures de référence.</x:v>
      </x:c>
      <x:c r="J69" s="14" t="str">
        <x:v>WRL-noveria</x:v>
      </x:c>
      <x:c r="K69" s="14" t="str">
        <x:v>content/maps/noveria/synthetic-insights.json</x:v>
      </x:c>
      <x:c r="L69" s="14" t="str"/>
      <x:c r="M69" s="14" t="str"/>
      <x:c r="N69" s="14" t="str">
        <x:v>Relevé de Noveria dans ME1 requis ; noms descriptifs pour la production.</x:v>
      </x:c>
      <x:c r="O69" s="14" t="str">
        <x:v>https://na.llnet.bioware.cdn.ea.com/u/f/eagames/bioware/masseffect/prima/prima_guide_me_pc.pdf</x:v>
      </x:c>
      <x:c r="P69" s="14" t="str">
        <x:v>Production ME1</x:v>
      </x:c>
      <x:c r="Q69" s="14" t="str"/>
    </x:row>
    <x:row r="70" ht="36" customHeight="1">
      <x:c r="A70" s="12" t="str">
        <x:v>ZON-noveria-garage</x:v>
      </x:c>
      <x:c r="B70" s="7" t="str">
        <x:v>Noveria — Garage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Référence à vérifier</x:v>
      </x:c>
      <x:c r="H70" s="7" t="str">
        <x:v>Départ au Mako</x:v>
      </x:c>
      <x:c r="I70" s="7" t="str">
        <x:v>Entrées, sorties, volumes et personnages cartographiés sur captures de référence.</x:v>
      </x:c>
      <x:c r="J70" s="7" t="str">
        <x:v>WRL-noveria</x:v>
      </x:c>
      <x:c r="K70" s="7" t="str">
        <x:v>content/maps/noveria/garage.json</x:v>
      </x:c>
      <x:c r="L70" s="7" t="str"/>
      <x:c r="M70" s="7" t="str"/>
      <x:c r="N70" s="7" t="str">
        <x:v>Relevé de Noveria dans ME1 requis ; noms descriptifs pour la production.</x:v>
      </x:c>
      <x:c r="O70" s="7" t="str">
        <x:v>https://na.llnet.bioware.cdn.ea.com/u/f/eagames/bioware/masseffect/prima/prima_guide_me_pc.pdf</x:v>
      </x:c>
      <x:c r="P70" s="7" t="str">
        <x:v>Production ME1</x:v>
      </x:c>
      <x:c r="Q70" s="7" t="str"/>
    </x:row>
    <x:row r="71" ht="36" customHeight="1">
      <x:c r="A71" s="13" t="str">
        <x:v>ZON-noveria-route-de-peak-15</x:v>
      </x:c>
      <x:c r="B71" s="14" t="str">
        <x:v>Noveria — Route de Peak 15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Référence à vérifier</x:v>
      </x:c>
      <x:c r="H71" s="14" t="str">
        <x:v>Blizzard, ponts et combats</x:v>
      </x:c>
      <x:c r="I71" s="14" t="str">
        <x:v>Entrées, sorties, volumes et personnages cartographiés sur captures de référence.</x:v>
      </x:c>
      <x:c r="J71" s="14" t="str">
        <x:v>WRL-noveria</x:v>
      </x:c>
      <x:c r="K71" s="14" t="str">
        <x:v>content/maps/noveria/route-de-peak-15.json</x:v>
      </x:c>
      <x:c r="L71" s="14" t="str"/>
      <x:c r="M71" s="14" t="str"/>
      <x:c r="N71" s="14" t="str">
        <x:v>Relevé de Noveria dans ME1 requis ; noms descriptifs pour la production.</x:v>
      </x:c>
      <x:c r="O71" s="14" t="str">
        <x:v>https://na.llnet.bioware.cdn.ea.com/u/f/eagames/bioware/masseffect/prima/prima_guide_me_pc.pdf</x:v>
      </x:c>
      <x:c r="P71" s="14" t="str">
        <x:v>Production ME1</x:v>
      </x:c>
      <x:c r="Q71" s="14" t="str"/>
    </x:row>
    <x:row r="72" ht="36" customHeight="1">
      <x:c r="A72" s="12" t="str">
        <x:v>ZON-noveria-garage-peak-15</x:v>
      </x:c>
      <x:c r="B72" s="7" t="str">
        <x:v>Noveria — Garage Peak 15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Référence à vérifier</x:v>
      </x:c>
      <x:c r="H72" s="7" t="str">
        <x:v>Infiltration de l’installation</x:v>
      </x:c>
      <x:c r="I72" s="7" t="str">
        <x:v>Entrées, sorties, volumes et personnages cartographiés sur captures de référence.</x:v>
      </x:c>
      <x:c r="J72" s="7" t="str">
        <x:v>WRL-noveria</x:v>
      </x:c>
      <x:c r="K72" s="7" t="str">
        <x:v>content/maps/noveria/garage-peak-15.json</x:v>
      </x:c>
      <x:c r="L72" s="7" t="str"/>
      <x:c r="M72" s="7" t="str"/>
      <x:c r="N72" s="7" t="str">
        <x:v>Relevé de Noveria dans ME1 requis ; noms descriptifs pour la production.</x:v>
      </x:c>
      <x:c r="O72" s="7" t="str">
        <x:v>https://na.llnet.bioware.cdn.ea.com/u/f/eagames/bioware/masseffect/prima/prima_guide_me_pc.pdf</x:v>
      </x:c>
      <x:c r="P72" s="7" t="str">
        <x:v>Production ME1</x:v>
      </x:c>
      <x:c r="Q72" s="7" t="str"/>
    </x:row>
    <x:row r="73" ht="36" customHeight="1">
      <x:c r="A73" s="13" t="str">
        <x:v>ZON-noveria-c-ur-de-mira</x:v>
      </x:c>
      <x:c r="B73" s="14" t="str">
        <x:v>Noveria — Cœur de Mira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Référence à vérifier</x:v>
      </x:c>
      <x:c r="H73" s="14" t="str">
        <x:v>Réactivation de l’IV</x:v>
      </x:c>
      <x:c r="I73" s="14" t="str">
        <x:v>Entrées, sorties, volumes et personnages cartographiés sur captures de référence.</x:v>
      </x:c>
      <x:c r="J73" s="14" t="str">
        <x:v>WRL-noveria</x:v>
      </x:c>
      <x:c r="K73" s="14" t="str">
        <x:v>content/maps/noveria/c-ur-de-mira.json</x:v>
      </x:c>
      <x:c r="L73" s="14" t="str"/>
      <x:c r="M73" s="14" t="str"/>
      <x:c r="N73" s="14" t="str">
        <x:v>Relevé de Noveria dans ME1 requis ; noms descriptifs pour la production.</x:v>
      </x:c>
      <x:c r="O73" s="14" t="str">
        <x:v>https://na.llnet.bioware.cdn.ea.com/u/f/eagames/bioware/masseffect/prima/prima_guide_me_pc.pdf</x:v>
      </x:c>
      <x:c r="P73" s="14" t="str">
        <x:v>Production ME1</x:v>
      </x:c>
      <x:c r="Q73" s="14" t="str"/>
    </x:row>
    <x:row r="74" ht="36" customHeight="1">
      <x:c r="A74" s="12" t="str">
        <x:v>ZON-noveria-reacteur</x:v>
      </x:c>
      <x:c r="B74" s="7" t="str">
        <x:v>Noveria — Réacteur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Référence à vérifier</x:v>
      </x:c>
      <x:c r="H74" s="7" t="str">
        <x:v>Rétablissement de l’énergie</x:v>
      </x:c>
      <x:c r="I74" s="7" t="str">
        <x:v>Entrées, sorties, volumes et personnages cartographiés sur captures de référence.</x:v>
      </x:c>
      <x:c r="J74" s="7" t="str">
        <x:v>WRL-noveria</x:v>
      </x:c>
      <x:c r="K74" s="7" t="str">
        <x:v>content/maps/noveria/reacteur.json</x:v>
      </x:c>
      <x:c r="L74" s="7" t="str"/>
      <x:c r="M74" s="7" t="str"/>
      <x:c r="N74" s="7" t="str">
        <x:v>Relevé de Noveria dans ME1 requis ; noms descriptifs pour la production.</x:v>
      </x:c>
      <x:c r="O74" s="7" t="str">
        <x:v>https://na.llnet.bioware.cdn.ea.com/u/f/eagames/bioware/masseffect/prima/prima_guide_me_pc.pdf</x:v>
      </x:c>
      <x:c r="P74" s="7" t="str">
        <x:v>Production ME1</x:v>
      </x:c>
      <x:c r="Q74" s="7" t="str"/>
    </x:row>
    <x:row r="75" ht="36" customHeight="1">
      <x:c r="A75" s="13" t="str">
        <x:v>ZON-noveria-toit-et-antenne</x:v>
      </x:c>
      <x:c r="B75" s="14" t="str">
        <x:v>Noveria — Toit et antenne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Référence à vérifier</x:v>
      </x:c>
      <x:c r="H75" s="14" t="str">
        <x:v>Réparation des communications</x:v>
      </x:c>
      <x:c r="I75" s="14" t="str">
        <x:v>Entrées, sorties, volumes et personnages cartographiés sur captures de référence.</x:v>
      </x:c>
      <x:c r="J75" s="14" t="str">
        <x:v>WRL-noveria</x:v>
      </x:c>
      <x:c r="K75" s="14" t="str">
        <x:v>content/maps/noveria/toit-et-antenne.json</x:v>
      </x:c>
      <x:c r="L75" s="14" t="str"/>
      <x:c r="M75" s="14" t="str"/>
      <x:c r="N75" s="14" t="str">
        <x:v>Relevé de Noveria dans ME1 requis ; noms descriptifs pour la production.</x:v>
      </x:c>
      <x:c r="O75" s="14" t="str">
        <x:v>https://na.llnet.bioware.cdn.ea.com/u/f/eagames/bioware/masseffect/prima/prima_guide_me_pc.pdf</x:v>
      </x:c>
      <x:c r="P75" s="14" t="str">
        <x:v>Production ME1</x:v>
      </x:c>
      <x:c r="Q75" s="14" t="str"/>
    </x:row>
    <x:row r="76" ht="36" customHeight="1">
      <x:c r="A76" s="12" t="str">
        <x:v>ZON-noveria-tram-de-la-station</x:v>
      </x:c>
      <x:c r="B76" s="7" t="str">
        <x:v>Noveria — Tram de la station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Référence à vérifier</x:v>
      </x:c>
      <x:c r="H76" s="7" t="str">
        <x:v>Transport intérieur</x:v>
      </x:c>
      <x:c r="I76" s="7" t="str">
        <x:v>Entrées, sorties, volumes et personnages cartographiés sur captures de référence.</x:v>
      </x:c>
      <x:c r="J76" s="7" t="str">
        <x:v>WRL-noveria</x:v>
      </x:c>
      <x:c r="K76" s="7" t="str">
        <x:v>content/maps/noveria/tram-de-la-station.json</x:v>
      </x:c>
      <x:c r="L76" s="7" t="str"/>
      <x:c r="M76" s="7" t="str"/>
      <x:c r="N76" s="7" t="str">
        <x:v>Relevé de Noveria dans ME1 requis ; noms descriptifs pour la production.</x:v>
      </x:c>
      <x:c r="O76" s="7" t="str">
        <x:v>https://na.llnet.bioware.cdn.ea.com/u/f/eagames/bioware/masseffect/prima/prima_guide_me_pc.pdf</x:v>
      </x:c>
      <x:c r="P76" s="7" t="str">
        <x:v>Production ME1</x:v>
      </x:c>
      <x:c r="Q76" s="7" t="str"/>
    </x:row>
    <x:row r="77" ht="36" customHeight="1">
      <x:c r="A77" s="13" t="str">
        <x:v>ZON-noveria-poste-de-securite-rift</x:v>
      </x:c>
      <x:c r="B77" s="14" t="str">
        <x:v>Noveria — Poste de sécurité Rift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Référence à vérifier</x:v>
      </x:c>
      <x:c r="H77" s="14" t="str">
        <x:v>Personnel survivant</x:v>
      </x:c>
      <x:c r="I77" s="14" t="str">
        <x:v>Entrées, sorties, volumes et personnages cartographiés sur captures de référence.</x:v>
      </x:c>
      <x:c r="J77" s="14" t="str">
        <x:v>WRL-noveria</x:v>
      </x:c>
      <x:c r="K77" s="14" t="str">
        <x:v>content/maps/noveria/poste-de-securite-rift.json</x:v>
      </x:c>
      <x:c r="L77" s="14" t="str"/>
      <x:c r="M77" s="14" t="str"/>
      <x:c r="N77" s="14" t="str">
        <x:v>Relevé de Noveria dans ME1 requis ; noms descriptifs pour la production.</x:v>
      </x:c>
      <x:c r="O77" s="14" t="str">
        <x:v>https://na.llnet.bioware.cdn.ea.com/u/f/eagames/bioware/masseffect/prima/prima_guide_me_pc.pdf</x:v>
      </x:c>
      <x:c r="P77" s="14" t="str">
        <x:v>Production ME1</x:v>
      </x:c>
      <x:c r="Q77" s="14" t="str"/>
    </x:row>
    <x:row r="78" ht="36" customHeight="1">
      <x:c r="A78" s="12" t="str">
        <x:v>ZON-noveria-laboratoire-medical</x:v>
      </x:c>
      <x:c r="B78" s="7" t="str">
        <x:v>Noveria — Laboratoire médical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Référence à vérifier</x:v>
      </x:c>
      <x:c r="H78" s="7" t="str">
        <x:v>Traitement et accès</x:v>
      </x:c>
      <x:c r="I78" s="7" t="str">
        <x:v>Entrées, sorties, volumes et personnages cartographiés sur captures de référence.</x:v>
      </x:c>
      <x:c r="J78" s="7" t="str">
        <x:v>WRL-noveria</x:v>
      </x:c>
      <x:c r="K78" s="7" t="str">
        <x:v>content/maps/noveria/laboratoire-medical.json</x:v>
      </x:c>
      <x:c r="L78" s="7" t="str"/>
      <x:c r="M78" s="7" t="str"/>
      <x:c r="N78" s="7" t="str">
        <x:v>Relevé de Noveria dans ME1 requis ; noms descriptifs pour la production.</x:v>
      </x:c>
      <x:c r="O78" s="7" t="str">
        <x:v>https://na.llnet.bioware.cdn.ea.com/u/f/eagames/bioware/masseffect/prima/prima_guide_me_pc.pdf</x:v>
      </x:c>
      <x:c r="P78" s="7" t="str">
        <x:v>Production ME1</x:v>
      </x:c>
      <x:c r="Q78" s="7" t="str"/>
    </x:row>
    <x:row r="79" ht="36" customHeight="1">
      <x:c r="A79" s="13" t="str">
        <x:v>ZON-noveria-laboratoires-chauds</x:v>
      </x:c>
      <x:c r="B79" s="14" t="str">
        <x:v>Noveria — Laboratoires chauds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Référence à vérifier</x:v>
      </x:c>
      <x:c r="H79" s="14" t="str">
        <x:v>Purge et rachni</x:v>
      </x:c>
      <x:c r="I79" s="14" t="str">
        <x:v>Entrées, sorties, volumes et personnages cartographiés sur captures de référence.</x:v>
      </x:c>
      <x:c r="J79" s="14" t="str">
        <x:v>WRL-noveria</x:v>
      </x:c>
      <x:c r="K79" s="14" t="str">
        <x:v>content/maps/noveria/laboratoires-chauds.json</x:v>
      </x:c>
      <x:c r="L79" s="14" t="str"/>
      <x:c r="M79" s="14" t="str"/>
      <x:c r="N79" s="14" t="str">
        <x:v>Relevé de Noveria dans ME1 requis ; noms descriptifs pour la production.</x:v>
      </x:c>
      <x:c r="O79" s="14" t="str">
        <x:v>https://na.llnet.bioware.cdn.ea.com/u/f/eagames/bioware/masseffect/prima/prima_guide_me_pc.pdf</x:v>
      </x:c>
      <x:c r="P79" s="14" t="str">
        <x:v>Production ME1</x:v>
      </x:c>
      <x:c r="Q79" s="14" t="str"/>
    </x:row>
    <x:row r="80" ht="36" customHeight="1">
      <x:c r="A80" s="12" t="str">
        <x:v>ZON-noveria-chambre-de-benezia</x:v>
      </x:c>
      <x:c r="B80" s="7" t="str">
        <x:v>Noveria — Chambre de Benezia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Référence à vérifier</x:v>
      </x:c>
      <x:c r="H80" s="7" t="str">
        <x:v>Confrontation biotique</x:v>
      </x:c>
      <x:c r="I80" s="7" t="str">
        <x:v>Entrées, sorties, volumes et personnages cartographiés sur captures de référence.</x:v>
      </x:c>
      <x:c r="J80" s="7" t="str">
        <x:v>WRL-noveria</x:v>
      </x:c>
      <x:c r="K80" s="7" t="str">
        <x:v>content/maps/noveria/chambre-de-benezia.json</x:v>
      </x:c>
      <x:c r="L80" s="7" t="str"/>
      <x:c r="M80" s="7" t="str"/>
      <x:c r="N80" s="7" t="str">
        <x:v>Relevé de Noveria dans ME1 requis ; noms descriptifs pour la production.</x:v>
      </x:c>
      <x:c r="O80" s="7" t="str">
        <x:v>https://na.llnet.bioware.cdn.ea.com/u/f/eagames/bioware/masseffect/prima/prima_guide_me_pc.pdf</x:v>
      </x:c>
      <x:c r="P80" s="7" t="str">
        <x:v>Production ME1</x:v>
      </x:c>
      <x:c r="Q80" s="7" t="str"/>
    </x:row>
    <x:row r="81" ht="36" customHeight="1">
      <x:c r="A81" s="13" t="str">
        <x:v>ZON-noveria-chambre-de-la-reine</x:v>
      </x:c>
      <x:c r="B81" s="14" t="str">
        <x:v>Noveria — Chambre de la reine</x:v>
      </x:c>
      <x:c r="C81" s="10" t="str">
        <x:v>Défini</x:v>
      </x:c>
      <x:c r="D81" s="11" t="str">
        <x:v>À produire</x:v>
      </x:c>
      <x:c r="E81" s="15" t="str">
        <x:v>P1</x:v>
      </x:c>
      <x:c r="F81" s="15" t="str">
        <x:v>ME1</x:v>
      </x:c>
      <x:c r="G81" s="15" t="str">
        <x:v>Référence à vérifier</x:v>
      </x:c>
      <x:c r="H81" s="14" t="str">
        <x:v>Choix rachni</x:v>
      </x:c>
      <x:c r="I81" s="14" t="str">
        <x:v>Entrées, sorties, volumes et personnages cartographiés sur captures de référence.</x:v>
      </x:c>
      <x:c r="J81" s="14" t="str">
        <x:v>WRL-noveria</x:v>
      </x:c>
      <x:c r="K81" s="14" t="str">
        <x:v>content/maps/noveria/chambre-de-la-reine.json</x:v>
      </x:c>
      <x:c r="L81" s="14" t="str"/>
      <x:c r="M81" s="14" t="str"/>
      <x:c r="N81" s="14" t="str">
        <x:v>Relevé de Noveria dans ME1 requis ; noms descriptifs pour la production.</x:v>
      </x:c>
      <x:c r="O81" s="14" t="str">
        <x:v>https://na.llnet.bioware.cdn.ea.com/u/f/eagames/bioware/masseffect/prima/prima_guide_me_pc.pdf</x:v>
      </x:c>
      <x:c r="P81" s="14" t="str">
        <x:v>Production ME1</x:v>
      </x:c>
      <x:c r="Q81" s="14" t="str"/>
    </x:row>
    <x:row r="82" ht="36" customHeight="1">
      <x:c r="A82" s="12" t="str">
        <x:v>ZON-virmire-littoral-d-atterrissage</x:v>
      </x:c>
      <x:c r="B82" s="7" t="str">
        <x:v>Virmire — Littoral d’atterrissage</x:v>
      </x:c>
      <x:c r="C82" s="10" t="str">
        <x:v>Défini</x:v>
      </x:c>
      <x:c r="D82" s="11" t="str">
        <x:v>À produire</x:v>
      </x:c>
      <x:c r="E82" s="9" t="str">
        <x:v>P1</x:v>
      </x:c>
      <x:c r="F82" s="9" t="str">
        <x:v>ME1</x:v>
      </x:c>
      <x:c r="G82" s="9" t="str">
        <x:v>Référence à vérifier</x:v>
      </x:c>
      <x:c r="H82" s="7" t="str">
        <x:v>Arrivée en Mako</x:v>
      </x:c>
      <x:c r="I82" s="7" t="str">
        <x:v>Entrées, sorties, volumes et personnages cartographiés sur captures de référence.</x:v>
      </x:c>
      <x:c r="J82" s="7" t="str">
        <x:v>WRL-virmire</x:v>
      </x:c>
      <x:c r="K82" s="7" t="str">
        <x:v>content/maps/virmire/littoral-d-atterrissage.json</x:v>
      </x:c>
      <x:c r="L82" s="7" t="str"/>
      <x:c r="M82" s="7" t="str"/>
      <x:c r="N82" s="7" t="str">
        <x:v>Relevé de Virmire dans ME1 requis ; noms descriptifs pour la production.</x:v>
      </x:c>
      <x:c r="O82" s="7" t="str">
        <x:v>https://na.llnet.bioware.cdn.ea.com/u/f/eagames/bioware/masseffect/prima/prima_guide_me_pc.pdf</x:v>
      </x:c>
      <x:c r="P82" s="7" t="str">
        <x:v>Production ME1</x:v>
      </x:c>
      <x:c r="Q82" s="7" t="str"/>
    </x:row>
    <x:row r="83" ht="36" customHeight="1">
      <x:c r="A83" s="13" t="str">
        <x:v>ZON-virmire-poste-de-barrage</x:v>
      </x:c>
      <x:c r="B83" s="14" t="str">
        <x:v>Virmire — Poste de barrage</x:v>
      </x:c>
      <x:c r="C83" s="10" t="str">
        <x:v>Défini</x:v>
      </x:c>
      <x:c r="D83" s="11" t="str">
        <x:v>À produire</x:v>
      </x:c>
      <x:c r="E83" s="15" t="str">
        <x:v>P1</x:v>
      </x:c>
      <x:c r="F83" s="15" t="str">
        <x:v>ME1</x:v>
      </x:c>
      <x:c r="G83" s="15" t="str">
        <x:v>Référence à vérifier</x:v>
      </x:c>
      <x:c r="H83" s="14" t="str">
        <x:v>Défenses côtières</x:v>
      </x:c>
      <x:c r="I83" s="14" t="str">
        <x:v>Entrées, sorties, volumes et personnages cartographiés sur captures de référence.</x:v>
      </x:c>
      <x:c r="J83" s="14" t="str">
        <x:v>WRL-virmire</x:v>
      </x:c>
      <x:c r="K83" s="14" t="str">
        <x:v>content/maps/virmire/poste-de-barrage.json</x:v>
      </x:c>
      <x:c r="L83" s="14" t="str"/>
      <x:c r="M83" s="14" t="str"/>
      <x:c r="N83" s="14" t="str">
        <x:v>Relevé de Virmire dans ME1 requis ; noms descriptifs pour la production.</x:v>
      </x:c>
      <x:c r="O83" s="14" t="str">
        <x:v>https://na.llnet.bioware.cdn.ea.com/u/f/eagames/bioware/masseffect/prima/prima_guide_me_pc.pdf</x:v>
      </x:c>
      <x:c r="P83" s="14" t="str">
        <x:v>Production ME1</x:v>
      </x:c>
      <x:c r="Q83" s="14" t="str"/>
    </x:row>
    <x:row r="84" ht="36" customHeight="1">
      <x:c r="A84" s="12" t="str">
        <x:v>ZON-virmire-camp-galarien</x:v>
      </x:c>
      <x:c r="B84" s="7" t="str">
        <x:v>Virmire — Camp galarien</x:v>
      </x:c>
      <x:c r="C84" s="10" t="str">
        <x:v>Défini</x:v>
      </x:c>
      <x:c r="D84" s="11" t="str">
        <x:v>À produire</x:v>
      </x:c>
      <x:c r="E84" s="9" t="str">
        <x:v>P1</x:v>
      </x:c>
      <x:c r="F84" s="9" t="str">
        <x:v>ME1</x:v>
      </x:c>
      <x:c r="G84" s="9" t="str">
        <x:v>Référence à vérifier</x:v>
      </x:c>
      <x:c r="H84" s="7" t="str">
        <x:v>Briefing et confrontation Wrex</x:v>
      </x:c>
      <x:c r="I84" s="7" t="str">
        <x:v>Entrées, sorties, volumes et personnages cartographiés sur captures de référence.</x:v>
      </x:c>
      <x:c r="J84" s="7" t="str">
        <x:v>WRL-virmire</x:v>
      </x:c>
      <x:c r="K84" s="7" t="str">
        <x:v>content/maps/virmire/camp-galarien.json</x:v>
      </x:c>
      <x:c r="L84" s="7" t="str"/>
      <x:c r="M84" s="7" t="str"/>
      <x:c r="N84" s="7" t="str">
        <x:v>Relevé de Virmire dans ME1 requis ; noms descriptifs pour la production.</x:v>
      </x:c>
      <x:c r="O84" s="7" t="str">
        <x:v>https://na.llnet.bioware.cdn.ea.com/u/f/eagames/bioware/masseffect/prima/prima_guide_me_pc.pdf</x:v>
      </x:c>
      <x:c r="P84" s="7" t="str">
        <x:v>Production ME1</x:v>
      </x:c>
      <x:c r="Q84" s="7" t="str"/>
    </x:row>
    <x:row r="85" ht="36" customHeight="1">
      <x:c r="A85" s="13" t="str">
        <x:v>ZON-virmire-voie-d-infiltration</x:v>
      </x:c>
      <x:c r="B85" s="14" t="str">
        <x:v>Virmire — Voie d’infiltration</x:v>
      </x:c>
      <x:c r="C85" s="10" t="str">
        <x:v>Défini</x:v>
      </x:c>
      <x:c r="D85" s="11" t="str">
        <x:v>À produire</x:v>
      </x:c>
      <x:c r="E85" s="15" t="str">
        <x:v>P1</x:v>
      </x:c>
      <x:c r="F85" s="15" t="str">
        <x:v>ME1</x:v>
      </x:c>
      <x:c r="G85" s="15" t="str">
        <x:v>Référence à vérifier</x:v>
      </x:c>
      <x:c r="H85" s="14" t="str">
        <x:v>Choix de soutien au STG</x:v>
      </x:c>
      <x:c r="I85" s="14" t="str">
        <x:v>Entrées, sorties, volumes et personnages cartographiés sur captures de référence.</x:v>
      </x:c>
      <x:c r="J85" s="14" t="str">
        <x:v>WRL-virmire</x:v>
      </x:c>
      <x:c r="K85" s="14" t="str">
        <x:v>content/maps/virmire/voie-d-infiltration.json</x:v>
      </x:c>
      <x:c r="L85" s="14" t="str"/>
      <x:c r="M85" s="14" t="str"/>
      <x:c r="N85" s="14" t="str">
        <x:v>Relevé de Virmire dans ME1 requis ; noms descriptifs pour la production.</x:v>
      </x:c>
      <x:c r="O85" s="14" t="str">
        <x:v>https://na.llnet.bioware.cdn.ea.com/u/f/eagames/bioware/masseffect/prima/prima_guide_me_pc.pdf</x:v>
      </x:c>
      <x:c r="P85" s="14" t="str">
        <x:v>Production ME1</x:v>
      </x:c>
      <x:c r="Q85" s="14" t="str"/>
    </x:row>
    <x:row r="86" ht="36" customHeight="1">
      <x:c r="A86" s="12" t="str">
        <x:v>ZON-virmire-tour-de-communication</x:v>
      </x:c>
      <x:c r="B86" s="7" t="str">
        <x:v>Virmire — Tour de communication</x:v>
      </x:c>
      <x:c r="C86" s="10" t="str">
        <x:v>Défini</x:v>
      </x:c>
      <x:c r="D86" s="11" t="str">
        <x:v>À produire</x:v>
      </x:c>
      <x:c r="E86" s="9" t="str">
        <x:v>P1</x:v>
      </x:c>
      <x:c r="F86" s="9" t="str">
        <x:v>ME1</x:v>
      </x:c>
      <x:c r="G86" s="9" t="str">
        <x:v>Référence à vérifier</x:v>
      </x:c>
      <x:c r="H86" s="7" t="str">
        <x:v>Sabotage de soutien</x:v>
      </x:c>
      <x:c r="I86" s="7" t="str">
        <x:v>Entrées, sorties, volumes et personnages cartographiés sur captures de référence.</x:v>
      </x:c>
      <x:c r="J86" s="7" t="str">
        <x:v>WRL-virmire</x:v>
      </x:c>
      <x:c r="K86" s="7" t="str">
        <x:v>content/maps/virmire/tour-de-communication.json</x:v>
      </x:c>
      <x:c r="L86" s="7" t="str"/>
      <x:c r="M86" s="7" t="str"/>
      <x:c r="N86" s="7" t="str">
        <x:v>Relevé de Virmire dans ME1 requis ; noms descriptifs pour la production.</x:v>
      </x:c>
      <x:c r="O86" s="7" t="str">
        <x:v>https://na.llnet.bioware.cdn.ea.com/u/f/eagames/bioware/masseffect/prima/prima_guide_me_pc.pdf</x:v>
      </x:c>
      <x:c r="P86" s="7" t="str">
        <x:v>Production ME1</x:v>
      </x:c>
      <x:c r="Q86" s="7" t="str"/>
    </x:row>
    <x:row r="87" ht="36" customHeight="1">
      <x:c r="A87" s="13" t="str">
        <x:v>ZON-virmire-plateforme-de-ravitaillement</x:v>
      </x:c>
      <x:c r="B87" s="14" t="str">
        <x:v>Virmire — Plateforme de ravitaillement</x:v>
      </x:c>
      <x:c r="C87" s="10" t="str">
        <x:v>Défini</x:v>
      </x:c>
      <x:c r="D87" s="11" t="str">
        <x:v>À produire</x:v>
      </x:c>
      <x:c r="E87" s="15" t="str">
        <x:v>P1</x:v>
      </x:c>
      <x:c r="F87" s="15" t="str">
        <x:v>ME1</x:v>
      </x:c>
      <x:c r="G87" s="15" t="str">
        <x:v>Référence à vérifier</x:v>
      </x:c>
      <x:c r="H87" s="14" t="str">
        <x:v>Cibles de soutien</x:v>
      </x:c>
      <x:c r="I87" s="14" t="str">
        <x:v>Entrées, sorties, volumes et personnages cartographiés sur captures de référence.</x:v>
      </x:c>
      <x:c r="J87" s="14" t="str">
        <x:v>WRL-virmire</x:v>
      </x:c>
      <x:c r="K87" s="14" t="str">
        <x:v>content/maps/virmire/plateforme-de-ravitaillement.json</x:v>
      </x:c>
      <x:c r="L87" s="14" t="str"/>
      <x:c r="M87" s="14" t="str"/>
      <x:c r="N87" s="14" t="str">
        <x:v>Relevé de Virmire dans ME1 requis ; noms descriptifs pour la production.</x:v>
      </x:c>
      <x:c r="O87" s="14" t="str">
        <x:v>https://na.llnet.bioware.cdn.ea.com/u/f/eagames/bioware/masseffect/prima/prima_guide_me_pc.pdf</x:v>
      </x:c>
      <x:c r="P87" s="14" t="str">
        <x:v>Production ME1</x:v>
      </x:c>
      <x:c r="Q87" s="14" t="str"/>
    </x:row>
    <x:row r="88" ht="36" customHeight="1">
      <x:c r="A88" s="12" t="str">
        <x:v>ZON-virmire-entree-du-laboratoire</x:v>
      </x:c>
      <x:c r="B88" s="7" t="str">
        <x:v>Virmire — Entrée du laboratoire</x:v>
      </x:c>
      <x:c r="C88" s="10" t="str">
        <x:v>Défini</x:v>
      </x:c>
      <x:c r="D88" s="11" t="str">
        <x:v>À produire</x:v>
      </x:c>
      <x:c r="E88" s="9" t="str">
        <x:v>P1</x:v>
      </x:c>
      <x:c r="F88" s="9" t="str">
        <x:v>ME1</x:v>
      </x:c>
      <x:c r="G88" s="9" t="str">
        <x:v>Référence à vérifier</x:v>
      </x:c>
      <x:c r="H88" s="7" t="str">
        <x:v>Personnel et prisonniers</x:v>
      </x:c>
      <x:c r="I88" s="7" t="str">
        <x:v>Entrées, sorties, volumes et personnages cartographiés sur captures de référence.</x:v>
      </x:c>
      <x:c r="J88" s="7" t="str">
        <x:v>WRL-virmire</x:v>
      </x:c>
      <x:c r="K88" s="7" t="str">
        <x:v>content/maps/virmire/entree-du-laboratoire.json</x:v>
      </x:c>
      <x:c r="L88" s="7" t="str"/>
      <x:c r="M88" s="7" t="str"/>
      <x:c r="N88" s="7" t="str">
        <x:v>Relevé de Virmire dans ME1 requis ; noms descriptifs pour la production.</x:v>
      </x:c>
      <x:c r="O88" s="7" t="str">
        <x:v>https://na.llnet.bioware.cdn.ea.com/u/f/eagames/bioware/masseffect/prima/prima_guide_me_pc.pdf</x:v>
      </x:c>
      <x:c r="P88" s="7" t="str">
        <x:v>Production ME1</x:v>
      </x:c>
      <x:c r="Q88" s="7" t="str"/>
    </x:row>
    <x:row r="89" ht="36" customHeight="1">
      <x:c r="A89" s="13" t="str">
        <x:v>ZON-virmire-laboratoire-de-reproduction</x:v>
      </x:c>
      <x:c r="B89" s="14" t="str">
        <x:v>Virmire — Laboratoire de reproduction</x:v>
      </x:c>
      <x:c r="C89" s="10" t="str">
        <x:v>Défini</x:v>
      </x:c>
      <x:c r="D89" s="11" t="str">
        <x:v>À produire</x:v>
      </x:c>
      <x:c r="E89" s="15" t="str">
        <x:v>P1</x:v>
      </x:c>
      <x:c r="F89" s="15" t="str">
        <x:v>ME1</x:v>
      </x:c>
      <x:c r="G89" s="15" t="str">
        <x:v>Référence à vérifier</x:v>
      </x:c>
      <x:c r="H89" s="14" t="str">
        <x:v>Découverte des expériences</x:v>
      </x:c>
      <x:c r="I89" s="14" t="str">
        <x:v>Entrées, sorties, volumes et personnages cartographiés sur captures de référence.</x:v>
      </x:c>
      <x:c r="J89" s="14" t="str">
        <x:v>WRL-virmire</x:v>
      </x:c>
      <x:c r="K89" s="14" t="str">
        <x:v>content/maps/virmire/laboratoire-de-reproduction.json</x:v>
      </x:c>
      <x:c r="L89" s="14" t="str"/>
      <x:c r="M89" s="14" t="str"/>
      <x:c r="N89" s="14" t="str">
        <x:v>Relevé de Virmire dans ME1 requis ; noms descriptifs pour la production.</x:v>
      </x:c>
      <x:c r="O89" s="14" t="str">
        <x:v>https://na.llnet.bioware.cdn.ea.com/u/f/eagames/bioware/masseffect/prima/prima_guide_me_pc.pdf</x:v>
      </x:c>
      <x:c r="P89" s="14" t="str">
        <x:v>Production ME1</x:v>
      </x:c>
      <x:c r="Q89" s="14" t="str"/>
    </x:row>
    <x:row r="90" ht="36" customHeight="1">
      <x:c r="A90" s="12" t="str">
        <x:v>ZON-virmire-salle-de-sovereign</x:v>
      </x:c>
      <x:c r="B90" s="7" t="str">
        <x:v>Virmire — Salle de Sovereign</x:v>
      </x:c>
      <x:c r="C90" s="10" t="str">
        <x:v>Défini</x:v>
      </x:c>
      <x:c r="D90" s="11" t="str">
        <x:v>À produire</x:v>
      </x:c>
      <x:c r="E90" s="9" t="str">
        <x:v>P1</x:v>
      </x:c>
      <x:c r="F90" s="9" t="str">
        <x:v>ME1</x:v>
      </x:c>
      <x:c r="G90" s="9" t="str">
        <x:v>Référence à vérifier</x:v>
      </x:c>
      <x:c r="H90" s="7" t="str">
        <x:v>Communication et révélation</x:v>
      </x:c>
      <x:c r="I90" s="7" t="str">
        <x:v>Entrées, sorties, volumes et personnages cartographiés sur captures de référence.</x:v>
      </x:c>
      <x:c r="J90" s="7" t="str">
        <x:v>WRL-virmire</x:v>
      </x:c>
      <x:c r="K90" s="7" t="str">
        <x:v>content/maps/virmire/salle-de-sovereign.json</x:v>
      </x:c>
      <x:c r="L90" s="7" t="str"/>
      <x:c r="M90" s="7" t="str"/>
      <x:c r="N90" s="7" t="str">
        <x:v>Relevé de Virmire dans ME1 requis ; noms descriptifs pour la production.</x:v>
      </x:c>
      <x:c r="O90" s="7" t="str">
        <x:v>https://na.llnet.bioware.cdn.ea.com/u/f/eagames/bioware/masseffect/prima/prima_guide_me_pc.pdf</x:v>
      </x:c>
      <x:c r="P90" s="7" t="str">
        <x:v>Production ME1</x:v>
      </x:c>
      <x:c r="Q90" s="7" t="str"/>
    </x:row>
    <x:row r="91" ht="36" customHeight="1">
      <x:c r="A91" s="13" t="str">
        <x:v>ZON-virmire-tour-antiaerienne</x:v>
      </x:c>
      <x:c r="B91" s="14" t="str">
        <x:v>Virmire — Tour antiaérienne</x:v>
      </x:c>
      <x:c r="C91" s="10" t="str">
        <x:v>Défini</x:v>
      </x:c>
      <x:c r="D91" s="11" t="str">
        <x:v>À produire</x:v>
      </x:c>
      <x:c r="E91" s="15" t="str">
        <x:v>P1</x:v>
      </x:c>
      <x:c r="F91" s="15" t="str">
        <x:v>ME1</x:v>
      </x:c>
      <x:c r="G91" s="15" t="str">
        <x:v>Référence à vérifier</x:v>
      </x:c>
      <x:c r="H91" s="14" t="str">
        <x:v>Objectif d’assaut</x:v>
      </x:c>
      <x:c r="I91" s="14" t="str">
        <x:v>Entrées, sorties, volumes et personnages cartographiés sur captures de référence.</x:v>
      </x:c>
      <x:c r="J91" s="14" t="str">
        <x:v>WRL-virmire</x:v>
      </x:c>
      <x:c r="K91" s="14" t="str">
        <x:v>content/maps/virmire/tour-antiaerienne.json</x:v>
      </x:c>
      <x:c r="L91" s="14" t="str"/>
      <x:c r="M91" s="14" t="str"/>
      <x:c r="N91" s="14" t="str">
        <x:v>Relevé de Virmire dans ME1 requis ; noms descriptifs pour la production.</x:v>
      </x:c>
      <x:c r="O91" s="14" t="str">
        <x:v>https://na.llnet.bioware.cdn.ea.com/u/f/eagames/bioware/masseffect/prima/prima_guide_me_pc.pdf</x:v>
      </x:c>
      <x:c r="P91" s="14" t="str">
        <x:v>Production ME1</x:v>
      </x:c>
      <x:c r="Q91" s="14" t="str"/>
    </x:row>
    <x:row r="92" ht="36" customHeight="1">
      <x:c r="A92" s="12" t="str">
        <x:v>ZON-virmire-site-de-la-bombe</x:v>
      </x:c>
      <x:c r="B92" s="7" t="str">
        <x:v>Virmire — Site de la bombe</x:v>
      </x:c>
      <x:c r="C92" s="10" t="str">
        <x:v>Défini</x:v>
      </x:c>
      <x:c r="D92" s="11" t="str">
        <x:v>À produire</x:v>
      </x:c>
      <x:c r="E92" s="9" t="str">
        <x:v>P1</x:v>
      </x:c>
      <x:c r="F92" s="9" t="str">
        <x:v>ME1</x:v>
      </x:c>
      <x:c r="G92" s="9" t="str">
        <x:v>Référence à vérifier</x:v>
      </x:c>
      <x:c r="H92" s="7" t="str">
        <x:v>Armement et protection</x:v>
      </x:c>
      <x:c r="I92" s="7" t="str">
        <x:v>Entrées, sorties, volumes et personnages cartographiés sur captures de référence.</x:v>
      </x:c>
      <x:c r="J92" s="7" t="str">
        <x:v>WRL-virmire</x:v>
      </x:c>
      <x:c r="K92" s="7" t="str">
        <x:v>content/maps/virmire/site-de-la-bombe.json</x:v>
      </x:c>
      <x:c r="L92" s="7" t="str"/>
      <x:c r="M92" s="7" t="str"/>
      <x:c r="N92" s="7" t="str">
        <x:v>Relevé de Virmire dans ME1 requis ; noms descriptifs pour la production.</x:v>
      </x:c>
      <x:c r="O92" s="7" t="str">
        <x:v>https://na.llnet.bioware.cdn.ea.com/u/f/eagames/bioware/masseffect/prima/prima_guide_me_pc.pdf</x:v>
      </x:c>
      <x:c r="P92" s="7" t="str">
        <x:v>Production ME1</x:v>
      </x:c>
      <x:c r="Q92" s="7" t="str"/>
    </x:row>
    <x:row r="93" ht="36" customHeight="1">
      <x:c r="A93" s="13" t="str">
        <x:v>ZON-virmire-zone-de-sauvetage</x:v>
      </x:c>
      <x:c r="B93" s="14" t="str">
        <x:v>Virmire — Zone de sauvetage</x:v>
      </x:c>
      <x:c r="C93" s="10" t="str">
        <x:v>Défini</x:v>
      </x:c>
      <x:c r="D93" s="11" t="str">
        <x:v>À produire</x:v>
      </x:c>
      <x:c r="E93" s="15" t="str">
        <x:v>P1</x:v>
      </x:c>
      <x:c r="F93" s="15" t="str">
        <x:v>ME1</x:v>
      </x:c>
      <x:c r="G93" s="15" t="str">
        <x:v>Référence à vérifier</x:v>
      </x:c>
      <x:c r="H93" s="14" t="str">
        <x:v>Choix du survivant</x:v>
      </x:c>
      <x:c r="I93" s="14" t="str">
        <x:v>Entrées, sorties, volumes et personnages cartographiés sur captures de référence.</x:v>
      </x:c>
      <x:c r="J93" s="14" t="str">
        <x:v>WRL-virmire</x:v>
      </x:c>
      <x:c r="K93" s="14" t="str">
        <x:v>content/maps/virmire/zone-de-sauvetage.json</x:v>
      </x:c>
      <x:c r="L93" s="14" t="str"/>
      <x:c r="M93" s="14" t="str"/>
      <x:c r="N93" s="14" t="str">
        <x:v>Relevé de Virmire dans ME1 requis ; noms descriptifs pour la production.</x:v>
      </x:c>
      <x:c r="O93" s="14" t="str">
        <x:v>https://na.llnet.bioware.cdn.ea.com/u/f/eagames/bioware/masseffect/prima/prima_guide_me_pc.pdf</x:v>
      </x:c>
      <x:c r="P93" s="14" t="str">
        <x:v>Production ME1</x:v>
      </x:c>
      <x:c r="Q93" s="14" t="str"/>
    </x:row>
    <x:row r="94" ht="36" customHeight="1">
      <x:c r="A94" s="12" t="str">
        <x:v>ZON-virmire-plateforme-d-extraction</x:v>
      </x:c>
      <x:c r="B94" s="7" t="str">
        <x:v>Virmire — Plateforme d’extraction</x:v>
      </x:c>
      <x:c r="C94" s="10" t="str">
        <x:v>Défini</x:v>
      </x:c>
      <x:c r="D94" s="11" t="str">
        <x:v>À produire</x:v>
      </x:c>
      <x:c r="E94" s="9" t="str">
        <x:v>P1</x:v>
      </x:c>
      <x:c r="F94" s="9" t="str">
        <x:v>ME1</x:v>
      </x:c>
      <x:c r="G94" s="9" t="str">
        <x:v>Référence à vérifier</x:v>
      </x:c>
      <x:c r="H94" s="7" t="str">
        <x:v>Saren et évacuation</x:v>
      </x:c>
      <x:c r="I94" s="7" t="str">
        <x:v>Entrées, sorties, volumes et personnages cartographiés sur captures de référence.</x:v>
      </x:c>
      <x:c r="J94" s="7" t="str">
        <x:v>WRL-virmire</x:v>
      </x:c>
      <x:c r="K94" s="7" t="str">
        <x:v>content/maps/virmire/plateforme-d-extraction.json</x:v>
      </x:c>
      <x:c r="L94" s="7" t="str"/>
      <x:c r="M94" s="7" t="str"/>
      <x:c r="N94" s="7" t="str">
        <x:v>Relevé de Virmire dans ME1 requis ; noms descriptifs pour la production.</x:v>
      </x:c>
      <x:c r="O94" s="7" t="str">
        <x:v>https://na.llnet.bioware.cdn.ea.com/u/f/eagames/bioware/masseffect/prima/prima_guide_me_pc.pdf</x:v>
      </x:c>
      <x:c r="P94" s="7" t="str">
        <x:v>Production ME1</x:v>
      </x:c>
      <x:c r="Q94" s="7" t="str"/>
    </x:row>
    <x:row r="95" ht="36" customHeight="1">
      <x:c r="A95" s="13" t="str">
        <x:v>ZON-ilos-ruines-d-arrivee</x:v>
      </x:c>
      <x:c r="B95" s="14" t="str">
        <x:v>Ilos — Ruines d’arrivée</x:v>
      </x:c>
      <x:c r="C95" s="10" t="str">
        <x:v>Défini</x:v>
      </x:c>
      <x:c r="D95" s="11" t="str">
        <x:v>À produire</x:v>
      </x:c>
      <x:c r="E95" s="15" t="str">
        <x:v>P1</x:v>
      </x:c>
      <x:c r="F95" s="15" t="str">
        <x:v>ME1</x:v>
      </x:c>
      <x:c r="G95" s="15" t="str">
        <x:v>Référence à vérifier</x:v>
      </x:c>
      <x:c r="H95" s="14" t="str">
        <x:v>Poursuite de Saren</x:v>
      </x:c>
      <x:c r="I95" s="14" t="str">
        <x:v>Entrées, sorties, volumes et personnages cartographiés sur captures de référence.</x:v>
      </x:c>
      <x:c r="J95" s="14" t="str">
        <x:v>WRL-ilos</x:v>
      </x:c>
      <x:c r="K95" s="14" t="str">
        <x:v>content/maps/ilos/ruines-d-arrivee.json</x:v>
      </x:c>
      <x:c r="L95" s="14" t="str"/>
      <x:c r="M95" s="14" t="str"/>
      <x:c r="N95" s="14" t="str">
        <x:v>Relevé de Ilos dans ME1 requis ; noms descriptifs pour la production.</x:v>
      </x:c>
      <x:c r="O95" s="14" t="str">
        <x:v>https://na.llnet.bioware.cdn.ea.com/u/f/eagames/bioware/masseffect/prima/prima_guide_me_pc.pdf</x:v>
      </x:c>
      <x:c r="P95" s="14" t="str">
        <x:v>Production ME1</x:v>
      </x:c>
      <x:c r="Q95" s="14" t="str"/>
    </x:row>
    <x:row r="96" ht="36" customHeight="1">
      <x:c r="A96" s="12" t="str">
        <x:v>ZON-ilos-cour-des-statues</x:v>
      </x:c>
      <x:c r="B96" s="7" t="str">
        <x:v>Ilos — Cour des statues</x:v>
      </x:c>
      <x:c r="C96" s="10" t="str">
        <x:v>Défini</x:v>
      </x:c>
      <x:c r="D96" s="11" t="str">
        <x:v>À produire</x:v>
      </x:c>
      <x:c r="E96" s="9" t="str">
        <x:v>P1</x:v>
      </x:c>
      <x:c r="F96" s="9" t="str">
        <x:v>ME1</x:v>
      </x:c>
      <x:c r="G96" s="9" t="str">
        <x:v>Référence à vérifier</x:v>
      </x:c>
      <x:c r="H96" s="7" t="str">
        <x:v>Combat et exploration</x:v>
      </x:c>
      <x:c r="I96" s="7" t="str">
        <x:v>Entrées, sorties, volumes et personnages cartographiés sur captures de référence.</x:v>
      </x:c>
      <x:c r="J96" s="7" t="str">
        <x:v>WRL-ilos</x:v>
      </x:c>
      <x:c r="K96" s="7" t="str">
        <x:v>content/maps/ilos/cour-des-statues.json</x:v>
      </x:c>
      <x:c r="L96" s="7" t="str"/>
      <x:c r="M96" s="7" t="str"/>
      <x:c r="N96" s="7" t="str">
        <x:v>Relevé de Ilos dans ME1 requis ; noms descriptifs pour la production.</x:v>
      </x:c>
      <x:c r="O96" s="7" t="str">
        <x:v>https://na.llnet.bioware.cdn.ea.com/u/f/eagames/bioware/masseffect/prima/prima_guide_me_pc.pdf</x:v>
      </x:c>
      <x:c r="P96" s="7" t="str">
        <x:v>Production ME1</x:v>
      </x:c>
      <x:c r="Q96" s="7" t="str"/>
    </x:row>
    <x:row r="97" ht="36" customHeight="1">
      <x:c r="A97" s="13" t="str">
        <x:v>ZON-ilos-archives-protheennes</x:v>
      </x:c>
      <x:c r="B97" s="14" t="str">
        <x:v>Ilos — Archives prothéennes</x:v>
      </x:c>
      <x:c r="C97" s="10" t="str">
        <x:v>Défini</x:v>
      </x:c>
      <x:c r="D97" s="11" t="str">
        <x:v>À produire</x:v>
      </x:c>
      <x:c r="E97" s="15" t="str">
        <x:v>P1</x:v>
      </x:c>
      <x:c r="F97" s="15" t="str">
        <x:v>ME1</x:v>
      </x:c>
      <x:c r="G97" s="15" t="str">
        <x:v>Référence à vérifier</x:v>
      </x:c>
      <x:c r="H97" s="14" t="str">
        <x:v>Mécanisme des portes</x:v>
      </x:c>
      <x:c r="I97" s="14" t="str">
        <x:v>Entrées, sorties, volumes et personnages cartographiés sur captures de référence.</x:v>
      </x:c>
      <x:c r="J97" s="14" t="str">
        <x:v>WRL-ilos</x:v>
      </x:c>
      <x:c r="K97" s="14" t="str">
        <x:v>content/maps/ilos/archives-protheennes.json</x:v>
      </x:c>
      <x:c r="L97" s="14" t="str"/>
      <x:c r="M97" s="14" t="str"/>
      <x:c r="N97" s="14" t="str">
        <x:v>Relevé de Ilos dans ME1 requis ; noms descriptifs pour la production.</x:v>
      </x:c>
      <x:c r="O97" s="14" t="str">
        <x:v>https://na.llnet.bioware.cdn.ea.com/u/f/eagames/bioware/masseffect/prima/prima_guide_me_pc.pdf</x:v>
      </x:c>
      <x:c r="P97" s="14" t="str">
        <x:v>Production ME1</x:v>
      </x:c>
      <x:c r="Q97" s="14" t="str"/>
    </x:row>
    <x:row r="98" ht="36" customHeight="1">
      <x:c r="A98" s="12" t="str">
        <x:v>ZON-ilos-couloir-de-la-veille</x:v>
      </x:c>
      <x:c r="B98" s="7" t="str">
        <x:v>Ilos — Couloir de la veille</x:v>
      </x:c>
      <x:c r="C98" s="10" t="str">
        <x:v>Défini</x:v>
      </x:c>
      <x:c r="D98" s="11" t="str">
        <x:v>À produire</x:v>
      </x:c>
      <x:c r="E98" s="9" t="str">
        <x:v>P1</x:v>
      </x:c>
      <x:c r="F98" s="9" t="str">
        <x:v>ME1</x:v>
      </x:c>
      <x:c r="G98" s="9" t="str">
        <x:v>Référence à vérifier</x:v>
      </x:c>
      <x:c r="H98" s="7" t="str">
        <x:v>Accès aux installations</x:v>
      </x:c>
      <x:c r="I98" s="7" t="str">
        <x:v>Entrées, sorties, volumes et personnages cartographiés sur captures de référence.</x:v>
      </x:c>
      <x:c r="J98" s="7" t="str">
        <x:v>WRL-ilos</x:v>
      </x:c>
      <x:c r="K98" s="7" t="str">
        <x:v>content/maps/ilos/couloir-de-la-veille.json</x:v>
      </x:c>
      <x:c r="L98" s="7" t="str"/>
      <x:c r="M98" s="7" t="str"/>
      <x:c r="N98" s="7" t="str">
        <x:v>Relevé de Ilos dans ME1 requis ; noms descriptifs pour la production.</x:v>
      </x:c>
      <x:c r="O98" s="7" t="str">
        <x:v>https://na.llnet.bioware.cdn.ea.com/u/f/eagames/bioware/masseffect/prima/prima_guide_me_pc.pdf</x:v>
      </x:c>
      <x:c r="P98" s="7" t="str">
        <x:v>Production ME1</x:v>
      </x:c>
      <x:c r="Q98" s="7" t="str"/>
    </x:row>
    <x:row r="99" ht="36" customHeight="1">
      <x:c r="A99" s="13" t="str">
        <x:v>ZON-ilos-salle-de-vigil</x:v>
      </x:c>
      <x:c r="B99" s="14" t="str">
        <x:v>Ilos — Salle de Vigil</x:v>
      </x:c>
      <x:c r="C99" s="10" t="str">
        <x:v>Défini</x:v>
      </x:c>
      <x:c r="D99" s="11" t="str">
        <x:v>À produire</x:v>
      </x:c>
      <x:c r="E99" s="15" t="str">
        <x:v>P1</x:v>
      </x:c>
      <x:c r="F99" s="15" t="str">
        <x:v>ME1</x:v>
      </x:c>
      <x:c r="G99" s="15" t="str">
        <x:v>Référence à vérifier</x:v>
      </x:c>
      <x:c r="H99" s="14" t="str">
        <x:v>Révélation historique</x:v>
      </x:c>
      <x:c r="I99" s="14" t="str">
        <x:v>Entrées, sorties, volumes et personnages cartographiés sur captures de référence.</x:v>
      </x:c>
      <x:c r="J99" s="14" t="str">
        <x:v>WRL-ilos</x:v>
      </x:c>
      <x:c r="K99" s="14" t="str">
        <x:v>content/maps/ilos/salle-de-vigil.json</x:v>
      </x:c>
      <x:c r="L99" s="14" t="str"/>
      <x:c r="M99" s="14" t="str"/>
      <x:c r="N99" s="14" t="str">
        <x:v>Relevé de Ilos dans ME1 requis ; noms descriptifs pour la production.</x:v>
      </x:c>
      <x:c r="O99" s="14" t="str">
        <x:v>https://na.llnet.bioware.cdn.ea.com/u/f/eagames/bioware/masseffect/prima/prima_guide_me_pc.pdf</x:v>
      </x:c>
      <x:c r="P99" s="14" t="str">
        <x:v>Production ME1</x:v>
      </x:c>
      <x:c r="Q99" s="14" t="str"/>
    </x:row>
    <x:row r="100" ht="36" customHeight="1">
      <x:c r="A100" s="12" t="str">
        <x:v>ZON-ilos-canal-de-convergence</x:v>
      </x:c>
      <x:c r="B100" s="7" t="str">
        <x:v>Ilos — Canal de convergence</x:v>
      </x:c>
      <x:c r="C100" s="10" t="str">
        <x:v>Défini</x:v>
      </x:c>
      <x:c r="D100" s="11" t="str">
        <x:v>À produire</x:v>
      </x:c>
      <x:c r="E100" s="9" t="str">
        <x:v>P1</x:v>
      </x:c>
      <x:c r="F100" s="9" t="str">
        <x:v>ME1</x:v>
      </x:c>
      <x:c r="G100" s="9" t="str">
        <x:v>Référence à vérifier</x:v>
      </x:c>
      <x:c r="H100" s="7" t="str">
        <x:v>Course en Mako</x:v>
      </x:c>
      <x:c r="I100" s="7" t="str">
        <x:v>Entrées, sorties, volumes et personnages cartographiés sur captures de référence.</x:v>
      </x:c>
      <x:c r="J100" s="7" t="str">
        <x:v>WRL-ilos</x:v>
      </x:c>
      <x:c r="K100" s="7" t="str">
        <x:v>content/maps/ilos/canal-de-convergence.json</x:v>
      </x:c>
      <x:c r="L100" s="7" t="str"/>
      <x:c r="M100" s="7" t="str"/>
      <x:c r="N100" s="7" t="str">
        <x:v>Relevé de Ilos dans ME1 requis ; noms descriptifs pour la production.</x:v>
      </x:c>
      <x:c r="O100" s="7" t="str">
        <x:v>https://na.llnet.bioware.cdn.ea.com/u/f/eagames/bioware/masseffect/prima/prima_guide_me_pc.pdf</x:v>
      </x:c>
      <x:c r="P100" s="7" t="str">
        <x:v>Production ME1</x:v>
      </x:c>
      <x:c r="Q100" s="7" t="str"/>
    </x:row>
    <x:row r="101" ht="36" customHeight="1">
      <x:c r="A101" s="13" t="str">
        <x:v>ZON-ilos-le-conduit</x:v>
      </x:c>
      <x:c r="B101" s="14" t="str">
        <x:v>Ilos — Le Conduit</x:v>
      </x:c>
      <x:c r="C101" s="10" t="str">
        <x:v>Défini</x:v>
      </x:c>
      <x:c r="D101" s="11" t="str">
        <x:v>À produire</x:v>
      </x:c>
      <x:c r="E101" s="15" t="str">
        <x:v>P1</x:v>
      </x:c>
      <x:c r="F101" s="15" t="str">
        <x:v>ME1</x:v>
      </x:c>
      <x:c r="G101" s="15" t="str">
        <x:v>Référence à vérifier</x:v>
      </x:c>
      <x:c r="H101" s="14" t="str">
        <x:v>Passage final vers la Citadelle</x:v>
      </x:c>
      <x:c r="I101" s="14" t="str">
        <x:v>Entrées, sorties, volumes et personnages cartographiés sur captures de référence.</x:v>
      </x:c>
      <x:c r="J101" s="14" t="str">
        <x:v>WRL-ilos</x:v>
      </x:c>
      <x:c r="K101" s="14" t="str">
        <x:v>content/maps/ilos/le-conduit.json</x:v>
      </x:c>
      <x:c r="L101" s="14" t="str"/>
      <x:c r="M101" s="14" t="str"/>
      <x:c r="N101" s="14" t="str">
        <x:v>Relevé de Ilos dans ME1 requis ; noms descriptifs pour la production.</x:v>
      </x:c>
      <x:c r="O101" s="14" t="str">
        <x:v>https://na.llnet.bioware.cdn.ea.com/u/f/eagames/bioware/masseffect/prima/prima_guide_me_pc.pdf</x:v>
      </x:c>
      <x:c r="P101" s="14" t="str">
        <x:v>Production ME1</x:v>
      </x:c>
      <x:c r="Q101" s="14" t="str"/>
    </x:row>
    <x:row r="102" ht="36" customHeight="1">
      <x:c r="A102" s="12" t="str">
        <x:v>ZON-asteroide-x57-propulseur-ouest</x:v>
      </x:c>
      <x:c r="B102" s="7" t="str">
        <x:v>Astéroïde X57 — Propulseur ouest</x:v>
      </x:c>
      <x:c r="C102" s="10" t="str">
        <x:v>Défini</x:v>
      </x:c>
      <x:c r="D102" s="11" t="str">
        <x:v>À produire</x:v>
      </x:c>
      <x:c r="E102" s="9" t="str">
        <x:v>P1</x:v>
      </x:c>
      <x:c r="F102" s="9" t="str">
        <x:v>ME1</x:v>
      </x:c>
      <x:c r="G102" s="9" t="str">
        <x:v>Référence à vérifier</x:v>
      </x:c>
      <x:c r="H102" s="7" t="str">
        <x:v>Désactivation et otages</x:v>
      </x:c>
      <x:c r="I102" s="7" t="str">
        <x:v>Entrées, sorties, volumes et personnages cartographiés sur captures de référence.</x:v>
      </x:c>
      <x:c r="J102" s="7" t="str">
        <x:v>WRL-asteroide-x57</x:v>
      </x:c>
      <x:c r="K102" s="7" t="str">
        <x:v>content/maps/asteroide-x57/propulseur-ouest.json</x:v>
      </x:c>
      <x:c r="L102" s="7" t="str"/>
      <x:c r="M102" s="7" t="str"/>
      <x:c r="N102" s="7" t="str">
        <x:v>Relevé de Astéroïde X57 dans ME1 requis ; noms descriptifs pour la production.</x:v>
      </x:c>
      <x:c r="O102" s="7" t="str">
        <x:v>https://na.llnet.bioware.cdn.ea.com/u/f/eagames/bioware/masseffect/prima/prima_guide_me_pc.pdf</x:v>
      </x:c>
      <x:c r="P102" s="7" t="str">
        <x:v>Production ME1</x:v>
      </x:c>
      <x:c r="Q102" s="7" t="str"/>
    </x:row>
    <x:row r="103" ht="36" customHeight="1">
      <x:c r="A103" s="13" t="str">
        <x:v>ZON-asteroide-x57-propulseur-central</x:v>
      </x:c>
      <x:c r="B103" s="14" t="str">
        <x:v>Astéroïde X57 — Propulseur central</x:v>
      </x:c>
      <x:c r="C103" s="10" t="str">
        <x:v>Défini</x:v>
      </x:c>
      <x:c r="D103" s="11" t="str">
        <x:v>À produire</x:v>
      </x:c>
      <x:c r="E103" s="15" t="str">
        <x:v>P1</x:v>
      </x:c>
      <x:c r="F103" s="15" t="str">
        <x:v>ME1</x:v>
      </x:c>
      <x:c r="G103" s="15" t="str">
        <x:v>Référence à vérifier</x:v>
      </x:c>
      <x:c r="H103" s="14" t="str">
        <x:v>Mines de proximité</x:v>
      </x:c>
      <x:c r="I103" s="14" t="str">
        <x:v>Entrées, sorties, volumes et personnages cartographiés sur captures de référence.</x:v>
      </x:c>
      <x:c r="J103" s="14" t="str">
        <x:v>WRL-asteroide-x57</x:v>
      </x:c>
      <x:c r="K103" s="14" t="str">
        <x:v>content/maps/asteroide-x57/propulseur-central.json</x:v>
      </x:c>
      <x:c r="L103" s="14" t="str"/>
      <x:c r="M103" s="14" t="str"/>
      <x:c r="N103" s="14" t="str">
        <x:v>Relevé de Astéroïde X57 dans ME1 requis ; noms descriptifs pour la production.</x:v>
      </x:c>
      <x:c r="O103" s="14" t="str">
        <x:v>https://na.llnet.bioware.cdn.ea.com/u/f/eagames/bioware/masseffect/prima/prima_guide_me_pc.pdf</x:v>
      </x:c>
      <x:c r="P103" s="14" t="str">
        <x:v>Production ME1</x:v>
      </x:c>
      <x:c r="Q103" s="14" t="str"/>
    </x:row>
    <x:row r="104" ht="36" customHeight="1">
      <x:c r="A104" s="12" t="str">
        <x:v>ZON-asteroide-x57-propulseur-est</x:v>
      </x:c>
      <x:c r="B104" s="7" t="str">
        <x:v>Astéroïde X57 — Propulseur est</x:v>
      </x:c>
      <x:c r="C104" s="10" t="str">
        <x:v>Défini</x:v>
      </x:c>
      <x:c r="D104" s="11" t="str">
        <x:v>À produire</x:v>
      </x:c>
      <x:c r="E104" s="9" t="str">
        <x:v>P1</x:v>
      </x:c>
      <x:c r="F104" s="9" t="str">
        <x:v>ME1</x:v>
      </x:c>
      <x:c r="G104" s="9" t="str">
        <x:v>Référence à vérifier</x:v>
      </x:c>
      <x:c r="H104" s="7" t="str">
        <x:v>Défenses butariennes</x:v>
      </x:c>
      <x:c r="I104" s="7" t="str">
        <x:v>Entrées, sorties, volumes et personnages cartographiés sur captures de référence.</x:v>
      </x:c>
      <x:c r="J104" s="7" t="str">
        <x:v>WRL-asteroide-x57</x:v>
      </x:c>
      <x:c r="K104" s="7" t="str">
        <x:v>content/maps/asteroide-x57/propulseur-est.json</x:v>
      </x:c>
      <x:c r="L104" s="7" t="str"/>
      <x:c r="M104" s="7" t="str"/>
      <x:c r="N104" s="7" t="str">
        <x:v>Relevé de Astéroïde X57 dans ME1 requis ; noms descriptifs pour la production.</x:v>
      </x:c>
      <x:c r="O104" s="7" t="str">
        <x:v>https://na.llnet.bioware.cdn.ea.com/u/f/eagames/bioware/masseffect/prima/prima_guide_me_pc.pdf</x:v>
      </x:c>
      <x:c r="P104" s="7" t="str">
        <x:v>Production ME1</x:v>
      </x:c>
      <x:c r="Q104" s="7" t="str"/>
    </x:row>
    <x:row r="105" ht="36" customHeight="1">
      <x:c r="A105" s="13" t="str">
        <x:v>ZON-asteroide-x57-batiment-principal</x:v>
      </x:c>
      <x:c r="B105" s="14" t="str">
        <x:v>Astéroïde X57 — Bâtiment principal</x:v>
      </x:c>
      <x:c r="C105" s="10" t="str">
        <x:v>Défini</x:v>
      </x:c>
      <x:c r="D105" s="11" t="str">
        <x:v>À produire</x:v>
      </x:c>
      <x:c r="E105" s="15" t="str">
        <x:v>P1</x:v>
      </x:c>
      <x:c r="F105" s="15" t="str">
        <x:v>ME1</x:v>
      </x:c>
      <x:c r="G105" s="15" t="str">
        <x:v>Référence à vérifier</x:v>
      </x:c>
      <x:c r="H105" s="14" t="str">
        <x:v>Confrontation avec Balak</x:v>
      </x:c>
      <x:c r="I105" s="14" t="str">
        <x:v>Entrées, sorties, volumes et personnages cartographiés sur captures de référence.</x:v>
      </x:c>
      <x:c r="J105" s="14" t="str">
        <x:v>WRL-asteroide-x57</x:v>
      </x:c>
      <x:c r="K105" s="14" t="str">
        <x:v>content/maps/asteroide-x57/batiment-principal.json</x:v>
      </x:c>
      <x:c r="L105" s="14" t="str"/>
      <x:c r="M105" s="14" t="str"/>
      <x:c r="N105" s="14" t="str">
        <x:v>Relevé de Astéroïde X57 dans ME1 requis ; noms descriptifs pour la production.</x:v>
      </x:c>
      <x:c r="O105" s="14" t="str">
        <x:v>https://na.llnet.bioware.cdn.ea.com/u/f/eagames/bioware/masseffect/prima/prima_guide_me_pc.pdf</x:v>
      </x:c>
      <x:c r="P105" s="14" t="str">
        <x:v>Production ME1</x:v>
      </x:c>
      <x:c r="Q105" s="14" t="str"/>
    </x:row>
    <x:row r="106" ht="36" customHeight="1">
      <x:c r="A106" s="12" t="str">
        <x:v>ZON-asteroide-x57-poste-de-surveillance</x:v>
      </x:c>
      <x:c r="B106" s="7" t="str">
        <x:v>Astéroïde X57 — Poste de surveillance</x:v>
      </x:c>
      <x:c r="C106" s="10" t="str">
        <x:v>Défini</x:v>
      </x:c>
      <x:c r="D106" s="11" t="str">
        <x:v>À produire</x:v>
      </x:c>
      <x:c r="E106" s="9" t="str">
        <x:v>P1</x:v>
      </x:c>
      <x:c r="F106" s="9" t="str">
        <x:v>ME1</x:v>
      </x:c>
      <x:c r="G106" s="9" t="str">
        <x:v>Référence à vérifier</x:v>
      </x:c>
      <x:c r="H106" s="7" t="str">
        <x:v>Victimes et indices</x:v>
      </x:c>
      <x:c r="I106" s="7" t="str">
        <x:v>Entrées, sorties, volumes et personnages cartographiés sur captures de référence.</x:v>
      </x:c>
      <x:c r="J106" s="7" t="str">
        <x:v>WRL-asteroide-x57</x:v>
      </x:c>
      <x:c r="K106" s="7" t="str">
        <x:v>content/maps/asteroide-x57/poste-de-surveillance.json</x:v>
      </x:c>
      <x:c r="L106" s="7" t="str"/>
      <x:c r="M106" s="7" t="str"/>
      <x:c r="N106" s="7" t="str">
        <x:v>Relevé de Astéroïde X57 dans ME1 requis ; noms descriptifs pour la production.</x:v>
      </x:c>
      <x:c r="O106" s="7" t="str">
        <x:v>https://na.llnet.bioware.cdn.ea.com/u/f/eagames/bioware/masseffect/prima/prima_guide_me_pc.pdf</x:v>
      </x:c>
      <x:c r="P106" s="7" t="str">
        <x:v>Production ME1</x:v>
      </x:c>
      <x:c r="Q106" s="7" t="str"/>
    </x:row>
  </x:sheetData>
  <x:conditionalFormatting sqref="C7:C106">
    <x:cfRule type="cellIs" dxfId="20" priority="1" operator="equal">
      <x:formula>"Prototype"</x:formula>
    </x:cfRule>
    <x:cfRule type="cellIs" dxfId="21" priority="2" operator="equal">
      <x:formula>"Intégré"</x:formula>
    </x:cfRule>
    <x:cfRule type="cellIs" dxfId="22" priority="3" operator="equal">
      <x:formula>"Validé"</x:formula>
    </x:cfRule>
  </x:conditionalFormatting>
  <x:conditionalFormatting sqref="G7:G106">
    <x:cfRule type="cellIs" dxfId="23" priority="4" operator="equal">
      <x:formula>"Référence à vérifier"</x:formula>
    </x:cfRule>
  </x:conditionalFormatting>
  <x:conditionalFormatting sqref="E7:E106">
    <x:cfRule type="cellIs" dxfId="24" priority="5" operator="equal">
      <x:formula>"P0"</x:formula>
    </x:cfRule>
  </x:conditionalFormatting>
  <x:dataValidations count="5">
    <x:dataValidation type="list" sqref="C7:C106">
      <x:formula1>"Défini,Prototype,Intégré,Validé"</x:formula1>
    </x:dataValidation>
    <x:dataValidation type="list" sqref="D7:D106">
      <x:formula1>"À produire,Prototype,Disponible,Validé,Sans objet,Non planifié"</x:formula1>
    </x:dataValidation>
    <x:dataValidation type="list" sqref="E7:E106">
      <x:formula1>"P0,P1,P2"</x:formula1>
    </x:dataValidation>
    <x:dataValidation type="list" sqref="F7:F106">
      <x:formula1>"ME1,ME2,ME3"</x:formula1>
    </x:dataValidation>
    <x:dataValidation type="list" sqref="G7:G10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5525a854914c2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LNK-normandy-sr-1-1</x:v>
      </x:c>
      <x:c r="B7" s="14" t="str">
        <x:v>Cockpit ↔ Passerelle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Liaison de travail pour le découpage de Normandy SR-1. Adjacence exacte à confirmer sur le plan de référence.</x:v>
      </x:c>
      <x:c r="I7" s="14" t="str">
        <x:v>Vérifier les deux sens, orientation, seuils, état des portes et raccord des caméras.</x:v>
      </x:c>
      <x:c r="J7" s="14" t="str">
        <x:v>ZON-normandy-sr-1-cockpit, ZON-normandy-sr-1-passerelle</x:v>
      </x:c>
      <x:c r="K7" s="14" t="str">
        <x:v>content/links/LNK-normandy-sr-1-1.json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Adjacence proposée pour préparation du plan ; ne constitue pas un relevé canonique validé.</x:v>
      </x:c>
    </x:row>
    <x:row r="8" ht="49" customHeight="1">
      <x:c r="A8" s="12" t="str">
        <x:v>LNK-normandy-sr-1-2</x:v>
      </x:c>
      <x:c r="B8" s="7" t="str">
        <x:v>Passerelle ↔ CIC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Liaison de travail pour le découpage de Normandy SR-1. Adjacence exacte à confirmer sur le plan de référence.</x:v>
      </x:c>
      <x:c r="I8" s="7" t="str">
        <x:v>Vérifier les deux sens, orientation, seuils, état des portes et raccord des caméras.</x:v>
      </x:c>
      <x:c r="J8" s="7" t="str">
        <x:v>ZON-normandy-sr-1-passerelle, ZON-normandy-sr-1-cic</x:v>
      </x:c>
      <x:c r="K8" s="7" t="str">
        <x:v>content/links/LNK-normandy-sr-1-2.json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Adjacence proposée pour préparation du plan ; ne constitue pas un relevé canonique validé.</x:v>
      </x:c>
    </x:row>
    <x:row r="9" ht="49" customHeight="1">
      <x:c r="A9" s="13" t="str">
        <x:v>LNK-normandy-sr-1-3</x:v>
      </x:c>
      <x:c r="B9" s="14" t="str">
        <x:v>CIC ↔ Salle de communication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Liaison de travail pour le découpage de Normandy SR-1. Adjacence exacte à confirmer sur le plan de référence.</x:v>
      </x:c>
      <x:c r="I9" s="14" t="str">
        <x:v>Vérifier les deux sens, orientation, seuils, état des portes et raccord des caméras.</x:v>
      </x:c>
      <x:c r="J9" s="14" t="str">
        <x:v>ZON-normandy-sr-1-cic, ZON-normandy-sr-1-salle-de-communication</x:v>
      </x:c>
      <x:c r="K9" s="14" t="str">
        <x:v>content/links/LNK-normandy-sr-1-3.json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Adjacence proposée pour préparation du plan ; ne constitue pas un relevé canonique validé.</x:v>
      </x:c>
    </x:row>
    <x:row r="10" ht="49" customHeight="1">
      <x:c r="A10" s="12" t="str">
        <x:v>LNK-normandy-sr-1-4</x:v>
      </x:c>
      <x:c r="B10" s="7" t="str">
        <x:v>Salle de communication ↔ Mess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Liaison de travail pour le découpage de Normandy SR-1. Adjacence exacte à confirmer sur le plan de référence.</x:v>
      </x:c>
      <x:c r="I10" s="7" t="str">
        <x:v>Vérifier les deux sens, orientation, seuils, état des portes et raccord des caméras.</x:v>
      </x:c>
      <x:c r="J10" s="7" t="str">
        <x:v>ZON-normandy-sr-1-salle-de-communication, ZON-normandy-sr-1-mess</x:v>
      </x:c>
      <x:c r="K10" s="7" t="str">
        <x:v>content/links/LNK-normandy-sr-1-4.json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Adjacence proposée pour préparation du plan ; ne constitue pas un relevé canonique validé.</x:v>
      </x:c>
    </x:row>
    <x:row r="11" ht="49" customHeight="1">
      <x:c r="A11" s="13" t="str">
        <x:v>LNK-normandy-sr-1-5</x:v>
      </x:c>
      <x:c r="B11" s="14" t="str">
        <x:v>Mess ↔ Infirmerie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Liaison de travail pour le découpage de Normandy SR-1. Adjacence exacte à confirmer sur le plan de référence.</x:v>
      </x:c>
      <x:c r="I11" s="14" t="str">
        <x:v>Vérifier les deux sens, orientation, seuils, état des portes et raccord des caméras.</x:v>
      </x:c>
      <x:c r="J11" s="14" t="str">
        <x:v>ZON-normandy-sr-1-mess, ZON-normandy-sr-1-infirmerie</x:v>
      </x:c>
      <x:c r="K11" s="14" t="str">
        <x:v>content/links/LNK-normandy-sr-1-5.json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Adjacence proposée pour préparation du plan ; ne constitue pas un relevé canonique validé.</x:v>
      </x:c>
    </x:row>
    <x:row r="12" ht="49" customHeight="1">
      <x:c r="A12" s="12" t="str">
        <x:v>LNK-normandy-sr-1-6</x:v>
      </x:c>
      <x:c r="B12" s="7" t="str">
        <x:v>Infirmerie ↔ Quartiers du commandant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Liaison de travail pour le découpage de Normandy SR-1. Adjacence exacte à confirmer sur le plan de référence.</x:v>
      </x:c>
      <x:c r="I12" s="7" t="str">
        <x:v>Vérifier les deux sens, orientation, seuils, état des portes et raccord des caméras.</x:v>
      </x:c>
      <x:c r="J12" s="7" t="str">
        <x:v>ZON-normandy-sr-1-infirmerie, ZON-normandy-sr-1-quartiers-du-commandant</x:v>
      </x:c>
      <x:c r="K12" s="7" t="str">
        <x:v>content/links/LNK-normandy-sr-1-6.json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Adjacence proposée pour préparation du plan ; ne constitue pas un relevé canonique validé.</x:v>
      </x:c>
    </x:row>
    <x:row r="13" ht="49" customHeight="1">
      <x:c r="A13" s="13" t="str">
        <x:v>LNK-normandy-sr-1-7</x:v>
      </x:c>
      <x:c r="B13" s="14" t="str">
        <x:v>Quartiers du commandant ↔ Baie technique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Liaison de travail pour le découpage de Normandy SR-1. Adjacence exacte à confirmer sur le plan de référence.</x:v>
      </x:c>
      <x:c r="I13" s="14" t="str">
        <x:v>Vérifier les deux sens, orientation, seuils, état des portes et raccord des caméras.</x:v>
      </x:c>
      <x:c r="J13" s="14" t="str">
        <x:v>ZON-normandy-sr-1-quartiers-du-commandant, ZON-normandy-sr-1-baie-technique</x:v>
      </x:c>
      <x:c r="K13" s="14" t="str">
        <x:v>content/links/LNK-normandy-sr-1-7.json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Adjacence proposée pour préparation du plan ; ne constitue pas un relevé canonique validé.</x:v>
      </x:c>
    </x:row>
    <x:row r="14" ht="49" customHeight="1">
      <x:c r="A14" s="12" t="str">
        <x:v>LNK-normandy-sr-1-8</x:v>
      </x:c>
      <x:c r="B14" s="7" t="str">
        <x:v>Baie technique ↔ Soute Mako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Liaison de travail pour le découpage de Normandy SR-1. Adjacence exacte à confirmer sur le plan de référence.</x:v>
      </x:c>
      <x:c r="I14" s="7" t="str">
        <x:v>Vérifier les deux sens, orientation, seuils, état des portes et raccord des caméras.</x:v>
      </x:c>
      <x:c r="J14" s="7" t="str">
        <x:v>ZON-normandy-sr-1-baie-technique, ZON-normandy-sr-1-soute-mako</x:v>
      </x:c>
      <x:c r="K14" s="7" t="str">
        <x:v>content/links/LNK-normandy-sr-1-8.json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Adjacence proposée pour préparation du plan ; ne constitue pas un relevé canonique validé.</x:v>
      </x:c>
    </x:row>
    <x:row r="15" ht="49" customHeight="1">
      <x:c r="A15" s="13" t="str">
        <x:v>LNK-normandy-sr-1-9</x:v>
      </x:c>
      <x:c r="B15" s="14" t="str">
        <x:v>Soute Mako ↔ Sas de débarquement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Liaison de travail pour le découpage de Normandy SR-1. Adjacence exacte à confirmer sur le plan de référence.</x:v>
      </x:c>
      <x:c r="I15" s="14" t="str">
        <x:v>Vérifier les deux sens, orientation, seuils, état des portes et raccord des caméras.</x:v>
      </x:c>
      <x:c r="J15" s="14" t="str">
        <x:v>ZON-normandy-sr-1-soute-mako, ZON-normandy-sr-1-sas-de-debarquement</x:v>
      </x:c>
      <x:c r="K15" s="14" t="str">
        <x:v>content/links/LNK-normandy-sr-1-9.json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Adjacence proposée pour préparation du plan ; ne constitue pas un relevé canonique validé.</x:v>
      </x:c>
    </x:row>
    <x:row r="16" ht="49" customHeight="1">
      <x:c r="A16" s="12" t="str">
        <x:v>LNK-eden-prime-1</x:v>
      </x:c>
      <x:c r="B16" s="7" t="str">
        <x:v>Zone de largage ↔ Sentier des drones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Liaison de travail pour le découpage de Eden Prime. Adjacence exacte à confirmer sur le plan de référence.</x:v>
      </x:c>
      <x:c r="I16" s="7" t="str">
        <x:v>Vérifier les deux sens, orientation, seuils, état des portes et raccord des caméras.</x:v>
      </x:c>
      <x:c r="J16" s="7" t="str">
        <x:v>ZON-eden-prime-zone-de-largage, ZON-eden-prime-sentier-des-drones</x:v>
      </x:c>
      <x:c r="K16" s="7" t="str">
        <x:v>content/links/LNK-eden-prime-1.json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Adjacence proposée pour préparation du plan ; ne constitue pas un relevé canonique validé.</x:v>
      </x:c>
    </x:row>
    <x:row r="17" ht="49" customHeight="1">
      <x:c r="A17" s="13" t="str">
        <x:v>LNK-eden-prime-2</x:v>
      </x:c>
      <x:c r="B17" s="14" t="str">
        <x:v>Sentier des drones ↔ Ferme attaquée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Liaison de travail pour le découpage de Eden Prime. Adjacence exacte à confirmer sur le plan de référence.</x:v>
      </x:c>
      <x:c r="I17" s="14" t="str">
        <x:v>Vérifier les deux sens, orientation, seuils, état des portes et raccord des caméras.</x:v>
      </x:c>
      <x:c r="J17" s="14" t="str">
        <x:v>ZON-eden-prime-sentier-des-drones, ZON-eden-prime-ferme-attaquee</x:v>
      </x:c>
      <x:c r="K17" s="14" t="str">
        <x:v>content/links/LNK-eden-prime-2.json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Adjacence proposée pour préparation du plan ; ne constitue pas un relevé canonique validé.</x:v>
      </x:c>
    </x:row>
    <x:row r="18" ht="49" customHeight="1">
      <x:c r="A18" s="12" t="str">
        <x:v>LNK-eden-prime-3</x:v>
      </x:c>
      <x:c r="B18" s="7" t="str">
        <x:v>Ferme attaquée ↔ Site de fouille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Liaison de travail pour le découpage de Eden Prime. Adjacence exacte à confirmer sur le plan de référence.</x:v>
      </x:c>
      <x:c r="I18" s="7" t="str">
        <x:v>Vérifier les deux sens, orientation, seuils, état des portes et raccord des caméras.</x:v>
      </x:c>
      <x:c r="J18" s="7" t="str">
        <x:v>ZON-eden-prime-ferme-attaquee, ZON-eden-prime-site-de-fouille</x:v>
      </x:c>
      <x:c r="K18" s="7" t="str">
        <x:v>content/links/LNK-eden-prime-3.json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Adjacence proposée pour préparation du plan ; ne constitue pas un relevé canonique validé.</x:v>
      </x:c>
    </x:row>
    <x:row r="19" ht="49" customHeight="1">
      <x:c r="A19" s="13" t="str">
        <x:v>LNK-eden-prime-4</x:v>
      </x:c>
      <x:c r="B19" s="14" t="str">
        <x:v>Site de fouille ↔ Campement scientifique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Liaison de travail pour le découpage de Eden Prime. Adjacence exacte à confirmer sur le plan de référence.</x:v>
      </x:c>
      <x:c r="I19" s="14" t="str">
        <x:v>Vérifier les deux sens, orientation, seuils, état des portes et raccord des caméras.</x:v>
      </x:c>
      <x:c r="J19" s="14" t="str">
        <x:v>ZON-eden-prime-site-de-fouille, ZON-eden-prime-campement-scientifique</x:v>
      </x:c>
      <x:c r="K19" s="14" t="str">
        <x:v>content/links/LNK-eden-prime-4.json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Adjacence proposée pour préparation du plan ; ne constitue pas un relevé canonique validé.</x:v>
      </x:c>
    </x:row>
    <x:row r="20" ht="49" customHeight="1">
      <x:c r="A20" s="12" t="str">
        <x:v>LNK-eden-prime-5</x:v>
      </x:c>
      <x:c r="B20" s="7" t="str">
        <x:v>Campement scientifique ↔ Quai ferroviaire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Liaison de travail pour le découpage de Eden Prime. Adjacence exacte à confirmer sur le plan de référence.</x:v>
      </x:c>
      <x:c r="I20" s="7" t="str">
        <x:v>Vérifier les deux sens, orientation, seuils, état des portes et raccord des caméras.</x:v>
      </x:c>
      <x:c r="J20" s="7" t="str">
        <x:v>ZON-eden-prime-campement-scientifique, ZON-eden-prime-quai-ferroviaire</x:v>
      </x:c>
      <x:c r="K20" s="7" t="str">
        <x:v>content/links/LNK-eden-prime-5.json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Adjacence proposée pour préparation du plan ; ne constitue pas un relevé canonique validé.</x:v>
      </x:c>
    </x:row>
    <x:row r="21" ht="49" customHeight="1">
      <x:c r="A21" s="13" t="str">
        <x:v>LNK-eden-prime-6</x:v>
      </x:c>
      <x:c r="B21" s="14" t="str">
        <x:v>Quai ferroviaire ↔ Train de fret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Liaison de travail pour le découpage de Eden Prime. Adjacence exacte à confirmer sur le plan de référence.</x:v>
      </x:c>
      <x:c r="I21" s="14" t="str">
        <x:v>Vérifier les deux sens, orientation, seuils, état des portes et raccord des caméras.</x:v>
      </x:c>
      <x:c r="J21" s="14" t="str">
        <x:v>ZON-eden-prime-quai-ferroviaire, ZON-eden-prime-train-de-fret</x:v>
      </x:c>
      <x:c r="K21" s="14" t="str">
        <x:v>content/links/LNK-eden-prime-6.json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Adjacence proposée pour préparation du plan ; ne constitue pas un relevé canonique validé.</x:v>
      </x:c>
    </x:row>
    <x:row r="22" ht="49" customHeight="1">
      <x:c r="A22" s="12" t="str">
        <x:v>LNK-eden-prime-7</x:v>
      </x:c>
      <x:c r="B22" s="7" t="str">
        <x:v>Train de fret ↔ Plateforme de désamorçage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Liaison de travail pour le découpage de Eden Prime. Adjacence exacte à confirmer sur le plan de référence.</x:v>
      </x:c>
      <x:c r="I22" s="7" t="str">
        <x:v>Vérifier les deux sens, orientation, seuils, état des portes et raccord des caméras.</x:v>
      </x:c>
      <x:c r="J22" s="7" t="str">
        <x:v>ZON-eden-prime-train-de-fret, ZON-eden-prime-plateforme-de-desamorcage</x:v>
      </x:c>
      <x:c r="K22" s="7" t="str">
        <x:v>content/links/LNK-eden-prime-7.json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Adjacence proposée pour préparation du plan ; ne constitue pas un relevé canonique validé.</x:v>
      </x:c>
    </x:row>
    <x:row r="23" ht="49" customHeight="1">
      <x:c r="A23" s="13" t="str">
        <x:v>LNK-eden-prime-8</x:v>
      </x:c>
      <x:c r="B23" s="14" t="str">
        <x:v>Plateforme de désamorçage ↔ Plateforme de la balise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Liaison de travail pour le découpage de Eden Prime. Adjacence exacte à confirmer sur le plan de référence.</x:v>
      </x:c>
      <x:c r="I23" s="14" t="str">
        <x:v>Vérifier les deux sens, orientation, seuils, état des portes et raccord des caméras.</x:v>
      </x:c>
      <x:c r="J23" s="14" t="str">
        <x:v>ZON-eden-prime-plateforme-de-desamorcage, ZON-eden-prime-plateforme-de-la-balise</x:v>
      </x:c>
      <x:c r="K23" s="14" t="str">
        <x:v>content/links/LNK-eden-prime-8.json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Adjacence proposée pour préparation du plan ; ne constitue pas un relevé canonique validé.</x:v>
      </x:c>
    </x:row>
    <x:row r="24" ht="49" customHeight="1">
      <x:c r="A24" s="12" t="str">
        <x:v>LNK-citadelle-1</x:v>
      </x:c>
      <x:c r="B24" s="7" t="str">
        <x:v>Dock du Normandy ↔ Hall des ambassades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Liaison de travail pour le découpage de Citadelle. Adjacence exacte à confirmer sur le plan de référence.</x:v>
      </x:c>
      <x:c r="I24" s="7" t="str">
        <x:v>Vérifier les deux sens, orientation, seuils, état des portes et raccord des caméras.</x:v>
      </x:c>
      <x:c r="J24" s="7" t="str">
        <x:v>ZON-citadelle-dock-du-normandy, ZON-citadelle-hall-des-ambassades</x:v>
      </x:c>
      <x:c r="K24" s="7" t="str">
        <x:v>content/links/LNK-citadelle-1.json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Adjacence proposée pour préparation du plan ; ne constitue pas un relevé canonique validé.</x:v>
      </x:c>
    </x:row>
    <x:row r="25" ht="49" customHeight="1">
      <x:c r="A25" s="13" t="str">
        <x:v>LNK-citadelle-2</x:v>
      </x:c>
      <x:c r="B25" s="14" t="str">
        <x:v>Hall des ambassades ↔ Bureau d’Udina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Liaison de travail pour le découpage de Citadelle. Adjacence exacte à confirmer sur le plan de référence.</x:v>
      </x:c>
      <x:c r="I25" s="14" t="str">
        <x:v>Vérifier les deux sens, orientation, seuils, état des portes et raccord des caméras.</x:v>
      </x:c>
      <x:c r="J25" s="14" t="str">
        <x:v>ZON-citadelle-hall-des-ambassades, ZON-citadelle-bureau-d-udina</x:v>
      </x:c>
      <x:c r="K25" s="14" t="str">
        <x:v>content/links/LNK-citadelle-2.json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Adjacence proposée pour préparation du plan ; ne constitue pas un relevé canonique validé.</x:v>
      </x:c>
    </x:row>
    <x:row r="26" ht="49" customHeight="1">
      <x:c r="A26" s="12" t="str">
        <x:v>LNK-citadelle-3</x:v>
      </x:c>
      <x:c r="B26" s="7" t="str">
        <x:v>Bureau d’Udina ↔ Salon elcor-volus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Liaison de travail pour le découpage de Citadelle. Adjacence exacte à confirmer sur le plan de référence.</x:v>
      </x:c>
      <x:c r="I26" s="7" t="str">
        <x:v>Vérifier les deux sens, orientation, seuils, état des portes et raccord des caméras.</x:v>
      </x:c>
      <x:c r="J26" s="7" t="str">
        <x:v>ZON-citadelle-bureau-d-udina, ZON-citadelle-salon-elcor-volus</x:v>
      </x:c>
      <x:c r="K26" s="7" t="str">
        <x:v>content/links/LNK-citadelle-3.json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Adjacence proposée pour préparation du plan ; ne constitue pas un relevé canonique validé.</x:v>
      </x:c>
    </x:row>
    <x:row r="27" ht="49" customHeight="1">
      <x:c r="A27" s="13" t="str">
        <x:v>LNK-citadelle-4</x:v>
      </x:c>
      <x:c r="B27" s="14" t="str">
        <x:v>Salon elcor-volus ↔ Tour du Conseil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Liaison de travail pour le découpage de Citadelle. Adjacence exacte à confirmer sur le plan de référence.</x:v>
      </x:c>
      <x:c r="I27" s="14" t="str">
        <x:v>Vérifier les deux sens, orientation, seuils, état des portes et raccord des caméras.</x:v>
      </x:c>
      <x:c r="J27" s="14" t="str">
        <x:v>ZON-citadelle-salon-elcor-volus, ZON-citadelle-tour-du-conseil</x:v>
      </x:c>
      <x:c r="K27" s="14" t="str">
        <x:v>content/links/LNK-citadelle-4.json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Adjacence proposée pour préparation du plan ; ne constitue pas un relevé canonique validé.</x:v>
      </x:c>
    </x:row>
    <x:row r="28" ht="49" customHeight="1">
      <x:c r="A28" s="12" t="str">
        <x:v>LNK-citadelle-5</x:v>
      </x:c>
      <x:c r="B28" s="7" t="str">
        <x:v>Tour du Conseil ↔ Jardins du Présidium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Liaison de travail pour le découpage de Citadelle. Adjacence exacte à confirmer sur le plan de référence.</x:v>
      </x:c>
      <x:c r="I28" s="7" t="str">
        <x:v>Vérifier les deux sens, orientation, seuils, état des portes et raccord des caméras.</x:v>
      </x:c>
      <x:c r="J28" s="7" t="str">
        <x:v>ZON-citadelle-tour-du-conseil, ZON-citadelle-jardins-du-presidium</x:v>
      </x:c>
      <x:c r="K28" s="7" t="str">
        <x:v>content/links/LNK-citadelle-5.json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Adjacence proposée pour préparation du plan ; ne constitue pas un relevé canonique validé.</x:v>
      </x:c>
    </x:row>
    <x:row r="29" ht="49" customHeight="1">
      <x:c r="A29" s="13" t="str">
        <x:v>LNK-citadelle-6</x:v>
      </x:c>
      <x:c r="B29" s="14" t="str">
        <x:v>Jardins du Présidium ↔ Banque de Barla Von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Liaison de travail pour le découpage de Citadelle. Adjacence exacte à confirmer sur le plan de référence.</x:v>
      </x:c>
      <x:c r="I29" s="14" t="str">
        <x:v>Vérifier les deux sens, orientation, seuils, état des portes et raccord des caméras.</x:v>
      </x:c>
      <x:c r="J29" s="14" t="str">
        <x:v>ZON-citadelle-jardins-du-presidium, ZON-citadelle-banque-de-barla-von</x:v>
      </x:c>
      <x:c r="K29" s="14" t="str">
        <x:v>content/links/LNK-citadelle-6.json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Adjacence proposée pour préparation du plan ; ne constitue pas un relevé canonique validé.</x:v>
      </x:c>
    </x:row>
    <x:row r="30" ht="49" customHeight="1">
      <x:c r="A30" s="12" t="str">
        <x:v>LNK-citadelle-7</x:v>
      </x:c>
      <x:c r="B30" s="7" t="str">
        <x:v>Banque de Barla Von ↔ Chambres de la Consort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Liaison de travail pour le découpage de Citadelle. Adjacence exacte à confirmer sur le plan de référence.</x:v>
      </x:c>
      <x:c r="I30" s="7" t="str">
        <x:v>Vérifier les deux sens, orientation, seuils, état des portes et raccord des caméras.</x:v>
      </x:c>
      <x:c r="J30" s="7" t="str">
        <x:v>ZON-citadelle-banque-de-barla-von, ZON-citadelle-chambres-de-la-consort</x:v>
      </x:c>
      <x:c r="K30" s="7" t="str">
        <x:v>content/links/LNK-citadelle-7.json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Adjacence proposée pour préparation du plan ; ne constitue pas un relevé canonique validé.</x:v>
      </x:c>
    </x:row>
    <x:row r="31" ht="49" customHeight="1">
      <x:c r="A31" s="13" t="str">
        <x:v>LNK-citadelle-8</x:v>
      </x:c>
      <x:c r="B31" s="14" t="str">
        <x:v>Chambres de la Consort ↔ Emporium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Liaison de travail pour le découpage de Citadelle. Adjacence exacte à confirmer sur le plan de référence.</x:v>
      </x:c>
      <x:c r="I31" s="14" t="str">
        <x:v>Vérifier les deux sens, orientation, seuils, état des portes et raccord des caméras.</x:v>
      </x:c>
      <x:c r="J31" s="14" t="str">
        <x:v>ZON-citadelle-chambres-de-la-consort, ZON-citadelle-emporium</x:v>
      </x:c>
      <x:c r="K31" s="14" t="str">
        <x:v>content/links/LNK-citadelle-8.json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Adjacence proposée pour préparation du plan ; ne constitue pas un relevé canonique validé.</x:v>
      </x:c>
    </x:row>
    <x:row r="32" ht="49" customHeight="1">
      <x:c r="A32" s="12" t="str">
        <x:v>LNK-citadelle-9</x:v>
      </x:c>
      <x:c r="B32" s="7" t="str">
        <x:v>Emporium ↔ Transition des Secteurs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Liaison de travail pour le découpage de Citadelle. Adjacence exacte à confirmer sur le plan de référence.</x:v>
      </x:c>
      <x:c r="I32" s="7" t="str">
        <x:v>Vérifier les deux sens, orientation, seuils, état des portes et raccord des caméras.</x:v>
      </x:c>
      <x:c r="J32" s="7" t="str">
        <x:v>ZON-citadelle-emporium, ZON-citadelle-transition-des-secteurs</x:v>
      </x:c>
      <x:c r="K32" s="7" t="str">
        <x:v>content/links/LNK-citadelle-9.json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Adjacence proposée pour préparation du plan ; ne constitue pas un relevé canonique validé.</x:v>
      </x:c>
    </x:row>
    <x:row r="33" ht="49" customHeight="1">
      <x:c r="A33" s="13" t="str">
        <x:v>LNK-citadelle-10</x:v>
      </x:c>
      <x:c r="B33" s="14" t="str">
        <x:v>Transition des Secteurs ↔ Marché des Secteurs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Liaison de travail pour le découpage de Citadelle. Adjacence exacte à confirmer sur le plan de référence.</x:v>
      </x:c>
      <x:c r="I33" s="14" t="str">
        <x:v>Vérifier les deux sens, orientation, seuils, état des portes et raccord des caméras.</x:v>
      </x:c>
      <x:c r="J33" s="14" t="str">
        <x:v>ZON-citadelle-transition-des-secteurs, ZON-citadelle-marche-des-secteurs</x:v>
      </x:c>
      <x:c r="K33" s="14" t="str">
        <x:v>content/links/LNK-citadelle-10.json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Adjacence proposée pour préparation du plan ; ne constitue pas un relevé canonique validé.</x:v>
      </x:c>
    </x:row>
    <x:row r="34" ht="49" customHeight="1">
      <x:c r="A34" s="12" t="str">
        <x:v>LNK-citadelle-11</x:v>
      </x:c>
      <x:c r="B34" s="7" t="str">
        <x:v>Marché des Secteurs ↔ Clinique de Michel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Liaison de travail pour le découpage de Citadelle. Adjacence exacte à confirmer sur le plan de référence.</x:v>
      </x:c>
      <x:c r="I34" s="7" t="str">
        <x:v>Vérifier les deux sens, orientation, seuils, état des portes et raccord des caméras.</x:v>
      </x:c>
      <x:c r="J34" s="7" t="str">
        <x:v>ZON-citadelle-marche-des-secteurs, ZON-citadelle-clinique-de-michel</x:v>
      </x:c>
      <x:c r="K34" s="7" t="str">
        <x:v>content/links/LNK-citadelle-11.json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>
        <x:v>Adjacence proposée pour préparation du plan ; ne constitue pas un relevé canonique validé.</x:v>
      </x:c>
    </x:row>
    <x:row r="35" ht="49" customHeight="1">
      <x:c r="A35" s="13" t="str">
        <x:v>LNK-citadelle-12</x:v>
      </x:c>
      <x:c r="B35" s="14" t="str">
        <x:v>Clinique de Michel ↔ Chora’s Den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Liaison de travail pour le découpage de Citadelle. Adjacence exacte à confirmer sur le plan de référence.</x:v>
      </x:c>
      <x:c r="I35" s="14" t="str">
        <x:v>Vérifier les deux sens, orientation, seuils, état des portes et raccord des caméras.</x:v>
      </x:c>
      <x:c r="J35" s="14" t="str">
        <x:v>ZON-citadelle-clinique-de-michel, ZON-citadelle-chora-s-den</x:v>
      </x:c>
      <x:c r="K35" s="14" t="str">
        <x:v>content/links/LNK-citadelle-12.json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Adjacence proposée pour préparation du plan ; ne constitue pas un relevé canonique validé.</x:v>
      </x:c>
    </x:row>
    <x:row r="36" ht="49" customHeight="1">
      <x:c r="A36" s="12" t="str">
        <x:v>LNK-citadelle-13</x:v>
      </x:c>
      <x:c r="B36" s="7" t="str">
        <x:v>Chora’s Den ↔ Allée de Tali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Liaison de travail pour le découpage de Citadelle. Adjacence exacte à confirmer sur le plan de référence.</x:v>
      </x:c>
      <x:c r="I36" s="7" t="str">
        <x:v>Vérifier les deux sens, orientation, seuils, état des portes et raccord des caméras.</x:v>
      </x:c>
      <x:c r="J36" s="7" t="str">
        <x:v>ZON-citadelle-chora-s-den, ZON-citadelle-allee-de-tali</x:v>
      </x:c>
      <x:c r="K36" s="7" t="str">
        <x:v>content/links/LNK-citadelle-13.json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Adjacence proposée pour préparation du plan ; ne constitue pas un relevé canonique validé.</x:v>
      </x:c>
    </x:row>
    <x:row r="37" ht="49" customHeight="1">
      <x:c r="A37" s="13" t="str">
        <x:v>LNK-citadelle-14</x:v>
      </x:c>
      <x:c r="B37" s="14" t="str">
        <x:v>Allée de Tali ↔ Flux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Liaison de travail pour le découpage de Citadelle. Adjacence exacte à confirmer sur le plan de référence.</x:v>
      </x:c>
      <x:c r="I37" s="14" t="str">
        <x:v>Vérifier les deux sens, orientation, seuils, état des portes et raccord des caméras.</x:v>
      </x:c>
      <x:c r="J37" s="14" t="str">
        <x:v>ZON-citadelle-allee-de-tali, ZON-citadelle-flux</x:v>
      </x:c>
      <x:c r="K37" s="14" t="str">
        <x:v>content/links/LNK-citadelle-14.json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>
        <x:v>Adjacence proposée pour préparation du plan ; ne constitue pas un relevé canonique validé.</x:v>
      </x:c>
    </x:row>
    <x:row r="38" ht="49" customHeight="1">
      <x:c r="A38" s="12" t="str">
        <x:v>LNK-citadelle-15</x:v>
      </x:c>
      <x:c r="B38" s="7" t="str">
        <x:v>Flux ↔ Académie du SSC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Liaison de travail pour le découpage de Citadelle. Adjacence exacte à confirmer sur le plan de référence.</x:v>
      </x:c>
      <x:c r="I38" s="7" t="str">
        <x:v>Vérifier les deux sens, orientation, seuils, état des portes et raccord des caméras.</x:v>
      </x:c>
      <x:c r="J38" s="7" t="str">
        <x:v>ZON-citadelle-flux, ZON-citadelle-academie-du-ssc</x:v>
      </x:c>
      <x:c r="K38" s="7" t="str">
        <x:v>content/links/LNK-citadelle-15.json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Adjacence proposée pour préparation du plan ; ne constitue pas un relevé canonique validé.</x:v>
      </x:c>
    </x:row>
    <x:row r="39" ht="49" customHeight="1">
      <x:c r="A39" s="13" t="str">
        <x:v>LNK-citadelle-16</x:v>
      </x:c>
      <x:c r="B39" s="14" t="str">
        <x:v>Académie du SSC ↔ Bureaux du SSC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Liaison de travail pour le découpage de Citadelle. Adjacence exacte à confirmer sur le plan de référence.</x:v>
      </x:c>
      <x:c r="I39" s="14" t="str">
        <x:v>Vérifier les deux sens, orientation, seuils, état des portes et raccord des caméras.</x:v>
      </x:c>
      <x:c r="J39" s="14" t="str">
        <x:v>ZON-citadelle-academie-du-ssc, ZON-citadelle-bureaux-du-ssc</x:v>
      </x:c>
      <x:c r="K39" s="14" t="str">
        <x:v>content/links/LNK-citadelle-16.json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Adjacence proposée pour préparation du plan ; ne constitue pas un relevé canonique validé.</x:v>
      </x:c>
    </x:row>
    <x:row r="40" ht="49" customHeight="1">
      <x:c r="A40" s="12" t="str">
        <x:v>LNK-citadelle-17</x:v>
      </x:c>
      <x:c r="B40" s="7" t="str">
        <x:v>Bureaux du SSC ↔ Baie de trafic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Liaison de travail pour le découpage de Citadelle. Adjacence exacte à confirmer sur le plan de référence.</x:v>
      </x:c>
      <x:c r="I40" s="7" t="str">
        <x:v>Vérifier les deux sens, orientation, seuils, état des portes et raccord des caméras.</x:v>
      </x:c>
      <x:c r="J40" s="7" t="str">
        <x:v>ZON-citadelle-bureaux-du-ssc, ZON-citadelle-baie-de-trafic</x:v>
      </x:c>
      <x:c r="K40" s="7" t="str">
        <x:v>content/links/LNK-citadelle-17.json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Adjacence proposée pour préparation du plan ; ne constitue pas un relevé canonique validé.</x:v>
      </x:c>
    </x:row>
    <x:row r="41" ht="49" customHeight="1">
      <x:c r="A41" s="13" t="str">
        <x:v>LNK-citadelle-18</x:v>
      </x:c>
      <x:c r="B41" s="14" t="str">
        <x:v>Baie de trafic ↔ Ascenseur de la tour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Liaison de travail pour le découpage de Citadelle. Adjacence exacte à confirmer sur le plan de référence.</x:v>
      </x:c>
      <x:c r="I41" s="14" t="str">
        <x:v>Vérifier les deux sens, orientation, seuils, état des portes et raccord des caméras.</x:v>
      </x:c>
      <x:c r="J41" s="14" t="str">
        <x:v>ZON-citadelle-baie-de-trafic, ZON-citadelle-ascenseur-de-la-tour</x:v>
      </x:c>
      <x:c r="K41" s="14" t="str">
        <x:v>content/links/LNK-citadelle-18.json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>
        <x:v>Adjacence proposée pour préparation du plan ; ne constitue pas un relevé canonique validé.</x:v>
      </x:c>
    </x:row>
    <x:row r="42" ht="49" customHeight="1">
      <x:c r="A42" s="12" t="str">
        <x:v>LNK-citadelle-19</x:v>
      </x:c>
      <x:c r="B42" s="7" t="str">
        <x:v>Ascenseur de la tour ↔ Extérieur de la tour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Liaison de travail pour le découpage de Citadelle. Adjacence exacte à confirmer sur le plan de référence.</x:v>
      </x:c>
      <x:c r="I42" s="7" t="str">
        <x:v>Vérifier les deux sens, orientation, seuils, état des portes et raccord des caméras.</x:v>
      </x:c>
      <x:c r="J42" s="7" t="str">
        <x:v>ZON-citadelle-ascenseur-de-la-tour, ZON-citadelle-exterieur-de-la-tour</x:v>
      </x:c>
      <x:c r="K42" s="7" t="str">
        <x:v>content/links/LNK-citadelle-19.json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Adjacence proposée pour préparation du plan ; ne constitue pas un relevé canonique validé.</x:v>
      </x:c>
    </x:row>
    <x:row r="43" ht="49" customHeight="1">
      <x:c r="A43" s="13" t="str">
        <x:v>LNK-therum-1</x:v>
      </x:c>
      <x:c r="B43" s="14" t="str">
        <x:v>Plaine d’atterrissage ↔ Canyon de lave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Liaison de travail pour le découpage de Therum. Adjacence exacte à confirmer sur le plan de référence.</x:v>
      </x:c>
      <x:c r="I43" s="14" t="str">
        <x:v>Vérifier les deux sens, orientation, seuils, état des portes et raccord des caméras.</x:v>
      </x:c>
      <x:c r="J43" s="14" t="str">
        <x:v>ZON-therum-plaine-d-atterrissage, ZON-therum-canyon-de-lave</x:v>
      </x:c>
      <x:c r="K43" s="14" t="str">
        <x:v>content/links/LNK-therum-1.json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Adjacence proposée pour préparation du plan ; ne constitue pas un relevé canonique validé.</x:v>
      </x:c>
    </x:row>
    <x:row r="44" ht="49" customHeight="1">
      <x:c r="A44" s="12" t="str">
        <x:v>LNK-therum-2</x:v>
      </x:c>
      <x:c r="B44" s="7" t="str">
        <x:v>Canyon de lave ↔ Poste de raffinerie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Liaison de travail pour le découpage de Therum. Adjacence exacte à confirmer sur le plan de référence.</x:v>
      </x:c>
      <x:c r="I44" s="7" t="str">
        <x:v>Vérifier les deux sens, orientation, seuils, état des portes et raccord des caméras.</x:v>
      </x:c>
      <x:c r="J44" s="7" t="str">
        <x:v>ZON-therum-canyon-de-lave, ZON-therum-poste-de-raffinerie</x:v>
      </x:c>
      <x:c r="K44" s="7" t="str">
        <x:v>content/links/LNK-therum-2.json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Adjacence proposée pour préparation du plan ; ne constitue pas un relevé canonique validé.</x:v>
      </x:c>
    </x:row>
    <x:row r="45" ht="49" customHeight="1">
      <x:c r="A45" s="13" t="str">
        <x:v>LNK-therum-3</x:v>
      </x:c>
      <x:c r="B45" s="14" t="str">
        <x:v>Poste de raffinerie ↔ Accès de la mine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Liaison de travail pour le découpage de Therum. Adjacence exacte à confirmer sur le plan de référence.</x:v>
      </x:c>
      <x:c r="I45" s="14" t="str">
        <x:v>Vérifier les deux sens, orientation, seuils, état des portes et raccord des caméras.</x:v>
      </x:c>
      <x:c r="J45" s="14" t="str">
        <x:v>ZON-therum-poste-de-raffinerie, ZON-therum-acces-de-la-mine</x:v>
      </x:c>
      <x:c r="K45" s="14" t="str">
        <x:v>content/links/LNK-therum-3.json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>
        <x:v>Adjacence proposée pour préparation du plan ; ne constitue pas un relevé canonique validé.</x:v>
      </x:c>
    </x:row>
    <x:row r="46" ht="49" customHeight="1">
      <x:c r="A46" s="12" t="str">
        <x:v>LNK-therum-4</x:v>
      </x:c>
      <x:c r="B46" s="7" t="str">
        <x:v>Accès de la mine ↔ Galerie d’excavation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Liaison de travail pour le découpage de Therum. Adjacence exacte à confirmer sur le plan de référence.</x:v>
      </x:c>
      <x:c r="I46" s="7" t="str">
        <x:v>Vérifier les deux sens, orientation, seuils, état des portes et raccord des caméras.</x:v>
      </x:c>
      <x:c r="J46" s="7" t="str">
        <x:v>ZON-therum-acces-de-la-mine, ZON-therum-galerie-d-excavation</x:v>
      </x:c>
      <x:c r="K46" s="7" t="str">
        <x:v>content/links/LNK-therum-4.json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>
        <x:v>Adjacence proposée pour préparation du plan ; ne constitue pas un relevé canonique validé.</x:v>
      </x:c>
    </x:row>
    <x:row r="47" ht="49" customHeight="1">
      <x:c r="A47" s="13" t="str">
        <x:v>LNK-therum-5</x:v>
      </x:c>
      <x:c r="B47" s="14" t="str">
        <x:v>Galerie d’excavation ↔ Barrière prothéenne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Liaison de travail pour le découpage de Therum. Adjacence exacte à confirmer sur le plan de référence.</x:v>
      </x:c>
      <x:c r="I47" s="14" t="str">
        <x:v>Vérifier les deux sens, orientation, seuils, état des portes et raccord des caméras.</x:v>
      </x:c>
      <x:c r="J47" s="14" t="str">
        <x:v>ZON-therum-galerie-d-excavation, ZON-therum-barriere-protheenne</x:v>
      </x:c>
      <x:c r="K47" s="14" t="str">
        <x:v>content/links/LNK-therum-5.json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>
        <x:v>Adjacence proposée pour préparation du plan ; ne constitue pas un relevé canonique validé.</x:v>
      </x:c>
    </x:row>
    <x:row r="48" ht="49" customHeight="1">
      <x:c r="A48" s="12" t="str">
        <x:v>LNK-therum-6</x:v>
      </x:c>
      <x:c r="B48" s="7" t="str">
        <x:v>Barrière prothéenne ↔ Ascenseur de sortie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Liaison de travail pour le découpage de Therum. Adjacence exacte à confirmer sur le plan de référence.</x:v>
      </x:c>
      <x:c r="I48" s="7" t="str">
        <x:v>Vérifier les deux sens, orientation, seuils, état des portes et raccord des caméras.</x:v>
      </x:c>
      <x:c r="J48" s="7" t="str">
        <x:v>ZON-therum-barriere-protheenne, ZON-therum-ascenseur-de-sortie</x:v>
      </x:c>
      <x:c r="K48" s="7" t="str">
        <x:v>content/links/LNK-therum-6.json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>
        <x:v>Adjacence proposée pour préparation du plan ; ne constitue pas un relevé canonique validé.</x:v>
      </x:c>
    </x:row>
    <x:row r="49" ht="49" customHeight="1">
      <x:c r="A49" s="13" t="str">
        <x:v>LNK-feros-1</x:v>
      </x:c>
      <x:c r="B49" s="14" t="str">
        <x:v>Port de Zhu’s Hope ↔ Abri des colons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Liaison de travail pour le découpage de Feros. Adjacence exacte à confirmer sur le plan de référence.</x:v>
      </x:c>
      <x:c r="I49" s="14" t="str">
        <x:v>Vérifier les deux sens, orientation, seuils, état des portes et raccord des caméras.</x:v>
      </x:c>
      <x:c r="J49" s="14" t="str">
        <x:v>ZON-feros-port-de-zhu-s-hope, ZON-feros-abri-des-colons</x:v>
      </x:c>
      <x:c r="K49" s="14" t="str">
        <x:v>content/links/LNK-feros-1.json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>
        <x:v>Adjacence proposée pour préparation du plan ; ne constitue pas un relevé canonique validé.</x:v>
      </x:c>
    </x:row>
    <x:row r="50" ht="49" customHeight="1">
      <x:c r="A50" s="12" t="str">
        <x:v>LNK-feros-2</x:v>
      </x:c>
      <x:c r="B50" s="7" t="str">
        <x:v>Abri des colons ↔ Tunnels de maintenance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Liaison de travail pour le découpage de Feros. Adjacence exacte à confirmer sur le plan de référence.</x:v>
      </x:c>
      <x:c r="I50" s="7" t="str">
        <x:v>Vérifier les deux sens, orientation, seuils, état des portes et raccord des caméras.</x:v>
      </x:c>
      <x:c r="J50" s="7" t="str">
        <x:v>ZON-feros-abri-des-colons, ZON-feros-tunnels-de-maintenance</x:v>
      </x:c>
      <x:c r="K50" s="7" t="str">
        <x:v>content/links/LNK-feros-2.json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>
        <x:v>Adjacence proposée pour préparation du plan ; ne constitue pas un relevé canonique validé.</x:v>
      </x:c>
    </x:row>
    <x:row r="51" ht="49" customHeight="1">
      <x:c r="A51" s="13" t="str">
        <x:v>LNK-feros-3</x:v>
      </x:c>
      <x:c r="B51" s="14" t="str">
        <x:v>Tunnels de maintenance ↔ Pont effondré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Liaison de travail pour le découpage de Feros. Adjacence exacte à confirmer sur le plan de référence.</x:v>
      </x:c>
      <x:c r="I51" s="14" t="str">
        <x:v>Vérifier les deux sens, orientation, seuils, état des portes et raccord des caméras.</x:v>
      </x:c>
      <x:c r="J51" s="14" t="str">
        <x:v>ZON-feros-tunnels-de-maintenance, ZON-feros-pont-effondre</x:v>
      </x:c>
      <x:c r="K51" s="14" t="str">
        <x:v>content/links/LNK-feros-3.json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>
        <x:v>Adjacence proposée pour préparation du plan ; ne constitue pas un relevé canonique validé.</x:v>
      </x:c>
    </x:row>
    <x:row r="52" ht="49" customHeight="1">
      <x:c r="A52" s="12" t="str">
        <x:v>LNK-feros-4</x:v>
      </x:c>
      <x:c r="B52" s="7" t="str">
        <x:v>Pont effondré ↔ Voie aérienne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Liaison de travail pour le découpage de Feros. Adjacence exacte à confirmer sur le plan de référence.</x:v>
      </x:c>
      <x:c r="I52" s="7" t="str">
        <x:v>Vérifier les deux sens, orientation, seuils, état des portes et raccord des caméras.</x:v>
      </x:c>
      <x:c r="J52" s="7" t="str">
        <x:v>ZON-feros-pont-effondre, ZON-feros-voie-aerienne</x:v>
      </x:c>
      <x:c r="K52" s="7" t="str">
        <x:v>content/links/LNK-feros-4.json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>
        <x:v>Adjacence proposée pour préparation du plan ; ne constitue pas un relevé canonique validé.</x:v>
      </x:c>
    </x:row>
    <x:row r="53" ht="49" customHeight="1">
      <x:c r="A53" s="13" t="str">
        <x:v>LNK-feros-5</x:v>
      </x:c>
      <x:c r="B53" s="14" t="str">
        <x:v>Voie aérienne ↔ Camp de réfugiés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Liaison de travail pour le découpage de Feros. Adjacence exacte à confirmer sur le plan de référence.</x:v>
      </x:c>
      <x:c r="I53" s="14" t="str">
        <x:v>Vérifier les deux sens, orientation, seuils, état des portes et raccord des caméras.</x:v>
      </x:c>
      <x:c r="J53" s="14" t="str">
        <x:v>ZON-feros-voie-aerienne, ZON-feros-camp-de-refugies</x:v>
      </x:c>
      <x:c r="K53" s="14" t="str">
        <x:v>content/links/LNK-feros-5.json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>
        <x:v>Adjacence proposée pour préparation du plan ; ne constitue pas un relevé canonique validé.</x:v>
      </x:c>
    </x:row>
    <x:row r="54" ht="49" customHeight="1">
      <x:c r="A54" s="12" t="str">
        <x:v>LNK-feros-6</x:v>
      </x:c>
      <x:c r="B54" s="7" t="str">
        <x:v>Camp de réfugiés ↔ Rez-de-chaussée ExoGeni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Liaison de travail pour le découpage de Feros. Adjacence exacte à confirmer sur le plan de référence.</x:v>
      </x:c>
      <x:c r="I54" s="7" t="str">
        <x:v>Vérifier les deux sens, orientation, seuils, état des portes et raccord des caméras.</x:v>
      </x:c>
      <x:c r="J54" s="7" t="str">
        <x:v>ZON-feros-camp-de-refugies, ZON-feros-rez-de-chaussee-exogeni</x:v>
      </x:c>
      <x:c r="K54" s="7" t="str">
        <x:v>content/links/LNK-feros-6.json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>
        <x:v>Adjacence proposée pour préparation du plan ; ne constitue pas un relevé canonique validé.</x:v>
      </x:c>
    </x:row>
    <x:row r="55" ht="49" customHeight="1">
      <x:c r="A55" s="13" t="str">
        <x:v>LNK-feros-7</x:v>
      </x:c>
      <x:c r="B55" s="14" t="str">
        <x:v>Rez-de-chaussée ExoGeni ↔ Salle de Lizbeth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Liaison de travail pour le découpage de Feros. Adjacence exacte à confirmer sur le plan de référence.</x:v>
      </x:c>
      <x:c r="I55" s="14" t="str">
        <x:v>Vérifier les deux sens, orientation, seuils, état des portes et raccord des caméras.</x:v>
      </x:c>
      <x:c r="J55" s="14" t="str">
        <x:v>ZON-feros-rez-de-chaussee-exogeni, ZON-feros-salle-de-lizbeth</x:v>
      </x:c>
      <x:c r="K55" s="14" t="str">
        <x:v>content/links/LNK-feros-7.json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>
        <x:v>Adjacence proposée pour préparation du plan ; ne constitue pas un relevé canonique validé.</x:v>
      </x:c>
    </x:row>
    <x:row r="56" ht="49" customHeight="1">
      <x:c r="A56" s="12" t="str">
        <x:v>LNK-feros-8</x:v>
      </x:c>
      <x:c r="B56" s="7" t="str">
        <x:v>Salle de Lizbeth ↔ Bureaux ExoGeni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Liaison de travail pour le découpage de Feros. Adjacence exacte à confirmer sur le plan de référence.</x:v>
      </x:c>
      <x:c r="I56" s="7" t="str">
        <x:v>Vérifier les deux sens, orientation, seuils, état des portes et raccord des caméras.</x:v>
      </x:c>
      <x:c r="J56" s="7" t="str">
        <x:v>ZON-feros-salle-de-lizbeth, ZON-feros-bureaux-exogeni</x:v>
      </x:c>
      <x:c r="K56" s="7" t="str">
        <x:v>content/links/LNK-feros-8.json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>
        <x:v>Adjacence proposée pour préparation du plan ; ne constitue pas un relevé canonique validé.</x:v>
      </x:c>
    </x:row>
    <x:row r="57" ht="49" customHeight="1">
      <x:c r="A57" s="13" t="str">
        <x:v>LNK-feros-9</x:v>
      </x:c>
      <x:c r="B57" s="14" t="str">
        <x:v>Bureaux ExoGeni ↔ Ancrage du vaisseau geth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Liaison de travail pour le découpage de Feros. Adjacence exacte à confirmer sur le plan de référence.</x:v>
      </x:c>
      <x:c r="I57" s="14" t="str">
        <x:v>Vérifier les deux sens, orientation, seuils, état des portes et raccord des caméras.</x:v>
      </x:c>
      <x:c r="J57" s="14" t="str">
        <x:v>ZON-feros-bureaux-exogeni, ZON-feros-ancrage-du-vaisseau-geth</x:v>
      </x:c>
      <x:c r="K57" s="14" t="str">
        <x:v>content/links/LNK-feros-9.json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>
        <x:v>Adjacence proposée pour préparation du plan ; ne constitue pas un relevé canonique validé.</x:v>
      </x:c>
    </x:row>
    <x:row r="58" ht="49" customHeight="1">
      <x:c r="A58" s="12" t="str">
        <x:v>LNK-feros-10</x:v>
      </x:c>
      <x:c r="B58" s="7" t="str">
        <x:v>Ancrage du vaisseau geth ↔ Retour à Zhu’s Hope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Liaison de travail pour le découpage de Feros. Adjacence exacte à confirmer sur le plan de référence.</x:v>
      </x:c>
      <x:c r="I58" s="7" t="str">
        <x:v>Vérifier les deux sens, orientation, seuils, état des portes et raccord des caméras.</x:v>
      </x:c>
      <x:c r="J58" s="7" t="str">
        <x:v>ZON-feros-ancrage-du-vaisseau-geth, ZON-feros-retour-a-zhu-s-hope</x:v>
      </x:c>
      <x:c r="K58" s="7" t="str">
        <x:v>content/links/LNK-feros-10.json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>
        <x:v>Adjacence proposée pour préparation du plan ; ne constitue pas un relevé canonique validé.</x:v>
      </x:c>
    </x:row>
    <x:row r="59" ht="49" customHeight="1">
      <x:c r="A59" s="13" t="str">
        <x:v>LNK-feros-11</x:v>
      </x:c>
      <x:c r="B59" s="14" t="str">
        <x:v>Retour à Zhu’s Hope ↔ Sous-sol du Thorian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Adaptation</x:v>
      </x:c>
      <x:c r="H59" s="14" t="str">
        <x:v>Liaison de travail pour le découpage de Feros. Adjacence exacte à confirmer sur le plan de référence.</x:v>
      </x:c>
      <x:c r="I59" s="14" t="str">
        <x:v>Vérifier les deux sens, orientation, seuils, état des portes et raccord des caméras.</x:v>
      </x:c>
      <x:c r="J59" s="14" t="str">
        <x:v>ZON-feros-retour-a-zhu-s-hope, ZON-feros-sous-sol-du-thorian</x:v>
      </x:c>
      <x:c r="K59" s="14" t="str">
        <x:v>content/links/LNK-feros-11.json</x:v>
      </x:c>
      <x:c r="L59" s="14" t="str"/>
      <x:c r="M59" s="14" t="str"/>
      <x:c r="N59" s="14" t="str">
        <x:v>Décisions du fan game ; aucune prétention de canon officiel</x:v>
      </x:c>
      <x:c r="O59" s="14" t="str"/>
      <x:c r="P59" s="14" t="str">
        <x:v>Production ME1</x:v>
      </x:c>
      <x:c r="Q59" s="14" t="str">
        <x:v>Adjacence proposée pour préparation du plan ; ne constitue pas un relevé canonique validé.</x:v>
      </x:c>
    </x:row>
    <x:row r="60" ht="49" customHeight="1">
      <x:c r="A60" s="12" t="str">
        <x:v>LNK-noveria-1</x:v>
      </x:c>
      <x:c r="B60" s="7" t="str">
        <x:v>Contrôle de Port Hanshan ↔ Hall de Port Hanshan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Adaptation</x:v>
      </x:c>
      <x:c r="H60" s="7" t="str">
        <x:v>Liaison de travail pour le découpage de Noveria. Adjacence exacte à confirmer sur le plan de référence.</x:v>
      </x:c>
      <x:c r="I60" s="7" t="str">
        <x:v>Vérifier les deux sens, orientation, seuils, état des portes et raccord des caméras.</x:v>
      </x:c>
      <x:c r="J60" s="7" t="str">
        <x:v>ZON-noveria-controle-de-port-hanshan, ZON-noveria-hall-de-port-hanshan</x:v>
      </x:c>
      <x:c r="K60" s="7" t="str">
        <x:v>content/links/LNK-noveria-1.json</x:v>
      </x:c>
      <x:c r="L60" s="7" t="str"/>
      <x:c r="M60" s="7" t="str"/>
      <x:c r="N60" s="7" t="str">
        <x:v>Décisions du fan game ; aucune prétention de canon officiel</x:v>
      </x:c>
      <x:c r="O60" s="7" t="str"/>
      <x:c r="P60" s="7" t="str">
        <x:v>Production ME1</x:v>
      </x:c>
      <x:c r="Q60" s="7" t="str">
        <x:v>Adjacence proposée pour préparation du plan ; ne constitue pas un relevé canonique validé.</x:v>
      </x:c>
    </x:row>
    <x:row r="61" ht="49" customHeight="1">
      <x:c r="A61" s="13" t="str">
        <x:v>LNK-noveria-2</x:v>
      </x:c>
      <x:c r="B61" s="14" t="str">
        <x:v>Hall de Port Hanshan ↔ Bureau d’Anoleis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Adaptation</x:v>
      </x:c>
      <x:c r="H61" s="14" t="str">
        <x:v>Liaison de travail pour le découpage de Noveria. Adjacence exacte à confirmer sur le plan de référence.</x:v>
      </x:c>
      <x:c r="I61" s="14" t="str">
        <x:v>Vérifier les deux sens, orientation, seuils, état des portes et raccord des caméras.</x:v>
      </x:c>
      <x:c r="J61" s="14" t="str">
        <x:v>ZON-noveria-hall-de-port-hanshan, ZON-noveria-bureau-d-anoleis</x:v>
      </x:c>
      <x:c r="K61" s="14" t="str">
        <x:v>content/links/LNK-noveria-2.json</x:v>
      </x:c>
      <x:c r="L61" s="14" t="str"/>
      <x:c r="M61" s="14" t="str"/>
      <x:c r="N61" s="14" t="str">
        <x:v>Décisions du fan game ; aucune prétention de canon officiel</x:v>
      </x:c>
      <x:c r="O61" s="14" t="str"/>
      <x:c r="P61" s="14" t="str">
        <x:v>Production ME1</x:v>
      </x:c>
      <x:c r="Q61" s="14" t="str">
        <x:v>Adjacence proposée pour préparation du plan ; ne constitue pas un relevé canonique validé.</x:v>
      </x:c>
    </x:row>
    <x:row r="62" ht="49" customHeight="1">
      <x:c r="A62" s="12" t="str">
        <x:v>LNK-noveria-3</x:v>
      </x:c>
      <x:c r="B62" s="7" t="str">
        <x:v>Bureau d’Anoleis ↔ Hôtel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Adaptation</x:v>
      </x:c>
      <x:c r="H62" s="7" t="str">
        <x:v>Liaison de travail pour le découpage de Noveria. Adjacence exacte à confirmer sur le plan de référence.</x:v>
      </x:c>
      <x:c r="I62" s="7" t="str">
        <x:v>Vérifier les deux sens, orientation, seuils, état des portes et raccord des caméras.</x:v>
      </x:c>
      <x:c r="J62" s="7" t="str">
        <x:v>ZON-noveria-bureau-d-anoleis, ZON-noveria-hotel</x:v>
      </x:c>
      <x:c r="K62" s="7" t="str">
        <x:v>content/links/LNK-noveria-3.json</x:v>
      </x:c>
      <x:c r="L62" s="7" t="str"/>
      <x:c r="M62" s="7" t="str"/>
      <x:c r="N62" s="7" t="str">
        <x:v>Décisions du fan game ; aucune prétention de canon officiel</x:v>
      </x:c>
      <x:c r="O62" s="7" t="str"/>
      <x:c r="P62" s="7" t="str">
        <x:v>Production ME1</x:v>
      </x:c>
      <x:c r="Q62" s="7" t="str">
        <x:v>Adjacence proposée pour préparation du plan ; ne constitue pas un relevé canonique validé.</x:v>
      </x:c>
    </x:row>
    <x:row r="63" ht="49" customHeight="1">
      <x:c r="A63" s="13" t="str">
        <x:v>LNK-noveria-4</x:v>
      </x:c>
      <x:c r="B63" s="14" t="str">
        <x:v>Hôtel ↔ Synthetic Insights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Adaptation</x:v>
      </x:c>
      <x:c r="H63" s="14" t="str">
        <x:v>Liaison de travail pour le découpage de Noveria. Adjacence exacte à confirmer sur le plan de référence.</x:v>
      </x:c>
      <x:c r="I63" s="14" t="str">
        <x:v>Vérifier les deux sens, orientation, seuils, état des portes et raccord des caméras.</x:v>
      </x:c>
      <x:c r="J63" s="14" t="str">
        <x:v>ZON-noveria-hotel, ZON-noveria-synthetic-insights</x:v>
      </x:c>
      <x:c r="K63" s="14" t="str">
        <x:v>content/links/LNK-noveria-4.json</x:v>
      </x:c>
      <x:c r="L63" s="14" t="str"/>
      <x:c r="M63" s="14" t="str"/>
      <x:c r="N63" s="14" t="str">
        <x:v>Décisions du fan game ; aucune prétention de canon officiel</x:v>
      </x:c>
      <x:c r="O63" s="14" t="str"/>
      <x:c r="P63" s="14" t="str">
        <x:v>Production ME1</x:v>
      </x:c>
      <x:c r="Q63" s="14" t="str">
        <x:v>Adjacence proposée pour préparation du plan ; ne constitue pas un relevé canonique validé.</x:v>
      </x:c>
    </x:row>
    <x:row r="64" ht="49" customHeight="1">
      <x:c r="A64" s="12" t="str">
        <x:v>LNK-noveria-5</x:v>
      </x:c>
      <x:c r="B64" s="7" t="str">
        <x:v>Synthetic Insights ↔ Garage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Adaptation</x:v>
      </x:c>
      <x:c r="H64" s="7" t="str">
        <x:v>Liaison de travail pour le découpage de Noveria. Adjacence exacte à confirmer sur le plan de référence.</x:v>
      </x:c>
      <x:c r="I64" s="7" t="str">
        <x:v>Vérifier les deux sens, orientation, seuils, état des portes et raccord des caméras.</x:v>
      </x:c>
      <x:c r="J64" s="7" t="str">
        <x:v>ZON-noveria-synthetic-insights, ZON-noveria-garage</x:v>
      </x:c>
      <x:c r="K64" s="7" t="str">
        <x:v>content/links/LNK-noveria-5.json</x:v>
      </x:c>
      <x:c r="L64" s="7" t="str"/>
      <x:c r="M64" s="7" t="str"/>
      <x:c r="N64" s="7" t="str">
        <x:v>Décisions du fan game ; aucune prétention de canon officiel</x:v>
      </x:c>
      <x:c r="O64" s="7" t="str"/>
      <x:c r="P64" s="7" t="str">
        <x:v>Production ME1</x:v>
      </x:c>
      <x:c r="Q64" s="7" t="str">
        <x:v>Adjacence proposée pour préparation du plan ; ne constitue pas un relevé canonique validé.</x:v>
      </x:c>
    </x:row>
    <x:row r="65" ht="49" customHeight="1">
      <x:c r="A65" s="13" t="str">
        <x:v>LNK-noveria-6</x:v>
      </x:c>
      <x:c r="B65" s="14" t="str">
        <x:v>Garage ↔ Route de Peak 15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Adaptation</x:v>
      </x:c>
      <x:c r="H65" s="14" t="str">
        <x:v>Liaison de travail pour le découpage de Noveria. Adjacence exacte à confirmer sur le plan de référence.</x:v>
      </x:c>
      <x:c r="I65" s="14" t="str">
        <x:v>Vérifier les deux sens, orientation, seuils, état des portes et raccord des caméras.</x:v>
      </x:c>
      <x:c r="J65" s="14" t="str">
        <x:v>ZON-noveria-garage, ZON-noveria-route-de-peak-15</x:v>
      </x:c>
      <x:c r="K65" s="14" t="str">
        <x:v>content/links/LNK-noveria-6.json</x:v>
      </x:c>
      <x:c r="L65" s="14" t="str"/>
      <x:c r="M65" s="14" t="str"/>
      <x:c r="N65" s="14" t="str">
        <x:v>Décisions du fan game ; aucune prétention de canon officiel</x:v>
      </x:c>
      <x:c r="O65" s="14" t="str"/>
      <x:c r="P65" s="14" t="str">
        <x:v>Production ME1</x:v>
      </x:c>
      <x:c r="Q65" s="14" t="str">
        <x:v>Adjacence proposée pour préparation du plan ; ne constitue pas un relevé canonique validé.</x:v>
      </x:c>
    </x:row>
    <x:row r="66" ht="49" customHeight="1">
      <x:c r="A66" s="12" t="str">
        <x:v>LNK-noveria-7</x:v>
      </x:c>
      <x:c r="B66" s="7" t="str">
        <x:v>Route de Peak 15 ↔ Garage Peak 15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Adaptation</x:v>
      </x:c>
      <x:c r="H66" s="7" t="str">
        <x:v>Liaison de travail pour le découpage de Noveria. Adjacence exacte à confirmer sur le plan de référence.</x:v>
      </x:c>
      <x:c r="I66" s="7" t="str">
        <x:v>Vérifier les deux sens, orientation, seuils, état des portes et raccord des caméras.</x:v>
      </x:c>
      <x:c r="J66" s="7" t="str">
        <x:v>ZON-noveria-route-de-peak-15, ZON-noveria-garage-peak-15</x:v>
      </x:c>
      <x:c r="K66" s="7" t="str">
        <x:v>content/links/LNK-noveria-7.json</x:v>
      </x:c>
      <x:c r="L66" s="7" t="str"/>
      <x:c r="M66" s="7" t="str"/>
      <x:c r="N66" s="7" t="str">
        <x:v>Décisions du fan game ; aucune prétention de canon officiel</x:v>
      </x:c>
      <x:c r="O66" s="7" t="str"/>
      <x:c r="P66" s="7" t="str">
        <x:v>Production ME1</x:v>
      </x:c>
      <x:c r="Q66" s="7" t="str">
        <x:v>Adjacence proposée pour préparation du plan ; ne constitue pas un relevé canonique validé.</x:v>
      </x:c>
    </x:row>
    <x:row r="67" ht="49" customHeight="1">
      <x:c r="A67" s="13" t="str">
        <x:v>LNK-noveria-8</x:v>
      </x:c>
      <x:c r="B67" s="14" t="str">
        <x:v>Garage Peak 15 ↔ Cœur de Mira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Adaptation</x:v>
      </x:c>
      <x:c r="H67" s="14" t="str">
        <x:v>Liaison de travail pour le découpage de Noveria. Adjacence exacte à confirmer sur le plan de référence.</x:v>
      </x:c>
      <x:c r="I67" s="14" t="str">
        <x:v>Vérifier les deux sens, orientation, seuils, état des portes et raccord des caméras.</x:v>
      </x:c>
      <x:c r="J67" s="14" t="str">
        <x:v>ZON-noveria-garage-peak-15, ZON-noveria-c-ur-de-mira</x:v>
      </x:c>
      <x:c r="K67" s="14" t="str">
        <x:v>content/links/LNK-noveria-8.json</x:v>
      </x:c>
      <x:c r="L67" s="14" t="str"/>
      <x:c r="M67" s="14" t="str"/>
      <x:c r="N67" s="14" t="str">
        <x:v>Décisions du fan game ; aucune prétention de canon officiel</x:v>
      </x:c>
      <x:c r="O67" s="14" t="str"/>
      <x:c r="P67" s="14" t="str">
        <x:v>Production ME1</x:v>
      </x:c>
      <x:c r="Q67" s="14" t="str">
        <x:v>Adjacence proposée pour préparation du plan ; ne constitue pas un relevé canonique validé.</x:v>
      </x:c>
    </x:row>
    <x:row r="68" ht="49" customHeight="1">
      <x:c r="A68" s="12" t="str">
        <x:v>LNK-noveria-9</x:v>
      </x:c>
      <x:c r="B68" s="7" t="str">
        <x:v>Cœur de Mira ↔ Réacteur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Adaptation</x:v>
      </x:c>
      <x:c r="H68" s="7" t="str">
        <x:v>Liaison de travail pour le découpage de Noveria. Adjacence exacte à confirmer sur le plan de référence.</x:v>
      </x:c>
      <x:c r="I68" s="7" t="str">
        <x:v>Vérifier les deux sens, orientation, seuils, état des portes et raccord des caméras.</x:v>
      </x:c>
      <x:c r="J68" s="7" t="str">
        <x:v>ZON-noveria-c-ur-de-mira, ZON-noveria-reacteur</x:v>
      </x:c>
      <x:c r="K68" s="7" t="str">
        <x:v>content/links/LNK-noveria-9.json</x:v>
      </x:c>
      <x:c r="L68" s="7" t="str"/>
      <x:c r="M68" s="7" t="str"/>
      <x:c r="N68" s="7" t="str">
        <x:v>Décisions du fan game ; aucune prétention de canon officiel</x:v>
      </x:c>
      <x:c r="O68" s="7" t="str"/>
      <x:c r="P68" s="7" t="str">
        <x:v>Production ME1</x:v>
      </x:c>
      <x:c r="Q68" s="7" t="str">
        <x:v>Adjacence proposée pour préparation du plan ; ne constitue pas un relevé canonique validé.</x:v>
      </x:c>
    </x:row>
    <x:row r="69" ht="49" customHeight="1">
      <x:c r="A69" s="13" t="str">
        <x:v>LNK-noveria-10</x:v>
      </x:c>
      <x:c r="B69" s="14" t="str">
        <x:v>Réacteur ↔ Toit et antenne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Adaptation</x:v>
      </x:c>
      <x:c r="H69" s="14" t="str">
        <x:v>Liaison de travail pour le découpage de Noveria. Adjacence exacte à confirmer sur le plan de référence.</x:v>
      </x:c>
      <x:c r="I69" s="14" t="str">
        <x:v>Vérifier les deux sens, orientation, seuils, état des portes et raccord des caméras.</x:v>
      </x:c>
      <x:c r="J69" s="14" t="str">
        <x:v>ZON-noveria-reacteur, ZON-noveria-toit-et-antenne</x:v>
      </x:c>
      <x:c r="K69" s="14" t="str">
        <x:v>content/links/LNK-noveria-10.json</x:v>
      </x:c>
      <x:c r="L69" s="14" t="str"/>
      <x:c r="M69" s="14" t="str"/>
      <x:c r="N69" s="14" t="str">
        <x:v>Décisions du fan game ; aucune prétention de canon officiel</x:v>
      </x:c>
      <x:c r="O69" s="14" t="str"/>
      <x:c r="P69" s="14" t="str">
        <x:v>Production ME1</x:v>
      </x:c>
      <x:c r="Q69" s="14" t="str">
        <x:v>Adjacence proposée pour préparation du plan ; ne constitue pas un relevé canonique validé.</x:v>
      </x:c>
    </x:row>
    <x:row r="70" ht="49" customHeight="1">
      <x:c r="A70" s="12" t="str">
        <x:v>LNK-noveria-11</x:v>
      </x:c>
      <x:c r="B70" s="7" t="str">
        <x:v>Toit et antenne ↔ Tram de la station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Adaptation</x:v>
      </x:c>
      <x:c r="H70" s="7" t="str">
        <x:v>Liaison de travail pour le découpage de Noveria. Adjacence exacte à confirmer sur le plan de référence.</x:v>
      </x:c>
      <x:c r="I70" s="7" t="str">
        <x:v>Vérifier les deux sens, orientation, seuils, état des portes et raccord des caméras.</x:v>
      </x:c>
      <x:c r="J70" s="7" t="str">
        <x:v>ZON-noveria-toit-et-antenne, ZON-noveria-tram-de-la-station</x:v>
      </x:c>
      <x:c r="K70" s="7" t="str">
        <x:v>content/links/LNK-noveria-11.json</x:v>
      </x:c>
      <x:c r="L70" s="7" t="str"/>
      <x:c r="M70" s="7" t="str"/>
      <x:c r="N70" s="7" t="str">
        <x:v>Décisions du fan game ; aucune prétention de canon officiel</x:v>
      </x:c>
      <x:c r="O70" s="7" t="str"/>
      <x:c r="P70" s="7" t="str">
        <x:v>Production ME1</x:v>
      </x:c>
      <x:c r="Q70" s="7" t="str">
        <x:v>Adjacence proposée pour préparation du plan ; ne constitue pas un relevé canonique validé.</x:v>
      </x:c>
    </x:row>
    <x:row r="71" ht="49" customHeight="1">
      <x:c r="A71" s="13" t="str">
        <x:v>LNK-noveria-12</x:v>
      </x:c>
      <x:c r="B71" s="14" t="str">
        <x:v>Tram de la station ↔ Poste de sécurité Rift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Adaptation</x:v>
      </x:c>
      <x:c r="H71" s="14" t="str">
        <x:v>Liaison de travail pour le découpage de Noveria. Adjacence exacte à confirmer sur le plan de référence.</x:v>
      </x:c>
      <x:c r="I71" s="14" t="str">
        <x:v>Vérifier les deux sens, orientation, seuils, état des portes et raccord des caméras.</x:v>
      </x:c>
      <x:c r="J71" s="14" t="str">
        <x:v>ZON-noveria-tram-de-la-station, ZON-noveria-poste-de-securite-rift</x:v>
      </x:c>
      <x:c r="K71" s="14" t="str">
        <x:v>content/links/LNK-noveria-12.json</x:v>
      </x:c>
      <x:c r="L71" s="14" t="str"/>
      <x:c r="M71" s="14" t="str"/>
      <x:c r="N71" s="14" t="str">
        <x:v>Décisions du fan game ; aucune prétention de canon officiel</x:v>
      </x:c>
      <x:c r="O71" s="14" t="str"/>
      <x:c r="P71" s="14" t="str">
        <x:v>Production ME1</x:v>
      </x:c>
      <x:c r="Q71" s="14" t="str">
        <x:v>Adjacence proposée pour préparation du plan ; ne constitue pas un relevé canonique validé.</x:v>
      </x:c>
    </x:row>
    <x:row r="72" ht="49" customHeight="1">
      <x:c r="A72" s="12" t="str">
        <x:v>LNK-noveria-13</x:v>
      </x:c>
      <x:c r="B72" s="7" t="str">
        <x:v>Poste de sécurité Rift ↔ Laboratoire médical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Adaptation</x:v>
      </x:c>
      <x:c r="H72" s="7" t="str">
        <x:v>Liaison de travail pour le découpage de Noveria. Adjacence exacte à confirmer sur le plan de référence.</x:v>
      </x:c>
      <x:c r="I72" s="7" t="str">
        <x:v>Vérifier les deux sens, orientation, seuils, état des portes et raccord des caméras.</x:v>
      </x:c>
      <x:c r="J72" s="7" t="str">
        <x:v>ZON-noveria-poste-de-securite-rift, ZON-noveria-laboratoire-medical</x:v>
      </x:c>
      <x:c r="K72" s="7" t="str">
        <x:v>content/links/LNK-noveria-13.json</x:v>
      </x:c>
      <x:c r="L72" s="7" t="str"/>
      <x:c r="M72" s="7" t="str"/>
      <x:c r="N72" s="7" t="str">
        <x:v>Décisions du fan game ; aucune prétention de canon officiel</x:v>
      </x:c>
      <x:c r="O72" s="7" t="str"/>
      <x:c r="P72" s="7" t="str">
        <x:v>Production ME1</x:v>
      </x:c>
      <x:c r="Q72" s="7" t="str">
        <x:v>Adjacence proposée pour préparation du plan ; ne constitue pas un relevé canonique validé.</x:v>
      </x:c>
    </x:row>
    <x:row r="73" ht="49" customHeight="1">
      <x:c r="A73" s="13" t="str">
        <x:v>LNK-noveria-14</x:v>
      </x:c>
      <x:c r="B73" s="14" t="str">
        <x:v>Laboratoire médical ↔ Laboratoires chauds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Adaptation</x:v>
      </x:c>
      <x:c r="H73" s="14" t="str">
        <x:v>Liaison de travail pour le découpage de Noveria. Adjacence exacte à confirmer sur le plan de référence.</x:v>
      </x:c>
      <x:c r="I73" s="14" t="str">
        <x:v>Vérifier les deux sens, orientation, seuils, état des portes et raccord des caméras.</x:v>
      </x:c>
      <x:c r="J73" s="14" t="str">
        <x:v>ZON-noveria-laboratoire-medical, ZON-noveria-laboratoires-chauds</x:v>
      </x:c>
      <x:c r="K73" s="14" t="str">
        <x:v>content/links/LNK-noveria-14.json</x:v>
      </x:c>
      <x:c r="L73" s="14" t="str"/>
      <x:c r="M73" s="14" t="str"/>
      <x:c r="N73" s="14" t="str">
        <x:v>Décisions du fan game ; aucune prétention de canon officiel</x:v>
      </x:c>
      <x:c r="O73" s="14" t="str"/>
      <x:c r="P73" s="14" t="str">
        <x:v>Production ME1</x:v>
      </x:c>
      <x:c r="Q73" s="14" t="str">
        <x:v>Adjacence proposée pour préparation du plan ; ne constitue pas un relevé canonique validé.</x:v>
      </x:c>
    </x:row>
    <x:row r="74" ht="49" customHeight="1">
      <x:c r="A74" s="12" t="str">
        <x:v>LNK-noveria-15</x:v>
      </x:c>
      <x:c r="B74" s="7" t="str">
        <x:v>Laboratoires chauds ↔ Chambre de Benezia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Adaptation</x:v>
      </x:c>
      <x:c r="H74" s="7" t="str">
        <x:v>Liaison de travail pour le découpage de Noveria. Adjacence exacte à confirmer sur le plan de référence.</x:v>
      </x:c>
      <x:c r="I74" s="7" t="str">
        <x:v>Vérifier les deux sens, orientation, seuils, état des portes et raccord des caméras.</x:v>
      </x:c>
      <x:c r="J74" s="7" t="str">
        <x:v>ZON-noveria-laboratoires-chauds, ZON-noveria-chambre-de-benezia</x:v>
      </x:c>
      <x:c r="K74" s="7" t="str">
        <x:v>content/links/LNK-noveria-15.json</x:v>
      </x:c>
      <x:c r="L74" s="7" t="str"/>
      <x:c r="M74" s="7" t="str"/>
      <x:c r="N74" s="7" t="str">
        <x:v>Décisions du fan game ; aucune prétention de canon officiel</x:v>
      </x:c>
      <x:c r="O74" s="7" t="str"/>
      <x:c r="P74" s="7" t="str">
        <x:v>Production ME1</x:v>
      </x:c>
      <x:c r="Q74" s="7" t="str">
        <x:v>Adjacence proposée pour préparation du plan ; ne constitue pas un relevé canonique validé.</x:v>
      </x:c>
    </x:row>
    <x:row r="75" ht="49" customHeight="1">
      <x:c r="A75" s="13" t="str">
        <x:v>LNK-noveria-16</x:v>
      </x:c>
      <x:c r="B75" s="14" t="str">
        <x:v>Chambre de Benezia ↔ Chambre de la reine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Adaptation</x:v>
      </x:c>
      <x:c r="H75" s="14" t="str">
        <x:v>Liaison de travail pour le découpage de Noveria. Adjacence exacte à confirmer sur le plan de référence.</x:v>
      </x:c>
      <x:c r="I75" s="14" t="str">
        <x:v>Vérifier les deux sens, orientation, seuils, état des portes et raccord des caméras.</x:v>
      </x:c>
      <x:c r="J75" s="14" t="str">
        <x:v>ZON-noveria-chambre-de-benezia, ZON-noveria-chambre-de-la-reine</x:v>
      </x:c>
      <x:c r="K75" s="14" t="str">
        <x:v>content/links/LNK-noveria-16.json</x:v>
      </x:c>
      <x:c r="L75" s="14" t="str"/>
      <x:c r="M75" s="14" t="str"/>
      <x:c r="N75" s="14" t="str">
        <x:v>Décisions du fan game ; aucune prétention de canon officiel</x:v>
      </x:c>
      <x:c r="O75" s="14" t="str"/>
      <x:c r="P75" s="14" t="str">
        <x:v>Production ME1</x:v>
      </x:c>
      <x:c r="Q75" s="14" t="str">
        <x:v>Adjacence proposée pour préparation du plan ; ne constitue pas un relevé canonique validé.</x:v>
      </x:c>
    </x:row>
    <x:row r="76" ht="49" customHeight="1">
      <x:c r="A76" s="12" t="str">
        <x:v>LNK-virmire-1</x:v>
      </x:c>
      <x:c r="B76" s="7" t="str">
        <x:v>Littoral d’atterrissage ↔ Poste de barrage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Adaptation</x:v>
      </x:c>
      <x:c r="H76" s="7" t="str">
        <x:v>Liaison de travail pour le découpage de Virmire. Adjacence exacte à confirmer sur le plan de référence.</x:v>
      </x:c>
      <x:c r="I76" s="7" t="str">
        <x:v>Vérifier les deux sens, orientation, seuils, état des portes et raccord des caméras.</x:v>
      </x:c>
      <x:c r="J76" s="7" t="str">
        <x:v>ZON-virmire-littoral-d-atterrissage, ZON-virmire-poste-de-barrage</x:v>
      </x:c>
      <x:c r="K76" s="7" t="str">
        <x:v>content/links/LNK-virmire-1.json</x:v>
      </x:c>
      <x:c r="L76" s="7" t="str"/>
      <x:c r="M76" s="7" t="str"/>
      <x:c r="N76" s="7" t="str">
        <x:v>Décisions du fan game ; aucune prétention de canon officiel</x:v>
      </x:c>
      <x:c r="O76" s="7" t="str"/>
      <x:c r="P76" s="7" t="str">
        <x:v>Production ME1</x:v>
      </x:c>
      <x:c r="Q76" s="7" t="str">
        <x:v>Adjacence proposée pour préparation du plan ; ne constitue pas un relevé canonique validé.</x:v>
      </x:c>
    </x:row>
    <x:row r="77" ht="49" customHeight="1">
      <x:c r="A77" s="13" t="str">
        <x:v>LNK-virmire-2</x:v>
      </x:c>
      <x:c r="B77" s="14" t="str">
        <x:v>Poste de barrage ↔ Camp galarien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Adaptation</x:v>
      </x:c>
      <x:c r="H77" s="14" t="str">
        <x:v>Liaison de travail pour le découpage de Virmire. Adjacence exacte à confirmer sur le plan de référence.</x:v>
      </x:c>
      <x:c r="I77" s="14" t="str">
        <x:v>Vérifier les deux sens, orientation, seuils, état des portes et raccord des caméras.</x:v>
      </x:c>
      <x:c r="J77" s="14" t="str">
        <x:v>ZON-virmire-poste-de-barrage, ZON-virmire-camp-galarien</x:v>
      </x:c>
      <x:c r="K77" s="14" t="str">
        <x:v>content/links/LNK-virmire-2.json</x:v>
      </x:c>
      <x:c r="L77" s="14" t="str"/>
      <x:c r="M77" s="14" t="str"/>
      <x:c r="N77" s="14" t="str">
        <x:v>Décisions du fan game ; aucune prétention de canon officiel</x:v>
      </x:c>
      <x:c r="O77" s="14" t="str"/>
      <x:c r="P77" s="14" t="str">
        <x:v>Production ME1</x:v>
      </x:c>
      <x:c r="Q77" s="14" t="str">
        <x:v>Adjacence proposée pour préparation du plan ; ne constitue pas un relevé canonique validé.</x:v>
      </x:c>
    </x:row>
    <x:row r="78" ht="49" customHeight="1">
      <x:c r="A78" s="12" t="str">
        <x:v>LNK-virmire-3</x:v>
      </x:c>
      <x:c r="B78" s="7" t="str">
        <x:v>Camp galarien ↔ Voie d’infiltration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Adaptation</x:v>
      </x:c>
      <x:c r="H78" s="7" t="str">
        <x:v>Liaison de travail pour le découpage de Virmire. Adjacence exacte à confirmer sur le plan de référence.</x:v>
      </x:c>
      <x:c r="I78" s="7" t="str">
        <x:v>Vérifier les deux sens, orientation, seuils, état des portes et raccord des caméras.</x:v>
      </x:c>
      <x:c r="J78" s="7" t="str">
        <x:v>ZON-virmire-camp-galarien, ZON-virmire-voie-d-infiltration</x:v>
      </x:c>
      <x:c r="K78" s="7" t="str">
        <x:v>content/links/LNK-virmire-3.json</x:v>
      </x:c>
      <x:c r="L78" s="7" t="str"/>
      <x:c r="M78" s="7" t="str"/>
      <x:c r="N78" s="7" t="str">
        <x:v>Décisions du fan game ; aucune prétention de canon officiel</x:v>
      </x:c>
      <x:c r="O78" s="7" t="str"/>
      <x:c r="P78" s="7" t="str">
        <x:v>Production ME1</x:v>
      </x:c>
      <x:c r="Q78" s="7" t="str">
        <x:v>Adjacence proposée pour préparation du plan ; ne constitue pas un relevé canonique validé.</x:v>
      </x:c>
    </x:row>
    <x:row r="79" ht="49" customHeight="1">
      <x:c r="A79" s="13" t="str">
        <x:v>LNK-virmire-4</x:v>
      </x:c>
      <x:c r="B79" s="14" t="str">
        <x:v>Voie d’infiltration ↔ Tour de communication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Adaptation</x:v>
      </x:c>
      <x:c r="H79" s="14" t="str">
        <x:v>Liaison de travail pour le découpage de Virmire. Adjacence exacte à confirmer sur le plan de référence.</x:v>
      </x:c>
      <x:c r="I79" s="14" t="str">
        <x:v>Vérifier les deux sens, orientation, seuils, état des portes et raccord des caméras.</x:v>
      </x:c>
      <x:c r="J79" s="14" t="str">
        <x:v>ZON-virmire-voie-d-infiltration, ZON-virmire-tour-de-communication</x:v>
      </x:c>
      <x:c r="K79" s="14" t="str">
        <x:v>content/links/LNK-virmire-4.json</x:v>
      </x:c>
      <x:c r="L79" s="14" t="str"/>
      <x:c r="M79" s="14" t="str"/>
      <x:c r="N79" s="14" t="str">
        <x:v>Décisions du fan game ; aucune prétention de canon officiel</x:v>
      </x:c>
      <x:c r="O79" s="14" t="str"/>
      <x:c r="P79" s="14" t="str">
        <x:v>Production ME1</x:v>
      </x:c>
      <x:c r="Q79" s="14" t="str">
        <x:v>Adjacence proposée pour préparation du plan ; ne constitue pas un relevé canonique validé.</x:v>
      </x:c>
    </x:row>
    <x:row r="80" ht="49" customHeight="1">
      <x:c r="A80" s="12" t="str">
        <x:v>LNK-virmire-5</x:v>
      </x:c>
      <x:c r="B80" s="7" t="str">
        <x:v>Tour de communication ↔ Plateforme de ravitaillement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Adaptation</x:v>
      </x:c>
      <x:c r="H80" s="7" t="str">
        <x:v>Liaison de travail pour le découpage de Virmire. Adjacence exacte à confirmer sur le plan de référence.</x:v>
      </x:c>
      <x:c r="I80" s="7" t="str">
        <x:v>Vérifier les deux sens, orientation, seuils, état des portes et raccord des caméras.</x:v>
      </x:c>
      <x:c r="J80" s="7" t="str">
        <x:v>ZON-virmire-tour-de-communication, ZON-virmire-plateforme-de-ravitaillement</x:v>
      </x:c>
      <x:c r="K80" s="7" t="str">
        <x:v>content/links/LNK-virmire-5.json</x:v>
      </x:c>
      <x:c r="L80" s="7" t="str"/>
      <x:c r="M80" s="7" t="str"/>
      <x:c r="N80" s="7" t="str">
        <x:v>Décisions du fan game ; aucune prétention de canon officiel</x:v>
      </x:c>
      <x:c r="O80" s="7" t="str"/>
      <x:c r="P80" s="7" t="str">
        <x:v>Production ME1</x:v>
      </x:c>
      <x:c r="Q80" s="7" t="str">
        <x:v>Adjacence proposée pour préparation du plan ; ne constitue pas un relevé canonique validé.</x:v>
      </x:c>
    </x:row>
    <x:row r="81" ht="49" customHeight="1">
      <x:c r="A81" s="13" t="str">
        <x:v>LNK-virmire-6</x:v>
      </x:c>
      <x:c r="B81" s="14" t="str">
        <x:v>Plateforme de ravitaillement ↔ Entrée du laboratoire</x:v>
      </x:c>
      <x:c r="C81" s="10" t="str">
        <x:v>Défini</x:v>
      </x:c>
      <x:c r="D81" s="11" t="str">
        <x:v>À produire</x:v>
      </x:c>
      <x:c r="E81" s="15" t="str">
        <x:v>P1</x:v>
      </x:c>
      <x:c r="F81" s="15" t="str">
        <x:v>ME1</x:v>
      </x:c>
      <x:c r="G81" s="15" t="str">
        <x:v>Adaptation</x:v>
      </x:c>
      <x:c r="H81" s="14" t="str">
        <x:v>Liaison de travail pour le découpage de Virmire. Adjacence exacte à confirmer sur le plan de référence.</x:v>
      </x:c>
      <x:c r="I81" s="14" t="str">
        <x:v>Vérifier les deux sens, orientation, seuils, état des portes et raccord des caméras.</x:v>
      </x:c>
      <x:c r="J81" s="14" t="str">
        <x:v>ZON-virmire-plateforme-de-ravitaillement, ZON-virmire-entree-du-laboratoire</x:v>
      </x:c>
      <x:c r="K81" s="14" t="str">
        <x:v>content/links/LNK-virmire-6.json</x:v>
      </x:c>
      <x:c r="L81" s="14" t="str"/>
      <x:c r="M81" s="14" t="str"/>
      <x:c r="N81" s="14" t="str">
        <x:v>Décisions du fan game ; aucune prétention de canon officiel</x:v>
      </x:c>
      <x:c r="O81" s="14" t="str"/>
      <x:c r="P81" s="14" t="str">
        <x:v>Production ME1</x:v>
      </x:c>
      <x:c r="Q81" s="14" t="str">
        <x:v>Adjacence proposée pour préparation du plan ; ne constitue pas un relevé canonique validé.</x:v>
      </x:c>
    </x:row>
    <x:row r="82" ht="49" customHeight="1">
      <x:c r="A82" s="12" t="str">
        <x:v>LNK-virmire-7</x:v>
      </x:c>
      <x:c r="B82" s="7" t="str">
        <x:v>Entrée du laboratoire ↔ Laboratoire de reproduction</x:v>
      </x:c>
      <x:c r="C82" s="10" t="str">
        <x:v>Défini</x:v>
      </x:c>
      <x:c r="D82" s="11" t="str">
        <x:v>À produire</x:v>
      </x:c>
      <x:c r="E82" s="9" t="str">
        <x:v>P1</x:v>
      </x:c>
      <x:c r="F82" s="9" t="str">
        <x:v>ME1</x:v>
      </x:c>
      <x:c r="G82" s="9" t="str">
        <x:v>Adaptation</x:v>
      </x:c>
      <x:c r="H82" s="7" t="str">
        <x:v>Liaison de travail pour le découpage de Virmire. Adjacence exacte à confirmer sur le plan de référence.</x:v>
      </x:c>
      <x:c r="I82" s="7" t="str">
        <x:v>Vérifier les deux sens, orientation, seuils, état des portes et raccord des caméras.</x:v>
      </x:c>
      <x:c r="J82" s="7" t="str">
        <x:v>ZON-virmire-entree-du-laboratoire, ZON-virmire-laboratoire-de-reproduction</x:v>
      </x:c>
      <x:c r="K82" s="7" t="str">
        <x:v>content/links/LNK-virmire-7.json</x:v>
      </x:c>
      <x:c r="L82" s="7" t="str"/>
      <x:c r="M82" s="7" t="str"/>
      <x:c r="N82" s="7" t="str">
        <x:v>Décisions du fan game ; aucune prétention de canon officiel</x:v>
      </x:c>
      <x:c r="O82" s="7" t="str"/>
      <x:c r="P82" s="7" t="str">
        <x:v>Production ME1</x:v>
      </x:c>
      <x:c r="Q82" s="7" t="str">
        <x:v>Adjacence proposée pour préparation du plan ; ne constitue pas un relevé canonique validé.</x:v>
      </x:c>
    </x:row>
    <x:row r="83" ht="49" customHeight="1">
      <x:c r="A83" s="13" t="str">
        <x:v>LNK-virmire-8</x:v>
      </x:c>
      <x:c r="B83" s="14" t="str">
        <x:v>Laboratoire de reproduction ↔ Salle de Sovereign</x:v>
      </x:c>
      <x:c r="C83" s="10" t="str">
        <x:v>Défini</x:v>
      </x:c>
      <x:c r="D83" s="11" t="str">
        <x:v>À produire</x:v>
      </x:c>
      <x:c r="E83" s="15" t="str">
        <x:v>P1</x:v>
      </x:c>
      <x:c r="F83" s="15" t="str">
        <x:v>ME1</x:v>
      </x:c>
      <x:c r="G83" s="15" t="str">
        <x:v>Adaptation</x:v>
      </x:c>
      <x:c r="H83" s="14" t="str">
        <x:v>Liaison de travail pour le découpage de Virmire. Adjacence exacte à confirmer sur le plan de référence.</x:v>
      </x:c>
      <x:c r="I83" s="14" t="str">
        <x:v>Vérifier les deux sens, orientation, seuils, état des portes et raccord des caméras.</x:v>
      </x:c>
      <x:c r="J83" s="14" t="str">
        <x:v>ZON-virmire-laboratoire-de-reproduction, ZON-virmire-salle-de-sovereign</x:v>
      </x:c>
      <x:c r="K83" s="14" t="str">
        <x:v>content/links/LNK-virmire-8.json</x:v>
      </x:c>
      <x:c r="L83" s="14" t="str"/>
      <x:c r="M83" s="14" t="str"/>
      <x:c r="N83" s="14" t="str">
        <x:v>Décisions du fan game ; aucune prétention de canon officiel</x:v>
      </x:c>
      <x:c r="O83" s="14" t="str"/>
      <x:c r="P83" s="14" t="str">
        <x:v>Production ME1</x:v>
      </x:c>
      <x:c r="Q83" s="14" t="str">
        <x:v>Adjacence proposée pour préparation du plan ; ne constitue pas un relevé canonique validé.</x:v>
      </x:c>
    </x:row>
    <x:row r="84" ht="49" customHeight="1">
      <x:c r="A84" s="12" t="str">
        <x:v>LNK-virmire-9</x:v>
      </x:c>
      <x:c r="B84" s="7" t="str">
        <x:v>Salle de Sovereign ↔ Tour antiaérienne</x:v>
      </x:c>
      <x:c r="C84" s="10" t="str">
        <x:v>Défini</x:v>
      </x:c>
      <x:c r="D84" s="11" t="str">
        <x:v>À produire</x:v>
      </x:c>
      <x:c r="E84" s="9" t="str">
        <x:v>P1</x:v>
      </x:c>
      <x:c r="F84" s="9" t="str">
        <x:v>ME1</x:v>
      </x:c>
      <x:c r="G84" s="9" t="str">
        <x:v>Adaptation</x:v>
      </x:c>
      <x:c r="H84" s="7" t="str">
        <x:v>Liaison de travail pour le découpage de Virmire. Adjacence exacte à confirmer sur le plan de référence.</x:v>
      </x:c>
      <x:c r="I84" s="7" t="str">
        <x:v>Vérifier les deux sens, orientation, seuils, état des portes et raccord des caméras.</x:v>
      </x:c>
      <x:c r="J84" s="7" t="str">
        <x:v>ZON-virmire-salle-de-sovereign, ZON-virmire-tour-antiaerienne</x:v>
      </x:c>
      <x:c r="K84" s="7" t="str">
        <x:v>content/links/LNK-virmire-9.json</x:v>
      </x:c>
      <x:c r="L84" s="7" t="str"/>
      <x:c r="M84" s="7" t="str"/>
      <x:c r="N84" s="7" t="str">
        <x:v>Décisions du fan game ; aucune prétention de canon officiel</x:v>
      </x:c>
      <x:c r="O84" s="7" t="str"/>
      <x:c r="P84" s="7" t="str">
        <x:v>Production ME1</x:v>
      </x:c>
      <x:c r="Q84" s="7" t="str">
        <x:v>Adjacence proposée pour préparation du plan ; ne constitue pas un relevé canonique validé.</x:v>
      </x:c>
    </x:row>
    <x:row r="85" ht="49" customHeight="1">
      <x:c r="A85" s="13" t="str">
        <x:v>LNK-virmire-10</x:v>
      </x:c>
      <x:c r="B85" s="14" t="str">
        <x:v>Tour antiaérienne ↔ Site de la bombe</x:v>
      </x:c>
      <x:c r="C85" s="10" t="str">
        <x:v>Défini</x:v>
      </x:c>
      <x:c r="D85" s="11" t="str">
        <x:v>À produire</x:v>
      </x:c>
      <x:c r="E85" s="15" t="str">
        <x:v>P1</x:v>
      </x:c>
      <x:c r="F85" s="15" t="str">
        <x:v>ME1</x:v>
      </x:c>
      <x:c r="G85" s="15" t="str">
        <x:v>Adaptation</x:v>
      </x:c>
      <x:c r="H85" s="14" t="str">
        <x:v>Liaison de travail pour le découpage de Virmire. Adjacence exacte à confirmer sur le plan de référence.</x:v>
      </x:c>
      <x:c r="I85" s="14" t="str">
        <x:v>Vérifier les deux sens, orientation, seuils, état des portes et raccord des caméras.</x:v>
      </x:c>
      <x:c r="J85" s="14" t="str">
        <x:v>ZON-virmire-tour-antiaerienne, ZON-virmire-site-de-la-bombe</x:v>
      </x:c>
      <x:c r="K85" s="14" t="str">
        <x:v>content/links/LNK-virmire-10.json</x:v>
      </x:c>
      <x:c r="L85" s="14" t="str"/>
      <x:c r="M85" s="14" t="str"/>
      <x:c r="N85" s="14" t="str">
        <x:v>Décisions du fan game ; aucune prétention de canon officiel</x:v>
      </x:c>
      <x:c r="O85" s="14" t="str"/>
      <x:c r="P85" s="14" t="str">
        <x:v>Production ME1</x:v>
      </x:c>
      <x:c r="Q85" s="14" t="str">
        <x:v>Adjacence proposée pour préparation du plan ; ne constitue pas un relevé canonique validé.</x:v>
      </x:c>
    </x:row>
    <x:row r="86" ht="49" customHeight="1">
      <x:c r="A86" s="12" t="str">
        <x:v>LNK-virmire-11</x:v>
      </x:c>
      <x:c r="B86" s="7" t="str">
        <x:v>Site de la bombe ↔ Zone de sauvetage</x:v>
      </x:c>
      <x:c r="C86" s="10" t="str">
        <x:v>Défini</x:v>
      </x:c>
      <x:c r="D86" s="11" t="str">
        <x:v>À produire</x:v>
      </x:c>
      <x:c r="E86" s="9" t="str">
        <x:v>P1</x:v>
      </x:c>
      <x:c r="F86" s="9" t="str">
        <x:v>ME1</x:v>
      </x:c>
      <x:c r="G86" s="9" t="str">
        <x:v>Adaptation</x:v>
      </x:c>
      <x:c r="H86" s="7" t="str">
        <x:v>Liaison de travail pour le découpage de Virmire. Adjacence exacte à confirmer sur le plan de référence.</x:v>
      </x:c>
      <x:c r="I86" s="7" t="str">
        <x:v>Vérifier les deux sens, orientation, seuils, état des portes et raccord des caméras.</x:v>
      </x:c>
      <x:c r="J86" s="7" t="str">
        <x:v>ZON-virmire-site-de-la-bombe, ZON-virmire-zone-de-sauvetage</x:v>
      </x:c>
      <x:c r="K86" s="7" t="str">
        <x:v>content/links/LNK-virmire-11.json</x:v>
      </x:c>
      <x:c r="L86" s="7" t="str"/>
      <x:c r="M86" s="7" t="str"/>
      <x:c r="N86" s="7" t="str">
        <x:v>Décisions du fan game ; aucune prétention de canon officiel</x:v>
      </x:c>
      <x:c r="O86" s="7" t="str"/>
      <x:c r="P86" s="7" t="str">
        <x:v>Production ME1</x:v>
      </x:c>
      <x:c r="Q86" s="7" t="str">
        <x:v>Adjacence proposée pour préparation du plan ; ne constitue pas un relevé canonique validé.</x:v>
      </x:c>
    </x:row>
    <x:row r="87" ht="49" customHeight="1">
      <x:c r="A87" s="13" t="str">
        <x:v>LNK-virmire-12</x:v>
      </x:c>
      <x:c r="B87" s="14" t="str">
        <x:v>Zone de sauvetage ↔ Plateforme d’extraction</x:v>
      </x:c>
      <x:c r="C87" s="10" t="str">
        <x:v>Défini</x:v>
      </x:c>
      <x:c r="D87" s="11" t="str">
        <x:v>À produire</x:v>
      </x:c>
      <x:c r="E87" s="15" t="str">
        <x:v>P1</x:v>
      </x:c>
      <x:c r="F87" s="15" t="str">
        <x:v>ME1</x:v>
      </x:c>
      <x:c r="G87" s="15" t="str">
        <x:v>Adaptation</x:v>
      </x:c>
      <x:c r="H87" s="14" t="str">
        <x:v>Liaison de travail pour le découpage de Virmire. Adjacence exacte à confirmer sur le plan de référence.</x:v>
      </x:c>
      <x:c r="I87" s="14" t="str">
        <x:v>Vérifier les deux sens, orientation, seuils, état des portes et raccord des caméras.</x:v>
      </x:c>
      <x:c r="J87" s="14" t="str">
        <x:v>ZON-virmire-zone-de-sauvetage, ZON-virmire-plateforme-d-extraction</x:v>
      </x:c>
      <x:c r="K87" s="14" t="str">
        <x:v>content/links/LNK-virmire-12.json</x:v>
      </x:c>
      <x:c r="L87" s="14" t="str"/>
      <x:c r="M87" s="14" t="str"/>
      <x:c r="N87" s="14" t="str">
        <x:v>Décisions du fan game ; aucune prétention de canon officiel</x:v>
      </x:c>
      <x:c r="O87" s="14" t="str"/>
      <x:c r="P87" s="14" t="str">
        <x:v>Production ME1</x:v>
      </x:c>
      <x:c r="Q87" s="14" t="str">
        <x:v>Adjacence proposée pour préparation du plan ; ne constitue pas un relevé canonique validé.</x:v>
      </x:c>
    </x:row>
    <x:row r="88" ht="49" customHeight="1">
      <x:c r="A88" s="12" t="str">
        <x:v>LNK-ilos-1</x:v>
      </x:c>
      <x:c r="B88" s="7" t="str">
        <x:v>Ruines d’arrivée ↔ Cour des statues</x:v>
      </x:c>
      <x:c r="C88" s="10" t="str">
        <x:v>Défini</x:v>
      </x:c>
      <x:c r="D88" s="11" t="str">
        <x:v>À produire</x:v>
      </x:c>
      <x:c r="E88" s="9" t="str">
        <x:v>P1</x:v>
      </x:c>
      <x:c r="F88" s="9" t="str">
        <x:v>ME1</x:v>
      </x:c>
      <x:c r="G88" s="9" t="str">
        <x:v>Adaptation</x:v>
      </x:c>
      <x:c r="H88" s="7" t="str">
        <x:v>Liaison de travail pour le découpage de Ilos. Adjacence exacte à confirmer sur le plan de référence.</x:v>
      </x:c>
      <x:c r="I88" s="7" t="str">
        <x:v>Vérifier les deux sens, orientation, seuils, état des portes et raccord des caméras.</x:v>
      </x:c>
      <x:c r="J88" s="7" t="str">
        <x:v>ZON-ilos-ruines-d-arrivee, ZON-ilos-cour-des-statues</x:v>
      </x:c>
      <x:c r="K88" s="7" t="str">
        <x:v>content/links/LNK-ilos-1.json</x:v>
      </x:c>
      <x:c r="L88" s="7" t="str"/>
      <x:c r="M88" s="7" t="str"/>
      <x:c r="N88" s="7" t="str">
        <x:v>Décisions du fan game ; aucune prétention de canon officiel</x:v>
      </x:c>
      <x:c r="O88" s="7" t="str"/>
      <x:c r="P88" s="7" t="str">
        <x:v>Production ME1</x:v>
      </x:c>
      <x:c r="Q88" s="7" t="str">
        <x:v>Adjacence proposée pour préparation du plan ; ne constitue pas un relevé canonique validé.</x:v>
      </x:c>
    </x:row>
    <x:row r="89" ht="49" customHeight="1">
      <x:c r="A89" s="13" t="str">
        <x:v>LNK-ilos-2</x:v>
      </x:c>
      <x:c r="B89" s="14" t="str">
        <x:v>Cour des statues ↔ Archives prothéennes</x:v>
      </x:c>
      <x:c r="C89" s="10" t="str">
        <x:v>Défini</x:v>
      </x:c>
      <x:c r="D89" s="11" t="str">
        <x:v>À produire</x:v>
      </x:c>
      <x:c r="E89" s="15" t="str">
        <x:v>P1</x:v>
      </x:c>
      <x:c r="F89" s="15" t="str">
        <x:v>ME1</x:v>
      </x:c>
      <x:c r="G89" s="15" t="str">
        <x:v>Adaptation</x:v>
      </x:c>
      <x:c r="H89" s="14" t="str">
        <x:v>Liaison de travail pour le découpage de Ilos. Adjacence exacte à confirmer sur le plan de référence.</x:v>
      </x:c>
      <x:c r="I89" s="14" t="str">
        <x:v>Vérifier les deux sens, orientation, seuils, état des portes et raccord des caméras.</x:v>
      </x:c>
      <x:c r="J89" s="14" t="str">
        <x:v>ZON-ilos-cour-des-statues, ZON-ilos-archives-protheennes</x:v>
      </x:c>
      <x:c r="K89" s="14" t="str">
        <x:v>content/links/LNK-ilos-2.json</x:v>
      </x:c>
      <x:c r="L89" s="14" t="str"/>
      <x:c r="M89" s="14" t="str"/>
      <x:c r="N89" s="14" t="str">
        <x:v>Décisions du fan game ; aucune prétention de canon officiel</x:v>
      </x:c>
      <x:c r="O89" s="14" t="str"/>
      <x:c r="P89" s="14" t="str">
        <x:v>Production ME1</x:v>
      </x:c>
      <x:c r="Q89" s="14" t="str">
        <x:v>Adjacence proposée pour préparation du plan ; ne constitue pas un relevé canonique validé.</x:v>
      </x:c>
    </x:row>
    <x:row r="90" ht="49" customHeight="1">
      <x:c r="A90" s="12" t="str">
        <x:v>LNK-ilos-3</x:v>
      </x:c>
      <x:c r="B90" s="7" t="str">
        <x:v>Archives prothéennes ↔ Couloir de la veille</x:v>
      </x:c>
      <x:c r="C90" s="10" t="str">
        <x:v>Défini</x:v>
      </x:c>
      <x:c r="D90" s="11" t="str">
        <x:v>À produire</x:v>
      </x:c>
      <x:c r="E90" s="9" t="str">
        <x:v>P1</x:v>
      </x:c>
      <x:c r="F90" s="9" t="str">
        <x:v>ME1</x:v>
      </x:c>
      <x:c r="G90" s="9" t="str">
        <x:v>Adaptation</x:v>
      </x:c>
      <x:c r="H90" s="7" t="str">
        <x:v>Liaison de travail pour le découpage de Ilos. Adjacence exacte à confirmer sur le plan de référence.</x:v>
      </x:c>
      <x:c r="I90" s="7" t="str">
        <x:v>Vérifier les deux sens, orientation, seuils, état des portes et raccord des caméras.</x:v>
      </x:c>
      <x:c r="J90" s="7" t="str">
        <x:v>ZON-ilos-archives-protheennes, ZON-ilos-couloir-de-la-veille</x:v>
      </x:c>
      <x:c r="K90" s="7" t="str">
        <x:v>content/links/LNK-ilos-3.json</x:v>
      </x:c>
      <x:c r="L90" s="7" t="str"/>
      <x:c r="M90" s="7" t="str"/>
      <x:c r="N90" s="7" t="str">
        <x:v>Décisions du fan game ; aucune prétention de canon officiel</x:v>
      </x:c>
      <x:c r="O90" s="7" t="str"/>
      <x:c r="P90" s="7" t="str">
        <x:v>Production ME1</x:v>
      </x:c>
      <x:c r="Q90" s="7" t="str">
        <x:v>Adjacence proposée pour préparation du plan ; ne constitue pas un relevé canonique validé.</x:v>
      </x:c>
    </x:row>
    <x:row r="91" ht="49" customHeight="1">
      <x:c r="A91" s="13" t="str">
        <x:v>LNK-ilos-4</x:v>
      </x:c>
      <x:c r="B91" s="14" t="str">
        <x:v>Couloir de la veille ↔ Salle de Vigil</x:v>
      </x:c>
      <x:c r="C91" s="10" t="str">
        <x:v>Défini</x:v>
      </x:c>
      <x:c r="D91" s="11" t="str">
        <x:v>À produire</x:v>
      </x:c>
      <x:c r="E91" s="15" t="str">
        <x:v>P1</x:v>
      </x:c>
      <x:c r="F91" s="15" t="str">
        <x:v>ME1</x:v>
      </x:c>
      <x:c r="G91" s="15" t="str">
        <x:v>Adaptation</x:v>
      </x:c>
      <x:c r="H91" s="14" t="str">
        <x:v>Liaison de travail pour le découpage de Ilos. Adjacence exacte à confirmer sur le plan de référence.</x:v>
      </x:c>
      <x:c r="I91" s="14" t="str">
        <x:v>Vérifier les deux sens, orientation, seuils, état des portes et raccord des caméras.</x:v>
      </x:c>
      <x:c r="J91" s="14" t="str">
        <x:v>ZON-ilos-couloir-de-la-veille, ZON-ilos-salle-de-vigil</x:v>
      </x:c>
      <x:c r="K91" s="14" t="str">
        <x:v>content/links/LNK-ilos-4.json</x:v>
      </x:c>
      <x:c r="L91" s="14" t="str"/>
      <x:c r="M91" s="14" t="str"/>
      <x:c r="N91" s="14" t="str">
        <x:v>Décisions du fan game ; aucune prétention de canon officiel</x:v>
      </x:c>
      <x:c r="O91" s="14" t="str"/>
      <x:c r="P91" s="14" t="str">
        <x:v>Production ME1</x:v>
      </x:c>
      <x:c r="Q91" s="14" t="str">
        <x:v>Adjacence proposée pour préparation du plan ; ne constitue pas un relevé canonique validé.</x:v>
      </x:c>
    </x:row>
    <x:row r="92" ht="49" customHeight="1">
      <x:c r="A92" s="12" t="str">
        <x:v>LNK-ilos-5</x:v>
      </x:c>
      <x:c r="B92" s="7" t="str">
        <x:v>Salle de Vigil ↔ Canal de convergence</x:v>
      </x:c>
      <x:c r="C92" s="10" t="str">
        <x:v>Défini</x:v>
      </x:c>
      <x:c r="D92" s="11" t="str">
        <x:v>À produire</x:v>
      </x:c>
      <x:c r="E92" s="9" t="str">
        <x:v>P1</x:v>
      </x:c>
      <x:c r="F92" s="9" t="str">
        <x:v>ME1</x:v>
      </x:c>
      <x:c r="G92" s="9" t="str">
        <x:v>Adaptation</x:v>
      </x:c>
      <x:c r="H92" s="7" t="str">
        <x:v>Liaison de travail pour le découpage de Ilos. Adjacence exacte à confirmer sur le plan de référence.</x:v>
      </x:c>
      <x:c r="I92" s="7" t="str">
        <x:v>Vérifier les deux sens, orientation, seuils, état des portes et raccord des caméras.</x:v>
      </x:c>
      <x:c r="J92" s="7" t="str">
        <x:v>ZON-ilos-salle-de-vigil, ZON-ilos-canal-de-convergence</x:v>
      </x:c>
      <x:c r="K92" s="7" t="str">
        <x:v>content/links/LNK-ilos-5.json</x:v>
      </x:c>
      <x:c r="L92" s="7" t="str"/>
      <x:c r="M92" s="7" t="str"/>
      <x:c r="N92" s="7" t="str">
        <x:v>Décisions du fan game ; aucune prétention de canon officiel</x:v>
      </x:c>
      <x:c r="O92" s="7" t="str"/>
      <x:c r="P92" s="7" t="str">
        <x:v>Production ME1</x:v>
      </x:c>
      <x:c r="Q92" s="7" t="str">
        <x:v>Adjacence proposée pour préparation du plan ; ne constitue pas un relevé canonique validé.</x:v>
      </x:c>
    </x:row>
    <x:row r="93" ht="49" customHeight="1">
      <x:c r="A93" s="13" t="str">
        <x:v>LNK-ilos-6</x:v>
      </x:c>
      <x:c r="B93" s="14" t="str">
        <x:v>Canal de convergence ↔ Le Conduit</x:v>
      </x:c>
      <x:c r="C93" s="10" t="str">
        <x:v>Défini</x:v>
      </x:c>
      <x:c r="D93" s="11" t="str">
        <x:v>À produire</x:v>
      </x:c>
      <x:c r="E93" s="15" t="str">
        <x:v>P1</x:v>
      </x:c>
      <x:c r="F93" s="15" t="str">
        <x:v>ME1</x:v>
      </x:c>
      <x:c r="G93" s="15" t="str">
        <x:v>Adaptation</x:v>
      </x:c>
      <x:c r="H93" s="14" t="str">
        <x:v>Liaison de travail pour le découpage de Ilos. Adjacence exacte à confirmer sur le plan de référence.</x:v>
      </x:c>
      <x:c r="I93" s="14" t="str">
        <x:v>Vérifier les deux sens, orientation, seuils, état des portes et raccord des caméras.</x:v>
      </x:c>
      <x:c r="J93" s="14" t="str">
        <x:v>ZON-ilos-canal-de-convergence, ZON-ilos-le-conduit</x:v>
      </x:c>
      <x:c r="K93" s="14" t="str">
        <x:v>content/links/LNK-ilos-6.json</x:v>
      </x:c>
      <x:c r="L93" s="14" t="str"/>
      <x:c r="M93" s="14" t="str"/>
      <x:c r="N93" s="14" t="str">
        <x:v>Décisions du fan game ; aucune prétention de canon officiel</x:v>
      </x:c>
      <x:c r="O93" s="14" t="str"/>
      <x:c r="P93" s="14" t="str">
        <x:v>Production ME1</x:v>
      </x:c>
      <x:c r="Q93" s="14" t="str">
        <x:v>Adjacence proposée pour préparation du plan ; ne constitue pas un relevé canonique validé.</x:v>
      </x:c>
    </x:row>
    <x:row r="94" ht="49" customHeight="1">
      <x:c r="A94" s="12" t="str">
        <x:v>LNK-asteroide-x57-1</x:v>
      </x:c>
      <x:c r="B94" s="7" t="str">
        <x:v>Propulseur ouest ↔ Propulseur central</x:v>
      </x:c>
      <x:c r="C94" s="10" t="str">
        <x:v>Défini</x:v>
      </x:c>
      <x:c r="D94" s="11" t="str">
        <x:v>À produire</x:v>
      </x:c>
      <x:c r="E94" s="9" t="str">
        <x:v>P1</x:v>
      </x:c>
      <x:c r="F94" s="9" t="str">
        <x:v>ME1</x:v>
      </x:c>
      <x:c r="G94" s="9" t="str">
        <x:v>Adaptation</x:v>
      </x:c>
      <x:c r="H94" s="7" t="str">
        <x:v>Liaison de travail pour le découpage de Astéroïde X57. Adjacence exacte à confirmer sur le plan de référence.</x:v>
      </x:c>
      <x:c r="I94" s="7" t="str">
        <x:v>Vérifier les deux sens, orientation, seuils, état des portes et raccord des caméras.</x:v>
      </x:c>
      <x:c r="J94" s="7" t="str">
        <x:v>ZON-asteroide-x57-propulseur-ouest, ZON-asteroide-x57-propulseur-central</x:v>
      </x:c>
      <x:c r="K94" s="7" t="str">
        <x:v>content/links/LNK-asteroide-x57-1.json</x:v>
      </x:c>
      <x:c r="L94" s="7" t="str"/>
      <x:c r="M94" s="7" t="str"/>
      <x:c r="N94" s="7" t="str">
        <x:v>Décisions du fan game ; aucune prétention de canon officiel</x:v>
      </x:c>
      <x:c r="O94" s="7" t="str"/>
      <x:c r="P94" s="7" t="str">
        <x:v>Production ME1</x:v>
      </x:c>
      <x:c r="Q94" s="7" t="str">
        <x:v>Adjacence proposée pour préparation du plan ; ne constitue pas un relevé canonique validé.</x:v>
      </x:c>
    </x:row>
    <x:row r="95" ht="49" customHeight="1">
      <x:c r="A95" s="13" t="str">
        <x:v>LNK-asteroide-x57-2</x:v>
      </x:c>
      <x:c r="B95" s="14" t="str">
        <x:v>Propulseur central ↔ Propulseur est</x:v>
      </x:c>
      <x:c r="C95" s="10" t="str">
        <x:v>Défini</x:v>
      </x:c>
      <x:c r="D95" s="11" t="str">
        <x:v>À produire</x:v>
      </x:c>
      <x:c r="E95" s="15" t="str">
        <x:v>P1</x:v>
      </x:c>
      <x:c r="F95" s="15" t="str">
        <x:v>ME1</x:v>
      </x:c>
      <x:c r="G95" s="15" t="str">
        <x:v>Adaptation</x:v>
      </x:c>
      <x:c r="H95" s="14" t="str">
        <x:v>Liaison de travail pour le découpage de Astéroïde X57. Adjacence exacte à confirmer sur le plan de référence.</x:v>
      </x:c>
      <x:c r="I95" s="14" t="str">
        <x:v>Vérifier les deux sens, orientation, seuils, état des portes et raccord des caméras.</x:v>
      </x:c>
      <x:c r="J95" s="14" t="str">
        <x:v>ZON-asteroide-x57-propulseur-central, ZON-asteroide-x57-propulseur-est</x:v>
      </x:c>
      <x:c r="K95" s="14" t="str">
        <x:v>content/links/LNK-asteroide-x57-2.json</x:v>
      </x:c>
      <x:c r="L95" s="14" t="str"/>
      <x:c r="M95" s="14" t="str"/>
      <x:c r="N95" s="14" t="str">
        <x:v>Décisions du fan game ; aucune prétention de canon officiel</x:v>
      </x:c>
      <x:c r="O95" s="14" t="str"/>
      <x:c r="P95" s="14" t="str">
        <x:v>Production ME1</x:v>
      </x:c>
      <x:c r="Q95" s="14" t="str">
        <x:v>Adjacence proposée pour préparation du plan ; ne constitue pas un relevé canonique validé.</x:v>
      </x:c>
    </x:row>
    <x:row r="96" ht="49" customHeight="1">
      <x:c r="A96" s="12" t="str">
        <x:v>LNK-asteroide-x57-3</x:v>
      </x:c>
      <x:c r="B96" s="7" t="str">
        <x:v>Propulseur est ↔ Bâtiment principal</x:v>
      </x:c>
      <x:c r="C96" s="10" t="str">
        <x:v>Défini</x:v>
      </x:c>
      <x:c r="D96" s="11" t="str">
        <x:v>À produire</x:v>
      </x:c>
      <x:c r="E96" s="9" t="str">
        <x:v>P1</x:v>
      </x:c>
      <x:c r="F96" s="9" t="str">
        <x:v>ME1</x:v>
      </x:c>
      <x:c r="G96" s="9" t="str">
        <x:v>Adaptation</x:v>
      </x:c>
      <x:c r="H96" s="7" t="str">
        <x:v>Liaison de travail pour le découpage de Astéroïde X57. Adjacence exacte à confirmer sur le plan de référence.</x:v>
      </x:c>
      <x:c r="I96" s="7" t="str">
        <x:v>Vérifier les deux sens, orientation, seuils, état des portes et raccord des caméras.</x:v>
      </x:c>
      <x:c r="J96" s="7" t="str">
        <x:v>ZON-asteroide-x57-propulseur-est, ZON-asteroide-x57-batiment-principal</x:v>
      </x:c>
      <x:c r="K96" s="7" t="str">
        <x:v>content/links/LNK-asteroide-x57-3.json</x:v>
      </x:c>
      <x:c r="L96" s="7" t="str"/>
      <x:c r="M96" s="7" t="str"/>
      <x:c r="N96" s="7" t="str">
        <x:v>Décisions du fan game ; aucune prétention de canon officiel</x:v>
      </x:c>
      <x:c r="O96" s="7" t="str"/>
      <x:c r="P96" s="7" t="str">
        <x:v>Production ME1</x:v>
      </x:c>
      <x:c r="Q96" s="7" t="str">
        <x:v>Adjacence proposée pour préparation du plan ; ne constitue pas un relevé canonique validé.</x:v>
      </x:c>
    </x:row>
    <x:row r="97" ht="49" customHeight="1">
      <x:c r="A97" s="13" t="str">
        <x:v>LNK-asteroide-x57-4</x:v>
      </x:c>
      <x:c r="B97" s="14" t="str">
        <x:v>Bâtiment principal ↔ Poste de surveillance</x:v>
      </x:c>
      <x:c r="C97" s="10" t="str">
        <x:v>Défini</x:v>
      </x:c>
      <x:c r="D97" s="11" t="str">
        <x:v>À produire</x:v>
      </x:c>
      <x:c r="E97" s="15" t="str">
        <x:v>P1</x:v>
      </x:c>
      <x:c r="F97" s="15" t="str">
        <x:v>ME1</x:v>
      </x:c>
      <x:c r="G97" s="15" t="str">
        <x:v>Adaptation</x:v>
      </x:c>
      <x:c r="H97" s="14" t="str">
        <x:v>Liaison de travail pour le découpage de Astéroïde X57. Adjacence exacte à confirmer sur le plan de référence.</x:v>
      </x:c>
      <x:c r="I97" s="14" t="str">
        <x:v>Vérifier les deux sens, orientation, seuils, état des portes et raccord des caméras.</x:v>
      </x:c>
      <x:c r="J97" s="14" t="str">
        <x:v>ZON-asteroide-x57-batiment-principal, ZON-asteroide-x57-poste-de-surveillance</x:v>
      </x:c>
      <x:c r="K97" s="14" t="str">
        <x:v>content/links/LNK-asteroide-x57-4.json</x:v>
      </x:c>
      <x:c r="L97" s="14" t="str"/>
      <x:c r="M97" s="14" t="str"/>
      <x:c r="N97" s="14" t="str">
        <x:v>Décisions du fan game ; aucune prétention de canon officiel</x:v>
      </x:c>
      <x:c r="O97" s="14" t="str"/>
      <x:c r="P97" s="14" t="str">
        <x:v>Production ME1</x:v>
      </x:c>
      <x:c r="Q97" s="14" t="str">
        <x:v>Adjacence proposée pour préparation du plan ; ne constitue pas un relevé canonique validé.</x:v>
      </x:c>
    </x:row>
  </x:sheetData>
  <x:conditionalFormatting sqref="C7:C97">
    <x:cfRule type="cellIs" dxfId="25" priority="1" operator="equal">
      <x:formula>"Prototype"</x:formula>
    </x:cfRule>
    <x:cfRule type="cellIs" dxfId="26" priority="2" operator="equal">
      <x:formula>"Intégré"</x:formula>
    </x:cfRule>
    <x:cfRule type="cellIs" dxfId="27" priority="3" operator="equal">
      <x:formula>"Validé"</x:formula>
    </x:cfRule>
  </x:conditionalFormatting>
  <x:conditionalFormatting sqref="G7:G97">
    <x:cfRule type="cellIs" dxfId="28" priority="4" operator="equal">
      <x:formula>"Référence à vérifier"</x:formula>
    </x:cfRule>
  </x:conditionalFormatting>
  <x:conditionalFormatting sqref="E7:E97">
    <x:cfRule type="cellIs" dxfId="29" priority="5" operator="equal">
      <x:formula>"P0"</x:formula>
    </x:cfRule>
  </x:conditionalFormatting>
  <x:dataValidations count="5">
    <x:dataValidation type="list" sqref="C7:C97">
      <x:formula1>"Défini,Prototype,Intégré,Validé"</x:formula1>
    </x:dataValidation>
    <x:dataValidation type="list" sqref="D7:D97">
      <x:formula1>"À produire,Prototype,Disponible,Validé,Sans objet,Non planifié"</x:formula1>
    </x:dataValidation>
    <x:dataValidation type="list" sqref="E7:E97">
      <x:formula1>"P0,P1,P2"</x:formula1>
    </x:dataValidation>
    <x:dataValidation type="list" sqref="F7:F97">
      <x:formula1>"ME1,ME2,ME3"</x:formula1>
    </x:dataValidation>
    <x:dataValidation type="list" sqref="G7:G97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875284714d480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SCN-normandy-coque-sr-1</x:v>
      </x:c>
      <x:c r="B7" s="14" t="str">
        <x:v>Normandy coque SR-1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Silhouette extérieure de la frégate ME1.</x:v>
      </x:c>
      <x:c r="I7" s="14" t="str">
        <x:v>Proportions, nacelles et marquages comparés aux références.</x:v>
      </x:c>
      <x:c r="J7" s="14" t="str"/>
      <x:c r="K7" s="14" t="str">
        <x:v>content/scenery/SCN-normandy-coque-sr-1.json</x:v>
      </x:c>
      <x:c r="L7" s="14" t="str">
        <x:v>public/assets/vehicle-atlas.png</x:v>
      </x:c>
      <x:c r="M7" s="14" t="str"/>
      <x:c r="N7" s="14" t="str">
        <x:v>Direction de production originale fondée sur les ambiances ; proportions à vérifier sur captures.</x:v>
      </x:c>
      <x:c r="O7" s="14" t="str">
        <x:v>https://www.ea.com/ea-play/news/visual-improvements</x:v>
      </x:c>
      <x:c r="P7" s="14" t="str">
        <x:v>Production ME1</x:v>
      </x:c>
      <x:c r="Q7" s="14" t="str">
        <x:v>Illustration extérieure dans le quadrant supérieur gauche ; ce fichier ne constitue pas un décor 3D ni un modèle de vaisseau pilotable. Proportions SR-1 à contrôler.</x:v>
      </x:c>
    </x:row>
    <x:row r="8" ht="36" customHeight="1">
      <x:c r="A8" s="12" t="str">
        <x:v>SCN-normandy-pont-militaire</x:v>
      </x:c>
      <x:c r="B8" s="7" t="str">
        <x:v>Normandy pont militaire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Panneaux gris, coursives et mobilier technique.</x:v>
      </x:c>
      <x:c r="I8" s="7" t="str">
        <x:v>Palette et organisation distinctes du SR-2.</x:v>
      </x:c>
      <x:c r="J8" s="7" t="str"/>
      <x:c r="K8" s="7" t="str">
        <x:v>content/scenery/SCN-normandy-pont-militaire.json</x:v>
      </x:c>
      <x:c r="L8" s="7" t="str"/>
      <x:c r="M8" s="7" t="str"/>
      <x:c r="N8" s="7" t="str">
        <x:v>Direction de production originale fondée sur les ambiances ; proportions à vérifier sur captures.</x:v>
      </x:c>
      <x:c r="O8" s="7" t="str">
        <x:v>https://www.ea.com/ea-play/news/visual-improvements</x:v>
      </x:c>
      <x:c r="P8" s="7" t="str">
        <x:v>Production ME1</x:v>
      </x:c>
      <x:c r="Q8" s="7" t="str"/>
    </x:row>
    <x:row r="9" ht="36" customHeight="1">
      <x:c r="A9" s="13" t="str">
        <x:v>SCN-normandy-soute</x:v>
      </x:c>
      <x:c r="B9" s="14" t="str">
        <x:v>Normandy soute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Grand volume de stockage et entretien du Mako.</x:v>
      </x:c>
      <x:c r="I9" s="14" t="str">
        <x:v>Portes et ascenseur dimensionnés pour le véhicule.</x:v>
      </x:c>
      <x:c r="J9" s="14" t="str"/>
      <x:c r="K9" s="14" t="str">
        <x:v>content/scenery/SCN-normandy-soute.json</x:v>
      </x:c>
      <x:c r="L9" s="14" t="str"/>
      <x:c r="M9" s="14" t="str"/>
      <x:c r="N9" s="14" t="str">
        <x:v>Direction de production originale fondée sur les ambiances ; proportions à vérifier sur captures.</x:v>
      </x:c>
      <x:c r="O9" s="14" t="str">
        <x:v>https://www.ea.com/ea-play/news/visual-improvements</x:v>
      </x:c>
      <x:c r="P9" s="14" t="str">
        <x:v>Production ME1</x:v>
      </x:c>
      <x:c r="Q9" s="14" t="str"/>
    </x:row>
    <x:row r="10" ht="36" customHeight="1">
      <x:c r="A10" s="12" t="str">
        <x:v>SCN-presidium-anneau</x:v>
      </x:c>
      <x:c r="B10" s="7" t="str">
        <x:v>Présidium anneau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Perspective sur l’anneau et espace intérieur.</x:v>
      </x:c>
      <x:c r="I10" s="7" t="str">
        <x:v>Courbure lisible depuis les points de vue choisis.</x:v>
      </x:c>
      <x:c r="J10" s="7" t="str"/>
      <x:c r="K10" s="7" t="str">
        <x:v>content/scenery/SCN-presidium-anneau.json</x:v>
      </x:c>
      <x:c r="L10" s="7" t="str"/>
      <x:c r="M10" s="7" t="str"/>
      <x:c r="N10" s="7" t="str">
        <x:v>Direction de production originale fondée sur les ambiances ; proportions à vérifier sur captures.</x:v>
      </x:c>
      <x:c r="O10" s="7" t="str">
        <x:v>https://www.ea.com/ea-play/news/visual-improvements</x:v>
      </x:c>
      <x:c r="P10" s="7" t="str">
        <x:v>Production ME1</x:v>
      </x:c>
      <x:c r="Q10" s="7" t="str"/>
    </x:row>
    <x:row r="11" ht="36" customHeight="1">
      <x:c r="A11" s="13" t="str">
        <x:v>SCN-presidium-jardins</x:v>
      </x:c>
      <x:c r="B11" s="14" t="str">
        <x:v>Présidium jardins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Pelouses, arbres, eau et chemins clairs.</x:v>
      </x:c>
      <x:c r="I11" s="14" t="str">
        <x:v>Végétation stable entre les changements de caméra.</x:v>
      </x:c>
      <x:c r="J11" s="14" t="str"/>
      <x:c r="K11" s="14" t="str">
        <x:v>content/scenery/SCN-presidium-jardins.json</x:v>
      </x:c>
      <x:c r="L11" s="14" t="str"/>
      <x:c r="M11" s="14" t="str"/>
      <x:c r="N11" s="14" t="str">
        <x:v>Direction de production originale fondée sur les ambiances ; proportions à vérifier sur captures.</x:v>
      </x:c>
      <x:c r="O11" s="14" t="str">
        <x:v>https://www.ea.com/ea-play/news/visual-improvements</x:v>
      </x:c>
      <x:c r="P11" s="14" t="str">
        <x:v>Production ME1</x:v>
      </x:c>
      <x:c r="Q11" s="14" t="str"/>
    </x:row>
    <x:row r="12" ht="36" customHeight="1">
      <x:c r="A12" s="12" t="str">
        <x:v>SCN-tour-du-conseil</x:v>
      </x:c>
      <x:c r="B12" s="7" t="str">
        <x:v>Tour du Conseil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Architecture diplomatique monumentale.</x:v>
      </x:c>
      <x:c r="I12" s="7" t="str">
        <x:v>Échelle hiérarchique conservée entre personnages et estrade.</x:v>
      </x:c>
      <x:c r="J12" s="7" t="str"/>
      <x:c r="K12" s="7" t="str">
        <x:v>content/scenery/SCN-tour-du-conseil.json</x:v>
      </x:c>
      <x:c r="L12" s="7" t="str"/>
      <x:c r="M12" s="7" t="str"/>
      <x:c r="N12" s="7" t="str">
        <x:v>Direction de production originale fondée sur les ambiances ; proportions à vérifier sur captures.</x:v>
      </x:c>
      <x:c r="O12" s="7" t="str">
        <x:v>https://www.ea.com/ea-play/news/visual-improvements</x:v>
      </x:c>
      <x:c r="P12" s="7" t="str">
        <x:v>Production ME1</x:v>
      </x:c>
      <x:c r="Q12" s="7" t="str"/>
    </x:row>
    <x:row r="13" ht="36" customHeight="1">
      <x:c r="A13" s="13" t="str">
        <x:v>SCN-secteurs-verticaux</x:v>
      </x:c>
      <x:c r="B13" s="14" t="str">
        <x:v>Secteurs verticaux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Passerelles, façades et profondeurs urbaines.</x:v>
      </x:c>
      <x:c r="I13" s="14" t="str">
        <x:v>Chemins jouables séparés des arrière-plans.</x:v>
      </x:c>
      <x:c r="J13" s="14" t="str"/>
      <x:c r="K13" s="14" t="str">
        <x:v>content/scenery/SCN-secteurs-verticaux.json</x:v>
      </x:c>
      <x:c r="L13" s="14" t="str"/>
      <x:c r="M13" s="14" t="str"/>
      <x:c r="N13" s="14" t="str">
        <x:v>Direction de production originale fondée sur les ambiances ; proportions à vérifier sur captures.</x:v>
      </x:c>
      <x:c r="O13" s="14" t="str">
        <x:v>https://www.ea.com/ea-play/news/visual-improvements</x:v>
      </x:c>
      <x:c r="P13" s="14" t="str">
        <x:v>Production ME1</x:v>
      </x:c>
      <x:c r="Q13" s="14" t="str"/>
    </x:row>
    <x:row r="14" ht="36" customHeight="1">
      <x:c r="A14" s="12" t="str">
        <x:v>SCN-chora-s-den-interieur</x:v>
      </x:c>
      <x:c r="B14" s="7" t="str">
        <x:v>Chora’s Den intérieur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Bar sombre et scène centrale.</x:v>
      </x:c>
      <x:c r="I14" s="7" t="str">
        <x:v>Circulation et couverture lisibles en combat.</x:v>
      </x:c>
      <x:c r="J14" s="7" t="str"/>
      <x:c r="K14" s="7" t="str">
        <x:v>content/scenery/SCN-chora-s-den-interieur.json</x:v>
      </x:c>
      <x:c r="L14" s="7" t="str"/>
      <x:c r="M14" s="7" t="str"/>
      <x:c r="N14" s="7" t="str">
        <x:v>Direction de production originale fondée sur les ambiances ; proportions à vérifier sur captures.</x:v>
      </x:c>
      <x:c r="O14" s="7" t="str">
        <x:v>https://www.ea.com/ea-play/news/visual-improvements</x:v>
      </x:c>
      <x:c r="P14" s="7" t="str">
        <x:v>Production ME1</x:v>
      </x:c>
      <x:c r="Q14" s="7" t="str"/>
    </x:row>
    <x:row r="15" ht="36" customHeight="1">
      <x:c r="A15" s="13" t="str">
        <x:v>SCN-flux-interieur</x:v>
      </x:c>
      <x:c r="B15" s="14" t="str">
        <x:v>Flux intérieur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Club avec terrasse et salle de jeu.</x:v>
      </x:c>
      <x:c r="I15" s="14" t="str">
        <x:v>Éclairage distinct du bar de Fist.</x:v>
      </x:c>
      <x:c r="J15" s="14" t="str"/>
      <x:c r="K15" s="14" t="str">
        <x:v>content/scenery/SCN-flux-interieur.json</x:v>
      </x:c>
      <x:c r="L15" s="14" t="str"/>
      <x:c r="M15" s="14" t="str"/>
      <x:c r="N15" s="14" t="str">
        <x:v>Direction de production originale fondée sur les ambiances ; proportions à vérifier sur captures.</x:v>
      </x:c>
      <x:c r="O15" s="14" t="str">
        <x:v>https://www.ea.com/ea-play/news/visual-improvements</x:v>
      </x:c>
      <x:c r="P15" s="14" t="str">
        <x:v>Production ME1</x:v>
      </x:c>
      <x:c r="Q15" s="14" t="str"/>
    </x:row>
    <x:row r="16" ht="36" customHeight="1">
      <x:c r="A16" s="12" t="str">
        <x:v>SCN-ssc-interieur</x:v>
      </x:c>
      <x:c r="B16" s="7" t="str">
        <x:v>SSC intérieur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Bureaux de sécurité et ascenseurs.</x:v>
      </x:c>
      <x:c r="I16" s="7" t="str">
        <x:v>Signalétique continue d’un plan à l’autre.</x:v>
      </x:c>
      <x:c r="J16" s="7" t="str"/>
      <x:c r="K16" s="7" t="str">
        <x:v>content/scenery/SCN-ssc-interieur.json</x:v>
      </x:c>
      <x:c r="L16" s="7" t="str"/>
      <x:c r="M16" s="7" t="str"/>
      <x:c r="N16" s="7" t="str">
        <x:v>Direction de production originale fondée sur les ambiances ; proportions à vérifier sur captures.</x:v>
      </x:c>
      <x:c r="O16" s="7" t="str">
        <x:v>https://www.ea.com/ea-play/news/visual-improvements</x:v>
      </x:c>
      <x:c r="P16" s="7" t="str">
        <x:v>Production ME1</x:v>
      </x:c>
      <x:c r="Q16" s="7" t="str"/>
    </x:row>
    <x:row r="17" ht="36" customHeight="1">
      <x:c r="A17" s="13" t="str">
        <x:v>SCN-eden-prime-agriculture</x:v>
      </x:c>
      <x:c r="B17" s="14" t="str">
        <x:v>Eden Prime agriculture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Prairies et structures coloniales.</x:v>
      </x:c>
      <x:c r="I17" s="14" t="str">
        <x:v>Traces de l’attaque cohérentes avec le trajet.</x:v>
      </x:c>
      <x:c r="J17" s="14" t="str"/>
      <x:c r="K17" s="14" t="str">
        <x:v>content/scenery/SCN-eden-prime-agriculture.json</x:v>
      </x:c>
      <x:c r="L17" s="14" t="str"/>
      <x:c r="M17" s="14" t="str"/>
      <x:c r="N17" s="14" t="str">
        <x:v>Direction de production originale fondée sur les ambiances ; proportions à vérifier sur captures.</x:v>
      </x:c>
      <x:c r="O17" s="14" t="str">
        <x:v>https://www.ea.com/ea-play/news/visual-improvements</x:v>
      </x:c>
      <x:c r="P17" s="14" t="str">
        <x:v>Production ME1</x:v>
      </x:c>
      <x:c r="Q17" s="14" t="str"/>
    </x:row>
    <x:row r="18" ht="36" customHeight="1">
      <x:c r="A18" s="12" t="str">
        <x:v>SCN-eden-prime-fumee</x:v>
      </x:c>
      <x:c r="B18" s="7" t="str">
        <x:v>Eden Prime fumée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Colonnes de fumée et lumières lointaines.</x:v>
      </x:c>
      <x:c r="I18" s="7" t="str">
        <x:v>Intensité contrôlée pour préserver les sprites.</x:v>
      </x:c>
      <x:c r="J18" s="7" t="str"/>
      <x:c r="K18" s="7" t="str">
        <x:v>content/scenery/SCN-eden-prime-fumee.json</x:v>
      </x:c>
      <x:c r="L18" s="7" t="str"/>
      <x:c r="M18" s="7" t="str"/>
      <x:c r="N18" s="7" t="str">
        <x:v>Direction de production originale fondée sur les ambiances ; proportions à vérifier sur captures.</x:v>
      </x:c>
      <x:c r="O18" s="7" t="str">
        <x:v>https://www.ea.com/ea-play/news/visual-improvements</x:v>
      </x:c>
      <x:c r="P18" s="7" t="str">
        <x:v>Production ME1</x:v>
      </x:c>
      <x:c r="Q18" s="7" t="str"/>
    </x:row>
    <x:row r="19" ht="36" customHeight="1">
      <x:c r="A19" s="13" t="str">
        <x:v>SCN-eden-prime-quais</x:v>
      </x:c>
      <x:c r="B19" s="14" t="str">
        <x:v>Eden Prime quais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Industrie ferroviaire et plateformes.</x:v>
      </x:c>
      <x:c r="I19" s="14" t="str">
        <x:v>Éléments de bordure cohérents entre plans.</x:v>
      </x:c>
      <x:c r="J19" s="14" t="str"/>
      <x:c r="K19" s="14" t="str">
        <x:v>content/scenery/SCN-eden-prime-quais.json</x:v>
      </x:c>
      <x:c r="L19" s="14" t="str"/>
      <x:c r="M19" s="14" t="str"/>
      <x:c r="N19" s="14" t="str">
        <x:v>Direction de production originale fondée sur les ambiances ; proportions à vérifier sur captures.</x:v>
      </x:c>
      <x:c r="O19" s="14" t="str">
        <x:v>https://www.ea.com/ea-play/news/visual-improvements</x:v>
      </x:c>
      <x:c r="P19" s="14" t="str">
        <x:v>Production ME1</x:v>
      </x:c>
      <x:c r="Q19" s="14" t="str"/>
    </x:row>
    <x:row r="20" ht="36" customHeight="1">
      <x:c r="A20" s="12" t="str">
        <x:v>SCN-therum-roche-volcanique</x:v>
      </x:c>
      <x:c r="B20" s="7" t="str">
        <x:v>Therum roche volcanique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Falaises sombres, coulées et minerai.</x:v>
      </x:c>
      <x:c r="I20" s="7" t="str">
        <x:v>Lave reste dangereuse dans toutes les caméras.</x:v>
      </x:c>
      <x:c r="J20" s="7" t="str"/>
      <x:c r="K20" s="7" t="str">
        <x:v>content/scenery/SCN-therum-roche-volcanique.json</x:v>
      </x:c>
      <x:c r="L20" s="7" t="str"/>
      <x:c r="M20" s="7" t="str"/>
      <x:c r="N20" s="7" t="str">
        <x:v>Direction de production originale fondée sur les ambiances ; proportions à vérifier sur captures.</x:v>
      </x:c>
      <x:c r="O20" s="7" t="str">
        <x:v>https://www.ea.com/ea-play/news/visual-improvements</x:v>
      </x:c>
      <x:c r="P20" s="7" t="str">
        <x:v>Production ME1</x:v>
      </x:c>
      <x:c r="Q20" s="7" t="str"/>
    </x:row>
    <x:row r="21" ht="36" customHeight="1">
      <x:c r="A21" s="13" t="str">
        <x:v>SCN-therum-mine</x:v>
      </x:c>
      <x:c r="B21" s="14" t="str">
        <x:v>Therum mine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Structures d’excavation sur ruines prothéennes.</x:v>
      </x:c>
      <x:c r="I21" s="14" t="str">
        <x:v>Ancien et moderne se distinguent par les matériaux.</x:v>
      </x:c>
      <x:c r="J21" s="14" t="str"/>
      <x:c r="K21" s="14" t="str">
        <x:v>content/scenery/SCN-therum-mine.json</x:v>
      </x:c>
      <x:c r="L21" s="14" t="str"/>
      <x:c r="M21" s="14" t="str"/>
      <x:c r="N21" s="14" t="str">
        <x:v>Direction de production originale fondée sur les ambiances ; proportions à vérifier sur captures.</x:v>
      </x:c>
      <x:c r="O21" s="14" t="str">
        <x:v>https://www.ea.com/ea-play/news/visual-improvements</x:v>
      </x:c>
      <x:c r="P21" s="14" t="str">
        <x:v>Production ME1</x:v>
      </x:c>
      <x:c r="Q21" s="14" t="str"/>
    </x:row>
    <x:row r="22" ht="36" customHeight="1">
      <x:c r="A22" s="12" t="str">
        <x:v>SCN-feros-megastructures</x:v>
      </x:c>
      <x:c r="B22" s="7" t="str">
        <x:v>Feros mégastructures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Ruines et ponts dominant la colonie.</x:v>
      </x:c>
      <x:c r="I22" s="7" t="str">
        <x:v>Horizon et éléments visibles conservés entre zones.</x:v>
      </x:c>
      <x:c r="J22" s="7" t="str"/>
      <x:c r="K22" s="7" t="str">
        <x:v>content/scenery/SCN-feros-megastructures.json</x:v>
      </x:c>
      <x:c r="L22" s="7" t="str"/>
      <x:c r="M22" s="7" t="str"/>
      <x:c r="N22" s="7" t="str">
        <x:v>Direction de production originale fondée sur les ambiances ; proportions à vérifier sur captures.</x:v>
      </x:c>
      <x:c r="O22" s="7" t="str">
        <x:v>https://www.ea.com/ea-play/news/visual-improvements</x:v>
      </x:c>
      <x:c r="P22" s="7" t="str">
        <x:v>Production ME1</x:v>
      </x:c>
      <x:c r="Q22" s="7" t="str"/>
    </x:row>
    <x:row r="23" ht="36" customHeight="1">
      <x:c r="A23" s="13" t="str">
        <x:v>SCN-feros-zhu-s-hope</x:v>
      </x:c>
      <x:c r="B23" s="14" t="str">
        <x:v>Feros Zhu’s Hope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Habitat de fortune dans les restes industriels.</x:v>
      </x:c>
      <x:c r="I23" s="14" t="str">
        <x:v>Fonctions quotidiennes visibles près des PNJ.</x:v>
      </x:c>
      <x:c r="J23" s="14" t="str"/>
      <x:c r="K23" s="14" t="str">
        <x:v>content/scenery/SCN-feros-zhu-s-hope.json</x:v>
      </x:c>
      <x:c r="L23" s="14" t="str"/>
      <x:c r="M23" s="14" t="str"/>
      <x:c r="N23" s="14" t="str">
        <x:v>Direction de production originale fondée sur les ambiances ; proportions à vérifier sur captures.</x:v>
      </x:c>
      <x:c r="O23" s="14" t="str">
        <x:v>https://www.ea.com/ea-play/news/visual-improvements</x:v>
      </x:c>
      <x:c r="P23" s="14" t="str">
        <x:v>Production ME1</x:v>
      </x:c>
      <x:c r="Q23" s="14" t="str"/>
    </x:row>
    <x:row r="24" ht="36" customHeight="1">
      <x:c r="A24" s="12" t="str">
        <x:v>SCN-feros-exogeni</x:v>
      </x:c>
      <x:c r="B24" s="7" t="str">
        <x:v>Feros ExoGeni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Laboratoires et bureaux endommagés.</x:v>
      </x:c>
      <x:c r="I24" s="7" t="str">
        <x:v>Logo et traces d’occupation localisés.</x:v>
      </x:c>
      <x:c r="J24" s="7" t="str"/>
      <x:c r="K24" s="7" t="str">
        <x:v>content/scenery/SCN-feros-exogeni.json</x:v>
      </x:c>
      <x:c r="L24" s="7" t="str"/>
      <x:c r="M24" s="7" t="str"/>
      <x:c r="N24" s="7" t="str">
        <x:v>Direction de production originale fondée sur les ambiances ; proportions à vérifier sur captures.</x:v>
      </x:c>
      <x:c r="O24" s="7" t="str">
        <x:v>https://www.ea.com/ea-play/news/visual-improvements</x:v>
      </x:c>
      <x:c r="P24" s="7" t="str">
        <x:v>Production ME1</x:v>
      </x:c>
      <x:c r="Q24" s="7" t="str"/>
    </x:row>
    <x:row r="25" ht="36" customHeight="1">
      <x:c r="A25" s="13" t="str">
        <x:v>SCN-thorian-organique</x:v>
      </x:c>
      <x:c r="B25" s="14" t="str">
        <x:v>Thorian organique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Enchevêtrement biologique dans une structure verticale.</x:v>
      </x:c>
      <x:c r="I25" s="14" t="str">
        <x:v>Racines identifiables et niveaux praticables.</x:v>
      </x:c>
      <x:c r="J25" s="14" t="str"/>
      <x:c r="K25" s="14" t="str">
        <x:v>content/scenery/SCN-thorian-organique.json</x:v>
      </x:c>
      <x:c r="L25" s="14" t="str"/>
      <x:c r="M25" s="14" t="str"/>
      <x:c r="N25" s="14" t="str">
        <x:v>Direction de production originale fondée sur les ambiances ; proportions à vérifier sur captures.</x:v>
      </x:c>
      <x:c r="O25" s="14" t="str">
        <x:v>https://www.ea.com/ea-play/news/visual-improvements</x:v>
      </x:c>
      <x:c r="P25" s="14" t="str">
        <x:v>Production ME1</x:v>
      </x:c>
      <x:c r="Q25" s="14" t="str"/>
    </x:row>
    <x:row r="26" ht="36" customHeight="1">
      <x:c r="A26" s="12" t="str">
        <x:v>SCN-noveria-port-hanshan</x:v>
      </x:c>
      <x:c r="B26" s="7" t="str">
        <x:v>Noveria Port Hanshan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Béton, verre et atmosphère froide.</x:v>
      </x:c>
      <x:c r="I26" s="7" t="str">
        <x:v>Façades et décoration cohérentes avec le monde.</x:v>
      </x:c>
      <x:c r="J26" s="7" t="str"/>
      <x:c r="K26" s="7" t="str">
        <x:v>content/scenery/SCN-noveria-port-hanshan.json</x:v>
      </x:c>
      <x:c r="L26" s="7" t="str"/>
      <x:c r="M26" s="7" t="str"/>
      <x:c r="N26" s="7" t="str">
        <x:v>Direction de production originale fondée sur les ambiances ; proportions à vérifier sur captures.</x:v>
      </x:c>
      <x:c r="O26" s="7" t="str">
        <x:v>https://www.ea.com/ea-play/news/visual-improvements</x:v>
      </x:c>
      <x:c r="P26" s="7" t="str">
        <x:v>Production ME1</x:v>
      </x:c>
      <x:c r="Q26" s="7" t="str"/>
    </x:row>
    <x:row r="27" ht="36" customHeight="1">
      <x:c r="A27" s="13" t="str">
        <x:v>SCN-noveria-route</x:v>
      </x:c>
      <x:c r="B27" s="14" t="str">
        <x:v>Noveria route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Relief enneigé et installations isolées.</x:v>
      </x:c>
      <x:c r="I27" s="14" t="str">
        <x:v>Visibilité jouable malgré la tempête.</x:v>
      </x:c>
      <x:c r="J27" s="14" t="str"/>
      <x:c r="K27" s="14" t="str">
        <x:v>content/scenery/SCN-noveria-route.json</x:v>
      </x:c>
      <x:c r="L27" s="14" t="str"/>
      <x:c r="M27" s="14" t="str"/>
      <x:c r="N27" s="14" t="str">
        <x:v>Direction de production originale fondée sur les ambiances ; proportions à vérifier sur captures.</x:v>
      </x:c>
      <x:c r="O27" s="14" t="str">
        <x:v>https://www.ea.com/ea-play/news/visual-improvements</x:v>
      </x:c>
      <x:c r="P27" s="14" t="str">
        <x:v>Production ME1</x:v>
      </x:c>
      <x:c r="Q27" s="14" t="str"/>
    </x:row>
    <x:row r="28" ht="36" customHeight="1">
      <x:c r="A28" s="12" t="str">
        <x:v>SCN-noveria-peak-15</x:v>
      </x:c>
      <x:c r="B28" s="7" t="str">
        <x:v>Noveria Peak 15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Complexe scientifique contaminé.</x:v>
      </x:c>
      <x:c r="I28" s="7" t="str">
        <x:v>Changements d’état après remise en service.</x:v>
      </x:c>
      <x:c r="J28" s="7" t="str"/>
      <x:c r="K28" s="7" t="str">
        <x:v>content/scenery/SCN-noveria-peak-15.json</x:v>
      </x:c>
      <x:c r="L28" s="7" t="str"/>
      <x:c r="M28" s="7" t="str"/>
      <x:c r="N28" s="7" t="str">
        <x:v>Direction de production originale fondée sur les ambiances ; proportions à vérifier sur captures.</x:v>
      </x:c>
      <x:c r="O28" s="7" t="str">
        <x:v>https://www.ea.com/ea-play/news/visual-improvements</x:v>
      </x:c>
      <x:c r="P28" s="7" t="str">
        <x:v>Production ME1</x:v>
      </x:c>
      <x:c r="Q28" s="7" t="str"/>
    </x:row>
    <x:row r="29" ht="36" customHeight="1">
      <x:c r="A29" s="13" t="str">
        <x:v>SCN-noveria-labos-chauds</x:v>
      </x:c>
      <x:c r="B29" s="14" t="str">
        <x:v>Noveria labos chauds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Équipement de confinement et purge.</x:v>
      </x:c>
      <x:c r="I29" s="14" t="str">
        <x:v>Danger signalé par l’espace et les sons.</x:v>
      </x:c>
      <x:c r="J29" s="14" t="str"/>
      <x:c r="K29" s="14" t="str">
        <x:v>content/scenery/SCN-noveria-labos-chauds.json</x:v>
      </x:c>
      <x:c r="L29" s="14" t="str"/>
      <x:c r="M29" s="14" t="str"/>
      <x:c r="N29" s="14" t="str">
        <x:v>Direction de production originale fondée sur les ambiances ; proportions à vérifier sur captures.</x:v>
      </x:c>
      <x:c r="O29" s="14" t="str">
        <x:v>https://www.ea.com/ea-play/news/visual-improvements</x:v>
      </x:c>
      <x:c r="P29" s="14" t="str">
        <x:v>Production ME1</x:v>
      </x:c>
      <x:c r="Q29" s="14" t="str"/>
    </x:row>
    <x:row r="30" ht="36" customHeight="1">
      <x:c r="A30" s="12" t="str">
        <x:v>SCN-virmire-littoral</x:v>
      </x:c>
      <x:c r="B30" s="7" t="str">
        <x:v>Virmire littoral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Plages, eau peu profonde et végétation.</x:v>
      </x:c>
      <x:c r="I30" s="7" t="str">
        <x:v>Silhouette tropicale préservée sans supprimer la menace.</x:v>
      </x:c>
      <x:c r="J30" s="7" t="str"/>
      <x:c r="K30" s="7" t="str">
        <x:v>content/scenery/SCN-virmire-littoral.json</x:v>
      </x:c>
      <x:c r="L30" s="7" t="str"/>
      <x:c r="M30" s="7" t="str"/>
      <x:c r="N30" s="7" t="str">
        <x:v>Direction de production originale fondée sur les ambiances ; proportions à vérifier sur captures.</x:v>
      </x:c>
      <x:c r="O30" s="7" t="str">
        <x:v>https://www.ea.com/ea-play/news/visual-improvements</x:v>
      </x:c>
      <x:c r="P30" s="7" t="str">
        <x:v>Production ME1</x:v>
      </x:c>
      <x:c r="Q30" s="7" t="str"/>
    </x:row>
    <x:row r="31" ht="36" customHeight="1">
      <x:c r="A31" s="13" t="str">
        <x:v>SCN-virmire-base</x:v>
      </x:c>
      <x:c r="B31" s="14" t="str">
        <x:v>Virmire base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Laboratoires techniques au milieu de la jungle.</x:v>
      </x:c>
      <x:c r="I31" s="14" t="str">
        <x:v>Connecter les services et objectifs fonctionnellement.</x:v>
      </x:c>
      <x:c r="J31" s="14" t="str"/>
      <x:c r="K31" s="14" t="str">
        <x:v>content/scenery/SCN-virmire-base.json</x:v>
      </x:c>
      <x:c r="L31" s="14" t="str"/>
      <x:c r="M31" s="14" t="str"/>
      <x:c r="N31" s="14" t="str">
        <x:v>Direction de production originale fondée sur les ambiances ; proportions à vérifier sur captures.</x:v>
      </x:c>
      <x:c r="O31" s="14" t="str">
        <x:v>https://www.ea.com/ea-play/news/visual-improvements</x:v>
      </x:c>
      <x:c r="P31" s="14" t="str">
        <x:v>Production ME1</x:v>
      </x:c>
      <x:c r="Q31" s="14" t="str"/>
    </x:row>
    <x:row r="32" ht="36" customHeight="1">
      <x:c r="A32" s="12" t="str">
        <x:v>SCN-ilos-statues</x:v>
      </x:c>
      <x:c r="B32" s="7" t="str">
        <x:v>Ilos statues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Ruines massives et végétation humide.</x:v>
      </x:c>
      <x:c r="I32" s="7" t="str">
        <x:v>Statues reconnaissables aux angles principaux.</x:v>
      </x:c>
      <x:c r="J32" s="7" t="str"/>
      <x:c r="K32" s="7" t="str">
        <x:v>content/scenery/SCN-ilos-statues.json</x:v>
      </x:c>
      <x:c r="L32" s="7" t="str"/>
      <x:c r="M32" s="7" t="str"/>
      <x:c r="N32" s="7" t="str">
        <x:v>Direction de production originale fondée sur les ambiances ; proportions à vérifier sur captures.</x:v>
      </x:c>
      <x:c r="O32" s="7" t="str">
        <x:v>https://www.ea.com/ea-play/news/visual-improvements</x:v>
      </x:c>
      <x:c r="P32" s="7" t="str">
        <x:v>Production ME1</x:v>
      </x:c>
      <x:c r="Q32" s="7" t="str"/>
    </x:row>
    <x:row r="33" ht="36" customHeight="1">
      <x:c r="A33" s="13" t="str">
        <x:v>SCN-ilos-archives</x:v>
      </x:c>
      <x:c r="B33" s="14" t="str">
        <x:v>Ilos archives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Longs couloirs de données et veille prothéenne.</x:v>
      </x:c>
      <x:c r="I33" s="14" t="str">
        <x:v>Éclairage guide vers Vigil sans révélation anticipée.</x:v>
      </x:c>
      <x:c r="J33" s="14" t="str"/>
      <x:c r="K33" s="14" t="str">
        <x:v>content/scenery/SCN-ilos-archives.json</x:v>
      </x:c>
      <x:c r="L33" s="14" t="str"/>
      <x:c r="M33" s="14" t="str"/>
      <x:c r="N33" s="14" t="str">
        <x:v>Direction de production originale fondée sur les ambiances ; proportions à vérifier sur captures.</x:v>
      </x:c>
      <x:c r="O33" s="14" t="str">
        <x:v>https://www.ea.com/ea-play/news/visual-improvements</x:v>
      </x:c>
      <x:c r="P33" s="14" t="str">
        <x:v>Production ME1</x:v>
      </x:c>
      <x:c r="Q33" s="14" t="str"/>
    </x:row>
    <x:row r="34" ht="36" customHeight="1">
      <x:c r="A34" s="12" t="str">
        <x:v>SCN-x57-surface</x:v>
      </x:c>
      <x:c r="B34" s="7" t="str">
        <x:v>X57 surface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Sol d’astéroïde, ciel et propulseurs.</x:v>
      </x:c>
      <x:c r="I34" s="7" t="str">
        <x:v>Orientation de la planète menacée cohérente.</x:v>
      </x:c>
      <x:c r="J34" s="7" t="str"/>
      <x:c r="K34" s="7" t="str">
        <x:v>content/scenery/SCN-x57-surface.json</x:v>
      </x:c>
      <x:c r="L34" s="7" t="str"/>
      <x:c r="M34" s="7" t="str"/>
      <x:c r="N34" s="7" t="str">
        <x:v>Direction de production originale fondée sur les ambiances ; proportions à vérifier sur captures.</x:v>
      </x:c>
      <x:c r="O34" s="7" t="str">
        <x:v>https://www.ea.com/ea-play/news/visual-improvements</x:v>
      </x:c>
      <x:c r="P34" s="7" t="str">
        <x:v>Production ME1</x:v>
      </x:c>
      <x:c r="Q34" s="7" t="str"/>
    </x:row>
    <x:row r="35" ht="36" customHeight="1">
      <x:c r="A35" s="13" t="str">
        <x:v>SCN-luna-surface</x:v>
      </x:c>
      <x:c r="B35" s="14" t="str">
        <x:v>Luna surface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Sol lunaire et installations de l’Alliance.</x:v>
      </x:c>
      <x:c r="I35" s="14" t="str">
        <x:v>Ombres et horizon sans atmosphère épaisse.</x:v>
      </x:c>
      <x:c r="J35" s="14" t="str"/>
      <x:c r="K35" s="14" t="str">
        <x:v>content/scenery/SCN-luna-surface.json</x:v>
      </x:c>
      <x:c r="L35" s="14" t="str"/>
      <x:c r="M35" s="14" t="str"/>
      <x:c r="N35" s="14" t="str">
        <x:v>Direction de production originale fondée sur les ambiances ; proportions à vérifier sur captures.</x:v>
      </x:c>
      <x:c r="O35" s="14" t="str">
        <x:v>https://www.ea.com/ea-play/news/visual-improvements</x:v>
      </x:c>
      <x:c r="P35" s="14" t="str">
        <x:v>Production ME1</x:v>
      </x:c>
      <x:c r="Q35" s="14" t="str"/>
    </x:row>
    <x:row r="36" ht="36" customHeight="1">
      <x:c r="A36" s="12" t="str">
        <x:v>SCN-monde-minier-modulaire</x:v>
      </x:c>
      <x:c r="B36" s="7" t="str">
        <x:v>Monde minier modulaire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Kit de bases pour missions annexes.</x:v>
      </x:c>
      <x:c r="I36" s="7" t="str">
        <x:v>Varier implantation et navigation selon mission, pas seulement couleur.</x:v>
      </x:c>
      <x:c r="J36" s="7" t="str"/>
      <x:c r="K36" s="7" t="str">
        <x:v>content/scenery/SCN-monde-minier-modulaire.json</x:v>
      </x:c>
      <x:c r="L36" s="7" t="str"/>
      <x:c r="M36" s="7" t="str"/>
      <x:c r="N36" s="7" t="str">
        <x:v>Direction de production originale fondée sur les ambiances ; proportions à vérifier sur captures.</x:v>
      </x:c>
      <x:c r="O36" s="7" t="str">
        <x:v>https://www.ea.com/ea-play/news/visual-improvements</x:v>
      </x:c>
      <x:c r="P36" s="7" t="str">
        <x:v>Production ME1</x:v>
      </x:c>
      <x:c r="Q36" s="7" t="str"/>
    </x:row>
    <x:row r="37" ht="36" customHeight="1">
      <x:c r="A37" s="13" t="str">
        <x:v>SCN-cargo-spatial-modulaire</x:v>
      </x:c>
      <x:c r="B37" s="14" t="str">
        <x:v>Cargo spatial modulaire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Couloirs, soutes et compartiments.</x:v>
      </x:c>
      <x:c r="I37" s="14" t="str">
        <x:v>Portes à l’échelle et trajet déduisible.</x:v>
      </x:c>
      <x:c r="J37" s="14" t="str"/>
      <x:c r="K37" s="14" t="str">
        <x:v>content/scenery/SCN-cargo-spatial-modulaire.json</x:v>
      </x:c>
      <x:c r="L37" s="14" t="str"/>
      <x:c r="M37" s="14" t="str"/>
      <x:c r="N37" s="14" t="str">
        <x:v>Direction de production originale fondée sur les ambiances ; proportions à vérifier sur captures.</x:v>
      </x:c>
      <x:c r="O37" s="14" t="str">
        <x:v>https://www.ea.com/ea-play/news/visual-improvements</x:v>
      </x:c>
      <x:c r="P37" s="14" t="str">
        <x:v>Production ME1</x:v>
      </x:c>
      <x:c r="Q37" s="14" t="str"/>
    </x:row>
    <x:row r="38" ht="36" customHeight="1">
      <x:c r="A38" s="12" t="str">
        <x:v>SCN-mine-annexe-modulaire</x:v>
      </x:c>
      <x:c r="B38" s="7" t="str">
        <x:v>Mine annexe modulaire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Tunnels et poches souterraines.</x:v>
      </x:c>
      <x:c r="I38" s="7" t="str">
        <x:v>Boucles et impasses décidées selon la mission.</x:v>
      </x:c>
      <x:c r="J38" s="7" t="str"/>
      <x:c r="K38" s="7" t="str">
        <x:v>content/scenery/SCN-mine-annexe-modulaire.json</x:v>
      </x:c>
      <x:c r="L38" s="7" t="str"/>
      <x:c r="M38" s="7" t="str"/>
      <x:c r="N38" s="7" t="str">
        <x:v>Direction de production originale fondée sur les ambiances ; proportions à vérifier sur captures.</x:v>
      </x:c>
      <x:c r="O38" s="7" t="str">
        <x:v>https://www.ea.com/ea-play/news/visual-improvements</x:v>
      </x:c>
      <x:c r="P38" s="7" t="str">
        <x:v>Production ME1</x:v>
      </x:c>
      <x:c r="Q38" s="7" t="str"/>
    </x:row>
    <x:row r="39" ht="36" customHeight="1">
      <x:c r="A39" s="13" t="str">
        <x:v>SCN-effet-profondeur-camera</x:v>
      </x:c>
      <x:c r="B39" s="14" t="str">
        <x:v>Effet profondeur caméra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Caméras fixes ou semi-fixes à profondeur réelle.</x:v>
      </x:c>
      <x:c r="I39" s="14" t="str">
        <x:v>Personnages correctement occultés par la géométrie.</x:v>
      </x:c>
      <x:c r="J39" s="14" t="str"/>
      <x:c r="K39" s="14" t="str">
        <x:v>content/scenery/SCN-effet-profondeur-camera.json</x:v>
      </x:c>
      <x:c r="L39" s="14" t="str"/>
      <x:c r="M39" s="14" t="str"/>
      <x:c r="N39" s="14" t="str">
        <x:v>Direction de production originale fondée sur les ambiances ; proportions à vérifier sur captures.</x:v>
      </x:c>
      <x:c r="O39" s="14" t="str">
        <x:v>https://www.ea.com/ea-play/news/visual-improvements</x:v>
      </x:c>
      <x:c r="P39" s="14" t="str">
        <x:v>Production ME1</x:v>
      </x:c>
      <x:c r="Q39" s="14" t="str"/>
    </x:row>
    <x:row r="40" ht="36" customHeight="1">
      <x:c r="A40" s="12" t="str">
        <x:v>SCN-eclairage-des-sprites</x:v>
      </x:c>
      <x:c r="B40" s="7" t="str">
        <x:v>Éclairage des sprites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Normales ou éclairage stylisé cohérent avec le décor.</x:v>
      </x:c>
      <x:c r="I40" s="7" t="str">
        <x:v>Éviter sprite plat surexposé dans les scènes sombres.</x:v>
      </x:c>
      <x:c r="J40" s="7" t="str"/>
      <x:c r="K40" s="7" t="str">
        <x:v>content/scenery/SCN-eclairage-des-sprites.json</x:v>
      </x:c>
      <x:c r="L40" s="7" t="str"/>
      <x:c r="M40" s="7" t="str"/>
      <x:c r="N40" s="7" t="str">
        <x:v>Direction de production originale fondée sur les ambiances ; proportions à vérifier sur captures.</x:v>
      </x:c>
      <x:c r="O40" s="7" t="str">
        <x:v>https://www.ea.com/ea-play/news/visual-improvements</x:v>
      </x:c>
      <x:c r="P40" s="7" t="str">
        <x:v>Production ME1</x:v>
      </x:c>
      <x:c r="Q40" s="7" t="str"/>
    </x:row>
    <x:row r="41" ht="36" customHeight="1">
      <x:c r="A41" s="13" t="str">
        <x:v>SCN-ombres-des-personnages</x:v>
      </x:c>
      <x:c r="B41" s="14" t="str">
        <x:v>Ombres des personnages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Ombre de contact raccordée au sol et à la taille.</x:v>
      </x:c>
      <x:c r="I41" s="14" t="str">
        <x:v>Aucune ombre traversant un mur ou restant en l’air.</x:v>
      </x:c>
      <x:c r="J41" s="14" t="str"/>
      <x:c r="K41" s="14" t="str">
        <x:v>content/scenery/SCN-ombres-des-personnages.json</x:v>
      </x:c>
      <x:c r="L41" s="14" t="str"/>
      <x:c r="M41" s="14" t="str"/>
      <x:c r="N41" s="14" t="str">
        <x:v>Direction de production originale fondée sur les ambiances ; proportions à vérifier sur captures.</x:v>
      </x:c>
      <x:c r="O41" s="14" t="str">
        <x:v>https://www.ea.com/ea-play/news/visual-improvements</x:v>
      </x:c>
      <x:c r="P41" s="14" t="str">
        <x:v>Production ME1</x:v>
      </x:c>
      <x:c r="Q41" s="14" t="str"/>
    </x:row>
  </x:sheetData>
  <x:conditionalFormatting sqref="C7:C41">
    <x:cfRule type="cellIs" dxfId="30" priority="1" operator="equal">
      <x:formula>"Prototype"</x:formula>
    </x:cfRule>
    <x:cfRule type="cellIs" dxfId="31" priority="2" operator="equal">
      <x:formula>"Intégré"</x:formula>
    </x:cfRule>
    <x:cfRule type="cellIs" dxfId="32" priority="3" operator="equal">
      <x:formula>"Validé"</x:formula>
    </x:cfRule>
  </x:conditionalFormatting>
  <x:conditionalFormatting sqref="G7:G41">
    <x:cfRule type="cellIs" dxfId="33" priority="4" operator="equal">
      <x:formula>"Référence à vérifier"</x:formula>
    </x:cfRule>
  </x:conditionalFormatting>
  <x:conditionalFormatting sqref="E7:E41">
    <x:cfRule type="cellIs" dxfId="34" priority="5" operator="equal">
      <x:formula>"P0"</x:formula>
    </x:cfRule>
  </x:conditionalFormatting>
  <x:dataValidations count="5">
    <x:dataValidation type="list" sqref="C7:C41">
      <x:formula1>"Défini,Prototype,Intégré,Validé"</x:formula1>
    </x:dataValidation>
    <x:dataValidation type="list" sqref="D7:D41">
      <x:formula1>"À produire,Prototype,Disponible,Validé,Sans objet,Non planifié"</x:formula1>
    </x:dataValidation>
    <x:dataValidation type="list" sqref="E7:E41">
      <x:formula1>"P0,P1,P2"</x:formula1>
    </x:dataValidation>
    <x:dataValidation type="list" sqref="F7:F41">
      <x:formula1>"ME1,ME2,ME3"</x:formula1>
    </x:dataValidation>
    <x:dataValidation type="list" sqref="G7:G41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e1d11350d2410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PRP-console-de-navigation</x:v>
      </x:c>
      <x:c r="B7" s="14" t="str">
        <x:v>Console de navigation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Écran holographique dans le CIC.</x:v>
      </x:c>
      <x:c r="I7" s="14" t="str">
        <x:v>Interaction ouvrant la carte sans changer la position du joueur.</x:v>
      </x:c>
      <x:c r="J7" s="14" t="str"/>
      <x:c r="K7" s="14" t="str">
        <x:v>content/props/PRP-console-de-navigation.json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PRP-carte-galactique-holographique</x:v>
      </x:c>
      <x:c r="B8" s="7" t="str">
        <x:v>Carte galactique holographique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Table de navigation en volume.</x:v>
      </x:c>
      <x:c r="I8" s="7" t="str">
        <x:v>Sélection amas, système et destination clairement hiérarchisée.</x:v>
      </x:c>
      <x:c r="J8" s="7" t="str"/>
      <x:c r="K8" s="7" t="str">
        <x:v>content/props/PRP-carte-galactique-holographique.json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36" customHeight="1">
      <x:c r="A9" s="13" t="str">
        <x:v>PRP-siege-de-pilote</x:v>
      </x:c>
      <x:c r="B9" s="14" t="str">
        <x:v>Siège de pilote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Poste de Joker.</x:v>
      </x:c>
      <x:c r="I9" s="14" t="str">
        <x:v>Position assise et accès de dialogue corrects.</x:v>
      </x:c>
      <x:c r="J9" s="14" t="str"/>
      <x:c r="K9" s="14" t="str">
        <x:v>content/props/PRP-siege-de-pilote.json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/>
    </x:row>
    <x:row r="10" ht="36" customHeight="1">
      <x:c r="A10" s="12" t="str">
        <x:v>PRP-terminal-medical</x:v>
      </x:c>
      <x:c r="B10" s="7" t="str">
        <x:v>Terminal médical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Console auprès de Chakwas.</x:v>
      </x:c>
      <x:c r="I10" s="7" t="str">
        <x:v>Pas de collision bloquant l’infirmerie.</x:v>
      </x:c>
      <x:c r="J10" s="7" t="str"/>
      <x:c r="K10" s="7" t="str">
        <x:v>content/props/PRP-terminal-medical.json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PRP-lit-medical</x:v>
      </x:c>
      <x:c r="B11" s="14" t="str">
        <x:v>Lit médical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Meuble de soin du SR-1.</x:v>
      </x:c>
      <x:c r="I11" s="14" t="str">
        <x:v>Sprite allongé ancré au lit et masqué correctement.</x:v>
      </x:c>
      <x:c r="J11" s="14" t="str"/>
      <x:c r="K11" s="14" t="str">
        <x:v>content/props/PRP-lit-medical.json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PRP-ratelier-d-armes</x:v>
      </x:c>
      <x:c r="B12" s="7" t="str">
        <x:v>Râtelier d’armes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Armes stockées dans la soute.</x:v>
      </x:c>
      <x:c r="I12" s="7" t="str">
        <x:v>Modèles compatibles avec le premier épisode.</x:v>
      </x:c>
      <x:c r="J12" s="7" t="str"/>
      <x:c r="K12" s="7" t="str">
        <x:v>content/props/PRP-ratelier-d-armes.json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PRP-casier-personnel</x:v>
      </x:c>
      <x:c r="B13" s="14" t="str">
        <x:v>Casier personnel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Rangement d’équipage.</x:v>
      </x:c>
      <x:c r="I13" s="14" t="str">
        <x:v>Ouverture éventuelle cohérente avec la collision.</x:v>
      </x:c>
      <x:c r="J13" s="14" t="str"/>
      <x:c r="K13" s="14" t="str">
        <x:v>content/props/PRP-casier-personnel.json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PRP-etabli-technique</x:v>
      </x:c>
      <x:c r="B14" s="7" t="str">
        <x:v>Établi technique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Support d’entretien dans la baie.</x:v>
      </x:c>
      <x:c r="I14" s="7" t="str">
        <x:v>Objets de travail à l’échelle des mains.</x:v>
      </x:c>
      <x:c r="J14" s="7" t="str"/>
      <x:c r="K14" s="7" t="str">
        <x:v>content/props/PRP-etabli-technique.json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PRP-table-du-mess</x:v>
      </x:c>
      <x:c r="B15" s="14" t="str">
        <x:v>Table du mess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Mobilier social du Normandy.</x:v>
      </x:c>
      <x:c r="I15" s="14" t="str">
        <x:v>Places assises et chemins de circulation libres.</x:v>
      </x:c>
      <x:c r="J15" s="14" t="str"/>
      <x:c r="K15" s="14" t="str">
        <x:v>content/props/PRP-table-du-mess.json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PRP-porte-militaire</x:v>
      </x:c>
      <x:c r="B16" s="7" t="str">
        <x:v>Porte militaire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Porte automatique du SR-1.</x:v>
      </x:c>
      <x:c r="I16" s="7" t="str">
        <x:v>État visuel synchronisé avec collision et sauvegarde.</x:v>
      </x:c>
      <x:c r="J16" s="7" t="str"/>
      <x:c r="K16" s="7" t="str">
        <x:v>content/props/PRP-porte-militaire.json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PRP-ascenseur-normandy</x:v>
      </x:c>
      <x:c r="B17" s="14" t="str">
        <x:v>Ascenseur Normandy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Transition entre ponts.</x:v>
      </x:c>
      <x:c r="I17" s="14" t="str">
        <x:v>Conserver l’équipe et le sens d’entrée.</x:v>
      </x:c>
      <x:c r="J17" s="14" t="str"/>
      <x:c r="K17" s="14" t="str">
        <x:v>content/props/PRP-ascenseur-normandy.json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PRP-veilleur-au-travail</x:v>
      </x:c>
      <x:c r="B18" s="7" t="str">
        <x:v>Veilleur au travail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Créature ambiante devant une console.</x:v>
      </x:c>
      <x:c r="I18" s="7" t="str">
        <x:v>Animation spécifique sans interaction agressive.</x:v>
      </x:c>
      <x:c r="J18" s="7" t="str"/>
      <x:c r="K18" s="7" t="str">
        <x:v>content/props/PRP-veilleur-au-travail.json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PRP-banc-presidium</x:v>
      </x:c>
      <x:c r="B19" s="14" t="str">
        <x:v>Banc Présidium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Mobilier de promenade.</x:v>
      </x:c>
      <x:c r="I19" s="14" t="str">
        <x:v>PNJ assis sans intersection avec le dossier.</x:v>
      </x:c>
      <x:c r="J19" s="14" t="str"/>
      <x:c r="K19" s="14" t="str">
        <x:v>content/props/PRP-banc-presidium.json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PRP-fontaine-presidium</x:v>
      </x:c>
      <x:c r="B20" s="7" t="str">
        <x:v>Fontaine Présidium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Eau et architecture de jardin.</x:v>
      </x:c>
      <x:c r="I20" s="7" t="str">
        <x:v>Réflexion discrète, aucun obstacle invisible.</x:v>
      </x:c>
      <x:c r="J20" s="7" t="str"/>
      <x:c r="K20" s="7" t="str">
        <x:v>content/props/PRP-fontaine-presidium.json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PRP-arbre-presidium</x:v>
      </x:c>
      <x:c r="B21" s="14" t="str">
        <x:v>Arbre Présidium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Arbre décoratif en serre.</x:v>
      </x:c>
      <x:c r="I21" s="14" t="str">
        <x:v>Occlusion partielle configurable devant le joueur.</x:v>
      </x:c>
      <x:c r="J21" s="14" t="str"/>
      <x:c r="K21" s="14" t="str">
        <x:v>content/props/PRP-arbre-presidium.json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PRP-panneau-de-transport</x:v>
      </x:c>
      <x:c r="B22" s="7" t="str">
        <x:v>Panneau de transport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Signalétique de la station.</x:v>
      </x:c>
      <x:c r="I22" s="7" t="str">
        <x:v>Destination affichée identique à la destination réelle.</x:v>
      </x:c>
      <x:c r="J22" s="7" t="str"/>
      <x:c r="K22" s="7" t="str">
        <x:v>content/props/PRP-panneau-de-transport.json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PRP-vitrine-commercante</x:v>
      </x:c>
      <x:c r="B23" s="14" t="str">
        <x:v>Vitrine commerçante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Armes et marchandises exposées.</x:v>
      </x:c>
      <x:c r="I23" s="14" t="str">
        <x:v>Stock interactif distingué des éléments décoratifs.</x:v>
      </x:c>
      <x:c r="J23" s="14" t="str"/>
      <x:c r="K23" s="14" t="str">
        <x:v>content/props/PRP-vitrine-commercante.json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PRP-machine-de-jeu-quasar</x:v>
      </x:c>
      <x:c r="B24" s="7" t="str">
        <x:v>Machine de jeu Quasar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Activité de détente au Flux.</x:v>
      </x:c>
      <x:c r="I24" s="7" t="str">
        <x:v>Règles et récompenses documentées avant activation.</x:v>
      </x:c>
      <x:c r="J24" s="7" t="str"/>
      <x:c r="K24" s="7" t="str">
        <x:v>content/props/PRP-machine-de-jeu-quasar.json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PRP-table-de-bar</x:v>
      </x:c>
      <x:c r="B25" s="14" t="str">
        <x:v>Table de bar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Mobilier de club.</x:v>
      </x:c>
      <x:c r="I25" s="14" t="str">
        <x:v>Passages suffisants pour les silhouettes krogans.</x:v>
      </x:c>
      <x:c r="J25" s="14" t="str"/>
      <x:c r="K25" s="14" t="str">
        <x:v>content/props/PRP-table-de-bar.json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PRP-projecteur-holographique</x:v>
      </x:c>
      <x:c r="B26" s="7" t="str">
        <x:v>Projecteur holographique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Affichage d’information ou d’interlocuteur.</x:v>
      </x:c>
      <x:c r="I26" s="7" t="str">
        <x:v>Effet stable et lisible sur fond lumineux.</x:v>
      </x:c>
      <x:c r="J26" s="7" t="str"/>
      <x:c r="K26" s="7" t="str">
        <x:v>content/props/PRP-projecteur-holographique.json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PRP-conteneur-de-butin</x:v>
      </x:c>
      <x:c r="B27" s="14" t="str">
        <x:v>Conteneur de butin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Récompense de mission.</x:v>
      </x:c>
      <x:c r="I27" s="14" t="str">
        <x:v>État vide persistant après sauvegarde.</x:v>
      </x:c>
      <x:c r="J27" s="14" t="str"/>
      <x:c r="K27" s="14" t="str">
        <x:v>content/props/PRP-conteneur-de-butin.json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PRP-casier-verrouille</x:v>
      </x:c>
      <x:c r="B28" s="7" t="str">
        <x:v>Casier verrouillé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Épreuve de décryptage.</x:v>
      </x:c>
      <x:c r="I28" s="7" t="str">
        <x:v>Préconditions et solution par omni-gel explicites.</x:v>
      </x:c>
      <x:c r="J28" s="7" t="str"/>
      <x:c r="K28" s="7" t="str">
        <x:v>content/props/PRP-casier-verrouille.json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PRP-kit-medical</x:v>
      </x:c>
      <x:c r="B29" s="14" t="str">
        <x:v>Kit médical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Réserve de médi-gel.</x:v>
      </x:c>
      <x:c r="I29" s="14" t="str">
        <x:v>Plafond et quantité transférée affichés.</x:v>
      </x:c>
      <x:c r="J29" s="14" t="str"/>
      <x:c r="K29" s="14" t="str">
        <x:v>content/props/PRP-kit-medical.json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PRP-depot-d-omni-gel</x:v>
      </x:c>
      <x:c r="B30" s="7" t="str">
        <x:v>Dépôt d’omni-gel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Ressource technique.</x:v>
      </x:c>
      <x:c r="I30" s="7" t="str">
        <x:v>Conversion et consommation sans duplication.</x:v>
      </x:c>
      <x:c r="J30" s="7" t="str"/>
      <x:c r="K30" s="7" t="str">
        <x:v>content/props/PRP-depot-d-omni-gel.json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PRP-terminal-de-donnees</x:v>
      </x:c>
      <x:c r="B31" s="14" t="str">
        <x:v>Terminal de données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Journal, preuve ou codex.</x:v>
      </x:c>
      <x:c r="I31" s="14" t="str">
        <x:v>Identifiant unique et absence de collecte répétée.</x:v>
      </x:c>
      <x:c r="J31" s="14" t="str"/>
      <x:c r="K31" s="14" t="str">
        <x:v>content/props/PRP-terminal-de-donnees.json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PRP-balise-protheenne</x:v>
      </x:c>
      <x:c r="B32" s="7" t="str">
        <x:v>Balise prothéenne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Objet central du prologue.</x:v>
      </x:c>
      <x:c r="I32" s="7" t="str">
        <x:v>Silhouette référencée et déclenchement scénarisé unique.</x:v>
      </x:c>
      <x:c r="J32" s="7" t="str"/>
      <x:c r="K32" s="7" t="str">
        <x:v>content/props/PRP-balise-protheenne.json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PRP-charge-geth</x:v>
      </x:c>
      <x:c r="B33" s="14" t="str">
        <x:v>Charge geth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Bombe à désamorcer sur Eden Prime.</x:v>
      </x:c>
      <x:c r="I33" s="14" t="str">
        <x:v>État visuel change immédiatement après interaction.</x:v>
      </x:c>
      <x:c r="J33" s="14" t="str"/>
      <x:c r="K33" s="14" t="str">
        <x:v>content/props/PRP-charge-geth.json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PRP-train-de-fret</x:v>
      </x:c>
      <x:c r="B34" s="7" t="str">
        <x:v>Train de fret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Élément de traversée du prologue.</x:v>
      </x:c>
      <x:c r="I34" s="7" t="str">
        <x:v>Points d’entrée et de sortie cohérents.</x:v>
      </x:c>
      <x:c r="J34" s="7" t="str"/>
      <x:c r="K34" s="7" t="str">
        <x:v>content/props/PRP-train-de-fret.json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PRP-epave-coloniale</x:v>
      </x:c>
      <x:c r="B35" s="14" t="str">
        <x:v>Épave coloniale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Objet narratif de l’attaque.</x:v>
      </x:c>
      <x:c r="I35" s="14" t="str">
        <x:v>Collision correspond au volume visible.</x:v>
      </x:c>
      <x:c r="J35" s="14" t="str"/>
      <x:c r="K35" s="14" t="str">
        <x:v>content/props/PRP-epave-coloniale.json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PRP-abri-agricole</x:v>
      </x:c>
      <x:c r="B36" s="7" t="str">
        <x:v>Abri agricole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Refuge et dialogue sur Eden Prime.</x:v>
      </x:c>
      <x:c r="I36" s="7" t="str">
        <x:v>Intérieur relié à la bonne porte.</x:v>
      </x:c>
      <x:c r="J36" s="7" t="str"/>
      <x:c r="K36" s="7" t="str">
        <x:v>content/props/PRP-abri-agricole.json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  <x:row r="37" ht="36" customHeight="1">
      <x:c r="A37" s="13" t="str">
        <x:v>PRP-generateur-colonial</x:v>
      </x:c>
      <x:c r="B37" s="14" t="str">
        <x:v>Générateur colonial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Alimentation locale.</x:v>
      </x:c>
      <x:c r="I37" s="14" t="str">
        <x:v>Aucune fonction inventée obligatoire sans mention d’adaptation.</x:v>
      </x:c>
      <x:c r="J37" s="14" t="str"/>
      <x:c r="K37" s="14" t="str">
        <x:v>content/props/PRP-generateur-colonial.json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36" customHeight="1">
      <x:c r="A38" s="12" t="str">
        <x:v>PRP-barriere-de-mine</x:v>
      </x:c>
      <x:c r="B38" s="7" t="str">
        <x:v>Barrière de mine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Protection devant les sites industriels.</x:v>
      </x:c>
      <x:c r="I38" s="7" t="str">
        <x:v>Hauteur et contournements cohérents.</x:v>
      </x:c>
      <x:c r="J38" s="7" t="str"/>
      <x:c r="K38" s="7" t="str">
        <x:v>content/props/PRP-barriere-de-mine.json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/>
    </x:row>
    <x:row r="39" ht="36" customHeight="1">
      <x:c r="A39" s="13" t="str">
        <x:v>PRP-panneau-lave</x:v>
      </x:c>
      <x:c r="B39" s="14" t="str">
        <x:v>Panneau lave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Signal de danger sur Therum.</x:v>
      </x:c>
      <x:c r="I39" s="14" t="str">
        <x:v>Même niveau de risque avec ou sans HUD.</x:v>
      </x:c>
      <x:c r="J39" s="14" t="str"/>
      <x:c r="K39" s="14" t="str">
        <x:v>content/props/PRP-panneau-lave.json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/>
    </x:row>
    <x:row r="40" ht="36" customHeight="1">
      <x:c r="A40" s="12" t="str">
        <x:v>PRP-grue-de-fouille</x:v>
      </x:c>
      <x:c r="B40" s="7" t="str">
        <x:v>Grue de fouille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Équipement de recherche.</x:v>
      </x:c>
      <x:c r="I40" s="7" t="str">
        <x:v>Échelle et mouvement contrôlés pour ne pas couper la caméra.</x:v>
      </x:c>
      <x:c r="J40" s="7" t="str"/>
      <x:c r="K40" s="7" t="str">
        <x:v>content/props/PRP-grue-de-fouille.json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/>
    </x:row>
    <x:row r="41" ht="36" customHeight="1">
      <x:c r="A41" s="13" t="str">
        <x:v>PRP-champ-protheen</x:v>
      </x:c>
      <x:c r="B41" s="14" t="str">
        <x:v>Champ prothéen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Protection autour de Liara.</x:v>
      </x:c>
      <x:c r="I41" s="14" t="str">
        <x:v>Activation liée aux étapes de sauvetage.</x:v>
      </x:c>
      <x:c r="J41" s="14" t="str"/>
      <x:c r="K41" s="14" t="str">
        <x:v>content/props/PRP-champ-protheen.json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36" customHeight="1">
      <x:c r="A42" s="12" t="str">
        <x:v>PRP-vanne-d-eau-feros</x:v>
      </x:c>
      <x:c r="B42" s="7" t="str">
        <x:v>Vanne d’eau Feros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Objectif de restauration de service.</x:v>
      </x:c>
      <x:c r="I42" s="7" t="str">
        <x:v>Compteur des vannes et état persistant.</x:v>
      </x:c>
      <x:c r="J42" s="7" t="str"/>
      <x:c r="K42" s="7" t="str">
        <x:v>content/props/PRP-vanne-d-eau-feros.json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/>
    </x:row>
    <x:row r="43" ht="36" customHeight="1">
      <x:c r="A43" s="13" t="str">
        <x:v>PRP-cellule-energetique-feros</x:v>
      </x:c>
      <x:c r="B43" s="14" t="str">
        <x:v>Cellule énergétique Feros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Objet de quête technique.</x:v>
      </x:c>
      <x:c r="I43" s="14" t="str">
        <x:v>Un seul transfert valide vers le demandeur.</x:v>
      </x:c>
      <x:c r="J43" s="14" t="str"/>
      <x:c r="K43" s="14" t="str">
        <x:v>content/props/PRP-cellule-energetique-feros.json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/>
    </x:row>
    <x:row r="44" ht="36" customHeight="1">
      <x:c r="A44" s="12" t="str">
        <x:v>PRP-console-exogeni</x:v>
      </x:c>
      <x:c r="B44" s="7" t="str">
        <x:v>Console ExoGeni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Données et commandes de bâtiment.</x:v>
      </x:c>
      <x:c r="I44" s="7" t="str">
        <x:v>Réponses cohérentes avec les accès obtenus.</x:v>
      </x:c>
      <x:c r="J44" s="7" t="str"/>
      <x:c r="K44" s="7" t="str">
        <x:v>content/props/PRP-console-exogeni.json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/>
    </x:row>
    <x:row r="45" ht="36" customHeight="1">
      <x:c r="A45" s="13" t="str">
        <x:v>PRP-n-ud-du-thorian</x:v>
      </x:c>
      <x:c r="B45" s="14" t="str">
        <x:v>Nœud du Thorian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Cible organique sur structure verticale.</x:v>
      </x:c>
      <x:c r="I45" s="14" t="str">
        <x:v>Dégâts et phase du combat reliés.</x:v>
      </x:c>
      <x:c r="J45" s="14" t="str"/>
      <x:c r="K45" s="14" t="str">
        <x:v>content/props/PRP-n-ud-du-thorian.json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PRP-laissez-passer-noveria</x:v>
      </x:c>
      <x:c r="B46" s="7" t="str">
        <x:v>Laissez-passer Noveria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Preuve d’accès au garage.</x:v>
      </x:c>
      <x:c r="I46" s="7" t="str">
        <x:v>Inventaire et porte partagent le même drapeau.</x:v>
      </x:c>
      <x:c r="J46" s="7" t="str"/>
      <x:c r="K46" s="7" t="str">
        <x:v>content/props/PRP-laissez-passer-noveria.json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  <x:row r="47" ht="36" customHeight="1">
      <x:c r="A47" s="13" t="str">
        <x:v>PRP-terminal-de-preuves</x:v>
      </x:c>
      <x:c r="B47" s="14" t="str">
        <x:v>Terminal de preuves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Documents de Synthetic Insights.</x:v>
      </x:c>
      <x:c r="I47" s="14" t="str">
        <x:v>Copie obtenue une seule fois puis conversation mise à jour.</x:v>
      </x:c>
      <x:c r="J47" s="14" t="str"/>
      <x:c r="K47" s="14" t="str">
        <x:v>content/props/PRP-terminal-de-preuves.json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/>
    </x:row>
    <x:row r="48" ht="36" customHeight="1">
      <x:c r="A48" s="12" t="str">
        <x:v>PRP-noyau-de-mira</x:v>
      </x:c>
      <x:c r="B48" s="7" t="str">
        <x:v>Noyau de Mira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Interface de réinitialisation de l’IV.</x:v>
      </x:c>
      <x:c r="I48" s="7" t="str">
        <x:v>Mini-jeu et solution alternative cohérents.</x:v>
      </x:c>
      <x:c r="J48" s="7" t="str"/>
      <x:c r="K48" s="7" t="str">
        <x:v>content/props/PRP-noyau-de-mira.json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/>
    </x:row>
    <x:row r="49" ht="36" customHeight="1">
      <x:c r="A49" s="13" t="str">
        <x:v>PRP-conduit-de-refroidissement</x:v>
      </x:c>
      <x:c r="B49" s="14" t="str">
        <x:v>Conduit de refroidissement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Élément de réparation technique.</x:v>
      </x:c>
      <x:c r="I49" s="14" t="str">
        <x:v>État industriel reflétant l’objectif.</x:v>
      </x:c>
      <x:c r="J49" s="14" t="str"/>
      <x:c r="K49" s="14" t="str">
        <x:v>content/props/PRP-conduit-de-refroidissement.json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/>
    </x:row>
    <x:row r="50" ht="36" customHeight="1">
      <x:c r="A50" s="12" t="str">
        <x:v>PRP-cuve-de-laboratoire</x:v>
      </x:c>
      <x:c r="B50" s="7" t="str">
        <x:v>Cuve de laboratoire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Confinement sur Noveria et Virmire.</x:v>
      </x:c>
      <x:c r="I50" s="7" t="str">
        <x:v>Contenu et danger propres au lieu.</x:v>
      </x:c>
      <x:c r="J50" s="7" t="str"/>
      <x:c r="K50" s="7" t="str">
        <x:v>content/props/PRP-cuve-de-laboratoire.json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/>
    </x:row>
    <x:row r="51" ht="36" customHeight="1">
      <x:c r="A51" s="13" t="str">
        <x:v>PRP-interrupteur-de-purge</x:v>
      </x:c>
      <x:c r="B51" s="14" t="str">
        <x:v>Interrupteur de purge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Commande à conséquences irréversibles.</x:v>
      </x:c>
      <x:c r="I51" s="14" t="str">
        <x:v>Confirmation contextualisée et état persistant.</x:v>
      </x:c>
      <x:c r="J51" s="14" t="str"/>
      <x:c r="K51" s="14" t="str">
        <x:v>content/props/PRP-interrupteur-de-purge.json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/>
    </x:row>
    <x:row r="52" ht="36" customHeight="1">
      <x:c r="A52" s="12" t="str">
        <x:v>PRP-mat-de-communication</x:v>
      </x:c>
      <x:c r="B52" s="7" t="str">
        <x:v>Mât de communication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Objectif de soutien sur Virmire.</x:v>
      </x:c>
      <x:c r="I52" s="7" t="str">
        <x:v>Effet sur mission secondaire documenté.</x:v>
      </x:c>
      <x:c r="J52" s="7" t="str"/>
      <x:c r="K52" s="7" t="str">
        <x:v>content/props/PRP-mat-de-communication.json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/>
    </x:row>
    <x:row r="53" ht="36" customHeight="1">
      <x:c r="A53" s="13" t="str">
        <x:v>PRP-reservoir-de-carburant</x:v>
      </x:c>
      <x:c r="B53" s="14" t="str">
        <x:v>Réservoir de carburant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Cible de soutien tactique.</x:v>
      </x:c>
      <x:c r="I53" s="14" t="str">
        <x:v>Explosion annoncée et occlusion correcte.</x:v>
      </x:c>
      <x:c r="J53" s="14" t="str"/>
      <x:c r="K53" s="14" t="str">
        <x:v>content/props/PRP-reservoir-de-carburant.json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/>
    </x:row>
    <x:row r="54" ht="36" customHeight="1">
      <x:c r="A54" s="12" t="str">
        <x:v>PRP-bombe-de-virmire</x:v>
      </x:c>
      <x:c r="B54" s="7" t="str">
        <x:v>Bombe de Virmire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Objet narratif majeur.</x:v>
      </x:c>
      <x:c r="I54" s="7" t="str">
        <x:v>Chronologie et interaction verrouillées par le récit.</x:v>
      </x:c>
      <x:c r="J54" s="7" t="str"/>
      <x:c r="K54" s="7" t="str">
        <x:v>content/props/PRP-bombe-de-virmire.json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/>
    </x:row>
    <x:row r="55" ht="36" customHeight="1">
      <x:c r="A55" s="13" t="str">
        <x:v>PRP-statue-protheenne</x:v>
      </x:c>
      <x:c r="B55" s="14" t="str">
        <x:v>Statue prothéenne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Repère monumental d’Ilos.</x:v>
      </x:c>
      <x:c r="I55" s="14" t="str">
        <x:v>Silhouette stable depuis chaque angle.</x:v>
      </x:c>
      <x:c r="J55" s="14" t="str"/>
      <x:c r="K55" s="14" t="str">
        <x:v>content/props/PRP-statue-protheenne.json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/>
    </x:row>
    <x:row r="56" ht="36" customHeight="1">
      <x:c r="A56" s="12" t="str">
        <x:v>PRP-console-de-vigil</x:v>
      </x:c>
      <x:c r="B56" s="7" t="str">
        <x:v>Console de Vigil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Point de dialogue historique.</x:v>
      </x:c>
      <x:c r="I56" s="7" t="str">
        <x:v>Informations débloquées après rencontre.</x:v>
      </x:c>
      <x:c r="J56" s="7" t="str"/>
      <x:c r="K56" s="7" t="str">
        <x:v>content/props/PRP-console-de-vigil.json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/>
    </x:row>
    <x:row r="57" ht="36" customHeight="1">
      <x:c r="A57" s="13" t="str">
        <x:v>PRP-portail-du-conduit</x:v>
      </x:c>
      <x:c r="B57" s="14" t="str">
        <x:v>Portail du Conduit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Destination de la course finale.</x:v>
      </x:c>
      <x:c r="I57" s="14" t="str">
        <x:v>Seuil spatial et transition synchronisés.</x:v>
      </x:c>
      <x:c r="J57" s="14" t="str"/>
      <x:c r="K57" s="14" t="str">
        <x:v>content/props/PRP-portail-du-conduit.json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/>
    </x:row>
    <x:row r="58" ht="36" customHeight="1">
      <x:c r="A58" s="12" t="str">
        <x:v>PRP-relais-cosmodesique</x:v>
      </x:c>
      <x:c r="B58" s="7" t="str">
        <x:v>Relais cosmodésique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Objet astronomique de navigation.</x:v>
      </x:c>
      <x:c r="I58" s="7" t="str">
        <x:v>Échelle traitée par mise en scène, pas obstacle de combat au sol.</x:v>
      </x:c>
      <x:c r="J58" s="7" t="str"/>
      <x:c r="K58" s="7" t="str">
        <x:v>content/props/PRP-relais-cosmodesique.json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/>
    </x:row>
  </x:sheetData>
  <x:conditionalFormatting sqref="C7:C58">
    <x:cfRule type="cellIs" dxfId="35" priority="1" operator="equal">
      <x:formula>"Prototype"</x:formula>
    </x:cfRule>
    <x:cfRule type="cellIs" dxfId="36" priority="2" operator="equal">
      <x:formula>"Intégré"</x:formula>
    </x:cfRule>
    <x:cfRule type="cellIs" dxfId="37" priority="3" operator="equal">
      <x:formula>"Validé"</x:formula>
    </x:cfRule>
  </x:conditionalFormatting>
  <x:conditionalFormatting sqref="G7:G58">
    <x:cfRule type="cellIs" dxfId="38" priority="4" operator="equal">
      <x:formula>"Référence à vérifier"</x:formula>
    </x:cfRule>
  </x:conditionalFormatting>
  <x:conditionalFormatting sqref="E7:E58">
    <x:cfRule type="cellIs" dxfId="39" priority="5" operator="equal">
      <x:formula>"P0"</x:formula>
    </x:cfRule>
  </x:conditionalFormatting>
  <x:dataValidations count="5">
    <x:dataValidation type="list" sqref="C7:C58">
      <x:formula1>"Défini,Prototype,Intégré,Validé"</x:formula1>
    </x:dataValidation>
    <x:dataValidation type="list" sqref="D7:D58">
      <x:formula1>"À produire,Prototype,Disponible,Validé,Sans objet,Non planifié"</x:formula1>
    </x:dataValidation>
    <x:dataValidation type="list" sqref="E7:E58">
      <x:formula1>"P0,P1,P2"</x:formula1>
    </x:dataValidation>
    <x:dataValidation type="list" sqref="F7:F58">
      <x:formula1>"ME1,ME2,ME3"</x:formula1>
    </x:dataValidation>
    <x:dataValidation type="list" sqref="G7:G5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e40be9f49e48b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Bestiaire de ME1 et rencontres nommées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ENM-drone-de-reconnaissance-geth</x:v>
      </x:c>
      <x:c r="B7" s="14" t="str">
        <x:v>Drone de reconnaissance geth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Ennemi volant léger du prologue.</x:v>
      </x:c>
      <x:c r="I7" s="14" t="str">
        <x:v>Volume de vol, tir et silhouette à référencer.</x:v>
      </x:c>
      <x:c r="J7" s="14" t="str"/>
      <x:c r="K7" s="14" t="str">
        <x:v>content/enemies/ENM-drone-de-reconnaissance-geth.json</x:v>
      </x:c>
      <x:c r="L7" s="14" t="str"/>
      <x:c r="M7" s="14" t="str"/>
      <x:c r="N7" s="14" t="str">
        <x:v>Bestiaire de couverture ME1 ; capture de chaque variante nécessaire.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/>
    </x:row>
    <x:row r="8" ht="36" customHeight="1">
      <x:c r="A8" s="12" t="str">
        <x:v>ENM-drone-d-assaut-geth</x:v>
      </x:c>
      <x:c r="B8" s="7" t="str">
        <x:v>Drone d’assaut geth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Plateforme volante armée.</x:v>
      </x:c>
      <x:c r="I8" s="7" t="str">
        <x:v>Télégraphe et trajectoire distincts du drone de reconnaissance.</x:v>
      </x:c>
      <x:c r="J8" s="7" t="str"/>
      <x:c r="K8" s="7" t="str">
        <x:v>content/enemies/ENM-drone-d-assaut-geth.json</x:v>
      </x:c>
      <x:c r="L8" s="7" t="str"/>
      <x:c r="M8" s="7" t="str"/>
      <x:c r="N8" s="7" t="str">
        <x:v>Bestiaire de couverture ME1 ; capture de chaque variante nécessaire.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/>
    </x:row>
    <x:row r="9" ht="36" customHeight="1">
      <x:c r="A9" s="13" t="str">
        <x:v>ENM-drone-lance-roquettes</x:v>
      </x:c>
      <x:c r="B9" s="14" t="str">
        <x:v>Drone lance-roquettes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Unité volante à projectile lourd.</x:v>
      </x:c>
      <x:c r="I9" s="14" t="str">
        <x:v>Avertissement et explosion évitables dans l’ATB.</x:v>
      </x:c>
      <x:c r="J9" s="14" t="str"/>
      <x:c r="K9" s="14" t="str">
        <x:v>content/enemies/ENM-drone-lance-roquettes.json</x:v>
      </x:c>
      <x:c r="L9" s="14" t="str"/>
      <x:c r="M9" s="14" t="str"/>
      <x:c r="N9" s="14" t="str">
        <x:v>Bestiaire de couverture ME1 ; capture de chaque variante nécessaire.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/>
    </x:row>
    <x:row r="10" ht="36" customHeight="1">
      <x:c r="A10" s="12" t="str">
        <x:v>ENM-soldat-geth</x:v>
      </x:c>
      <x:c r="B10" s="7" t="str">
        <x:v>Soldat geth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Infanterie synthétique de base.</x:v>
      </x:c>
      <x:c r="I10" s="7" t="str">
        <x:v>Posture, optique et arme de ME1.</x:v>
      </x:c>
      <x:c r="J10" s="7" t="str"/>
      <x:c r="K10" s="7" t="str">
        <x:v>content/enemies/ENM-soldat-geth.json</x:v>
      </x:c>
      <x:c r="L10" s="7" t="str"/>
      <x:c r="M10" s="7" t="str"/>
      <x:c r="N10" s="7" t="str">
        <x:v>Bestiaire de couverture ME1 ; capture de chaque variante nécessaire.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ENM-sniper-geth</x:v>
      </x:c>
      <x:c r="B11" s="14" t="str">
        <x:v>Sniper geth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Infanterie de tir lointain.</x:v>
      </x:c>
      <x:c r="I11" s="14" t="str">
        <x:v>Préparation lisible et contre-mesure de couvert.</x:v>
      </x:c>
      <x:c r="J11" s="14" t="str"/>
      <x:c r="K11" s="14" t="str">
        <x:v>content/enemies/ENM-sniper-geth.json</x:v>
      </x:c>
      <x:c r="L11" s="14" t="str"/>
      <x:c r="M11" s="14" t="str"/>
      <x:c r="N11" s="14" t="str">
        <x:v>Bestiaire de couverture ME1 ; capture de chaque variante nécessaire.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ENM-lance-roquettes-geth</x:v>
      </x:c>
      <x:c r="B12" s="7" t="str">
        <x:v>Lance-roquettes geth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Infanterie avec projectile explosif.</x:v>
      </x:c>
      <x:c r="I12" s="7" t="str">
        <x:v>Zone visée annoncée avant résolution.</x:v>
      </x:c>
      <x:c r="J12" s="7" t="str"/>
      <x:c r="K12" s="7" t="str">
        <x:v>content/enemies/ENM-lance-roquettes-geth.json</x:v>
      </x:c>
      <x:c r="L12" s="7" t="str"/>
      <x:c r="M12" s="7" t="str"/>
      <x:c r="N12" s="7" t="str">
        <x:v>Bestiaire de couverture ME1 ; capture de chaque variante nécessaire.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ENM-soldat-de-choc-geth</x:v>
      </x:c>
      <x:c r="B13" s="14" t="str">
        <x:v>Soldat de choc geth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Infanterie plus résistante.</x:v>
      </x:c>
      <x:c r="I13" s="14" t="str">
        <x:v>Différence lisible sans dépendre seulement des points de vie.</x:v>
      </x:c>
      <x:c r="J13" s="14" t="str"/>
      <x:c r="K13" s="14" t="str">
        <x:v>content/enemies/ENM-soldat-de-choc-geth.json</x:v>
      </x:c>
      <x:c r="L13" s="14" t="str"/>
      <x:c r="M13" s="14" t="str"/>
      <x:c r="N13" s="14" t="str">
        <x:v>Bestiaire de couverture ME1 ; capture de chaque variante nécessaire.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36" customHeight="1">
      <x:c r="A14" s="12" t="str">
        <x:v>ENM-destructeur-geth</x:v>
      </x:c>
      <x:c r="B14" s="7" t="str">
        <x:v>Destructeur geth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Unité lourde à courte portée.</x:v>
      </x:c>
      <x:c r="I14" s="7" t="str">
        <x:v>Avance et pression de proximité reconnaissables.</x:v>
      </x:c>
      <x:c r="J14" s="7" t="str"/>
      <x:c r="K14" s="7" t="str">
        <x:v>content/enemies/ENM-destructeur-geth.json</x:v>
      </x:c>
      <x:c r="L14" s="7" t="str"/>
      <x:c r="M14" s="7" t="str"/>
      <x:c r="N14" s="7" t="str">
        <x:v>Bestiaire de couverture ME1 ; capture de chaque variante nécessaire.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/>
    </x:row>
    <x:row r="15" ht="36" customHeight="1">
      <x:c r="A15" s="13" t="str">
        <x:v>ENM-juggernaut-geth</x:v>
      </x:c>
      <x:c r="B15" s="14" t="str">
        <x:v>Juggernaut geth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Unité lourde de soutien.</x:v>
      </x:c>
      <x:c r="I15" s="14" t="str">
        <x:v>Silhouette et comportement distincts du Destructeur.</x:v>
      </x:c>
      <x:c r="J15" s="14" t="str"/>
      <x:c r="K15" s="14" t="str">
        <x:v>content/enemies/ENM-juggernaut-geth.json</x:v>
      </x:c>
      <x:c r="L15" s="14" t="str"/>
      <x:c r="M15" s="14" t="str"/>
      <x:c r="N15" s="14" t="str">
        <x:v>Bestiaire de couverture ME1 ; capture de chaque variante nécessaire.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ENM-traqueur-geth</x:v>
      </x:c>
      <x:c r="B16" s="7" t="str">
        <x:v>Traqueur geth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Unité mobile grimpant sur les surfaces.</x:v>
      </x:c>
      <x:c r="I16" s="7" t="str">
        <x:v>Ancrages d’animation aux murs et plafonds.</x:v>
      </x:c>
      <x:c r="J16" s="7" t="str"/>
      <x:c r="K16" s="7" t="str">
        <x:v>content/enemies/ENM-traqueur-geth.json</x:v>
      </x:c>
      <x:c r="L16" s="7" t="str"/>
      <x:c r="M16" s="7" t="str"/>
      <x:c r="N16" s="7" t="str">
        <x:v>Bestiaire de couverture ME1 ; capture de chaque variante nécessaire.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ENM-sapeur-geth</x:v>
      </x:c>
      <x:c r="B17" s="14" t="str">
        <x:v>Sapeur geth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Unité mobile de perturbation.</x:v>
      </x:c>
      <x:c r="I17" s="14" t="str">
        <x:v>Effets de sabotage rattachés à sa fiche.</x:v>
      </x:c>
      <x:c r="J17" s="14" t="str"/>
      <x:c r="K17" s="14" t="str">
        <x:v>content/enemies/ENM-sapeur-geth.json</x:v>
      </x:c>
      <x:c r="L17" s="14" t="str"/>
      <x:c r="M17" s="14" t="str"/>
      <x:c r="N17" s="14" t="str">
        <x:v>Bestiaire de couverture ME1 ; capture de chaque variante nécessaire.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ENM-fantome-geth</x:v>
      </x:c>
      <x:c r="B18" s="7" t="str">
        <x:v>Fantôme geth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Variante mobile à confirmer dans la référence.</x:v>
      </x:c>
      <x:c r="I18" s="7" t="str">
        <x:v>Différences exactes à relever avant production.</x:v>
      </x:c>
      <x:c r="J18" s="7" t="str"/>
      <x:c r="K18" s="7" t="str">
        <x:v>content/enemies/ENM-fantome-geth.json</x:v>
      </x:c>
      <x:c r="L18" s="7" t="str"/>
      <x:c r="M18" s="7" t="str"/>
      <x:c r="N18" s="7" t="str">
        <x:v>Bestiaire de couverture ME1 ; capture de chaque variante nécessaire.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49" customHeight="1">
      <x:c r="A19" s="13" t="str">
        <x:v>ENM-armature-geth</x:v>
      </x:c>
      <x:c r="B19" s="14" t="str">
        <x:v>Armature geth</x:v>
      </x:c>
      <x:c r="C19" s="10" t="str">
        <x:v>Défini</x:v>
      </x:c>
      <x:c r="D19" s="11" t="str">
        <x:v>Prototype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Unité quadrupède lourde.</x:v>
      </x:c>
      <x:c r="I19" s="14" t="str">
        <x:v>Échelle et arc de tir respectés.</x:v>
      </x:c>
      <x:c r="J19" s="14" t="str"/>
      <x:c r="K19" s="14" t="str">
        <x:v>content/enemies/ENM-armature-geth.json</x:v>
      </x:c>
      <x:c r="L19" s="14" t="str">
        <x:v>public/assets/vehicle-atlas.png</x:v>
      </x:c>
      <x:c r="M19" s="14" t="str"/>
      <x:c r="N19" s="14" t="str">
        <x:v>Bestiaire de couverture ME1 ; capture de chaque variante nécessaire.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>
        <x:v>Illustration statique dans le quadrant inférieur gauche. Ennemi spécifique, intelligence artificielle et animation de locomotion absents du prototype ; aucune conduite.</x:v>
      </x:c>
    </x:row>
    <x:row r="20" ht="36" customHeight="1">
      <x:c r="A20" s="12" t="str">
        <x:v>ENM-colosse-geth</x:v>
      </x:c>
      <x:c r="B20" s="7" t="str">
        <x:v>Colosse geth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Plateforme géante de combat.</x:v>
      </x:c>
      <x:c r="I20" s="7" t="str">
        <x:v>Rencontre construite pour l’espace et le Mako quand pertinent.</x:v>
      </x:c>
      <x:c r="J20" s="7" t="str"/>
      <x:c r="K20" s="7" t="str">
        <x:v>content/enemies/ENM-colosse-geth.json</x:v>
      </x:c>
      <x:c r="L20" s="7" t="str"/>
      <x:c r="M20" s="7" t="str"/>
      <x:c r="N20" s="7" t="str">
        <x:v>Bestiaire de couverture ME1 ; capture de chaque variante nécessaire.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ENM-husk</x:v>
      </x:c>
      <x:c r="B21" s="14" t="str">
        <x:v>Husk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Victime transformée rencontrée dès le prologue.</x:v>
      </x:c>
      <x:c r="I21" s="14" t="str">
        <x:v>Mouvements nerveux et attaque électrique à documenter.</x:v>
      </x:c>
      <x:c r="J21" s="14" t="str"/>
      <x:c r="K21" s="14" t="str">
        <x:v>content/enemies/ENM-husk.json</x:v>
      </x:c>
      <x:c r="L21" s="14" t="str"/>
      <x:c r="M21" s="14" t="str"/>
      <x:c r="N21" s="14" t="str">
        <x:v>Bestiaire de couverture ME1 ; capture de chaque variante nécessaire.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ENM-creeper-du-thorian</x:v>
      </x:c>
      <x:c r="B22" s="7" t="str">
        <x:v>Creeper du Thorian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Créature contrôlée par le Thorian.</x:v>
      </x:c>
      <x:c r="I22" s="7" t="str">
        <x:v>Mouvements et origine distincts des husks.</x:v>
      </x:c>
      <x:c r="J22" s="7" t="str"/>
      <x:c r="K22" s="7" t="str">
        <x:v>content/enemies/ENM-creeper-du-thorian.json</x:v>
      </x:c>
      <x:c r="L22" s="7" t="str"/>
      <x:c r="M22" s="7" t="str"/>
      <x:c r="N22" s="7" t="str">
        <x:v>Bestiaire de couverture ME1 ; capture de chaque variante nécessaire.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ENM-clone-asari-du-thorian</x:v>
      </x:c>
      <x:c r="B23" s="14" t="str">
        <x:v>Clone asari du Thorian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Manifestation ennemie liée au boss.</x:v>
      </x:c>
      <x:c r="I23" s="14" t="str">
        <x:v>Apparition et disparition liées aux phases.</x:v>
      </x:c>
      <x:c r="J23" s="14" t="str"/>
      <x:c r="K23" s="14" t="str">
        <x:v>content/enemies/ENM-clone-asari-du-thorian.json</x:v>
      </x:c>
      <x:c r="L23" s="14" t="str"/>
      <x:c r="M23" s="14" t="str"/>
      <x:c r="N23" s="14" t="str">
        <x:v>Bestiaire de couverture ME1 ; capture de chaque variante nécessaire.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ENM-rachni-ouvrier</x:v>
      </x:c>
      <x:c r="B24" s="7" t="str">
        <x:v>Rachni ouvrier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Petite forme de rachni.</x:v>
      </x:c>
      <x:c r="I24" s="7" t="str">
        <x:v>Risque de proximité et nombre limités pour lisibilité.</x:v>
      </x:c>
      <x:c r="J24" s="7" t="str"/>
      <x:c r="K24" s="7" t="str">
        <x:v>content/enemies/ENM-rachni-ouvrier.json</x:v>
      </x:c>
      <x:c r="L24" s="7" t="str"/>
      <x:c r="M24" s="7" t="str"/>
      <x:c r="N24" s="7" t="str">
        <x:v>Bestiaire de couverture ME1 ; capture de chaque variante nécessaire.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ENM-rachni-soldat</x:v>
      </x:c>
      <x:c r="B25" s="14" t="str">
        <x:v>Rachni soldat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Forme combattante de l’espèce.</x:v>
      </x:c>
      <x:c r="I25" s="14" t="str">
        <x:v>Attaque à distance et corps-à-corps à référencer.</x:v>
      </x:c>
      <x:c r="J25" s="14" t="str"/>
      <x:c r="K25" s="14" t="str">
        <x:v>content/enemies/ENM-rachni-soldat.json</x:v>
      </x:c>
      <x:c r="L25" s="14" t="str"/>
      <x:c r="M25" s="14" t="str"/>
      <x:c r="N25" s="14" t="str">
        <x:v>Bestiaire de couverture ME1 ; capture de chaque variante nécessaire.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ENM-guerrier-krogan</x:v>
      </x:c>
      <x:c r="B26" s="7" t="str">
        <x:v>Guerrier krogan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Combattant lourd organique.</x:v>
      </x:c>
      <x:c r="I26" s="7" t="str">
        <x:v>Résistance et approche sans pouvoirs arbitraires.</x:v>
      </x:c>
      <x:c r="J26" s="7" t="str"/>
      <x:c r="K26" s="7" t="str">
        <x:v>content/enemies/ENM-guerrier-krogan.json</x:v>
      </x:c>
      <x:c r="L26" s="7" t="str"/>
      <x:c r="M26" s="7" t="str"/>
      <x:c r="N26" s="7" t="str">
        <x:v>Bestiaire de couverture ME1 ; capture de chaque variante nécessaire.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ENM-maitre-de-guerre-krogan</x:v>
      </x:c>
      <x:c r="B27" s="14" t="str">
        <x:v>Maître de guerre krogan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Combattant biotique de haute menace.</x:v>
      </x:c>
      <x:c r="I27" s="14" t="str">
        <x:v>Pouvoirs et récupérations à relever dans ME1.</x:v>
      </x:c>
      <x:c r="J27" s="14" t="str"/>
      <x:c r="K27" s="14" t="str">
        <x:v>content/enemies/ENM-maitre-de-guerre-krogan.json</x:v>
      </x:c>
      <x:c r="L27" s="14" t="str"/>
      <x:c r="M27" s="14" t="str"/>
      <x:c r="N27" s="14" t="str">
        <x:v>Bestiaire de couverture ME1 ; capture de chaque variante nécessaire.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ENM-mercenaire-humain</x:v>
      </x:c>
      <x:c r="B28" s="7" t="str">
        <x:v>Mercenaire humain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Adversaire équipé d’armes conventionnelles.</x:v>
      </x:c>
      <x:c r="I28" s="7" t="str">
        <x:v>Variation par rôle et équipement disponible.</x:v>
      </x:c>
      <x:c r="J28" s="7" t="str"/>
      <x:c r="K28" s="7" t="str">
        <x:v>content/enemies/ENM-mercenaire-humain.json</x:v>
      </x:c>
      <x:c r="L28" s="7" t="str"/>
      <x:c r="M28" s="7" t="str"/>
      <x:c r="N28" s="7" t="str">
        <x:v>Bestiaire de couverture ME1 ; capture de chaque variante nécessaire.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ENM-mercenaire-turien</x:v>
      </x:c>
      <x:c r="B29" s="14" t="str">
        <x:v>Mercenaire turien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Adversaire de silhouette turienne.</x:v>
      </x:c>
      <x:c r="I29" s="14" t="str">
        <x:v>Animations de jambes et de mains spécifiques.</x:v>
      </x:c>
      <x:c r="J29" s="14" t="str"/>
      <x:c r="K29" s="14" t="str">
        <x:v>content/enemies/ENM-mercenaire-turien.json</x:v>
      </x:c>
      <x:c r="L29" s="14" t="str"/>
      <x:c r="M29" s="14" t="str"/>
      <x:c r="N29" s="14" t="str">
        <x:v>Bestiaire de couverture ME1 ; capture de chaque variante nécessaire.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ENM-mercenaire-galarien</x:v>
      </x:c>
      <x:c r="B30" s="7" t="str">
        <x:v>Mercenaire galarien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Adversaire technologique possible.</x:v>
      </x:c>
      <x:c r="I30" s="7" t="str">
        <x:v>Présence et arsenal exacts à vérifier par mission.</x:v>
      </x:c>
      <x:c r="J30" s="7" t="str"/>
      <x:c r="K30" s="7" t="str">
        <x:v>content/enemies/ENM-mercenaire-galarien.json</x:v>
      </x:c>
      <x:c r="L30" s="7" t="str"/>
      <x:c r="M30" s="7" t="str"/>
      <x:c r="N30" s="7" t="str">
        <x:v>Bestiaire de couverture ME1 ; capture de chaque variante nécessaire.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ENM-commando-asari</x:v>
      </x:c>
      <x:c r="B31" s="14" t="str">
        <x:v>Commando asari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Adversaire biotique.</x:v>
      </x:c>
      <x:c r="I31" s="14" t="str">
        <x:v>Contrôle et barrière selon la rencontre.</x:v>
      </x:c>
      <x:c r="J31" s="14" t="str"/>
      <x:c r="K31" s="14" t="str">
        <x:v>content/enemies/ENM-commando-asari.json</x:v>
      </x:c>
      <x:c r="L31" s="14" t="str"/>
      <x:c r="M31" s="14" t="str"/>
      <x:c r="N31" s="14" t="str">
        <x:v>Bestiaire de couverture ME1 ; capture de chaque variante nécessaire.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ENM-fanatique-biotique</x:v>
      </x:c>
      <x:c r="B32" s="7" t="str">
        <x:v>Fanatique biotique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Humain hostile de certaines missions.</x:v>
      </x:c>
      <x:c r="I32" s="7" t="str">
        <x:v>Conserver possibilité de résolution pacifique prévue.</x:v>
      </x:c>
      <x:c r="J32" s="7" t="str"/>
      <x:c r="K32" s="7" t="str">
        <x:v>content/enemies/ENM-fanatique-biotique.json</x:v>
      </x:c>
      <x:c r="L32" s="7" t="str"/>
      <x:c r="M32" s="7" t="str"/>
      <x:c r="N32" s="7" t="str">
        <x:v>Bestiaire de couverture ME1 ; capture de chaque variante nécessaire.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ENM-varren</x:v>
      </x:c>
      <x:c r="B33" s="14" t="str">
        <x:v>Varren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Prédateur de mêlée.</x:v>
      </x:c>
      <x:c r="I33" s="14" t="str">
        <x:v>Approche en meute et morsure sans arme humaine.</x:v>
      </x:c>
      <x:c r="J33" s="14" t="str"/>
      <x:c r="K33" s="14" t="str">
        <x:v>content/enemies/ENM-varren.json</x:v>
      </x:c>
      <x:c r="L33" s="14" t="str"/>
      <x:c r="M33" s="14" t="str"/>
      <x:c r="N33" s="14" t="str">
        <x:v>Bestiaire de couverture ME1 ; capture de chaque variante nécessaire.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ENM-devoreur</x:v>
      </x:c>
      <x:c r="B34" s="7" t="str">
        <x:v>Dévoreur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Prédateur géant enfoui.</x:v>
      </x:c>
      <x:c r="I34" s="7" t="str">
        <x:v>Phases d’émergence et acide dans une arène Mako.</x:v>
      </x:c>
      <x:c r="J34" s="7" t="str"/>
      <x:c r="K34" s="7" t="str">
        <x:v>content/enemies/ENM-devoreur.json</x:v>
      </x:c>
      <x:c r="L34" s="7" t="str"/>
      <x:c r="M34" s="7" t="str"/>
      <x:c r="N34" s="7" t="str">
        <x:v>Bestiaire de couverture ME1 ; capture de chaque variante nécessaire.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ENM-tourelle-automatisee</x:v>
      </x:c>
      <x:c r="B35" s="14" t="str">
        <x:v>Tourelle automatisée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Défense fixe de base ou de laboratoire.</x:v>
      </x:c>
      <x:c r="I35" s="14" t="str">
        <x:v>Secteur de tir cohérent avec le modèle.</x:v>
      </x:c>
      <x:c r="J35" s="14" t="str"/>
      <x:c r="K35" s="14" t="str">
        <x:v>content/enemies/ENM-tourelle-automatisee.json</x:v>
      </x:c>
      <x:c r="L35" s="14" t="str"/>
      <x:c r="M35" s="14" t="str"/>
      <x:c r="N35" s="14" t="str">
        <x:v>Bestiaire de couverture ME1 ; capture de chaque variante nécessaire.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ENM-fist</x:v>
      </x:c>
      <x:c r="B36" s="7" t="str">
        <x:v>Fist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Adversaire nommé à Chora’s Den.</x:v>
      </x:c>
      <x:c r="I36" s="7" t="str">
        <x:v>Issue dépendante du dialogue et de Wrex.</x:v>
      </x:c>
      <x:c r="J36" s="7" t="str"/>
      <x:c r="K36" s="7" t="str">
        <x:v>content/enemies/ENM-fist.json</x:v>
      </x:c>
      <x:c r="L36" s="7" t="str"/>
      <x:c r="M36" s="7" t="str"/>
      <x:c r="N36" s="7" t="str">
        <x:v>Bestiaire de couverture ME1 ; capture de chaque variante nécessaire.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62" customHeight="1">
      <x:c r="A37" s="13" t="str">
        <x:v>ENM-matriarche-benezia</x:v>
      </x:c>
      <x:c r="B37" s="14" t="str">
        <x:v>Matriarche Benezia</x:v>
      </x:c>
      <x:c r="C37" s="10" t="str">
        <x:v>Prototype</x:v>
      </x:c>
      <x:c r="D37" s="11" t="str">
        <x:v>Prototype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Boss biotique de Noveria.</x:v>
      </x:c>
      <x:c r="I37" s="14" t="str">
        <x:v>Vagues, phases et dialogue respectant la scène.</x:v>
      </x:c>
      <x:c r="J37" s="14" t="str"/>
      <x:c r="K37" s="14" t="str">
        <x:v>content/enemies/ENM-matriarche-benezia.json</x:v>
      </x:c>
      <x:c r="L37" s="14" t="str">
        <x:v>public/assets/boss-atlas.png</x:v>
      </x:c>
      <x:c r="M37" s="14" t="str">
        <x:v>ENEMIES.benezia</x:v>
      </x:c>
      <x:c r="N37" s="14" t="str">
        <x:v>Bestiaire de couverture ME1 ; capture de chaque variante nécessaire.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>
        <x:v>Atlas 2 × 2, case haut droite. Pose statique employée par src/world.js et rencontre condensée dans src/game-data.js. Apparence et actions à recouper avec ME1 ; aucune animation complète ni fidélité 1:1 validée.</x:v>
      </x:c>
    </x:row>
    <x:row r="38" ht="62" customHeight="1">
      <x:c r="A38" s="12" t="str">
        <x:v>ENM-thorian</x:v>
      </x:c>
      <x:c r="B38" s="7" t="str">
        <x:v>Thorian</x:v>
      </x:c>
      <x:c r="C38" s="10" t="str">
        <x:v>Prototype</x:v>
      </x:c>
      <x:c r="D38" s="11" t="str">
        <x:v>Prototype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Boss organique de Feros.</x:v>
      </x:c>
      <x:c r="I38" s="7" t="str">
        <x:v>Progression par nœuds dans une arène verticale.</x:v>
      </x:c>
      <x:c r="J38" s="7" t="str"/>
      <x:c r="K38" s="7" t="str">
        <x:v>content/enemies/ENM-thorian.json</x:v>
      </x:c>
      <x:c r="L38" s="7" t="str">
        <x:v>public/assets/boss-atlas.png</x:v>
      </x:c>
      <x:c r="M38" s="7" t="str">
        <x:v>ENEMIES.thorian</x:v>
      </x:c>
      <x:c r="N38" s="7" t="str">
        <x:v>Bestiaire de couverture ME1 ; capture de chaque variante nécessaire.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>
        <x:v>Atlas 2 × 2, case bas gauche. Pose statique employée par src/world.js et rencontre condensée dans src/game-data.js. Apparence et actions à recouper avec ME1 ; aucune animation complète ni fidélité 1:1 validée.</x:v>
      </x:c>
    </x:row>
    <x:row r="39" ht="62" customHeight="1">
      <x:c r="A39" s="13" t="str">
        <x:v>ENM-saren-sur-virmire</x:v>
      </x:c>
      <x:c r="B39" s="14" t="str">
        <x:v>Saren sur Virmire</x:v>
      </x:c>
      <x:c r="C39" s="10" t="str">
        <x:v>Prototype</x:v>
      </x:c>
      <x:c r="D39" s="11" t="str">
        <x:v>Prototype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Première confrontation directe.</x:v>
      </x:c>
      <x:c r="I39" s="14" t="str">
        <x:v>Fin de combat déclenche l’extraction narrative.</x:v>
      </x:c>
      <x:c r="J39" s="14" t="str"/>
      <x:c r="K39" s="14" t="str">
        <x:v>content/enemies/ENM-saren-sur-virmire.json</x:v>
      </x:c>
      <x:c r="L39" s="14" t="str">
        <x:v>public/assets/boss-atlas.png</x:v>
      </x:c>
      <x:c r="M39" s="14" t="str">
        <x:v>ENEMIES.saren</x:v>
      </x:c>
      <x:c r="N39" s="14" t="str">
        <x:v>Bestiaire de couverture ME1 ; capture de chaque variante nécessaire.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>
        <x:v>Atlas 2 × 2, case haut gauche. Pose statique employée par src/world.js et rencontre condensée dans src/game-data.js. Apparence et actions à recouper avec ME1 ; aucune animation complète ni fidélité 1:1 validée.</x:v>
      </x:c>
    </x:row>
    <x:row r="40" ht="88" customHeight="1">
      <x:c r="A40" s="12" t="str">
        <x:v>ENM-saren-a-la-citadelle</x:v>
      </x:c>
      <x:c r="B40" s="7" t="str">
        <x:v>Saren à la Citadelle</x:v>
      </x:c>
      <x:c r="C40" s="10" t="str">
        <x:v>Prototype</x:v>
      </x:c>
      <x:c r="D40" s="11" t="str">
        <x:v>Prototype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Confrontation de fin de campagne.</x:v>
      </x:c>
      <x:c r="I40" s="7" t="str">
        <x:v>Dialogue, persuasion et phase terminale séparés.</x:v>
      </x:c>
      <x:c r="J40" s="7" t="str"/>
      <x:c r="K40" s="7" t="str">
        <x:v>content/enemies/ENM-saren-a-la-citadelle.json</x:v>
      </x:c>
      <x:c r="L40" s="7" t="str">
        <x:v>public/assets/boss-atlas.png</x:v>
      </x:c>
      <x:c r="M40" s="7" t="str">
        <x:v>ENEMIES.saren-final</x:v>
      </x:c>
      <x:c r="N40" s="7" t="str">
        <x:v>Bestiaire de couverture ME1 ; capture de chaque variante nécessaire.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>
        <x:v>Atlas 2 × 2, case bas droite. Pose statique employée par src/world.js et rencontre condensée dans src/game-data.js. Apparence et actions à recouper avec ME1 ; aucune animation complète ni fidélité 1:1 validée. La case représente l’enveloppe synthétique finale ; le dialogue de persuasion et les étapes intermédiaires restent à produire.</x:v>
      </x:c>
    </x:row>
    <x:row r="41" ht="36" customHeight="1">
      <x:c r="A41" s="13" t="str">
        <x:v>ENM-balak</x:v>
      </x:c>
      <x:c r="B41" s="14" t="str">
        <x:v>Balak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Antagoniste du DLC X57.</x:v>
      </x:c>
      <x:c r="I41" s="14" t="str">
        <x:v>Choix final et otages conservent leurs conséquences.</x:v>
      </x:c>
      <x:c r="J41" s="14" t="str"/>
      <x:c r="K41" s="14" t="str">
        <x:v>content/enemies/ENM-balak.json</x:v>
      </x:c>
      <x:c r="L41" s="14" t="str"/>
      <x:c r="M41" s="14" t="str"/>
      <x:c r="N41" s="14" t="str">
        <x:v>Bestiaire de couverture ME1 ; capture de chaque variante nécessaire.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</x:sheetData>
  <x:conditionalFormatting sqref="C7:C41">
    <x:cfRule type="cellIs" dxfId="40" priority="1" operator="equal">
      <x:formula>"Prototype"</x:formula>
    </x:cfRule>
    <x:cfRule type="cellIs" dxfId="41" priority="2" operator="equal">
      <x:formula>"Intégré"</x:formula>
    </x:cfRule>
    <x:cfRule type="cellIs" dxfId="42" priority="3" operator="equal">
      <x:formula>"Validé"</x:formula>
    </x:cfRule>
  </x:conditionalFormatting>
  <x:conditionalFormatting sqref="G7:G41">
    <x:cfRule type="cellIs" dxfId="43" priority="4" operator="equal">
      <x:formula>"Référence à vérifier"</x:formula>
    </x:cfRule>
  </x:conditionalFormatting>
  <x:conditionalFormatting sqref="E7:E41">
    <x:cfRule type="cellIs" dxfId="44" priority="5" operator="equal">
      <x:formula>"P0"</x:formula>
    </x:cfRule>
  </x:conditionalFormatting>
  <x:dataValidations count="5">
    <x:dataValidation type="list" sqref="C7:C41">
      <x:formula1>"Défini,Prototype,Intégré,Validé"</x:formula1>
    </x:dataValidation>
    <x:dataValidation type="list" sqref="D7:D41">
      <x:formula1>"À produire,Prototype,Disponible,Validé,Sans objet,Non planifié"</x:formula1>
    </x:dataValidation>
    <x:dataValidation type="list" sqref="E7:E41">
      <x:formula1>"P0,P1,P2"</x:formula1>
    </x:dataValidation>
    <x:dataValidation type="list" sqref="F7:F41">
      <x:formula1>"ME1,ME2,ME3"</x:formula1>
    </x:dataValidation>
    <x:dataValidation type="list" sqref="G7:G41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8050f13e8b45a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QST-profil-de-shepard</x:v>
      </x:c>
      <x:c r="B7" s="14" t="str">
        <x:v>Profil de Shepard</x:v>
      </x:c>
      <x:c r="C7" s="10" t="str">
        <x:v>Défini</x:v>
      </x:c>
      <x:c r="D7" s="11" t="str">
        <x:v>À produire</x:v>
      </x:c>
      <x:c r="E7" s="15" t="str">
        <x:v>P0</x:v>
      </x:c>
      <x:c r="F7" s="15" t="str">
        <x:v>ME1</x:v>
      </x:c>
      <x:c r="G7" s="15" t="str">
        <x:v>Référence à vérifier</x:v>
      </x:c>
      <x:c r="H7" s="14" t="str">
        <x:v>Définir apparence, origine, réputation et classe.</x:v>
      </x:c>
      <x:c r="I7" s="14" t="str">
        <x:v>Variables sauvegardées avant le prologue.</x:v>
      </x:c>
      <x:c r="J7" s="14" t="str"/>
      <x:c r="K7" s="14" t="str">
        <x:v>content/main_quests/QST-profil-de-shepard.json</x:v>
      </x:c>
      <x:c r="L7" s="14" t="str"/>
      <x:c r="M7" s="14" t="str"/>
      <x:c r="N7" s="14" t="str">
        <x:v>Découpage de production de l’intrigue ME1 ; déclencheurs exacts à relever.</x:v>
      </x:c>
      <x:c r="O7" s="14" t="str">
        <x:v>https://na.llnet.bioware.cdn.ea.com/u/f/eagames/bioware/masseffect/prima/prima_guide_me_pc.pdf</x:v>
      </x:c>
      <x:c r="P7" s="14" t="str">
        <x:v>Production ME1</x:v>
      </x:c>
      <x:c r="Q7" s="14" t="str"/>
    </x:row>
    <x:row r="8" ht="36" customHeight="1">
      <x:c r="A8" s="12" t="str">
        <x:v>QST-briefing-normandy</x:v>
      </x:c>
      <x:c r="B8" s="7" t="str">
        <x:v>Briefing Normandy</x:v>
      </x:c>
      <x:c r="C8" s="10" t="str">
        <x:v>Défini</x:v>
      </x:c>
      <x:c r="D8" s="11" t="str">
        <x:v>À produire</x:v>
      </x:c>
      <x:c r="E8" s="9" t="str">
        <x:v>P0</x:v>
      </x:c>
      <x:c r="F8" s="9" t="str">
        <x:v>ME1</x:v>
      </x:c>
      <x:c r="G8" s="9" t="str">
        <x:v>Référence à vérifier</x:v>
      </x:c>
      <x:c r="H8" s="7" t="str">
        <x:v>Rencontrer Anderson et Nihlus avant Eden Prime.</x:v>
      </x:c>
      <x:c r="I8" s="7" t="str">
        <x:v>Ordre des informations et transitions contrôlé.</x:v>
      </x:c>
      <x:c r="J8" s="7" t="str"/>
      <x:c r="K8" s="7" t="str">
        <x:v>content/main_quests/QST-briefing-normandy.json</x:v>
      </x:c>
      <x:c r="L8" s="7" t="str"/>
      <x:c r="M8" s="7" t="str"/>
      <x:c r="N8" s="7" t="str">
        <x:v>Découpage de production de l’intrigue ME1 ; déclencheurs exacts à relever.</x:v>
      </x:c>
      <x:c r="O8" s="7" t="str">
        <x:v>https://na.llnet.bioware.cdn.ea.com/u/f/eagames/bioware/masseffect/prima/prima_guide_me_pc.pdf</x:v>
      </x:c>
      <x:c r="P8" s="7" t="str">
        <x:v>Production ME1</x:v>
      </x:c>
      <x:c r="Q8" s="7" t="str"/>
    </x:row>
    <x:row r="9" ht="36" customHeight="1">
      <x:c r="A9" s="13" t="str">
        <x:v>QST-deploiement-eden-prime</x:v>
      </x:c>
      <x:c r="B9" s="14" t="str">
        <x:v>Déploiement Eden Prime</x:v>
      </x:c>
      <x:c r="C9" s="10" t="str">
        <x:v>Défini</x:v>
      </x:c>
      <x:c r="D9" s="11" t="str">
        <x:v>À produire</x:v>
      </x:c>
      <x:c r="E9" s="15" t="str">
        <x:v>P0</x:v>
      </x:c>
      <x:c r="F9" s="15" t="str">
        <x:v>ME1</x:v>
      </x:c>
      <x:c r="G9" s="15" t="str">
        <x:v>Référence à vérifier</x:v>
      </x:c>
      <x:c r="H9" s="14" t="str">
        <x:v>Largage du commando et découverte de l’attaque.</x:v>
      </x:c>
      <x:c r="I9" s="14" t="str">
        <x:v>Équipe temporaire et première caméra correctes.</x:v>
      </x:c>
      <x:c r="J9" s="14" t="str"/>
      <x:c r="K9" s="14" t="str">
        <x:v>content/main_quests/QST-deploiement-eden-prime.json</x:v>
      </x:c>
      <x:c r="L9" s="14" t="str"/>
      <x:c r="M9" s="14" t="str"/>
      <x:c r="N9" s="14" t="str">
        <x:v>Découpage de production de l’intrigue ME1 ; déclencheurs exacts à relever.</x:v>
      </x:c>
      <x:c r="O9" s="14" t="str">
        <x:v>https://na.llnet.bioware.cdn.ea.com/u/f/eagames/bioware/masseffect/prima/prima_guide_me_pc.pdf</x:v>
      </x:c>
      <x:c r="P9" s="14" t="str">
        <x:v>Production ME1</x:v>
      </x:c>
      <x:c r="Q9" s="14" t="str"/>
    </x:row>
    <x:row r="10" ht="36" customHeight="1">
      <x:c r="A10" s="12" t="str">
        <x:v>QST-perte-de-jenkins</x:v>
      </x:c>
      <x:c r="B10" s="7" t="str">
        <x:v>Perte de Jenkins</x:v>
      </x:c>
      <x:c r="C10" s="10" t="str">
        <x:v>Défini</x:v>
      </x:c>
      <x:c r="D10" s="11" t="str">
        <x:v>À produire</x:v>
      </x:c>
      <x:c r="E10" s="9" t="str">
        <x:v>P0</x:v>
      </x:c>
      <x:c r="F10" s="9" t="str">
        <x:v>ME1</x:v>
      </x:c>
      <x:c r="G10" s="9" t="str">
        <x:v>Référence à vérifier</x:v>
      </x:c>
      <x:c r="H10" s="7" t="str">
        <x:v>Événement scénarisé du premier affrontement.</x:v>
      </x:c>
      <x:c r="I10" s="7" t="str">
        <x:v>Aucune guérison mécanique annulant sa mort.</x:v>
      </x:c>
      <x:c r="J10" s="7" t="str"/>
      <x:c r="K10" s="7" t="str">
        <x:v>content/main_quests/QST-perte-de-jenkins.json</x:v>
      </x:c>
      <x:c r="L10" s="7" t="str"/>
      <x:c r="M10" s="7" t="str"/>
      <x:c r="N10" s="7" t="str">
        <x:v>Découpage de production de l’intrigue ME1 ; déclencheurs exacts à relever.</x:v>
      </x:c>
      <x:c r="O10" s="7" t="str">
        <x:v>https://na.llnet.bioware.cdn.ea.com/u/f/eagames/bioware/masseffect/prima/prima_guide_me_pc.pdf</x:v>
      </x:c>
      <x:c r="P10" s="7" t="str">
        <x:v>Production ME1</x:v>
      </x:c>
      <x:c r="Q10" s="7" t="str"/>
    </x:row>
    <x:row r="11" ht="36" customHeight="1">
      <x:c r="A11" s="13" t="str">
        <x:v>QST-rencontre-d-ashley</x:v>
      </x:c>
      <x:c r="B11" s="14" t="str">
        <x:v>Rencontre d’Ashley</x:v>
      </x:c>
      <x:c r="C11" s="10" t="str">
        <x:v>Défini</x:v>
      </x:c>
      <x:c r="D11" s="11" t="str">
        <x:v>À produire</x:v>
      </x:c>
      <x:c r="E11" s="15" t="str">
        <x:v>P0</x:v>
      </x:c>
      <x:c r="F11" s="15" t="str">
        <x:v>ME1</x:v>
      </x:c>
      <x:c r="G11" s="15" t="str">
        <x:v>Référence à vérifier</x:v>
      </x:c>
      <x:c r="H11" s="14" t="str">
        <x:v>Soutien à la survivante de l’Alliance.</x:v>
      </x:c>
      <x:c r="I11" s="14" t="str">
        <x:v>Ajout au groupe au bon moment.</x:v>
      </x:c>
      <x:c r="J11" s="14" t="str"/>
      <x:c r="K11" s="14" t="str">
        <x:v>content/main_quests/QST-rencontre-d-ashley.json</x:v>
      </x:c>
      <x:c r="L11" s="14" t="str"/>
      <x:c r="M11" s="14" t="str"/>
      <x:c r="N11" s="14" t="str">
        <x:v>Découpage de production de l’intrigue ME1 ; déclencheurs exacts à relever.</x:v>
      </x:c>
      <x:c r="O11" s="14" t="str">
        <x:v>https://na.llnet.bioware.cdn.ea.com/u/f/eagames/bioware/masseffect/prima/prima_guide_me_pc.pdf</x:v>
      </x:c>
      <x:c r="P11" s="14" t="str">
        <x:v>Production ME1</x:v>
      </x:c>
      <x:c r="Q11" s="14" t="str"/>
    </x:row>
    <x:row r="12" ht="36" customHeight="1">
      <x:c r="A12" s="12" t="str">
        <x:v>QST-recherche-de-la-balise</x:v>
      </x:c>
      <x:c r="B12" s="7" t="str">
        <x:v>Recherche de la balise</x:v>
      </x:c>
      <x:c r="C12" s="10" t="str">
        <x:v>Défini</x:v>
      </x:c>
      <x:c r="D12" s="11" t="str">
        <x:v>À produire</x:v>
      </x:c>
      <x:c r="E12" s="9" t="str">
        <x:v>P0</x:v>
      </x:c>
      <x:c r="F12" s="9" t="str">
        <x:v>ME1</x:v>
      </x:c>
      <x:c r="G12" s="9" t="str">
        <x:v>Référence à vérifier</x:v>
      </x:c>
      <x:c r="H12" s="7" t="str">
        <x:v>Suivre les indices depuis le site de fouille.</x:v>
      </x:c>
      <x:c r="I12" s="7" t="str">
        <x:v>Journal et destination mis à jour.</x:v>
      </x:c>
      <x:c r="J12" s="7" t="str"/>
      <x:c r="K12" s="7" t="str">
        <x:v>content/main_quests/QST-recherche-de-la-balise.json</x:v>
      </x:c>
      <x:c r="L12" s="7" t="str"/>
      <x:c r="M12" s="7" t="str"/>
      <x:c r="N12" s="7" t="str">
        <x:v>Découpage de production de l’intrigue ME1 ; déclencheurs exacts à relever.</x:v>
      </x:c>
      <x:c r="O12" s="7" t="str">
        <x:v>https://na.llnet.bioware.cdn.ea.com/u/f/eagames/bioware/masseffect/prima/prima_guide_me_pc.pdf</x:v>
      </x:c>
      <x:c r="P12" s="7" t="str">
        <x:v>Production ME1</x:v>
      </x:c>
      <x:c r="Q12" s="7" t="str"/>
    </x:row>
    <x:row r="13" ht="36" customHeight="1">
      <x:c r="A13" s="13" t="str">
        <x:v>QST-quais-d-eden-prime</x:v>
      </x:c>
      <x:c r="B13" s="14" t="str">
        <x:v>Quais d’Eden Prime</x:v>
      </x:c>
      <x:c r="C13" s="10" t="str">
        <x:v>Défini</x:v>
      </x:c>
      <x:c r="D13" s="11" t="str">
        <x:v>À produire</x:v>
      </x:c>
      <x:c r="E13" s="15" t="str">
        <x:v>P0</x:v>
      </x:c>
      <x:c r="F13" s="15" t="str">
        <x:v>ME1</x:v>
      </x:c>
      <x:c r="G13" s="15" t="str">
        <x:v>Référence à vérifier</x:v>
      </x:c>
      <x:c r="H13" s="14" t="str">
        <x:v>Découvrir les événements liés à Nihlus.</x:v>
      </x:c>
      <x:c r="I13" s="14" t="str">
        <x:v>Témoignages conditionnels accessibles.</x:v>
      </x:c>
      <x:c r="J13" s="14" t="str"/>
      <x:c r="K13" s="14" t="str">
        <x:v>content/main_quests/QST-quais-d-eden-prime.json</x:v>
      </x:c>
      <x:c r="L13" s="14" t="str"/>
      <x:c r="M13" s="14" t="str"/>
      <x:c r="N13" s="14" t="str">
        <x:v>Découpage de production de l’intrigue ME1 ; déclencheurs exacts à relever.</x:v>
      </x:c>
      <x:c r="O13" s="14" t="str">
        <x:v>https://na.llnet.bioware.cdn.ea.com/u/f/eagames/bioware/masseffect/prima/prima_guide_me_pc.pdf</x:v>
      </x:c>
      <x:c r="P13" s="14" t="str">
        <x:v>Production ME1</x:v>
      </x:c>
      <x:c r="Q13" s="14" t="str"/>
    </x:row>
    <x:row r="14" ht="36" customHeight="1">
      <x:c r="A14" s="12" t="str">
        <x:v>QST-desamorcage-du-spatioport</x:v>
      </x:c>
      <x:c r="B14" s="7" t="str">
        <x:v>Désamorçage du spatioport</x:v>
      </x:c>
      <x:c r="C14" s="10" t="str">
        <x:v>Défini</x:v>
      </x:c>
      <x:c r="D14" s="11" t="str">
        <x:v>À produire</x:v>
      </x:c>
      <x:c r="E14" s="9" t="str">
        <x:v>P0</x:v>
      </x:c>
      <x:c r="F14" s="9" t="str">
        <x:v>ME1</x:v>
      </x:c>
      <x:c r="G14" s="9" t="str">
        <x:v>Référence à vérifier</x:v>
      </x:c>
      <x:c r="H14" s="7" t="str">
        <x:v>Neutraliser les charges dans le temps imparti.</x:v>
      </x:c>
      <x:c r="I14" s="7" t="str">
        <x:v>Temps, pause et échec clairement définis.</x:v>
      </x:c>
      <x:c r="J14" s="7" t="str"/>
      <x:c r="K14" s="7" t="str">
        <x:v>content/main_quests/QST-desamorcage-du-spatioport.json</x:v>
      </x:c>
      <x:c r="L14" s="7" t="str"/>
      <x:c r="M14" s="7" t="str"/>
      <x:c r="N14" s="7" t="str">
        <x:v>Découpage de production de l’intrigue ME1 ; déclencheurs exacts à relever.</x:v>
      </x:c>
      <x:c r="O14" s="7" t="str">
        <x:v>https://na.llnet.bioware.cdn.ea.com/u/f/eagames/bioware/masseffect/prima/prima_guide_me_pc.pdf</x:v>
      </x:c>
      <x:c r="P14" s="7" t="str">
        <x:v>Production ME1</x:v>
      </x:c>
      <x:c r="Q14" s="7" t="str"/>
    </x:row>
    <x:row r="15" ht="36" customHeight="1">
      <x:c r="A15" s="13" t="str">
        <x:v>QST-vision-de-la-balise</x:v>
      </x:c>
      <x:c r="B15" s="14" t="str">
        <x:v>Vision de la balise</x:v>
      </x:c>
      <x:c r="C15" s="10" t="str">
        <x:v>Défini</x:v>
      </x:c>
      <x:c r="D15" s="11" t="str">
        <x:v>À produire</x:v>
      </x:c>
      <x:c r="E15" s="15" t="str">
        <x:v>P0</x:v>
      </x:c>
      <x:c r="F15" s="15" t="str">
        <x:v>ME1</x:v>
      </x:c>
      <x:c r="G15" s="15" t="str">
        <x:v>Référence à vérifier</x:v>
      </x:c>
      <x:c r="H15" s="14" t="str">
        <x:v>Contact de Shepard avec l’artefact.</x:v>
      </x:c>
      <x:c r="I15" s="14" t="str">
        <x:v>Séquence unique puis retour au Normandy.</x:v>
      </x:c>
      <x:c r="J15" s="14" t="str"/>
      <x:c r="K15" s="14" t="str">
        <x:v>content/main_quests/QST-vision-de-la-balise.json</x:v>
      </x:c>
      <x:c r="L15" s="14" t="str"/>
      <x:c r="M15" s="14" t="str"/>
      <x:c r="N15" s="14" t="str">
        <x:v>Découpage de production de l’intrigue ME1 ; déclencheurs exacts à relever.</x:v>
      </x:c>
      <x:c r="O15" s="14" t="str">
        <x:v>https://na.llnet.bioware.cdn.ea.com/u/f/eagames/bioware/masseffect/prima/prima_guide_me_pc.pdf</x:v>
      </x:c>
      <x:c r="P15" s="14" t="str">
        <x:v>Production ME1</x:v>
      </x:c>
      <x:c r="Q15" s="14" t="str"/>
    </x:row>
    <x:row r="16" ht="36" customHeight="1">
      <x:c r="A16" s="12" t="str">
        <x:v>QST-rapport-a-la-citadelle</x:v>
      </x:c>
      <x:c r="B16" s="7" t="str">
        <x:v>Rapport à la Citadelle</x:v>
      </x:c>
      <x:c r="C16" s="10" t="str">
        <x:v>Défini</x:v>
      </x:c>
      <x:c r="D16" s="11" t="str">
        <x:v>À produire</x:v>
      </x:c>
      <x:c r="E16" s="9" t="str">
        <x:v>P0</x:v>
      </x:c>
      <x:c r="F16" s="9" t="str">
        <x:v>ME1</x:v>
      </x:c>
      <x:c r="G16" s="9" t="str">
        <x:v>Référence à vérifier</x:v>
      </x:c>
      <x:c r="H16" s="7" t="str">
        <x:v>Audience politique sur l’attaque.</x:v>
      </x:c>
      <x:c r="I16" s="7" t="str">
        <x:v>Aucune promotion anticipée.</x:v>
      </x:c>
      <x:c r="J16" s="7" t="str"/>
      <x:c r="K16" s="7" t="str">
        <x:v>content/main_quests/QST-rapport-a-la-citadelle.json</x:v>
      </x:c>
      <x:c r="L16" s="7" t="str"/>
      <x:c r="M16" s="7" t="str"/>
      <x:c r="N16" s="7" t="str">
        <x:v>Découpage de production de l’intrigue ME1 ; déclencheurs exacts à relever.</x:v>
      </x:c>
      <x:c r="O16" s="7" t="str">
        <x:v>https://na.llnet.bioware.cdn.ea.com/u/f/eagames/bioware/masseffect/prima/prima_guide_me_pc.pdf</x:v>
      </x:c>
      <x:c r="P16" s="7" t="str">
        <x:v>Production ME1</x:v>
      </x:c>
      <x:c r="Q16" s="7" t="str"/>
    </x:row>
    <x:row r="17" ht="36" customHeight="1">
      <x:c r="A17" s="13" t="str">
        <x:v>QST-piste-garrus</x:v>
      </x:c>
      <x:c r="B17" s="14" t="str">
        <x:v>Piste Garrus</x:v>
      </x:c>
      <x:c r="C17" s="10" t="str">
        <x:v>Défini</x:v>
      </x:c>
      <x:c r="D17" s="11" t="str">
        <x:v>À produire</x:v>
      </x:c>
      <x:c r="E17" s="15" t="str">
        <x:v>P0</x:v>
      </x:c>
      <x:c r="F17" s="15" t="str">
        <x:v>ME1</x:v>
      </x:c>
      <x:c r="G17" s="15" t="str">
        <x:v>Référence à vérifier</x:v>
      </x:c>
      <x:c r="H17" s="14" t="str">
        <x:v>Enquêter auprès du SSC et de la clinique.</x:v>
      </x:c>
      <x:c r="I17" s="14" t="str">
        <x:v>Ordre des indices flexible où le jeu l’autorise.</x:v>
      </x:c>
      <x:c r="J17" s="14" t="str"/>
      <x:c r="K17" s="14" t="str">
        <x:v>content/main_quests/QST-piste-garrus.json</x:v>
      </x:c>
      <x:c r="L17" s="14" t="str"/>
      <x:c r="M17" s="14" t="str"/>
      <x:c r="N17" s="14" t="str">
        <x:v>Découpage de production de l’intrigue ME1 ; déclencheurs exacts à relever.</x:v>
      </x:c>
      <x:c r="O17" s="14" t="str">
        <x:v>https://na.llnet.bioware.cdn.ea.com/u/f/eagames/bioware/masseffect/prima/prima_guide_me_pc.pdf</x:v>
      </x:c>
      <x:c r="P17" s="14" t="str">
        <x:v>Production ME1</x:v>
      </x:c>
      <x:c r="Q17" s="14" t="str"/>
    </x:row>
    <x:row r="18" ht="36" customHeight="1">
      <x:c r="A18" s="12" t="str">
        <x:v>QST-piste-du-courtier</x:v>
      </x:c>
      <x:c r="B18" s="7" t="str">
        <x:v>Piste du Courtier</x:v>
      </x:c>
      <x:c r="C18" s="10" t="str">
        <x:v>Défini</x:v>
      </x:c>
      <x:c r="D18" s="11" t="str">
        <x:v>À produire</x:v>
      </x:c>
      <x:c r="E18" s="9" t="str">
        <x:v>P0</x:v>
      </x:c>
      <x:c r="F18" s="9" t="str">
        <x:v>ME1</x:v>
      </x:c>
      <x:c r="G18" s="9" t="str">
        <x:v>Référence à vérifier</x:v>
      </x:c>
      <x:c r="H18" s="7" t="str">
        <x:v>Consulter les contacts de la Citadelle.</x:v>
      </x:c>
      <x:c r="I18" s="7" t="str">
        <x:v>État de Fist et recrutement de Wrex cohérents.</x:v>
      </x:c>
      <x:c r="J18" s="7" t="str"/>
      <x:c r="K18" s="7" t="str">
        <x:v>content/main_quests/QST-piste-du-courtier.json</x:v>
      </x:c>
      <x:c r="L18" s="7" t="str"/>
      <x:c r="M18" s="7" t="str"/>
      <x:c r="N18" s="7" t="str">
        <x:v>Découpage de production de l’intrigue ME1 ; déclencheurs exacts à relever.</x:v>
      </x:c>
      <x:c r="O18" s="7" t="str">
        <x:v>https://na.llnet.bioware.cdn.ea.com/u/f/eagames/bioware/masseffect/prima/prima_guide_me_pc.pdf</x:v>
      </x:c>
      <x:c r="P18" s="7" t="str">
        <x:v>Production ME1</x:v>
      </x:c>
      <x:c r="Q18" s="7" t="str"/>
    </x:row>
    <x:row r="19" ht="36" customHeight="1">
      <x:c r="A19" s="13" t="str">
        <x:v>QST-sauvetage-de-tali</x:v>
      </x:c>
      <x:c r="B19" s="14" t="str">
        <x:v>Sauvetage de Tali</x:v>
      </x:c>
      <x:c r="C19" s="10" t="str">
        <x:v>Défini</x:v>
      </x:c>
      <x:c r="D19" s="11" t="str">
        <x:v>À produire</x:v>
      </x:c>
      <x:c r="E19" s="15" t="str">
        <x:v>P0</x:v>
      </x:c>
      <x:c r="F19" s="15" t="str">
        <x:v>ME1</x:v>
      </x:c>
      <x:c r="G19" s="15" t="str">
        <x:v>Référence à vérifier</x:v>
      </x:c>
      <x:c r="H19" s="14" t="str">
        <x:v>Interrompre l’embuscade et obtenir la preuve.</x:v>
      </x:c>
      <x:c r="I19" s="14" t="str">
        <x:v>Tali disponible après la scène et preuve dans le journal.</x:v>
      </x:c>
      <x:c r="J19" s="14" t="str"/>
      <x:c r="K19" s="14" t="str">
        <x:v>content/main_quests/QST-sauvetage-de-tali.json</x:v>
      </x:c>
      <x:c r="L19" s="14" t="str"/>
      <x:c r="M19" s="14" t="str"/>
      <x:c r="N19" s="14" t="str">
        <x:v>Découpage de production de l’intrigue ME1 ; déclencheurs exacts à relever.</x:v>
      </x:c>
      <x:c r="O19" s="14" t="str">
        <x:v>https://na.llnet.bioware.cdn.ea.com/u/f/eagames/bioware/masseffect/prima/prima_guide_me_pc.pdf</x:v>
      </x:c>
      <x:c r="P19" s="14" t="str">
        <x:v>Production ME1</x:v>
      </x:c>
      <x:c r="Q19" s="14" t="str"/>
    </x:row>
    <x:row r="20" ht="36" customHeight="1">
      <x:c r="A20" s="12" t="str">
        <x:v>QST-intronisation-spectre</x:v>
      </x:c>
      <x:c r="B20" s="7" t="str">
        <x:v>Intronisation Spectre</x:v>
      </x:c>
      <x:c r="C20" s="10" t="str">
        <x:v>Défini</x:v>
      </x:c>
      <x:c r="D20" s="11" t="str">
        <x:v>À produire</x:v>
      </x:c>
      <x:c r="E20" s="9" t="str">
        <x:v>P0</x:v>
      </x:c>
      <x:c r="F20" s="9" t="str">
        <x:v>ME1</x:v>
      </x:c>
      <x:c r="G20" s="9" t="str">
        <x:v>Référence à vérifier</x:v>
      </x:c>
      <x:c r="H20" s="7" t="str">
        <x:v>Conseil et nouvelle autorité de Shepard.</x:v>
      </x:c>
      <x:c r="I20" s="7" t="str">
        <x:v>Déblocage des systèmes lié à cet événement.</x:v>
      </x:c>
      <x:c r="J20" s="7" t="str"/>
      <x:c r="K20" s="7" t="str">
        <x:v>content/main_quests/QST-intronisation-spectre.json</x:v>
      </x:c>
      <x:c r="L20" s="7" t="str"/>
      <x:c r="M20" s="7" t="str"/>
      <x:c r="N20" s="7" t="str">
        <x:v>Découpage de production de l’intrigue ME1 ; déclencheurs exacts à relever.</x:v>
      </x:c>
      <x:c r="O20" s="7" t="str">
        <x:v>https://na.llnet.bioware.cdn.ea.com/u/f/eagames/bioware/masseffect/prima/prima_guide_me_pc.pdf</x:v>
      </x:c>
      <x:c r="P20" s="7" t="str">
        <x:v>Production ME1</x:v>
      </x:c>
      <x:c r="Q20" s="7" t="str"/>
    </x:row>
    <x:row r="21" ht="36" customHeight="1">
      <x:c r="A21" s="13" t="str">
        <x:v>QST-commandement-du-normandy</x:v>
      </x:c>
      <x:c r="B21" s="14" t="str">
        <x:v>Commandement du Normandy</x:v>
      </x:c>
      <x:c r="C21" s="10" t="str">
        <x:v>Défini</x:v>
      </x:c>
      <x:c r="D21" s="11" t="str">
        <x:v>À produire</x:v>
      </x:c>
      <x:c r="E21" s="15" t="str">
        <x:v>P0</x:v>
      </x:c>
      <x:c r="F21" s="15" t="str">
        <x:v>ME1</x:v>
      </x:c>
      <x:c r="G21" s="15" t="str">
        <x:v>Référence à vérifier</x:v>
      </x:c>
      <x:c r="H21" s="14" t="str">
        <x:v>Prendre le commandement et choisir une destination.</x:v>
      </x:c>
      <x:c r="I21" s="14" t="str">
        <x:v>Carte galactique ouverte sans imposer un ordre arbitraire.</x:v>
      </x:c>
      <x:c r="J21" s="14" t="str"/>
      <x:c r="K21" s="14" t="str">
        <x:v>content/main_quests/QST-commandement-du-normandy.json</x:v>
      </x:c>
      <x:c r="L21" s="14" t="str"/>
      <x:c r="M21" s="14" t="str"/>
      <x:c r="N21" s="14" t="str">
        <x:v>Découpage de production de l’intrigue ME1 ; déclencheurs exacts à relever.</x:v>
      </x:c>
      <x:c r="O21" s="14" t="str">
        <x:v>https://na.llnet.bioware.cdn.ea.com/u/f/eagames/bioware/masseffect/prima/prima_guide_me_pc.pdf</x:v>
      </x:c>
      <x:c r="P21" s="14" t="str">
        <x:v>Production ME1</x:v>
      </x:c>
      <x:c r="Q21" s="14" t="str"/>
    </x:row>
    <x:row r="22" ht="36" customHeight="1">
      <x:c r="A22" s="12" t="str">
        <x:v>QST-atterrissage-therum</x:v>
      </x:c>
      <x:c r="B22" s="7" t="str">
        <x:v>Atterrissage Therum</x:v>
      </x:c>
      <x:c r="C22" s="10" t="str">
        <x:v>Défini</x:v>
      </x:c>
      <x:c r="D22" s="11" t="str">
        <x:v>À produire</x:v>
      </x:c>
      <x:c r="E22" s="9" t="str">
        <x:v>P0</x:v>
      </x:c>
      <x:c r="F22" s="9" t="str">
        <x:v>ME1</x:v>
      </x:c>
      <x:c r="G22" s="9" t="str">
        <x:v>Référence à vérifier</x:v>
      </x:c>
      <x:c r="H22" s="7" t="str">
        <x:v>Rechercher Liara à travers le site volcanique.</x:v>
      </x:c>
      <x:c r="I22" s="7" t="str">
        <x:v>Mako, portes et transition à pied liés.</x:v>
      </x:c>
      <x:c r="J22" s="7" t="str"/>
      <x:c r="K22" s="7" t="str">
        <x:v>content/main_quests/QST-atterrissage-therum.json</x:v>
      </x:c>
      <x:c r="L22" s="7" t="str"/>
      <x:c r="M22" s="7" t="str"/>
      <x:c r="N22" s="7" t="str">
        <x:v>Découpage de production de l’intrigue ME1 ; déclencheurs exacts à relever.</x:v>
      </x:c>
      <x:c r="O22" s="7" t="str">
        <x:v>https://na.llnet.bioware.cdn.ea.com/u/f/eagames/bioware/masseffect/prima/prima_guide_me_pc.pdf</x:v>
      </x:c>
      <x:c r="P22" s="7" t="str">
        <x:v>Production ME1</x:v>
      </x:c>
      <x:c r="Q22" s="7" t="str"/>
    </x:row>
    <x:row r="23" ht="36" customHeight="1">
      <x:c r="A23" s="13" t="str">
        <x:v>QST-liberation-de-liara</x:v>
      </x:c>
      <x:c r="B23" s="14" t="str">
        <x:v>Libération de Liara</x:v>
      </x:c>
      <x:c r="C23" s="10" t="str">
        <x:v>Défini</x:v>
      </x:c>
      <x:c r="D23" s="11" t="str">
        <x:v>À produire</x:v>
      </x:c>
      <x:c r="E23" s="15" t="str">
        <x:v>P0</x:v>
      </x:c>
      <x:c r="F23" s="15" t="str">
        <x:v>ME1</x:v>
      </x:c>
      <x:c r="G23" s="15" t="str">
        <x:v>Référence à vérifier</x:v>
      </x:c>
      <x:c r="H23" s="14" t="str">
        <x:v>Interagir avec le dispositif de fouille.</x:v>
      </x:c>
      <x:c r="I23" s="14" t="str">
        <x:v>Disponibilité de l’équipière après extraction.</x:v>
      </x:c>
      <x:c r="J23" s="14" t="str"/>
      <x:c r="K23" s="14" t="str">
        <x:v>content/main_quests/QST-liberation-de-liara.json</x:v>
      </x:c>
      <x:c r="L23" s="14" t="str"/>
      <x:c r="M23" s="14" t="str"/>
      <x:c r="N23" s="14" t="str">
        <x:v>Découpage de production de l’intrigue ME1 ; déclencheurs exacts à relever.</x:v>
      </x:c>
      <x:c r="O23" s="14" t="str">
        <x:v>https://na.llnet.bioware.cdn.ea.com/u/f/eagames/bioware/masseffect/prima/prima_guide_me_pc.pdf</x:v>
      </x:c>
      <x:c r="P23" s="14" t="str">
        <x:v>Production ME1</x:v>
      </x:c>
      <x:c r="Q23" s="14" t="str"/>
    </x:row>
    <x:row r="24" ht="36" customHeight="1">
      <x:c r="A24" s="12" t="str">
        <x:v>QST-defense-de-zhu-s-hope</x:v>
      </x:c>
      <x:c r="B24" s="7" t="str">
        <x:v>Défense de Zhu’s Hope</x:v>
      </x:c>
      <x:c r="C24" s="10" t="str">
        <x:v>Défini</x:v>
      </x:c>
      <x:c r="D24" s="11" t="str">
        <x:v>À produire</x:v>
      </x:c>
      <x:c r="E24" s="9" t="str">
        <x:v>P0</x:v>
      </x:c>
      <x:c r="F24" s="9" t="str">
        <x:v>ME1</x:v>
      </x:c>
      <x:c r="G24" s="9" t="str">
        <x:v>Référence à vérifier</x:v>
      </x:c>
      <x:c r="H24" s="7" t="str">
        <x:v>Repousser les geth et prendre contact.</x:v>
      </x:c>
      <x:c r="I24" s="7" t="str">
        <x:v>Colons et services mis à jour.</x:v>
      </x:c>
      <x:c r="J24" s="7" t="str"/>
      <x:c r="K24" s="7" t="str">
        <x:v>content/main_quests/QST-defense-de-zhu-s-hope.json</x:v>
      </x:c>
      <x:c r="L24" s="7" t="str"/>
      <x:c r="M24" s="7" t="str"/>
      <x:c r="N24" s="7" t="str">
        <x:v>Découpage de production de l’intrigue ME1 ; déclencheurs exacts à relever.</x:v>
      </x:c>
      <x:c r="O24" s="7" t="str">
        <x:v>https://na.llnet.bioware.cdn.ea.com/u/f/eagames/bioware/masseffect/prima/prima_guide_me_pc.pdf</x:v>
      </x:c>
      <x:c r="P24" s="7" t="str">
        <x:v>Production ME1</x:v>
      </x:c>
      <x:c r="Q24" s="7" t="str"/>
    </x:row>
    <x:row r="25" ht="36" customHeight="1">
      <x:c r="A25" s="13" t="str">
        <x:v>QST-enquete-exogeni</x:v>
      </x:c>
      <x:c r="B25" s="14" t="str">
        <x:v>Enquête ExoGeni</x:v>
      </x:c>
      <x:c r="C25" s="10" t="str">
        <x:v>Défini</x:v>
      </x:c>
      <x:c r="D25" s="11" t="str">
        <x:v>À produire</x:v>
      </x:c>
      <x:c r="E25" s="15" t="str">
        <x:v>P0</x:v>
      </x:c>
      <x:c r="F25" s="15" t="str">
        <x:v>ME1</x:v>
      </x:c>
      <x:c r="G25" s="15" t="str">
        <x:v>Référence à vérifier</x:v>
      </x:c>
      <x:c r="H25" s="14" t="str">
        <x:v>Explorer les installations et récupérer les indices.</x:v>
      </x:c>
      <x:c r="I25" s="14" t="str">
        <x:v>Pas de saut de révélation sur le Thorian.</x:v>
      </x:c>
      <x:c r="J25" s="14" t="str"/>
      <x:c r="K25" s="14" t="str">
        <x:v>content/main_quests/QST-enquete-exogeni.json</x:v>
      </x:c>
      <x:c r="L25" s="14" t="str"/>
      <x:c r="M25" s="14" t="str"/>
      <x:c r="N25" s="14" t="str">
        <x:v>Découpage de production de l’intrigue ME1 ; déclencheurs exacts à relever.</x:v>
      </x:c>
      <x:c r="O25" s="14" t="str">
        <x:v>https://na.llnet.bioware.cdn.ea.com/u/f/eagames/bioware/masseffect/prima/prima_guide_me_pc.pdf</x:v>
      </x:c>
      <x:c r="P25" s="14" t="str">
        <x:v>Production ME1</x:v>
      </x:c>
      <x:c r="Q25" s="14" t="str"/>
    </x:row>
    <x:row r="26" ht="36" customHeight="1">
      <x:c r="A26" s="12" t="str">
        <x:v>QST-degagement-du-vaisseau-geth</x:v>
      </x:c>
      <x:c r="B26" s="7" t="str">
        <x:v>Dégagement du vaisseau geth</x:v>
      </x:c>
      <x:c r="C26" s="10" t="str">
        <x:v>Défini</x:v>
      </x:c>
      <x:c r="D26" s="11" t="str">
        <x:v>À produire</x:v>
      </x:c>
      <x:c r="E26" s="9" t="str">
        <x:v>P0</x:v>
      </x:c>
      <x:c r="F26" s="9" t="str">
        <x:v>ME1</x:v>
      </x:c>
      <x:c r="G26" s="9" t="str">
        <x:v>Référence à vérifier</x:v>
      </x:c>
      <x:c r="H26" s="7" t="str">
        <x:v>Actionner le mécanisme d’ExoGeni.</x:v>
      </x:c>
      <x:c r="I26" s="7" t="str">
        <x:v>Voie de retour débloquée.</x:v>
      </x:c>
      <x:c r="J26" s="7" t="str"/>
      <x:c r="K26" s="7" t="str">
        <x:v>content/main_quests/QST-degagement-du-vaisseau-geth.json</x:v>
      </x:c>
      <x:c r="L26" s="7" t="str"/>
      <x:c r="M26" s="7" t="str"/>
      <x:c r="N26" s="7" t="str">
        <x:v>Découpage de production de l’intrigue ME1 ; déclencheurs exacts à relever.</x:v>
      </x:c>
      <x:c r="O26" s="7" t="str">
        <x:v>https://na.llnet.bioware.cdn.ea.com/u/f/eagames/bioware/masseffect/prima/prima_guide_me_pc.pdf</x:v>
      </x:c>
      <x:c r="P26" s="7" t="str">
        <x:v>Production ME1</x:v>
      </x:c>
      <x:c r="Q26" s="7" t="str"/>
    </x:row>
    <x:row r="27" ht="36" customHeight="1">
      <x:c r="A27" s="13" t="str">
        <x:v>QST-retour-des-colons</x:v>
      </x:c>
      <x:c r="B27" s="14" t="str">
        <x:v>Retour des colons</x:v>
      </x:c>
      <x:c r="C27" s="10" t="str">
        <x:v>Défini</x:v>
      </x:c>
      <x:c r="D27" s="11" t="str">
        <x:v>À produire</x:v>
      </x:c>
      <x:c r="E27" s="15" t="str">
        <x:v>P0</x:v>
      </x:c>
      <x:c r="F27" s="15" t="str">
        <x:v>ME1</x:v>
      </x:c>
      <x:c r="G27" s="15" t="str">
        <x:v>Référence à vérifier</x:v>
      </x:c>
      <x:c r="H27" s="14" t="str">
        <x:v>Traverser Zhu’s Hope sous influence.</x:v>
      </x:c>
      <x:c r="I27" s="14" t="str">
        <x:v>Résolution non létale prise en compte.</x:v>
      </x:c>
      <x:c r="J27" s="14" t="str"/>
      <x:c r="K27" s="14" t="str">
        <x:v>content/main_quests/QST-retour-des-colons.json</x:v>
      </x:c>
      <x:c r="L27" s="14" t="str"/>
      <x:c r="M27" s="14" t="str"/>
      <x:c r="N27" s="14" t="str">
        <x:v>Découpage de production de l’intrigue ME1 ; déclencheurs exacts à relever.</x:v>
      </x:c>
      <x:c r="O27" s="14" t="str">
        <x:v>https://na.llnet.bioware.cdn.ea.com/u/f/eagames/bioware/masseffect/prima/prima_guide_me_pc.pdf</x:v>
      </x:c>
      <x:c r="P27" s="14" t="str">
        <x:v>Production ME1</x:v>
      </x:c>
      <x:c r="Q27" s="14" t="str"/>
    </x:row>
    <x:row r="28" ht="36" customHeight="1">
      <x:c r="A28" s="12" t="str">
        <x:v>QST-affrontement-du-thorian</x:v>
      </x:c>
      <x:c r="B28" s="7" t="str">
        <x:v>Affrontement du Thorian</x:v>
      </x:c>
      <x:c r="C28" s="10" t="str">
        <x:v>Défini</x:v>
      </x:c>
      <x:c r="D28" s="11" t="str">
        <x:v>À produire</x:v>
      </x:c>
      <x:c r="E28" s="9" t="str">
        <x:v>P0</x:v>
      </x:c>
      <x:c r="F28" s="9" t="str">
        <x:v>ME1</x:v>
      </x:c>
      <x:c r="G28" s="9" t="str">
        <x:v>Référence à vérifier</x:v>
      </x:c>
      <x:c r="H28" s="7" t="str">
        <x:v>Détruire les nœuds et rencontrer Shiala.</x:v>
      </x:c>
      <x:c r="I28" s="7" t="str">
        <x:v>Sort de la colonie et connaissance du Cypher persistants.</x:v>
      </x:c>
      <x:c r="J28" s="7" t="str"/>
      <x:c r="K28" s="7" t="str">
        <x:v>content/main_quests/QST-affrontement-du-thorian.json</x:v>
      </x:c>
      <x:c r="L28" s="7" t="str"/>
      <x:c r="M28" s="7" t="str"/>
      <x:c r="N28" s="7" t="str">
        <x:v>Découpage de production de l’intrigue ME1 ; déclencheurs exacts à relever.</x:v>
      </x:c>
      <x:c r="O28" s="7" t="str">
        <x:v>https://na.llnet.bioware.cdn.ea.com/u/f/eagames/bioware/masseffect/prima/prima_guide_me_pc.pdf</x:v>
      </x:c>
      <x:c r="P28" s="7" t="str">
        <x:v>Production ME1</x:v>
      </x:c>
      <x:c r="Q28" s="7" t="str"/>
    </x:row>
    <x:row r="29" ht="36" customHeight="1">
      <x:c r="A29" s="13" t="str">
        <x:v>QST-acces-a-peak-15</x:v>
      </x:c>
      <x:c r="B29" s="14" t="str">
        <x:v>Accès à Peak 15</x:v>
      </x:c>
      <x:c r="C29" s="10" t="str">
        <x:v>Défini</x:v>
      </x:c>
      <x:c r="D29" s="11" t="str">
        <x:v>À produire</x:v>
      </x:c>
      <x:c r="E29" s="15" t="str">
        <x:v>P0</x:v>
      </x:c>
      <x:c r="F29" s="15" t="str">
        <x:v>ME1</x:v>
      </x:c>
      <x:c r="G29" s="15" t="str">
        <x:v>Référence à vérifier</x:v>
      </x:c>
      <x:c r="H29" s="14" t="str">
        <x:v>Obtenir le laissez-passer sur Noveria.</x:v>
      </x:c>
      <x:c r="I29" s="14" t="str">
        <x:v>Plusieurs voies de résolution conservées.</x:v>
      </x:c>
      <x:c r="J29" s="14" t="str"/>
      <x:c r="K29" s="14" t="str">
        <x:v>content/main_quests/QST-acces-a-peak-15.json</x:v>
      </x:c>
      <x:c r="L29" s="14" t="str"/>
      <x:c r="M29" s="14" t="str"/>
      <x:c r="N29" s="14" t="str">
        <x:v>Découpage de production de l’intrigue ME1 ; déclencheurs exacts à relever.</x:v>
      </x:c>
      <x:c r="O29" s="14" t="str">
        <x:v>https://na.llnet.bioware.cdn.ea.com/u/f/eagames/bioware/masseffect/prima/prima_guide_me_pc.pdf</x:v>
      </x:c>
      <x:c r="P29" s="14" t="str">
        <x:v>Production ME1</x:v>
      </x:c>
      <x:c r="Q29" s="14" t="str"/>
    </x:row>
    <x:row r="30" ht="36" customHeight="1">
      <x:c r="A30" s="12" t="str">
        <x:v>QST-route-de-noveria</x:v>
      </x:c>
      <x:c r="B30" s="7" t="str">
        <x:v>Route de Noveria</x:v>
      </x:c>
      <x:c r="C30" s="10" t="str">
        <x:v>Défini</x:v>
      </x:c>
      <x:c r="D30" s="11" t="str">
        <x:v>À produire</x:v>
      </x:c>
      <x:c r="E30" s="9" t="str">
        <x:v>P0</x:v>
      </x:c>
      <x:c r="F30" s="9" t="str">
        <x:v>ME1</x:v>
      </x:c>
      <x:c r="G30" s="9" t="str">
        <x:v>Référence à vérifier</x:v>
      </x:c>
      <x:c r="H30" s="7" t="str">
        <x:v>Traverser le blizzard et les défenses.</x:v>
      </x:c>
      <x:c r="I30" s="7" t="str">
        <x:v>Limites de visibilité et dégâts Mako cohérents.</x:v>
      </x:c>
      <x:c r="J30" s="7" t="str"/>
      <x:c r="K30" s="7" t="str">
        <x:v>content/main_quests/QST-route-de-noveria.json</x:v>
      </x:c>
      <x:c r="L30" s="7" t="str"/>
      <x:c r="M30" s="7" t="str"/>
      <x:c r="N30" s="7" t="str">
        <x:v>Découpage de production de l’intrigue ME1 ; déclencheurs exacts à relever.</x:v>
      </x:c>
      <x:c r="O30" s="7" t="str">
        <x:v>https://na.llnet.bioware.cdn.ea.com/u/f/eagames/bioware/masseffect/prima/prima_guide_me_pc.pdf</x:v>
      </x:c>
      <x:c r="P30" s="7" t="str">
        <x:v>Production ME1</x:v>
      </x:c>
      <x:c r="Q30" s="7" t="str"/>
    </x:row>
    <x:row r="31" ht="36" customHeight="1">
      <x:c r="A31" s="13" t="str">
        <x:v>QST-remise-en-marche-mira</x:v>
      </x:c>
      <x:c r="B31" s="14" t="str">
        <x:v>Remise en marche Mira</x:v>
      </x:c>
      <x:c r="C31" s="10" t="str">
        <x:v>Défini</x:v>
      </x:c>
      <x:c r="D31" s="11" t="str">
        <x:v>À produire</x:v>
      </x:c>
      <x:c r="E31" s="15" t="str">
        <x:v>P0</x:v>
      </x:c>
      <x:c r="F31" s="15" t="str">
        <x:v>ME1</x:v>
      </x:c>
      <x:c r="G31" s="15" t="str">
        <x:v>Référence à vérifier</x:v>
      </x:c>
      <x:c r="H31" s="14" t="str">
        <x:v>Restaurer les systèmes de Peak 15.</x:v>
      </x:c>
      <x:c r="I31" s="14" t="str">
        <x:v>Objectifs techniques reflétés dans le décor.</x:v>
      </x:c>
      <x:c r="J31" s="14" t="str"/>
      <x:c r="K31" s="14" t="str">
        <x:v>content/main_quests/QST-remise-en-marche-mira.json</x:v>
      </x:c>
      <x:c r="L31" s="14" t="str"/>
      <x:c r="M31" s="14" t="str"/>
      <x:c r="N31" s="14" t="str">
        <x:v>Découpage de production de l’intrigue ME1 ; déclencheurs exacts à relever.</x:v>
      </x:c>
      <x:c r="O31" s="14" t="str">
        <x:v>https://na.llnet.bioware.cdn.ea.com/u/f/eagames/bioware/masseffect/prima/prima_guide_me_pc.pdf</x:v>
      </x:c>
      <x:c r="P31" s="14" t="str">
        <x:v>Production ME1</x:v>
      </x:c>
      <x:c r="Q31" s="14" t="str"/>
    </x:row>
    <x:row r="32" ht="36" customHeight="1">
      <x:c r="A32" s="12" t="str">
        <x:v>QST-investigation-des-laboratoires</x:v>
      </x:c>
      <x:c r="B32" s="7" t="str">
        <x:v>Investigation des laboratoires</x:v>
      </x:c>
      <x:c r="C32" s="10" t="str">
        <x:v>Défini</x:v>
      </x:c>
      <x:c r="D32" s="11" t="str">
        <x:v>À produire</x:v>
      </x:c>
      <x:c r="E32" s="9" t="str">
        <x:v>P0</x:v>
      </x:c>
      <x:c r="F32" s="9" t="str">
        <x:v>ME1</x:v>
      </x:c>
      <x:c r="G32" s="9" t="str">
        <x:v>Référence à vérifier</x:v>
      </x:c>
      <x:c r="H32" s="7" t="str">
        <x:v>Accéder au personnel et comprendre la contamination.</x:v>
      </x:c>
      <x:c r="I32" s="7" t="str">
        <x:v>États de sécurité et de quarantaine suivis.</x:v>
      </x:c>
      <x:c r="J32" s="7" t="str"/>
      <x:c r="K32" s="7" t="str">
        <x:v>content/main_quests/QST-investigation-des-laboratoires.json</x:v>
      </x:c>
      <x:c r="L32" s="7" t="str"/>
      <x:c r="M32" s="7" t="str"/>
      <x:c r="N32" s="7" t="str">
        <x:v>Découpage de production de l’intrigue ME1 ; déclencheurs exacts à relever.</x:v>
      </x:c>
      <x:c r="O32" s="7" t="str">
        <x:v>https://na.llnet.bioware.cdn.ea.com/u/f/eagames/bioware/masseffect/prima/prima_guide_me_pc.pdf</x:v>
      </x:c>
      <x:c r="P32" s="7" t="str">
        <x:v>Production ME1</x:v>
      </x:c>
      <x:c r="Q32" s="7" t="str"/>
    </x:row>
    <x:row r="33" ht="36" customHeight="1">
      <x:c r="A33" s="13" t="str">
        <x:v>QST-confrontation-benezia</x:v>
      </x:c>
      <x:c r="B33" s="14" t="str">
        <x:v>Confrontation Benezia</x:v>
      </x:c>
      <x:c r="C33" s="10" t="str">
        <x:v>Défini</x:v>
      </x:c>
      <x:c r="D33" s="11" t="str">
        <x:v>À produire</x:v>
      </x:c>
      <x:c r="E33" s="15" t="str">
        <x:v>P0</x:v>
      </x:c>
      <x:c r="F33" s="15" t="str">
        <x:v>ME1</x:v>
      </x:c>
      <x:c r="G33" s="15" t="str">
        <x:v>Référence à vérifier</x:v>
      </x:c>
      <x:c r="H33" s="14" t="str">
        <x:v>Affronter la matriarche et obtenir ses informations.</x:v>
      </x:c>
      <x:c r="I33" s="14" t="str">
        <x:v>Phases de combat et phases de dialogue distinctes.</x:v>
      </x:c>
      <x:c r="J33" s="14" t="str"/>
      <x:c r="K33" s="14" t="str">
        <x:v>content/main_quests/QST-confrontation-benezia.json</x:v>
      </x:c>
      <x:c r="L33" s="14" t="str"/>
      <x:c r="M33" s="14" t="str"/>
      <x:c r="N33" s="14" t="str">
        <x:v>Découpage de production de l’intrigue ME1 ; déclencheurs exacts à relever.</x:v>
      </x:c>
      <x:c r="O33" s="14" t="str">
        <x:v>https://na.llnet.bioware.cdn.ea.com/u/f/eagames/bioware/masseffect/prima/prima_guide_me_pc.pdf</x:v>
      </x:c>
      <x:c r="P33" s="14" t="str">
        <x:v>Production ME1</x:v>
      </x:c>
      <x:c r="Q33" s="14" t="str"/>
    </x:row>
    <x:row r="34" ht="36" customHeight="1">
      <x:c r="A34" s="12" t="str">
        <x:v>QST-decision-rachni</x:v>
      </x:c>
      <x:c r="B34" s="7" t="str">
        <x:v>Décision rachni</x:v>
      </x:c>
      <x:c r="C34" s="10" t="str">
        <x:v>Défini</x:v>
      </x:c>
      <x:c r="D34" s="11" t="str">
        <x:v>À produire</x:v>
      </x:c>
      <x:c r="E34" s="9" t="str">
        <x:v>P0</x:v>
      </x:c>
      <x:c r="F34" s="9" t="str">
        <x:v>ME1</x:v>
      </x:c>
      <x:c r="G34" s="9" t="str">
        <x:v>Référence à vérifier</x:v>
      </x:c>
      <x:c r="H34" s="7" t="str">
        <x:v>Choisir l’issue pour la reine.</x:v>
      </x:c>
      <x:c r="I34" s="7" t="str">
        <x:v>Décision exportable à la suite sans récompense qui la contredit.</x:v>
      </x:c>
      <x:c r="J34" s="7" t="str"/>
      <x:c r="K34" s="7" t="str">
        <x:v>content/main_quests/QST-decision-rachni.json</x:v>
      </x:c>
      <x:c r="L34" s="7" t="str"/>
      <x:c r="M34" s="7" t="str"/>
      <x:c r="N34" s="7" t="str">
        <x:v>Découpage de production de l’intrigue ME1 ; déclencheurs exacts à relever.</x:v>
      </x:c>
      <x:c r="O34" s="7" t="str">
        <x:v>https://na.llnet.bioware.cdn.ea.com/u/f/eagames/bioware/masseffect/prima/prima_guide_me_pc.pdf</x:v>
      </x:c>
      <x:c r="P34" s="7" t="str">
        <x:v>Production ME1</x:v>
      </x:c>
      <x:c r="Q34" s="7" t="str"/>
    </x:row>
    <x:row r="35" ht="36" customHeight="1">
      <x:c r="A35" s="13" t="str">
        <x:v>QST-briefing-de-virmire</x:v>
      </x:c>
      <x:c r="B35" s="14" t="str">
        <x:v>Briefing de Virmire</x:v>
      </x:c>
      <x:c r="C35" s="10" t="str">
        <x:v>Défini</x:v>
      </x:c>
      <x:c r="D35" s="11" t="str">
        <x:v>À produire</x:v>
      </x:c>
      <x:c r="E35" s="15" t="str">
        <x:v>P0</x:v>
      </x:c>
      <x:c r="F35" s="15" t="str">
        <x:v>ME1</x:v>
      </x:c>
      <x:c r="G35" s="15" t="str">
        <x:v>Référence à vérifier</x:v>
      </x:c>
      <x:c r="H35" s="14" t="str">
        <x:v>Contacter le STG et traiter le conflit de Wrex.</x:v>
      </x:c>
      <x:c r="I35" s="14" t="str">
        <x:v>Composition de l’équipe et conditions de persuasion respectées.</x:v>
      </x:c>
      <x:c r="J35" s="14" t="str"/>
      <x:c r="K35" s="14" t="str">
        <x:v>content/main_quests/QST-briefing-de-virmire.json</x:v>
      </x:c>
      <x:c r="L35" s="14" t="str"/>
      <x:c r="M35" s="14" t="str"/>
      <x:c r="N35" s="14" t="str">
        <x:v>Découpage de production de l’intrigue ME1 ; déclencheurs exacts à relever.</x:v>
      </x:c>
      <x:c r="O35" s="14" t="str">
        <x:v>https://na.llnet.bioware.cdn.ea.com/u/f/eagames/bioware/masseffect/prima/prima_guide_me_pc.pdf</x:v>
      </x:c>
      <x:c r="P35" s="14" t="str">
        <x:v>Production ME1</x:v>
      </x:c>
      <x:c r="Q35" s="14" t="str"/>
    </x:row>
    <x:row r="36" ht="36" customHeight="1">
      <x:c r="A36" s="12" t="str">
        <x:v>QST-soutien-aux-galariens</x:v>
      </x:c>
      <x:c r="B36" s="7" t="str">
        <x:v>Soutien aux Galariens</x:v>
      </x:c>
      <x:c r="C36" s="10" t="str">
        <x:v>Défini</x:v>
      </x:c>
      <x:c r="D36" s="11" t="str">
        <x:v>À produire</x:v>
      </x:c>
      <x:c r="E36" s="9" t="str">
        <x:v>P0</x:v>
      </x:c>
      <x:c r="F36" s="9" t="str">
        <x:v>ME1</x:v>
      </x:c>
      <x:c r="G36" s="9" t="str">
        <x:v>Référence à vérifier</x:v>
      </x:c>
      <x:c r="H36" s="7" t="str">
        <x:v>Saboter les systèmes utiles à Kirrahe.</x:v>
      </x:c>
      <x:c r="I36" s="7" t="str">
        <x:v>Chaque action modifie son drapeau précis.</x:v>
      </x:c>
      <x:c r="J36" s="7" t="str"/>
      <x:c r="K36" s="7" t="str">
        <x:v>content/main_quests/QST-soutien-aux-galariens.json</x:v>
      </x:c>
      <x:c r="L36" s="7" t="str"/>
      <x:c r="M36" s="7" t="str"/>
      <x:c r="N36" s="7" t="str">
        <x:v>Découpage de production de l’intrigue ME1 ; déclencheurs exacts à relever.</x:v>
      </x:c>
      <x:c r="O36" s="7" t="str">
        <x:v>https://na.llnet.bioware.cdn.ea.com/u/f/eagames/bioware/masseffect/prima/prima_guide_me_pc.pdf</x:v>
      </x:c>
      <x:c r="P36" s="7" t="str">
        <x:v>Production ME1</x:v>
      </x:c>
      <x:c r="Q36" s="7" t="str"/>
    </x:row>
    <x:row r="37" ht="36" customHeight="1">
      <x:c r="A37" s="13" t="str">
        <x:v>QST-laboratoires-de-saren</x:v>
      </x:c>
      <x:c r="B37" s="14" t="str">
        <x:v>Laboratoires de Saren</x:v>
      </x:c>
      <x:c r="C37" s="10" t="str">
        <x:v>Défini</x:v>
      </x:c>
      <x:c r="D37" s="11" t="str">
        <x:v>À produire</x:v>
      </x:c>
      <x:c r="E37" s="15" t="str">
        <x:v>P0</x:v>
      </x:c>
      <x:c r="F37" s="15" t="str">
        <x:v>ME1</x:v>
      </x:c>
      <x:c r="G37" s="15" t="str">
        <x:v>Référence à vérifier</x:v>
      </x:c>
      <x:c r="H37" s="14" t="str">
        <x:v>Découvrir les expériences et l’endoctrinement.</x:v>
      </x:c>
      <x:c r="I37" s="14" t="str">
        <x:v>Informations ordonnées selon la progression.</x:v>
      </x:c>
      <x:c r="J37" s="14" t="str"/>
      <x:c r="K37" s="14" t="str">
        <x:v>content/main_quests/QST-laboratoires-de-saren.json</x:v>
      </x:c>
      <x:c r="L37" s="14" t="str"/>
      <x:c r="M37" s="14" t="str"/>
      <x:c r="N37" s="14" t="str">
        <x:v>Découpage de production de l’intrigue ME1 ; déclencheurs exacts à relever.</x:v>
      </x:c>
      <x:c r="O37" s="14" t="str">
        <x:v>https://na.llnet.bioware.cdn.ea.com/u/f/eagames/bioware/masseffect/prima/prima_guide_me_pc.pdf</x:v>
      </x:c>
      <x:c r="P37" s="14" t="str">
        <x:v>Production ME1</x:v>
      </x:c>
      <x:c r="Q37" s="14" t="str"/>
    </x:row>
    <x:row r="38" ht="36" customHeight="1">
      <x:c r="A38" s="12" t="str">
        <x:v>QST-revelation-de-sovereign</x:v>
      </x:c>
      <x:c r="B38" s="7" t="str">
        <x:v>Révélation de Sovereign</x:v>
      </x:c>
      <x:c r="C38" s="10" t="str">
        <x:v>Défini</x:v>
      </x:c>
      <x:c r="D38" s="11" t="str">
        <x:v>À produire</x:v>
      </x:c>
      <x:c r="E38" s="9" t="str">
        <x:v>P0</x:v>
      </x:c>
      <x:c r="F38" s="9" t="str">
        <x:v>ME1</x:v>
      </x:c>
      <x:c r="G38" s="9" t="str">
        <x:v>Référence à vérifier</x:v>
      </x:c>
      <x:c r="H38" s="7" t="str">
        <x:v>Communiquer avec le Moissonneur.</x:v>
      </x:c>
      <x:c r="I38" s="7" t="str">
        <x:v>Pas de codex dévoilant cette vérité avant la scène.</x:v>
      </x:c>
      <x:c r="J38" s="7" t="str"/>
      <x:c r="K38" s="7" t="str">
        <x:v>content/main_quests/QST-revelation-de-sovereign.json</x:v>
      </x:c>
      <x:c r="L38" s="7" t="str"/>
      <x:c r="M38" s="7" t="str"/>
      <x:c r="N38" s="7" t="str">
        <x:v>Découpage de production de l’intrigue ME1 ; déclencheurs exacts à relever.</x:v>
      </x:c>
      <x:c r="O38" s="7" t="str">
        <x:v>https://na.llnet.bioware.cdn.ea.com/u/f/eagames/bioware/masseffect/prima/prima_guide_me_pc.pdf</x:v>
      </x:c>
      <x:c r="P38" s="7" t="str">
        <x:v>Production ME1</x:v>
      </x:c>
      <x:c r="Q38" s="7" t="str"/>
    </x:row>
    <x:row r="39" ht="36" customHeight="1">
      <x:c r="A39" s="13" t="str">
        <x:v>QST-choix-de-virmire</x:v>
      </x:c>
      <x:c r="B39" s="14" t="str">
        <x:v>Choix de Virmire</x:v>
      </x:c>
      <x:c r="C39" s="10" t="str">
        <x:v>Défini</x:v>
      </x:c>
      <x:c r="D39" s="11" t="str">
        <x:v>À produire</x:v>
      </x:c>
      <x:c r="E39" s="15" t="str">
        <x:v>P0</x:v>
      </x:c>
      <x:c r="F39" s="15" t="str">
        <x:v>ME1</x:v>
      </x:c>
      <x:c r="G39" s="15" t="str">
        <x:v>Référence à vérifier</x:v>
      </x:c>
      <x:c r="H39" s="14" t="str">
        <x:v>Choisir qui sauver entre Ashley et Kaidan.</x:v>
      </x:c>
      <x:c r="I39" s="14" t="str">
        <x:v>Perte irréversible et équipe mise à jour.</x:v>
      </x:c>
      <x:c r="J39" s="14" t="str"/>
      <x:c r="K39" s="14" t="str">
        <x:v>content/main_quests/QST-choix-de-virmire.json</x:v>
      </x:c>
      <x:c r="L39" s="14" t="str"/>
      <x:c r="M39" s="14" t="str"/>
      <x:c r="N39" s="14" t="str">
        <x:v>Découpage de production de l’intrigue ME1 ; déclencheurs exacts à relever.</x:v>
      </x:c>
      <x:c r="O39" s="14" t="str">
        <x:v>https://na.llnet.bioware.cdn.ea.com/u/f/eagames/bioware/masseffect/prima/prima_guide_me_pc.pdf</x:v>
      </x:c>
      <x:c r="P39" s="14" t="str">
        <x:v>Production ME1</x:v>
      </x:c>
      <x:c r="Q39" s="14" t="str"/>
    </x:row>
    <x:row r="40" ht="36" customHeight="1">
      <x:c r="A40" s="12" t="str">
        <x:v>QST-extraction-de-virmire</x:v>
      </x:c>
      <x:c r="B40" s="7" t="str">
        <x:v>Extraction de Virmire</x:v>
      </x:c>
      <x:c r="C40" s="10" t="str">
        <x:v>Défini</x:v>
      </x:c>
      <x:c r="D40" s="11" t="str">
        <x:v>À produire</x:v>
      </x:c>
      <x:c r="E40" s="9" t="str">
        <x:v>P0</x:v>
      </x:c>
      <x:c r="F40" s="9" t="str">
        <x:v>ME1</x:v>
      </x:c>
      <x:c r="G40" s="9" t="str">
        <x:v>Référence à vérifier</x:v>
      </x:c>
      <x:c r="H40" s="7" t="str">
        <x:v>Affronter Saren puis quitter le site.</x:v>
      </x:c>
      <x:c r="I40" s="7" t="str">
        <x:v>Cinématique et sauvegarde sans doublon de personnages.</x:v>
      </x:c>
      <x:c r="J40" s="7" t="str"/>
      <x:c r="K40" s="7" t="str">
        <x:v>content/main_quests/QST-extraction-de-virmire.json</x:v>
      </x:c>
      <x:c r="L40" s="7" t="str"/>
      <x:c r="M40" s="7" t="str"/>
      <x:c r="N40" s="7" t="str">
        <x:v>Découpage de production de l’intrigue ME1 ; déclencheurs exacts à relever.</x:v>
      </x:c>
      <x:c r="O40" s="7" t="str">
        <x:v>https://na.llnet.bioware.cdn.ea.com/u/f/eagames/bioware/masseffect/prima/prima_guide_me_pc.pdf</x:v>
      </x:c>
      <x:c r="P40" s="7" t="str">
        <x:v>Production ME1</x:v>
      </x:c>
      <x:c r="Q40" s="7" t="str"/>
    </x:row>
    <x:row r="41" ht="36" customHeight="1">
      <x:c r="A41" s="13" t="str">
        <x:v>QST-blocus-de-la-citadelle</x:v>
      </x:c>
      <x:c r="B41" s="14" t="str">
        <x:v>Blocus de la Citadelle</x:v>
      </x:c>
      <x:c r="C41" s="10" t="str">
        <x:v>Défini</x:v>
      </x:c>
      <x:c r="D41" s="11" t="str">
        <x:v>À produire</x:v>
      </x:c>
      <x:c r="E41" s="15" t="str">
        <x:v>P0</x:v>
      </x:c>
      <x:c r="F41" s="15" t="str">
        <x:v>ME1</x:v>
      </x:c>
      <x:c r="G41" s="15" t="str">
        <x:v>Référence à vérifier</x:v>
      </x:c>
      <x:c r="H41" s="14" t="str">
        <x:v>Obtenir le départ malgré les contraintes politiques.</x:v>
      </x:c>
      <x:c r="I41" s="14" t="str">
        <x:v>Méthode d’Anderson et réactions enregistrées.</x:v>
      </x:c>
      <x:c r="J41" s="14" t="str"/>
      <x:c r="K41" s="14" t="str">
        <x:v>content/main_quests/QST-blocus-de-la-citadelle.json</x:v>
      </x:c>
      <x:c r="L41" s="14" t="str"/>
      <x:c r="M41" s="14" t="str"/>
      <x:c r="N41" s="14" t="str">
        <x:v>Découpage de production de l’intrigue ME1 ; déclencheurs exacts à relever.</x:v>
      </x:c>
      <x:c r="O41" s="14" t="str">
        <x:v>https://na.llnet.bioware.cdn.ea.com/u/f/eagames/bioware/masseffect/prima/prima_guide_me_pc.pdf</x:v>
      </x:c>
      <x:c r="P41" s="14" t="str">
        <x:v>Production ME1</x:v>
      </x:c>
      <x:c r="Q41" s="14" t="str"/>
    </x:row>
    <x:row r="42" ht="36" customHeight="1">
      <x:c r="A42" s="12" t="str">
        <x:v>QST-poursuite-sur-ilos</x:v>
      </x:c>
      <x:c r="B42" s="7" t="str">
        <x:v>Poursuite sur Ilos</x:v>
      </x:c>
      <x:c r="C42" s="10" t="str">
        <x:v>Défini</x:v>
      </x:c>
      <x:c r="D42" s="11" t="str">
        <x:v>À produire</x:v>
      </x:c>
      <x:c r="E42" s="9" t="str">
        <x:v>P0</x:v>
      </x:c>
      <x:c r="F42" s="9" t="str">
        <x:v>ME1</x:v>
      </x:c>
      <x:c r="G42" s="9" t="str">
        <x:v>Référence à vérifier</x:v>
      </x:c>
      <x:c r="H42" s="7" t="str">
        <x:v>Rattraper Saren et atteindre Vigil.</x:v>
      </x:c>
      <x:c r="I42" s="7" t="str">
        <x:v>Mako et embranchements du parcours corrects.</x:v>
      </x:c>
      <x:c r="J42" s="7" t="str"/>
      <x:c r="K42" s="7" t="str">
        <x:v>content/main_quests/QST-poursuite-sur-ilos.json</x:v>
      </x:c>
      <x:c r="L42" s="7" t="str"/>
      <x:c r="M42" s="7" t="str"/>
      <x:c r="N42" s="7" t="str">
        <x:v>Découpage de production de l’intrigue ME1 ; déclencheurs exacts à relever.</x:v>
      </x:c>
      <x:c r="O42" s="7" t="str">
        <x:v>https://na.llnet.bioware.cdn.ea.com/u/f/eagames/bioware/masseffect/prima/prima_guide_me_pc.pdf</x:v>
      </x:c>
      <x:c r="P42" s="7" t="str">
        <x:v>Production ME1</x:v>
      </x:c>
      <x:c r="Q42" s="7" t="str"/>
    </x:row>
    <x:row r="43" ht="36" customHeight="1">
      <x:c r="A43" s="13" t="str">
        <x:v>QST-revelation-de-vigil</x:v>
      </x:c>
      <x:c r="B43" s="14" t="str">
        <x:v>Révélation de Vigil</x:v>
      </x:c>
      <x:c r="C43" s="10" t="str">
        <x:v>Défini</x:v>
      </x:c>
      <x:c r="D43" s="11" t="str">
        <x:v>À produire</x:v>
      </x:c>
      <x:c r="E43" s="15" t="str">
        <x:v>P0</x:v>
      </x:c>
      <x:c r="F43" s="15" t="str">
        <x:v>ME1</x:v>
      </x:c>
      <x:c r="G43" s="15" t="str">
        <x:v>Référence à vérifier</x:v>
      </x:c>
      <x:c r="H43" s="14" t="str">
        <x:v>Comprendre le rôle du Conduit et de la Citadelle.</x:v>
      </x:c>
      <x:c r="I43" s="14" t="str">
        <x:v>Codex se complète après l’échange.</x:v>
      </x:c>
      <x:c r="J43" s="14" t="str"/>
      <x:c r="K43" s="14" t="str">
        <x:v>content/main_quests/QST-revelation-de-vigil.json</x:v>
      </x:c>
      <x:c r="L43" s="14" t="str"/>
      <x:c r="M43" s="14" t="str"/>
      <x:c r="N43" s="14" t="str">
        <x:v>Découpage de production de l’intrigue ME1 ; déclencheurs exacts à relever.</x:v>
      </x:c>
      <x:c r="O43" s="14" t="str">
        <x:v>https://na.llnet.bioware.cdn.ea.com/u/f/eagames/bioware/masseffect/prima/prima_guide_me_pc.pdf</x:v>
      </x:c>
      <x:c r="P43" s="14" t="str">
        <x:v>Production ME1</x:v>
      </x:c>
      <x:c r="Q43" s="14" t="str"/>
    </x:row>
    <x:row r="44" ht="36" customHeight="1">
      <x:c r="A44" s="12" t="str">
        <x:v>QST-course-au-conduit</x:v>
      </x:c>
      <x:c r="B44" s="7" t="str">
        <x:v>Course au Conduit</x:v>
      </x:c>
      <x:c r="C44" s="10" t="str">
        <x:v>Défini</x:v>
      </x:c>
      <x:c r="D44" s="11" t="str">
        <x:v>À produire</x:v>
      </x:c>
      <x:c r="E44" s="9" t="str">
        <x:v>P0</x:v>
      </x:c>
      <x:c r="F44" s="9" t="str">
        <x:v>ME1</x:v>
      </x:c>
      <x:c r="G44" s="9" t="str">
        <x:v>Référence à vérifier</x:v>
      </x:c>
      <x:c r="H44" s="7" t="str">
        <x:v>Atteindre le passage dans la fenêtre prévue.</x:v>
      </x:c>
      <x:c r="I44" s="7" t="str">
        <x:v>Échec, reprise et transition testés.</x:v>
      </x:c>
      <x:c r="J44" s="7" t="str"/>
      <x:c r="K44" s="7" t="str">
        <x:v>content/main_quests/QST-course-au-conduit.json</x:v>
      </x:c>
      <x:c r="L44" s="7" t="str"/>
      <x:c r="M44" s="7" t="str"/>
      <x:c r="N44" s="7" t="str">
        <x:v>Découpage de production de l’intrigue ME1 ; déclencheurs exacts à relever.</x:v>
      </x:c>
      <x:c r="O44" s="7" t="str">
        <x:v>https://na.llnet.bioware.cdn.ea.com/u/f/eagames/bioware/masseffect/prima/prima_guide_me_pc.pdf</x:v>
      </x:c>
      <x:c r="P44" s="7" t="str">
        <x:v>Production ME1</x:v>
      </x:c>
      <x:c r="Q44" s="7" t="str"/>
    </x:row>
    <x:row r="45" ht="36" customHeight="1">
      <x:c r="A45" s="13" t="str">
        <x:v>QST-assaut-final-citadelle</x:v>
      </x:c>
      <x:c r="B45" s="14" t="str">
        <x:v>Assaut final Citadelle</x:v>
      </x:c>
      <x:c r="C45" s="10" t="str">
        <x:v>Défini</x:v>
      </x:c>
      <x:c r="D45" s="11" t="str">
        <x:v>À produire</x:v>
      </x:c>
      <x:c r="E45" s="15" t="str">
        <x:v>P0</x:v>
      </x:c>
      <x:c r="F45" s="15" t="str">
        <x:v>ME1</x:v>
      </x:c>
      <x:c r="G45" s="15" t="str">
        <x:v>Référence à vérifier</x:v>
      </x:c>
      <x:c r="H45" s="14" t="str">
        <x:v>Rejoindre Saren dans la station attaquée.</x:v>
      </x:c>
      <x:c r="I45" s="14" t="str">
        <x:v>Échelle de guerre montrée hors du combat individuel.</x:v>
      </x:c>
      <x:c r="J45" s="14" t="str"/>
      <x:c r="K45" s="14" t="str">
        <x:v>content/main_quests/QST-assaut-final-citadelle.json</x:v>
      </x:c>
      <x:c r="L45" s="14" t="str"/>
      <x:c r="M45" s="14" t="str"/>
      <x:c r="N45" s="14" t="str">
        <x:v>Découpage de production de l’intrigue ME1 ; déclencheurs exacts à relever.</x:v>
      </x:c>
      <x:c r="O45" s="14" t="str">
        <x:v>https://na.llnet.bioware.cdn.ea.com/u/f/eagames/bioware/masseffect/prima/prima_guide_me_pc.pdf</x:v>
      </x:c>
      <x:c r="P45" s="14" t="str">
        <x:v>Production ME1</x:v>
      </x:c>
      <x:c r="Q45" s="14" t="str"/>
    </x:row>
    <x:row r="46" ht="36" customHeight="1">
      <x:c r="A46" s="12" t="str">
        <x:v>QST-derniere-confrontation</x:v>
      </x:c>
      <x:c r="B46" s="7" t="str">
        <x:v>Dernière confrontation</x:v>
      </x:c>
      <x:c r="C46" s="10" t="str">
        <x:v>Défini</x:v>
      </x:c>
      <x:c r="D46" s="11" t="str">
        <x:v>À produire</x:v>
      </x:c>
      <x:c r="E46" s="9" t="str">
        <x:v>P0</x:v>
      </x:c>
      <x:c r="F46" s="9" t="str">
        <x:v>ME1</x:v>
      </x:c>
      <x:c r="G46" s="9" t="str">
        <x:v>Référence à vérifier</x:v>
      </x:c>
      <x:c r="H46" s="7" t="str">
        <x:v>Résoudre dialogue et combat contre Saren.</x:v>
      </x:c>
      <x:c r="I46" s="7" t="str">
        <x:v>Issue de persuasion compatible avec la phase finale.</x:v>
      </x:c>
      <x:c r="J46" s="7" t="str"/>
      <x:c r="K46" s="7" t="str">
        <x:v>content/main_quests/QST-derniere-confrontation.json</x:v>
      </x:c>
      <x:c r="L46" s="7" t="str"/>
      <x:c r="M46" s="7" t="str"/>
      <x:c r="N46" s="7" t="str">
        <x:v>Découpage de production de l’intrigue ME1 ; déclencheurs exacts à relever.</x:v>
      </x:c>
      <x:c r="O46" s="7" t="str">
        <x:v>https://na.llnet.bioware.cdn.ea.com/u/f/eagames/bioware/masseffect/prima/prima_guide_me_pc.pdf</x:v>
      </x:c>
      <x:c r="P46" s="7" t="str">
        <x:v>Production ME1</x:v>
      </x:c>
      <x:c r="Q46" s="7" t="str"/>
    </x:row>
    <x:row r="47" ht="36" customHeight="1">
      <x:c r="A47" s="13" t="str">
        <x:v>QST-choix-de-la-flotte</x:v>
      </x:c>
      <x:c r="B47" s="14" t="str">
        <x:v>Choix de la flotte</x:v>
      </x:c>
      <x:c r="C47" s="10" t="str">
        <x:v>Défini</x:v>
      </x:c>
      <x:c r="D47" s="11" t="str">
        <x:v>À produire</x:v>
      </x:c>
      <x:c r="E47" s="15" t="str">
        <x:v>P0</x:v>
      </x:c>
      <x:c r="F47" s="15" t="str">
        <x:v>ME1</x:v>
      </x:c>
      <x:c r="G47" s="15" t="str">
        <x:v>Référence à vérifier</x:v>
      </x:c>
      <x:c r="H47" s="14" t="str">
        <x:v>Décision sur le Conseil pendant la bataille.</x:v>
      </x:c>
      <x:c r="I47" s="14" t="str">
        <x:v>Effet narratif enregistré pour le futur export.</x:v>
      </x:c>
      <x:c r="J47" s="14" t="str"/>
      <x:c r="K47" s="14" t="str">
        <x:v>content/main_quests/QST-choix-de-la-flotte.json</x:v>
      </x:c>
      <x:c r="L47" s="14" t="str"/>
      <x:c r="M47" s="14" t="str"/>
      <x:c r="N47" s="14" t="str">
        <x:v>Découpage de production de l’intrigue ME1 ; déclencheurs exacts à relever.</x:v>
      </x:c>
      <x:c r="O47" s="14" t="str">
        <x:v>https://na.llnet.bioware.cdn.ea.com/u/f/eagames/bioware/masseffect/prima/prima_guide_me_pc.pdf</x:v>
      </x:c>
      <x:c r="P47" s="14" t="str">
        <x:v>Production ME1</x:v>
      </x:c>
      <x:c r="Q47" s="14" t="str"/>
    </x:row>
    <x:row r="48" ht="36" customHeight="1">
      <x:c r="A48" s="12" t="str">
        <x:v>QST-epilogue-politique</x:v>
      </x:c>
      <x:c r="B48" s="7" t="str">
        <x:v>Épilogue politique</x:v>
      </x:c>
      <x:c r="C48" s="10" t="str">
        <x:v>Défini</x:v>
      </x:c>
      <x:c r="D48" s="11" t="str">
        <x:v>À produire</x:v>
      </x:c>
      <x:c r="E48" s="9" t="str">
        <x:v>P0</x:v>
      </x:c>
      <x:c r="F48" s="9" t="str">
        <x:v>ME1</x:v>
      </x:c>
      <x:c r="G48" s="9" t="str">
        <x:v>Référence à vérifier</x:v>
      </x:c>
      <x:c r="H48" s="7" t="str">
        <x:v>Conclure la campagne selon les décisions.</x:v>
      </x:c>
      <x:c r="I48" s="7" t="str">
        <x:v>Sauvegarde de fin et résumé des choix cohérents.</x:v>
      </x:c>
      <x:c r="J48" s="7" t="str"/>
      <x:c r="K48" s="7" t="str">
        <x:v>content/main_quests/QST-epilogue-politique.json</x:v>
      </x:c>
      <x:c r="L48" s="7" t="str"/>
      <x:c r="M48" s="7" t="str"/>
      <x:c r="N48" s="7" t="str">
        <x:v>Découpage de production de l’intrigue ME1 ; déclencheurs exacts à relever.</x:v>
      </x:c>
      <x:c r="O48" s="7" t="str">
        <x:v>https://na.llnet.bioware.cdn.ea.com/u/f/eagames/bioware/masseffect/prima/prima_guide_me_pc.pdf</x:v>
      </x:c>
      <x:c r="P48" s="7" t="str">
        <x:v>Production ME1</x:v>
      </x:c>
      <x:c r="Q48" s="7" t="str"/>
    </x:row>
    <x:row r="49" ht="49" customHeight="1">
      <x:c r="A49" s="13" t="str">
        <x:v>ENC-eden-prime-1</x:v>
      </x:c>
      <x:c r="B49" s="14" t="str">
        <x:v>Eden Prime — Patrouille geth</x:v>
      </x:c>
      <x:c r="C49" s="10" t="str">
        <x:v>Prototype</x:v>
      </x:c>
      <x:c r="D49" s="11" t="str">
        <x:v>Prototype</x:v>
      </x:c>
      <x:c r="E49" s="15" t="str">
        <x:v>P0</x:v>
      </x:c>
      <x:c r="F49" s="15" t="str">
        <x:v>ME1</x:v>
      </x:c>
      <x:c r="G49" s="15" t="str">
        <x:v>Adaptation</x:v>
      </x:c>
      <x:c r="H49" s="14" t="str">
        <x:v>Rencontre ATB 1 du chapitre Eden Prime. Adversaires : geth, geth.</x:v>
      </x:c>
      <x:c r="I49" s="14" t="str">
        <x:v>Contrôler composition, actions ennemies, victoire, défaite et retour à l’exploration. Produire les animations et la mise en scène complètes.</x:v>
      </x:c>
      <x:c r="J49" s="14" t="str"/>
      <x:c r="K49" s="14" t="str">
        <x:v>content/encounters/eden-prime-1.json</x:v>
      </x:c>
      <x:c r="L49" s="14" t="str">
        <x:v>src/game-data.js</x:v>
      </x:c>
      <x:c r="M49" s="14" t="str">
        <x:v>ENCOUNTERS.eden-prime[0]</x:v>
      </x:c>
      <x:c r="N49" s="14" t="str">
        <x:v>Composition et équilibrage du prototype ; à comparer aux rencontres de ME1.</x:v>
      </x:c>
      <x:c r="O49" s="14" t="str"/>
      <x:c r="P49" s="14" t="str">
        <x:v>Prototype condensé</x:v>
      </x:c>
      <x:c r="Q49" s="14" t="str">
        <x:v>Rencontre condensée du fan game. Ne représente pas toutes les rencontres ou tous les scripts du lieu original.</x:v>
      </x:c>
    </x:row>
    <x:row r="50" ht="49" customHeight="1">
      <x:c r="A50" s="12" t="str">
        <x:v>ENC-eden-prime-2</x:v>
      </x:c>
      <x:c r="B50" s="7" t="str">
        <x:v>Eden Prime — Les quais de la colonie</x:v>
      </x:c>
      <x:c r="C50" s="10" t="str">
        <x:v>Prototype</x:v>
      </x:c>
      <x:c r="D50" s="11" t="str">
        <x:v>Prototype</x:v>
      </x:c>
      <x:c r="E50" s="9" t="str">
        <x:v>P0</x:v>
      </x:c>
      <x:c r="F50" s="9" t="str">
        <x:v>ME1</x:v>
      </x:c>
      <x:c r="G50" s="9" t="str">
        <x:v>Adaptation</x:v>
      </x:c>
      <x:c r="H50" s="7" t="str">
        <x:v>Rencontre ATB 2 du chapitre Eden Prime. Adversaires : husk, husk, geth.</x:v>
      </x:c>
      <x:c r="I50" s="7" t="str">
        <x:v>Contrôler composition, actions ennemies, victoire, défaite et retour à l’exploration. Produire les animations et la mise en scène complètes.</x:v>
      </x:c>
      <x:c r="J50" s="7" t="str"/>
      <x:c r="K50" s="7" t="str">
        <x:v>content/encounters/eden-prime-2.json</x:v>
      </x:c>
      <x:c r="L50" s="7" t="str">
        <x:v>src/game-data.js</x:v>
      </x:c>
      <x:c r="M50" s="7" t="str">
        <x:v>ENCOUNTERS.eden-prime[1]</x:v>
      </x:c>
      <x:c r="N50" s="7" t="str">
        <x:v>Composition et équilibrage du prototype ; à comparer aux rencontres de ME1.</x:v>
      </x:c>
      <x:c r="O50" s="7" t="str"/>
      <x:c r="P50" s="7" t="str">
        <x:v>Prototype condensé</x:v>
      </x:c>
      <x:c r="Q50" s="7" t="str">
        <x:v>Rencontre condensée du fan game. Ne représente pas toutes les rencontres ou tous les scripts du lieu original.</x:v>
      </x:c>
    </x:row>
    <x:row r="51" ht="49" customHeight="1">
      <x:c r="A51" s="13" t="str">
        <x:v>ENC-eden-prime-3</x:v>
      </x:c>
      <x:c r="B51" s="14" t="str">
        <x:v>Eden Prime — Défense de la balise</x:v>
      </x:c>
      <x:c r="C51" s="10" t="str">
        <x:v>Prototype</x:v>
      </x:c>
      <x:c r="D51" s="11" t="str">
        <x:v>Prototype</x:v>
      </x:c>
      <x:c r="E51" s="15" t="str">
        <x:v>P0</x:v>
      </x:c>
      <x:c r="F51" s="15" t="str">
        <x:v>ME1</x:v>
      </x:c>
      <x:c r="G51" s="15" t="str">
        <x:v>Adaptation</x:v>
      </x:c>
      <x:c r="H51" s="14" t="str">
        <x:v>Rencontre ATB 3 du chapitre Eden Prime. Adversaires : destroyer, sniper.</x:v>
      </x:c>
      <x:c r="I51" s="14" t="str">
        <x:v>Contrôler composition, actions ennemies, victoire, défaite et retour à l’exploration. Produire les animations et la mise en scène complètes.</x:v>
      </x:c>
      <x:c r="J51" s="14" t="str"/>
      <x:c r="K51" s="14" t="str">
        <x:v>content/encounters/eden-prime-3.json</x:v>
      </x:c>
      <x:c r="L51" s="14" t="str">
        <x:v>src/game-data.js</x:v>
      </x:c>
      <x:c r="M51" s="14" t="str">
        <x:v>ENCOUNTERS.eden-prime[2]</x:v>
      </x:c>
      <x:c r="N51" s="14" t="str">
        <x:v>Composition et équilibrage du prototype ; à comparer aux rencontres de ME1.</x:v>
      </x:c>
      <x:c r="O51" s="14" t="str"/>
      <x:c r="P51" s="14" t="str">
        <x:v>Prototype condensé</x:v>
      </x:c>
      <x:c r="Q51" s="14" t="str">
        <x:v>Rencontre condensée du fan game. Ne représente pas toutes les rencontres ou tous les scripts du lieu original.</x:v>
      </x:c>
    </x:row>
    <x:row r="52" ht="49" customHeight="1">
      <x:c r="A52" s="12" t="str">
        <x:v>ENC-therum-1</x:v>
      </x:c>
      <x:c r="B52" s="7" t="str">
        <x:v>Therum — Avant-poste minier</x:v>
      </x:c>
      <x:c r="C52" s="10" t="str">
        <x:v>Prototype</x:v>
      </x:c>
      <x:c r="D52" s="11" t="str">
        <x:v>Prototype</x:v>
      </x:c>
      <x:c r="E52" s="9" t="str">
        <x:v>P0</x:v>
      </x:c>
      <x:c r="F52" s="9" t="str">
        <x:v>ME1</x:v>
      </x:c>
      <x:c r="G52" s="9" t="str">
        <x:v>Adaptation</x:v>
      </x:c>
      <x:c r="H52" s="7" t="str">
        <x:v>Rencontre ATB 1 du chapitre Therum. Adversaires : geth, sniper.</x:v>
      </x:c>
      <x:c r="I52" s="7" t="str">
        <x:v>Contrôler composition, actions ennemies, victoire, défaite et retour à l’exploration. Produire les animations et la mise en scène complètes.</x:v>
      </x:c>
      <x:c r="J52" s="7" t="str"/>
      <x:c r="K52" s="7" t="str">
        <x:v>content/encounters/therum-1.json</x:v>
      </x:c>
      <x:c r="L52" s="7" t="str">
        <x:v>src/game-data.js</x:v>
      </x:c>
      <x:c r="M52" s="7" t="str">
        <x:v>ENCOUNTERS.therum[0]</x:v>
      </x:c>
      <x:c r="N52" s="7" t="str">
        <x:v>Composition et équilibrage du prototype ; à comparer aux rencontres de ME1.</x:v>
      </x:c>
      <x:c r="O52" s="7" t="str"/>
      <x:c r="P52" s="7" t="str">
        <x:v>Prototype condensé</x:v>
      </x:c>
      <x:c r="Q52" s="7" t="str">
        <x:v>Rencontre condensée du fan game. Ne représente pas toutes les rencontres ou tous les scripts du lieu original.</x:v>
      </x:c>
    </x:row>
    <x:row r="53" ht="49" customHeight="1">
      <x:c r="A53" s="13" t="str">
        <x:v>ENC-therum-2</x:v>
      </x:c>
      <x:c r="B53" s="14" t="str">
        <x:v>Therum — Accès aux ruines</x:v>
      </x:c>
      <x:c r="C53" s="10" t="str">
        <x:v>Prototype</x:v>
      </x:c>
      <x:c r="D53" s="11" t="str">
        <x:v>Prototype</x:v>
      </x:c>
      <x:c r="E53" s="15" t="str">
        <x:v>P0</x:v>
      </x:c>
      <x:c r="F53" s="15" t="str">
        <x:v>ME1</x:v>
      </x:c>
      <x:c r="G53" s="15" t="str">
        <x:v>Adaptation</x:v>
      </x:c>
      <x:c r="H53" s="14" t="str">
        <x:v>Rencontre ATB 2 du chapitre Therum. Adversaires : geth, destroyer.</x:v>
      </x:c>
      <x:c r="I53" s="14" t="str">
        <x:v>Contrôler composition, actions ennemies, victoire, défaite et retour à l’exploration. Produire les animations et la mise en scène complètes.</x:v>
      </x:c>
      <x:c r="J53" s="14" t="str"/>
      <x:c r="K53" s="14" t="str">
        <x:v>content/encounters/therum-2.json</x:v>
      </x:c>
      <x:c r="L53" s="14" t="str">
        <x:v>src/game-data.js</x:v>
      </x:c>
      <x:c r="M53" s="14" t="str">
        <x:v>ENCOUNTERS.therum[1]</x:v>
      </x:c>
      <x:c r="N53" s="14" t="str">
        <x:v>Composition et équilibrage du prototype ; à comparer aux rencontres de ME1.</x:v>
      </x:c>
      <x:c r="O53" s="14" t="str"/>
      <x:c r="P53" s="14" t="str">
        <x:v>Prototype condensé</x:v>
      </x:c>
      <x:c r="Q53" s="14" t="str">
        <x:v>Rencontre condensée du fan game. Ne représente pas toutes les rencontres ou tous les scripts du lieu original.</x:v>
      </x:c>
    </x:row>
    <x:row r="54" ht="49" customHeight="1">
      <x:c r="A54" s="12" t="str">
        <x:v>ENC-therum-3</x:v>
      </x:c>
      <x:c r="B54" s="7" t="str">
        <x:v>Therum — Protection du site</x:v>
      </x:c>
      <x:c r="C54" s="10" t="str">
        <x:v>Prototype</x:v>
      </x:c>
      <x:c r="D54" s="11" t="str">
        <x:v>Prototype</x:v>
      </x:c>
      <x:c r="E54" s="9" t="str">
        <x:v>P0</x:v>
      </x:c>
      <x:c r="F54" s="9" t="str">
        <x:v>ME1</x:v>
      </x:c>
      <x:c r="G54" s="9" t="str">
        <x:v>Adaptation</x:v>
      </x:c>
      <x:c r="H54" s="7" t="str">
        <x:v>Rencontre ATB 3 du chapitre Therum. Adversaires : krogan, geth, sniper.</x:v>
      </x:c>
      <x:c r="I54" s="7" t="str">
        <x:v>Contrôler composition, actions ennemies, victoire, défaite et retour à l’exploration. Produire les animations et la mise en scène complètes.</x:v>
      </x:c>
      <x:c r="J54" s="7" t="str"/>
      <x:c r="K54" s="7" t="str">
        <x:v>content/encounters/therum-3.json</x:v>
      </x:c>
      <x:c r="L54" s="7" t="str">
        <x:v>src/game-data.js</x:v>
      </x:c>
      <x:c r="M54" s="7" t="str">
        <x:v>ENCOUNTERS.therum[2]</x:v>
      </x:c>
      <x:c r="N54" s="7" t="str">
        <x:v>Composition et équilibrage du prototype ; à comparer aux rencontres de ME1.</x:v>
      </x:c>
      <x:c r="O54" s="7" t="str"/>
      <x:c r="P54" s="7" t="str">
        <x:v>Prototype condensé</x:v>
      </x:c>
      <x:c r="Q54" s="7" t="str">
        <x:v>Rencontre condensée du fan game. Ne représente pas toutes les rencontres ou tous les scripts du lieu original.</x:v>
      </x:c>
    </x:row>
    <x:row r="55" ht="49" customHeight="1">
      <x:c r="A55" s="13" t="str">
        <x:v>ENC-feros-1</x:v>
      </x:c>
      <x:c r="B55" s="14" t="str">
        <x:v>Feros — La route d’ExoGeni</x:v>
      </x:c>
      <x:c r="C55" s="10" t="str">
        <x:v>Prototype</x:v>
      </x:c>
      <x:c r="D55" s="11" t="str">
        <x:v>Prototype</x:v>
      </x:c>
      <x:c r="E55" s="15" t="str">
        <x:v>P0</x:v>
      </x:c>
      <x:c r="F55" s="15" t="str">
        <x:v>ME1</x:v>
      </x:c>
      <x:c r="G55" s="15" t="str">
        <x:v>Adaptation</x:v>
      </x:c>
      <x:c r="H55" s="14" t="str">
        <x:v>Rencontre ATB 1 du chapitre Feros. Adversaires : geth, geth, sniper.</x:v>
      </x:c>
      <x:c r="I55" s="14" t="str">
        <x:v>Contrôler composition, actions ennemies, victoire, défaite et retour à l’exploration. Produire les animations et la mise en scène complètes.</x:v>
      </x:c>
      <x:c r="J55" s="14" t="str"/>
      <x:c r="K55" s="14" t="str">
        <x:v>content/encounters/feros-1.json</x:v>
      </x:c>
      <x:c r="L55" s="14" t="str">
        <x:v>src/game-data.js</x:v>
      </x:c>
      <x:c r="M55" s="14" t="str">
        <x:v>ENCOUNTERS.feros[0]</x:v>
      </x:c>
      <x:c r="N55" s="14" t="str">
        <x:v>Composition et équilibrage du prototype ; à comparer aux rencontres de ME1.</x:v>
      </x:c>
      <x:c r="O55" s="14" t="str"/>
      <x:c r="P55" s="14" t="str">
        <x:v>Prototype condensé</x:v>
      </x:c>
      <x:c r="Q55" s="14" t="str">
        <x:v>Rencontre condensée du fan game. Ne représente pas toutes les rencontres ou tous les scripts du lieu original.</x:v>
      </x:c>
    </x:row>
    <x:row r="56" ht="49" customHeight="1">
      <x:c r="A56" s="12" t="str">
        <x:v>ENC-feros-2</x:v>
      </x:c>
      <x:c r="B56" s="7" t="str">
        <x:v>Feros — Les profondeurs</x:v>
      </x:c>
      <x:c r="C56" s="10" t="str">
        <x:v>Prototype</x:v>
      </x:c>
      <x:c r="D56" s="11" t="str">
        <x:v>Prototype</x:v>
      </x:c>
      <x:c r="E56" s="9" t="str">
        <x:v>P0</x:v>
      </x:c>
      <x:c r="F56" s="9" t="str">
        <x:v>ME1</x:v>
      </x:c>
      <x:c r="G56" s="9" t="str">
        <x:v>Adaptation</x:v>
      </x:c>
      <x:c r="H56" s="7" t="str">
        <x:v>Rencontre ATB 2 du chapitre Feros. Adversaires : creeper, creeper, asari.</x:v>
      </x:c>
      <x:c r="I56" s="7" t="str">
        <x:v>Contrôler composition, actions ennemies, victoire, défaite et retour à l’exploration. Produire les animations et la mise en scène complètes.</x:v>
      </x:c>
      <x:c r="J56" s="7" t="str"/>
      <x:c r="K56" s="7" t="str">
        <x:v>content/encounters/feros-2.json</x:v>
      </x:c>
      <x:c r="L56" s="7" t="str">
        <x:v>src/game-data.js</x:v>
      </x:c>
      <x:c r="M56" s="7" t="str">
        <x:v>ENCOUNTERS.feros[1]</x:v>
      </x:c>
      <x:c r="N56" s="7" t="str">
        <x:v>Composition et équilibrage du prototype ; à comparer aux rencontres de ME1.</x:v>
      </x:c>
      <x:c r="O56" s="7" t="str"/>
      <x:c r="P56" s="7" t="str">
        <x:v>Prototype condensé</x:v>
      </x:c>
      <x:c r="Q56" s="7" t="str">
        <x:v>Rencontre condensée du fan game. Ne représente pas toutes les rencontres ou tous les scripts du lieu original.</x:v>
      </x:c>
    </x:row>
    <x:row r="57" ht="49" customHeight="1">
      <x:c r="A57" s="13" t="str">
        <x:v>ENC-feros-3</x:v>
      </x:c>
      <x:c r="B57" s="14" t="str">
        <x:v>Feros — Le Thorien</x:v>
      </x:c>
      <x:c r="C57" s="10" t="str">
        <x:v>Prototype</x:v>
      </x:c>
      <x:c r="D57" s="11" t="str">
        <x:v>Prototype</x:v>
      </x:c>
      <x:c r="E57" s="15" t="str">
        <x:v>P0</x:v>
      </x:c>
      <x:c r="F57" s="15" t="str">
        <x:v>ME1</x:v>
      </x:c>
      <x:c r="G57" s="15" t="str">
        <x:v>Adaptation</x:v>
      </x:c>
      <x:c r="H57" s="14" t="str">
        <x:v>Rencontre ATB 3 du chapitre Feros. Adversaires : thorian, creeper.</x:v>
      </x:c>
      <x:c r="I57" s="14" t="str">
        <x:v>Contrôler composition, actions ennemies, victoire, défaite et retour à l’exploration. Produire les animations et la mise en scène complètes.</x:v>
      </x:c>
      <x:c r="J57" s="14" t="str"/>
      <x:c r="K57" s="14" t="str">
        <x:v>content/encounters/feros-3.json</x:v>
      </x:c>
      <x:c r="L57" s="14" t="str">
        <x:v>src/game-data.js</x:v>
      </x:c>
      <x:c r="M57" s="14" t="str">
        <x:v>ENCOUNTERS.feros[2]</x:v>
      </x:c>
      <x:c r="N57" s="14" t="str">
        <x:v>Composition et équilibrage du prototype ; à comparer aux rencontres de ME1.</x:v>
      </x:c>
      <x:c r="O57" s="14" t="str"/>
      <x:c r="P57" s="14" t="str">
        <x:v>Prototype condensé</x:v>
      </x:c>
      <x:c r="Q57" s="14" t="str">
        <x:v>Rencontre condensée du fan game. Ne représente pas toutes les rencontres ou tous les scripts du lieu original.</x:v>
      </x:c>
    </x:row>
    <x:row r="58" ht="49" customHeight="1">
      <x:c r="A58" s="12" t="str">
        <x:v>ENC-noveria-1</x:v>
      </x:c>
      <x:c r="B58" s="7" t="str">
        <x:v>Noveria — Accès de sécurité</x:v>
      </x:c>
      <x:c r="C58" s="10" t="str">
        <x:v>Prototype</x:v>
      </x:c>
      <x:c r="D58" s="11" t="str">
        <x:v>Prototype</x:v>
      </x:c>
      <x:c r="E58" s="9" t="str">
        <x:v>P0</x:v>
      </x:c>
      <x:c r="F58" s="9" t="str">
        <x:v>ME1</x:v>
      </x:c>
      <x:c r="G58" s="9" t="str">
        <x:v>Adaptation</x:v>
      </x:c>
      <x:c r="H58" s="7" t="str">
        <x:v>Rencontre ATB 1 du chapitre Noveria. Adversaires : geth, destroyer.</x:v>
      </x:c>
      <x:c r="I58" s="7" t="str">
        <x:v>Contrôler composition, actions ennemies, victoire, défaite et retour à l’exploration. Produire les animations et la mise en scène complètes.</x:v>
      </x:c>
      <x:c r="J58" s="7" t="str"/>
      <x:c r="K58" s="7" t="str">
        <x:v>content/encounters/noveria-1.json</x:v>
      </x:c>
      <x:c r="L58" s="7" t="str">
        <x:v>src/game-data.js</x:v>
      </x:c>
      <x:c r="M58" s="7" t="str">
        <x:v>ENCOUNTERS.noveria[0]</x:v>
      </x:c>
      <x:c r="N58" s="7" t="str">
        <x:v>Composition et équilibrage du prototype ; à comparer aux rencontres de ME1.</x:v>
      </x:c>
      <x:c r="O58" s="7" t="str"/>
      <x:c r="P58" s="7" t="str">
        <x:v>Prototype condensé</x:v>
      </x:c>
      <x:c r="Q58" s="7" t="str">
        <x:v>Rencontre condensée du fan game. Ne représente pas toutes les rencontres ou tous les scripts du lieu original.</x:v>
      </x:c>
    </x:row>
    <x:row r="59" ht="49" customHeight="1">
      <x:c r="A59" s="13" t="str">
        <x:v>ENC-noveria-2</x:v>
      </x:c>
      <x:c r="B59" s="14" t="str">
        <x:v>Noveria — Laboratoires contaminés</x:v>
      </x:c>
      <x:c r="C59" s="10" t="str">
        <x:v>Prototype</x:v>
      </x:c>
      <x:c r="D59" s="11" t="str">
        <x:v>Prototype</x:v>
      </x:c>
      <x:c r="E59" s="15" t="str">
        <x:v>P0</x:v>
      </x:c>
      <x:c r="F59" s="15" t="str">
        <x:v>ME1</x:v>
      </x:c>
      <x:c r="G59" s="15" t="str">
        <x:v>Adaptation</x:v>
      </x:c>
      <x:c r="H59" s="14" t="str">
        <x:v>Rencontre ATB 2 du chapitre Noveria. Adversaires : rachni, rachni, rachni.</x:v>
      </x:c>
      <x:c r="I59" s="14" t="str">
        <x:v>Contrôler composition, actions ennemies, victoire, défaite et retour à l’exploration. Produire les animations et la mise en scène complètes.</x:v>
      </x:c>
      <x:c r="J59" s="14" t="str"/>
      <x:c r="K59" s="14" t="str">
        <x:v>content/encounters/noveria-2.json</x:v>
      </x:c>
      <x:c r="L59" s="14" t="str">
        <x:v>src/game-data.js</x:v>
      </x:c>
      <x:c r="M59" s="14" t="str">
        <x:v>ENCOUNTERS.noveria[1]</x:v>
      </x:c>
      <x:c r="N59" s="14" t="str">
        <x:v>Composition et équilibrage du prototype ; à comparer aux rencontres de ME1.</x:v>
      </x:c>
      <x:c r="O59" s="14" t="str"/>
      <x:c r="P59" s="14" t="str">
        <x:v>Prototype condensé</x:v>
      </x:c>
      <x:c r="Q59" s="14" t="str">
        <x:v>Rencontre condensée du fan game. Ne représente pas toutes les rencontres ou tous les scripts du lieu original.</x:v>
      </x:c>
    </x:row>
    <x:row r="60" ht="49" customHeight="1">
      <x:c r="A60" s="12" t="str">
        <x:v>ENC-noveria-3</x:v>
      </x:c>
      <x:c r="B60" s="7" t="str">
        <x:v>Noveria — Matriarche Bénézia</x:v>
      </x:c>
      <x:c r="C60" s="10" t="str">
        <x:v>Prototype</x:v>
      </x:c>
      <x:c r="D60" s="11" t="str">
        <x:v>Prototype</x:v>
      </x:c>
      <x:c r="E60" s="9" t="str">
        <x:v>P0</x:v>
      </x:c>
      <x:c r="F60" s="9" t="str">
        <x:v>ME1</x:v>
      </x:c>
      <x:c r="G60" s="9" t="str">
        <x:v>Adaptation</x:v>
      </x:c>
      <x:c r="H60" s="7" t="str">
        <x:v>Rencontre ATB 3 du chapitre Noveria. Adversaires : benezia, asari.</x:v>
      </x:c>
      <x:c r="I60" s="7" t="str">
        <x:v>Contrôler composition, actions ennemies, victoire, défaite et retour à l’exploration. Produire les animations et la mise en scène complètes.</x:v>
      </x:c>
      <x:c r="J60" s="7" t="str"/>
      <x:c r="K60" s="7" t="str">
        <x:v>content/encounters/noveria-3.json</x:v>
      </x:c>
      <x:c r="L60" s="7" t="str">
        <x:v>src/game-data.js</x:v>
      </x:c>
      <x:c r="M60" s="7" t="str">
        <x:v>ENCOUNTERS.noveria[2]</x:v>
      </x:c>
      <x:c r="N60" s="7" t="str">
        <x:v>Composition et équilibrage du prototype ; à comparer aux rencontres de ME1.</x:v>
      </x:c>
      <x:c r="O60" s="7" t="str"/>
      <x:c r="P60" s="7" t="str">
        <x:v>Prototype condensé</x:v>
      </x:c>
      <x:c r="Q60" s="7" t="str">
        <x:v>Rencontre condensée du fan game. Ne représente pas toutes les rencontres ou tous les scripts du lieu original.</x:v>
      </x:c>
    </x:row>
    <x:row r="61" ht="49" customHeight="1">
      <x:c r="A61" s="13" t="str">
        <x:v>ENC-virmire-1</x:v>
      </x:c>
      <x:c r="B61" s="14" t="str">
        <x:v>Virmire — La plage</x:v>
      </x:c>
      <x:c r="C61" s="10" t="str">
        <x:v>Prototype</x:v>
      </x:c>
      <x:c r="D61" s="11" t="str">
        <x:v>Prototype</x:v>
      </x:c>
      <x:c r="E61" s="15" t="str">
        <x:v>P0</x:v>
      </x:c>
      <x:c r="F61" s="15" t="str">
        <x:v>ME1</x:v>
      </x:c>
      <x:c r="G61" s="15" t="str">
        <x:v>Adaptation</x:v>
      </x:c>
      <x:c r="H61" s="14" t="str">
        <x:v>Rencontre ATB 1 du chapitre Virmire. Adversaires : geth, sniper, krogan.</x:v>
      </x:c>
      <x:c r="I61" s="14" t="str">
        <x:v>Contrôler composition, actions ennemies, victoire, défaite et retour à l’exploration. Produire les animations et la mise en scène complètes.</x:v>
      </x:c>
      <x:c r="J61" s="14" t="str"/>
      <x:c r="K61" s="14" t="str">
        <x:v>content/encounters/virmire-1.json</x:v>
      </x:c>
      <x:c r="L61" s="14" t="str">
        <x:v>src/game-data.js</x:v>
      </x:c>
      <x:c r="M61" s="14" t="str">
        <x:v>ENCOUNTERS.virmire[0]</x:v>
      </x:c>
      <x:c r="N61" s="14" t="str">
        <x:v>Composition et équilibrage du prototype ; à comparer aux rencontres de ME1.</x:v>
      </x:c>
      <x:c r="O61" s="14" t="str"/>
      <x:c r="P61" s="14" t="str">
        <x:v>Prototype condensé</x:v>
      </x:c>
      <x:c r="Q61" s="14" t="str">
        <x:v>Rencontre condensée du fan game. Ne représente pas toutes les rencontres ou tous les scripts du lieu original.</x:v>
      </x:c>
    </x:row>
    <x:row r="62" ht="49" customHeight="1">
      <x:c r="A62" s="12" t="str">
        <x:v>ENC-virmire-2</x:v>
      </x:c>
      <x:c r="B62" s="7" t="str">
        <x:v>Virmire — Installation de recherche</x:v>
      </x:c>
      <x:c r="C62" s="10" t="str">
        <x:v>Prototype</x:v>
      </x:c>
      <x:c r="D62" s="11" t="str">
        <x:v>Prototype</x:v>
      </x:c>
      <x:c r="E62" s="9" t="str">
        <x:v>P0</x:v>
      </x:c>
      <x:c r="F62" s="9" t="str">
        <x:v>ME1</x:v>
      </x:c>
      <x:c r="G62" s="9" t="str">
        <x:v>Adaptation</x:v>
      </x:c>
      <x:c r="H62" s="7" t="str">
        <x:v>Rencontre ATB 2 du chapitre Virmire. Adversaires : destroyer, krogan.</x:v>
      </x:c>
      <x:c r="I62" s="7" t="str">
        <x:v>Contrôler composition, actions ennemies, victoire, défaite et retour à l’exploration. Produire les animations et la mise en scène complètes.</x:v>
      </x:c>
      <x:c r="J62" s="7" t="str"/>
      <x:c r="K62" s="7" t="str">
        <x:v>content/encounters/virmire-2.json</x:v>
      </x:c>
      <x:c r="L62" s="7" t="str">
        <x:v>src/game-data.js</x:v>
      </x:c>
      <x:c r="M62" s="7" t="str">
        <x:v>ENCOUNTERS.virmire[1]</x:v>
      </x:c>
      <x:c r="N62" s="7" t="str">
        <x:v>Composition et équilibrage du prototype ; à comparer aux rencontres de ME1.</x:v>
      </x:c>
      <x:c r="O62" s="7" t="str"/>
      <x:c r="P62" s="7" t="str">
        <x:v>Prototype condensé</x:v>
      </x:c>
      <x:c r="Q62" s="7" t="str">
        <x:v>Rencontre condensée du fan game. Ne représente pas toutes les rencontres ou tous les scripts du lieu original.</x:v>
      </x:c>
    </x:row>
    <x:row r="63" ht="49" customHeight="1">
      <x:c r="A63" s="13" t="str">
        <x:v>ENC-virmire-3</x:v>
      </x:c>
      <x:c r="B63" s="14" t="str">
        <x:v>Virmire — Saren Arterius</x:v>
      </x:c>
      <x:c r="C63" s="10" t="str">
        <x:v>Prototype</x:v>
      </x:c>
      <x:c r="D63" s="11" t="str">
        <x:v>Prototype</x:v>
      </x:c>
      <x:c r="E63" s="15" t="str">
        <x:v>P0</x:v>
      </x:c>
      <x:c r="F63" s="15" t="str">
        <x:v>ME1</x:v>
      </x:c>
      <x:c r="G63" s="15" t="str">
        <x:v>Adaptation</x:v>
      </x:c>
      <x:c r="H63" s="14" t="str">
        <x:v>Rencontre ATB 3 du chapitre Virmire. Adversaires : saren, geth.</x:v>
      </x:c>
      <x:c r="I63" s="14" t="str">
        <x:v>Contrôler composition, actions ennemies, victoire, défaite et retour à l’exploration. Produire les animations et la mise en scène complètes.</x:v>
      </x:c>
      <x:c r="J63" s="14" t="str"/>
      <x:c r="K63" s="14" t="str">
        <x:v>content/encounters/virmire-3.json</x:v>
      </x:c>
      <x:c r="L63" s="14" t="str">
        <x:v>src/game-data.js</x:v>
      </x:c>
      <x:c r="M63" s="14" t="str">
        <x:v>ENCOUNTERS.virmire[2]</x:v>
      </x:c>
      <x:c r="N63" s="14" t="str">
        <x:v>Composition et équilibrage du prototype ; à comparer aux rencontres de ME1.</x:v>
      </x:c>
      <x:c r="O63" s="14" t="str"/>
      <x:c r="P63" s="14" t="str">
        <x:v>Prototype condensé</x:v>
      </x:c>
      <x:c r="Q63" s="14" t="str">
        <x:v>Rencontre condensée du fan game. Ne représente pas toutes les rencontres ou tous les scripts du lieu original.</x:v>
      </x:c>
    </x:row>
    <x:row r="64" ht="49" customHeight="1">
      <x:c r="A64" s="12" t="str">
        <x:v>ENC-ilos-1</x:v>
      </x:c>
      <x:c r="B64" s="7" t="str">
        <x:v>Ilos — Les jardins oubliés</x:v>
      </x:c>
      <x:c r="C64" s="10" t="str">
        <x:v>Prototype</x:v>
      </x:c>
      <x:c r="D64" s="11" t="str">
        <x:v>Prototype</x:v>
      </x:c>
      <x:c r="E64" s="9" t="str">
        <x:v>P0</x:v>
      </x:c>
      <x:c r="F64" s="9" t="str">
        <x:v>ME1</x:v>
      </x:c>
      <x:c r="G64" s="9" t="str">
        <x:v>Adaptation</x:v>
      </x:c>
      <x:c r="H64" s="7" t="str">
        <x:v>Rencontre ATB 1 du chapitre Ilos. Adversaires : geth, destroyer.</x:v>
      </x:c>
      <x:c r="I64" s="7" t="str">
        <x:v>Contrôler composition, actions ennemies, victoire, défaite et retour à l’exploration. Produire les animations et la mise en scène complètes.</x:v>
      </x:c>
      <x:c r="J64" s="7" t="str"/>
      <x:c r="K64" s="7" t="str">
        <x:v>content/encounters/ilos-1.json</x:v>
      </x:c>
      <x:c r="L64" s="7" t="str">
        <x:v>src/game-data.js</x:v>
      </x:c>
      <x:c r="M64" s="7" t="str">
        <x:v>ENCOUNTERS.ilos[0]</x:v>
      </x:c>
      <x:c r="N64" s="7" t="str">
        <x:v>Composition et équilibrage du prototype ; à comparer aux rencontres de ME1.</x:v>
      </x:c>
      <x:c r="O64" s="7" t="str"/>
      <x:c r="P64" s="7" t="str">
        <x:v>Prototype condensé</x:v>
      </x:c>
      <x:c r="Q64" s="7" t="str">
        <x:v>Rencontre condensée du fan game. Ne représente pas toutes les rencontres ou tous les scripts du lieu original.</x:v>
      </x:c>
    </x:row>
    <x:row r="65" ht="49" customHeight="1">
      <x:c r="A65" s="13" t="str">
        <x:v>ENC-ilos-2</x:v>
      </x:c>
      <x:c r="B65" s="14" t="str">
        <x:v>Ilos — Les galeries</x:v>
      </x:c>
      <x:c r="C65" s="10" t="str">
        <x:v>Prototype</x:v>
      </x:c>
      <x:c r="D65" s="11" t="str">
        <x:v>Prototype</x:v>
      </x:c>
      <x:c r="E65" s="15" t="str">
        <x:v>P0</x:v>
      </x:c>
      <x:c r="F65" s="15" t="str">
        <x:v>ME1</x:v>
      </x:c>
      <x:c r="G65" s="15" t="str">
        <x:v>Adaptation</x:v>
      </x:c>
      <x:c r="H65" s="14" t="str">
        <x:v>Rencontre ATB 2 du chapitre Ilos. Adversaires : destroyer, sniper.</x:v>
      </x:c>
      <x:c r="I65" s="14" t="str">
        <x:v>Contrôler composition, actions ennemies, victoire, défaite et retour à l’exploration. Produire les animations et la mise en scène complètes.</x:v>
      </x:c>
      <x:c r="J65" s="14" t="str"/>
      <x:c r="K65" s="14" t="str">
        <x:v>content/encounters/ilos-2.json</x:v>
      </x:c>
      <x:c r="L65" s="14" t="str">
        <x:v>src/game-data.js</x:v>
      </x:c>
      <x:c r="M65" s="14" t="str">
        <x:v>ENCOUNTERS.ilos[1]</x:v>
      </x:c>
      <x:c r="N65" s="14" t="str">
        <x:v>Composition et équilibrage du prototype ; à comparer aux rencontres de ME1.</x:v>
      </x:c>
      <x:c r="O65" s="14" t="str"/>
      <x:c r="P65" s="14" t="str">
        <x:v>Prototype condensé</x:v>
      </x:c>
      <x:c r="Q65" s="14" t="str">
        <x:v>Rencontre condensée du fan game. Ne représente pas toutes les rencontres ou tous les scripts du lieu original.</x:v>
      </x:c>
    </x:row>
    <x:row r="66" ht="49" customHeight="1">
      <x:c r="A66" s="12" t="str">
        <x:v>ENC-ilos-3</x:v>
      </x:c>
      <x:c r="B66" s="7" t="str">
        <x:v>Ilos — Défense du Conduit</x:v>
      </x:c>
      <x:c r="C66" s="10" t="str">
        <x:v>Prototype</x:v>
      </x:c>
      <x:c r="D66" s="11" t="str">
        <x:v>Prototype</x:v>
      </x:c>
      <x:c r="E66" s="9" t="str">
        <x:v>P0</x:v>
      </x:c>
      <x:c r="F66" s="9" t="str">
        <x:v>ME1</x:v>
      </x:c>
      <x:c r="G66" s="9" t="str">
        <x:v>Adaptation</x:v>
      </x:c>
      <x:c r="H66" s="7" t="str">
        <x:v>Rencontre ATB 3 du chapitre Ilos. Adversaires : destroyer, destroyer, sniper.</x:v>
      </x:c>
      <x:c r="I66" s="7" t="str">
        <x:v>Contrôler composition, actions ennemies, victoire, défaite et retour à l’exploration. Produire les animations et la mise en scène complètes.</x:v>
      </x:c>
      <x:c r="J66" s="7" t="str"/>
      <x:c r="K66" s="7" t="str">
        <x:v>content/encounters/ilos-3.json</x:v>
      </x:c>
      <x:c r="L66" s="7" t="str">
        <x:v>src/game-data.js</x:v>
      </x:c>
      <x:c r="M66" s="7" t="str">
        <x:v>ENCOUNTERS.ilos[2]</x:v>
      </x:c>
      <x:c r="N66" s="7" t="str">
        <x:v>Composition et équilibrage du prototype ; à comparer aux rencontres de ME1.</x:v>
      </x:c>
      <x:c r="O66" s="7" t="str"/>
      <x:c r="P66" s="7" t="str">
        <x:v>Prototype condensé</x:v>
      </x:c>
      <x:c r="Q66" s="7" t="str">
        <x:v>Rencontre condensée du fan game. Ne représente pas toutes les rencontres ou tous les scripts du lieu original.</x:v>
      </x:c>
    </x:row>
    <x:row r="67" ht="49" customHeight="1">
      <x:c r="A67" s="13" t="str">
        <x:v>ENC-citadel-finale-1</x:v>
      </x:c>
      <x:c r="B67" s="14" t="str">
        <x:v>Citadelle assiégée — Quais en flammes</x:v>
      </x:c>
      <x:c r="C67" s="10" t="str">
        <x:v>Prototype</x:v>
      </x:c>
      <x:c r="D67" s="11" t="str">
        <x:v>Prototype</x:v>
      </x:c>
      <x:c r="E67" s="15" t="str">
        <x:v>P0</x:v>
      </x:c>
      <x:c r="F67" s="15" t="str">
        <x:v>ME1</x:v>
      </x:c>
      <x:c r="G67" s="15" t="str">
        <x:v>Adaptation</x:v>
      </x:c>
      <x:c r="H67" s="14" t="str">
        <x:v>Rencontre ATB 1 du chapitre Citadelle assiégée. Adversaires : geth, sniper, destroyer.</x:v>
      </x:c>
      <x:c r="I67" s="14" t="str">
        <x:v>Contrôler composition, actions ennemies, victoire, défaite et retour à l’exploration. Produire les animations et la mise en scène complètes.</x:v>
      </x:c>
      <x:c r="J67" s="14" t="str"/>
      <x:c r="K67" s="14" t="str">
        <x:v>content/encounters/citadel-finale-1.json</x:v>
      </x:c>
      <x:c r="L67" s="14" t="str">
        <x:v>src/game-data.js</x:v>
      </x:c>
      <x:c r="M67" s="14" t="str">
        <x:v>ENCOUNTERS.citadel-finale[0]</x:v>
      </x:c>
      <x:c r="N67" s="14" t="str">
        <x:v>Composition et équilibrage du prototype ; à comparer aux rencontres de ME1.</x:v>
      </x:c>
      <x:c r="O67" s="14" t="str"/>
      <x:c r="P67" s="14" t="str">
        <x:v>Prototype condensé</x:v>
      </x:c>
      <x:c r="Q67" s="14" t="str">
        <x:v>Rencontre condensée du fan game. Ne représente pas toutes les rencontres ou tous les scripts du lieu original.</x:v>
      </x:c>
    </x:row>
    <x:row r="68" ht="49" customHeight="1">
      <x:c r="A68" s="12" t="str">
        <x:v>ENC-citadel-finale-2</x:v>
      </x:c>
      <x:c r="B68" s="7" t="str">
        <x:v>Citadelle assiégée — Défense de la tour</x:v>
      </x:c>
      <x:c r="C68" s="10" t="str">
        <x:v>Prototype</x:v>
      </x:c>
      <x:c r="D68" s="11" t="str">
        <x:v>Prototype</x:v>
      </x:c>
      <x:c r="E68" s="9" t="str">
        <x:v>P0</x:v>
      </x:c>
      <x:c r="F68" s="9" t="str">
        <x:v>ME1</x:v>
      </x:c>
      <x:c r="G68" s="9" t="str">
        <x:v>Adaptation</x:v>
      </x:c>
      <x:c r="H68" s="7" t="str">
        <x:v>Rencontre ATB 2 du chapitre Citadelle assiégée. Adversaires : destroyer, asari.</x:v>
      </x:c>
      <x:c r="I68" s="7" t="str">
        <x:v>Contrôler composition, actions ennemies, victoire, défaite et retour à l’exploration. Produire les animations et la mise en scène complètes.</x:v>
      </x:c>
      <x:c r="J68" s="7" t="str"/>
      <x:c r="K68" s="7" t="str">
        <x:v>content/encounters/citadel-finale-2.json</x:v>
      </x:c>
      <x:c r="L68" s="7" t="str">
        <x:v>src/game-data.js</x:v>
      </x:c>
      <x:c r="M68" s="7" t="str">
        <x:v>ENCOUNTERS.citadel-finale[1]</x:v>
      </x:c>
      <x:c r="N68" s="7" t="str">
        <x:v>Composition et équilibrage du prototype ; à comparer aux rencontres de ME1.</x:v>
      </x:c>
      <x:c r="O68" s="7" t="str"/>
      <x:c r="P68" s="7" t="str">
        <x:v>Prototype condensé</x:v>
      </x:c>
      <x:c r="Q68" s="7" t="str">
        <x:v>Rencontre condensée du fan game. Ne représente pas toutes les rencontres ou tous les scripts du lieu original.</x:v>
      </x:c>
    </x:row>
    <x:row r="69" ht="49" customHeight="1">
      <x:c r="A69" s="13" t="str">
        <x:v>ENC-citadel-finale-3</x:v>
      </x:c>
      <x:c r="B69" s="14" t="str">
        <x:v>Citadelle assiégée — Saren — confrontation finale</x:v>
      </x:c>
      <x:c r="C69" s="10" t="str">
        <x:v>Prototype</x:v>
      </x:c>
      <x:c r="D69" s="11" t="str">
        <x:v>Prototype</x:v>
      </x:c>
      <x:c r="E69" s="15" t="str">
        <x:v>P0</x:v>
      </x:c>
      <x:c r="F69" s="15" t="str">
        <x:v>ME1</x:v>
      </x:c>
      <x:c r="G69" s="15" t="str">
        <x:v>Adaptation</x:v>
      </x:c>
      <x:c r="H69" s="14" t="str">
        <x:v>Rencontre ATB 3 du chapitre Citadelle assiégée. Adversaires : saren-final.</x:v>
      </x:c>
      <x:c r="I69" s="14" t="str">
        <x:v>Contrôler composition, actions ennemies, victoire, défaite et retour à l’exploration. Produire les animations et la mise en scène complètes.</x:v>
      </x:c>
      <x:c r="J69" s="14" t="str"/>
      <x:c r="K69" s="14" t="str">
        <x:v>content/encounters/citadel-finale-3.json</x:v>
      </x:c>
      <x:c r="L69" s="14" t="str">
        <x:v>src/game-data.js</x:v>
      </x:c>
      <x:c r="M69" s="14" t="str">
        <x:v>ENCOUNTERS.citadel-finale[2]</x:v>
      </x:c>
      <x:c r="N69" s="14" t="str">
        <x:v>Composition et équilibrage du prototype ; à comparer aux rencontres de ME1.</x:v>
      </x:c>
      <x:c r="O69" s="14" t="str"/>
      <x:c r="P69" s="14" t="str">
        <x:v>Prototype condensé</x:v>
      </x:c>
      <x:c r="Q69" s="14" t="str">
        <x:v>Rencontre condensée du fan game. Ne représente pas toutes les rencontres ou tous les scripts du lieu original.</x:v>
      </x:c>
    </x:row>
  </x:sheetData>
  <x:conditionalFormatting sqref="C7:C69">
    <x:cfRule type="cellIs" dxfId="45" priority="1" operator="equal">
      <x:formula>"Prototype"</x:formula>
    </x:cfRule>
    <x:cfRule type="cellIs" dxfId="46" priority="2" operator="equal">
      <x:formula>"Intégré"</x:formula>
    </x:cfRule>
    <x:cfRule type="cellIs" dxfId="47" priority="3" operator="equal">
      <x:formula>"Validé"</x:formula>
    </x:cfRule>
  </x:conditionalFormatting>
  <x:conditionalFormatting sqref="G7:G69">
    <x:cfRule type="cellIs" dxfId="48" priority="4" operator="equal">
      <x:formula>"Référence à vérifier"</x:formula>
    </x:cfRule>
  </x:conditionalFormatting>
  <x:conditionalFormatting sqref="E7:E69">
    <x:cfRule type="cellIs" dxfId="49" priority="5" operator="equal">
      <x:formula>"P0"</x:formula>
    </x:cfRule>
  </x:conditionalFormatting>
  <x:dataValidations count="5">
    <x:dataValidation type="list" sqref="C7:C69">
      <x:formula1>"Défini,Prototype,Intégré,Validé"</x:formula1>
    </x:dataValidation>
    <x:dataValidation type="list" sqref="D7:D69">
      <x:formula1>"À produire,Prototype,Disponible,Validé,Sans objet,Non planifié"</x:formula1>
    </x:dataValidation>
    <x:dataValidation type="list" sqref="E7:E69">
      <x:formula1>"P0,P1,P2"</x:formula1>
    </x:dataValidation>
    <x:dataValidation type="list" sqref="F7:F69">
      <x:formula1>"ME1,ME2,ME3"</x:formula1>
    </x:dataValidation>
    <x:dataValidation type="list" sqref="G7:G69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78a37f0ad24839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Missions annexes et extensions de ME1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SIDE-citadelle-la-consort</x:v>
      </x:c>
      <x:c r="B7" s="14" t="str">
        <x:v>Citadelle La Consort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Résoudre les accusations contre Sha’ira.</x:v>
      </x:c>
      <x:c r="I7" s="14" t="str">
        <x:v>Branches Septimus et Xeltan reliées.</x:v>
      </x:c>
      <x:c r="J7" s="14" t="str"/>
      <x:c r="K7" s="14" t="str">
        <x:v>content/side_quests/SIDE-citadelle-la-consort.json</x:v>
      </x:c>
      <x:c r="L7" s="14" t="str"/>
      <x:c r="M7" s="14" t="str"/>
      <x:c r="N7" s="14" t="str">
        <x:v>Liste de couverture des affectations ; titres français et déclencheurs à recouper dans ME1.</x:v>
      </x:c>
      <x:c r="O7" s="14" t="str">
        <x:v>https://primagames.com/eguides/mass-effect-pc-eguide/walkthrough/spectre-assignments-noveria-and-feros/feros-assignments</x:v>
      </x:c>
      <x:c r="P7" s="14" t="str">
        <x:v>Production ME1</x:v>
      </x:c>
      <x:c r="Q7" s="14" t="str"/>
    </x:row>
    <x:row r="8" ht="49" customHeight="1">
      <x:c r="A8" s="12" t="str">
        <x:v>SIDE-citadelle-retour-a-la-maison</x:v>
      </x:c>
      <x:c r="B8" s="7" t="str">
        <x:v>Citadelle Retour à la maison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Demande de Samesh Bhatia.</x:v>
      </x:c>
      <x:c r="I8" s="7" t="str">
        <x:v>Résolution par dialogue et résultat explicités.</x:v>
      </x:c>
      <x:c r="J8" s="7" t="str"/>
      <x:c r="K8" s="7" t="str">
        <x:v>content/side_quests/SIDE-citadelle-retour-a-la-maison.json</x:v>
      </x:c>
      <x:c r="L8" s="7" t="str"/>
      <x:c r="M8" s="7" t="str"/>
      <x:c r="N8" s="7" t="str">
        <x:v>Liste de couverture des affectations ; titres français et déclencheurs à recouper dans ME1.</x:v>
      </x:c>
      <x:c r="O8" s="7" t="str">
        <x:v>https://primagames.com/eguides/mass-effect-pc-eguide/walkthrough/spectre-assignments-noveria-and-feros/feros-assignments</x:v>
      </x:c>
      <x:c r="P8" s="7" t="str">
        <x:v>Production ME1</x:v>
      </x:c>
      <x:c r="Q8" s="7" t="str"/>
    </x:row>
    <x:row r="9" ht="49" customHeight="1">
      <x:c r="A9" s="13" t="str">
        <x:v>SIDE-citadelle-le-fan</x:v>
      </x:c>
      <x:c r="B9" s="14" t="str">
        <x:v>Citadelle Le Fan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Rencontres successives avec Conrad Verner.</x:v>
      </x:c>
      <x:c r="I9" s="14" t="str">
        <x:v>Évolution entre visites sans boucler la récompense.</x:v>
      </x:c>
      <x:c r="J9" s="14" t="str"/>
      <x:c r="K9" s="14" t="str">
        <x:v>content/side_quests/SIDE-citadelle-le-fan.json</x:v>
      </x:c>
      <x:c r="L9" s="14" t="str"/>
      <x:c r="M9" s="14" t="str"/>
      <x:c r="N9" s="14" t="str">
        <x:v>Liste de couverture des affectations ; titres français et déclencheurs à recouper dans ME1.</x:v>
      </x:c>
      <x:c r="O9" s="14" t="str">
        <x:v>https://primagames.com/eguides/mass-effect-pc-eguide/walkthrough/spectre-assignments-noveria-and-feros/feros-assignments</x:v>
      </x:c>
      <x:c r="P9" s="14" t="str">
        <x:v>Production ME1</x:v>
      </x:c>
      <x:c r="Q9" s="14" t="str"/>
    </x:row>
    <x:row r="10" ht="49" customHeight="1">
      <x:c r="A10" s="12" t="str">
        <x:v>SIDE-citadelle-la-s-ur-de-rita</x:v>
      </x:c>
      <x:c r="B10" s="7" t="str">
        <x:v>Citadelle La Sœur de Rita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Enquête autour de Jenna.</x:v>
      </x:c>
      <x:c r="I10" s="7" t="str">
        <x:v>SSC, marché et protection de Jenna suivis.</x:v>
      </x:c>
      <x:c r="J10" s="7" t="str"/>
      <x:c r="K10" s="7" t="str">
        <x:v>content/side_quests/SIDE-citadelle-la-s-ur-de-rita.json</x:v>
      </x:c>
      <x:c r="L10" s="7" t="str"/>
      <x:c r="M10" s="7" t="str"/>
      <x:c r="N10" s="7" t="str">
        <x:v>Liste de couverture des affectations ; titres français et déclencheurs à recouper dans ME1.</x:v>
      </x:c>
      <x:c r="O10" s="7" t="str">
        <x:v>https://primagames.com/eguides/mass-effect-pc-eguide/walkthrough/spectre-assignments-noveria-and-feros/feros-assignments</x:v>
      </x:c>
      <x:c r="P10" s="7" t="str">
        <x:v>Production ME1</x:v>
      </x:c>
      <x:c r="Q10" s="7" t="str"/>
    </x:row>
    <x:row r="11" ht="49" customHeight="1">
      <x:c r="A11" s="13" t="str">
        <x:v>SIDE-citadelle-les-veilleurs</x:v>
      </x:c>
      <x:c r="B11" s="14" t="str">
        <x:v>Citadelle Les Veilleurs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Scanner les Veilleurs pour Chorban.</x:v>
      </x:c>
      <x:c r="I11" s="14" t="str">
        <x:v>Comptage unique par identifiant de créature.</x:v>
      </x:c>
      <x:c r="J11" s="14" t="str"/>
      <x:c r="K11" s="14" t="str">
        <x:v>content/side_quests/SIDE-citadelle-les-veilleurs.json</x:v>
      </x:c>
      <x:c r="L11" s="14" t="str"/>
      <x:c r="M11" s="14" t="str"/>
      <x:c r="N11" s="14" t="str">
        <x:v>Liste de couverture des affectations ; titres français et déclencheurs à recouper dans ME1.</x:v>
      </x:c>
      <x:c r="O11" s="14" t="str">
        <x:v>https://primagames.com/eguides/mass-effect-pc-eguide/walkthrough/spectre-assignments-noveria-and-feros/feros-assignments</x:v>
      </x:c>
      <x:c r="P11" s="14" t="str">
        <x:v>Production ME1</x:v>
      </x:c>
      <x:c r="Q11" s="14" t="str"/>
    </x:row>
    <x:row r="12" ht="49" customHeight="1">
      <x:c r="A12" s="12" t="str">
        <x:v>SIDE-citadelle-les-peurs-de-jahleed</x:v>
      </x:c>
      <x:c r="B12" s="7" t="str">
        <x:v>Citadelle Les Peurs de Jahleed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Conflit autour des données de recherche.</x:v>
      </x:c>
      <x:c r="I12" s="7" t="str">
        <x:v>Ordre alternatif des rencontres géré.</x:v>
      </x:c>
      <x:c r="J12" s="7" t="str"/>
      <x:c r="K12" s="7" t="str">
        <x:v>content/side_quests/SIDE-citadelle-les-peurs-de-jahleed.json</x:v>
      </x:c>
      <x:c r="L12" s="7" t="str"/>
      <x:c r="M12" s="7" t="str"/>
      <x:c r="N12" s="7" t="str">
        <x:v>Liste de couverture des affectations ; titres français et déclencheurs à recouper dans ME1.</x:v>
      </x:c>
      <x:c r="O12" s="7" t="str">
        <x:v>https://primagames.com/eguides/mass-effect-pc-eguide/walkthrough/spectre-assignments-noveria-and-feros/feros-assignments</x:v>
      </x:c>
      <x:c r="P12" s="7" t="str">
        <x:v>Production ME1</x:v>
      </x:c>
      <x:c r="Q12" s="7" t="str"/>
    </x:row>
    <x:row r="13" ht="49" customHeight="1">
      <x:c r="A13" s="13" t="str">
        <x:v>SIDE-citadelle-le-joueur</x:v>
      </x:c>
      <x:c r="B13" s="14" t="str">
        <x:v>Citadelle Le Joueur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Données demandées par Schells au Flux.</x:v>
      </x:c>
      <x:c r="I13" s="14" t="str">
        <x:v>Choix de coopération ou de remise à Doran.</x:v>
      </x:c>
      <x:c r="J13" s="14" t="str"/>
      <x:c r="K13" s="14" t="str">
        <x:v>content/side_quests/SIDE-citadelle-le-joueur.json</x:v>
      </x:c>
      <x:c r="L13" s="14" t="str"/>
      <x:c r="M13" s="14" t="str"/>
      <x:c r="N13" s="14" t="str">
        <x:v>Liste de couverture des affectations ; titres français et déclencheurs à recouper dans ME1.</x:v>
      </x:c>
      <x:c r="O13" s="14" t="str">
        <x:v>https://primagames.com/eguides/mass-effect-pc-eguide/walkthrough/spectre-assignments-noveria-and-feros/feros-assignments</x:v>
      </x:c>
      <x:c r="P13" s="14" t="str">
        <x:v>Production ME1</x:v>
      </x:c>
      <x:c r="Q13" s="14" t="str"/>
    </x:row>
    <x:row r="14" ht="49" customHeight="1">
      <x:c r="A14" s="12" t="str">
        <x:v>SIDE-citadelle-signal-suspect</x:v>
      </x:c>
      <x:c r="B14" s="7" t="str">
        <x:v>Citadelle Signal suspect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Piste d’un transfert de crédits.</x:v>
      </x:c>
      <x:c r="I14" s="7" t="str">
        <x:v>Terminaux et destination finale documentés.</x:v>
      </x:c>
      <x:c r="J14" s="7" t="str"/>
      <x:c r="K14" s="7" t="str">
        <x:v>content/side_quests/SIDE-citadelle-signal-suspect.json</x:v>
      </x:c>
      <x:c r="L14" s="7" t="str"/>
      <x:c r="M14" s="7" t="str"/>
      <x:c r="N14" s="7" t="str">
        <x:v>Liste de couverture des affectations ; titres français et déclencheurs à recouper dans ME1.</x:v>
      </x:c>
      <x:c r="O14" s="7" t="str">
        <x:v>https://primagames.com/eguides/mass-effect-pc-eguide/walkthrough/spectre-assignments-noveria-and-feros/feros-assignments</x:v>
      </x:c>
      <x:c r="P14" s="7" t="str">
        <x:v>Production ME1</x:v>
      </x:c>
      <x:c r="Q14" s="7" t="str"/>
    </x:row>
    <x:row r="15" ht="49" customHeight="1">
      <x:c r="A15" s="13" t="str">
        <x:v>SIDE-citadelle-docteur-michel</x:v>
      </x:c>
      <x:c r="B15" s="14" t="str">
        <x:v>Citadelle Docteur Michel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Résoudre le chantage à la clinique.</x:v>
      </x:c>
      <x:c r="I15" s="14" t="str">
        <x:v>Déblocage du service et issue du chantage.</x:v>
      </x:c>
      <x:c r="J15" s="14" t="str"/>
      <x:c r="K15" s="14" t="str">
        <x:v>content/side_quests/SIDE-citadelle-docteur-michel.json</x:v>
      </x:c>
      <x:c r="L15" s="14" t="str"/>
      <x:c r="M15" s="14" t="str"/>
      <x:c r="N15" s="14" t="str">
        <x:v>Liste de couverture des affectations ; titres français et déclencheurs à recouper dans ME1.</x:v>
      </x:c>
      <x:c r="O15" s="14" t="str">
        <x:v>https://primagames.com/eguides/mass-effect-pc-eguide/walkthrough/spectre-assignments-noveria-and-feros/feros-assignments</x:v>
      </x:c>
      <x:c r="P15" s="14" t="str">
        <x:v>Production ME1</x:v>
      </x:c>
      <x:c r="Q15" s="14" t="str"/>
    </x:row>
    <x:row r="16" ht="49" customHeight="1">
      <x:c r="A16" s="12" t="str">
        <x:v>SIDE-citadelle-demande-d-emily-wong</x:v>
      </x:c>
      <x:c r="B16" s="7" t="str">
        <x:v>Citadelle Demande d’Emily Wong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Obtenir des informations pour la journaliste.</x:v>
      </x:c>
      <x:c r="I16" s="7" t="str">
        <x:v>Preuves et récompense non duplicables.</x:v>
      </x:c>
      <x:c r="J16" s="7" t="str"/>
      <x:c r="K16" s="7" t="str">
        <x:v>content/side_quests/SIDE-citadelle-demande-d-emily-wong.json</x:v>
      </x:c>
      <x:c r="L16" s="7" t="str"/>
      <x:c r="M16" s="7" t="str"/>
      <x:c r="N16" s="7" t="str">
        <x:v>Liste de couverture des affectations ; titres français et déclencheurs à recouper dans ME1.</x:v>
      </x:c>
      <x:c r="O16" s="7" t="str">
        <x:v>https://primagames.com/eguides/mass-effect-pc-eguide/walkthrough/spectre-assignments-noveria-and-feros/feros-assignments</x:v>
      </x:c>
      <x:c r="P16" s="7" t="str">
        <x:v>Production ME1</x:v>
      </x:c>
      <x:c r="Q16" s="7" t="str"/>
    </x:row>
    <x:row r="17" ht="49" customHeight="1">
      <x:c r="A17" s="13" t="str">
        <x:v>SIDE-citadelle-controle-du-trafic</x:v>
      </x:c>
      <x:c r="B17" s="14" t="str">
        <x:v>Citadelle Contrôle du trafic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Installer ou traiter la demande de surveillance.</x:v>
      </x:c>
      <x:c r="I17" s="14" t="str">
        <x:v>Choix de mentir ou d’aider enregistré.</x:v>
      </x:c>
      <x:c r="J17" s="14" t="str"/>
      <x:c r="K17" s="14" t="str">
        <x:v>content/side_quests/SIDE-citadelle-controle-du-trafic.json</x:v>
      </x:c>
      <x:c r="L17" s="14" t="str"/>
      <x:c r="M17" s="14" t="str"/>
      <x:c r="N17" s="14" t="str">
        <x:v>Liste de couverture des affectations ; titres français et déclencheurs à recouper dans ME1.</x:v>
      </x:c>
      <x:c r="O17" s="14" t="str">
        <x:v>https://primagames.com/eguides/mass-effect-pc-eguide/walkthrough/spectre-assignments-noveria-and-feros/feros-assignments</x:v>
      </x:c>
      <x:c r="P17" s="14" t="str">
        <x:v>Production ME1</x:v>
      </x:c>
      <x:c r="Q17" s="14" t="str"/>
    </x:row>
    <x:row r="18" ht="49" customHeight="1">
      <x:c r="A18" s="12" t="str">
        <x:v>SIDE-citadelle-interview</x:v>
      </x:c>
      <x:c r="B18" s="7" t="str">
        <x:v>Citadelle Interview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Répondre à Khalisah al-Jilani.</x:v>
      </x:c>
      <x:c r="I18" s="7" t="str">
        <x:v>Réactions et vidéo contextualisées.</x:v>
      </x:c>
      <x:c r="J18" s="7" t="str"/>
      <x:c r="K18" s="7" t="str">
        <x:v>content/side_quests/SIDE-citadelle-interview.json</x:v>
      </x:c>
      <x:c r="L18" s="7" t="str"/>
      <x:c r="M18" s="7" t="str"/>
      <x:c r="N18" s="7" t="str">
        <x:v>Liste de couverture des affectations ; titres français et déclencheurs à recouper dans ME1.</x:v>
      </x:c>
      <x:c r="O18" s="7" t="str">
        <x:v>https://primagames.com/eguides/mass-effect-pc-eguide/walkthrough/spectre-assignments-noveria-and-feros/feros-assignments</x:v>
      </x:c>
      <x:c r="P18" s="7" t="str">
        <x:v>Production ME1</x:v>
      </x:c>
      <x:c r="Q18" s="7" t="str"/>
    </x:row>
    <x:row r="19" ht="49" customHeight="1">
      <x:c r="A19" s="13" t="str">
        <x:v>SIDE-citadelle-notre-pire-ennemi</x:v>
      </x:c>
      <x:c r="B19" s="14" t="str">
        <x:v>Citadelle Notre pire ennemi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Rencontre politique dans les Secteurs.</x:v>
      </x:c>
      <x:c r="I19" s="14" t="str">
        <x:v>Opinions et conséquences sans combat forcé.</x:v>
      </x:c>
      <x:c r="J19" s="14" t="str"/>
      <x:c r="K19" s="14" t="str">
        <x:v>content/side_quests/SIDE-citadelle-notre-pire-ennemi.json</x:v>
      </x:c>
      <x:c r="L19" s="14" t="str"/>
      <x:c r="M19" s="14" t="str"/>
      <x:c r="N19" s="14" t="str">
        <x:v>Liste de couverture des affectations ; titres français et déclencheurs à recouper dans ME1.</x:v>
      </x:c>
      <x:c r="O19" s="14" t="str">
        <x:v>https://primagames.com/eguides/mass-effect-pc-eguide/walkthrough/spectre-assignments-noveria-and-feros/feros-assignments</x:v>
      </x:c>
      <x:c r="P19" s="14" t="str">
        <x:v>Production ME1</x:v>
      </x:c>
      <x:c r="Q19" s="14" t="str"/>
    </x:row>
    <x:row r="20" ht="49" customHeight="1">
      <x:c r="A20" s="12" t="str">
        <x:v>SIDE-citadelle-affaire-familiale</x:v>
      </x:c>
      <x:c r="B20" s="7" t="str">
        <x:v>Citadelle Affaire familiale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Débat familial lié à une grossesse.</x:v>
      </x:c>
      <x:c r="I20" s="7" t="str">
        <x:v>Choix de dialogue vérifié avec prudence narrative.</x:v>
      </x:c>
      <x:c r="J20" s="7" t="str"/>
      <x:c r="K20" s="7" t="str">
        <x:v>content/side_quests/SIDE-citadelle-affaire-familiale.json</x:v>
      </x:c>
      <x:c r="L20" s="7" t="str"/>
      <x:c r="M20" s="7" t="str"/>
      <x:c r="N20" s="7" t="str">
        <x:v>Liste de couverture des affectations ; titres français et déclencheurs à recouper dans ME1.</x:v>
      </x:c>
      <x:c r="O20" s="7" t="str">
        <x:v>https://primagames.com/eguides/mass-effect-pc-eguide/walkthrough/spectre-assignments-noveria-and-feros/feros-assignments</x:v>
      </x:c>
      <x:c r="P20" s="7" t="str">
        <x:v>Production ME1</x:v>
      </x:c>
      <x:c r="Q20" s="7" t="str"/>
    </x:row>
    <x:row r="21" ht="49" customHeight="1">
      <x:c r="A21" s="13" t="str">
        <x:v>SIDE-citadelle-negociateur-asari</x:v>
      </x:c>
      <x:c r="B21" s="14" t="str">
        <x:v>Citadelle Négociateur asari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Rencontre conditionnelle avec une interlocutrice.</x:v>
      </x:c>
      <x:c r="I21" s="14" t="str">
        <x:v>Condition et récompense à relever.</x:v>
      </x:c>
      <x:c r="J21" s="14" t="str"/>
      <x:c r="K21" s="14" t="str">
        <x:v>content/side_quests/SIDE-citadelle-negociateur-asari.json</x:v>
      </x:c>
      <x:c r="L21" s="14" t="str"/>
      <x:c r="M21" s="14" t="str"/>
      <x:c r="N21" s="14" t="str">
        <x:v>Liste de couverture des affectations ; titres français et déclencheurs à recouper dans ME1.</x:v>
      </x:c>
      <x:c r="O21" s="14" t="str">
        <x:v>https://primagames.com/eguides/mass-effect-pc-eguide/walkthrough/spectre-assignments-noveria-and-feros/feros-assignments</x:v>
      </x:c>
      <x:c r="P21" s="14" t="str">
        <x:v>Production ME1</x:v>
      </x:c>
      <x:c r="Q21" s="14" t="str"/>
    </x:row>
    <x:row r="22" ht="49" customHeight="1">
      <x:c r="A22" s="12" t="str">
        <x:v>SIDE-citadelle-vieille-connaissance</x:v>
      </x:c>
      <x:c r="B22" s="7" t="str">
        <x:v>Citadelle Vieille connaissance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Quête liée à l’origine terrienne de Shepard.</x:v>
      </x:c>
      <x:c r="I22" s="7" t="str">
        <x:v>Disponible uniquement au profil concerné.</x:v>
      </x:c>
      <x:c r="J22" s="7" t="str"/>
      <x:c r="K22" s="7" t="str">
        <x:v>content/side_quests/SIDE-citadelle-vieille-connaissance.json</x:v>
      </x:c>
      <x:c r="L22" s="7" t="str"/>
      <x:c r="M22" s="7" t="str"/>
      <x:c r="N22" s="7" t="str">
        <x:v>Liste de couverture des affectations ; titres français et déclencheurs à recouper dans ME1.</x:v>
      </x:c>
      <x:c r="O22" s="7" t="str">
        <x:v>https://primagames.com/eguides/mass-effect-pc-eguide/walkthrough/spectre-assignments-noveria-and-feros/feros-assignments</x:v>
      </x:c>
      <x:c r="P22" s="7" t="str">
        <x:v>Production ME1</x:v>
      </x:c>
      <x:c r="Q22" s="7" t="str"/>
    </x:row>
    <x:row r="23" ht="49" customHeight="1">
      <x:c r="A23" s="13" t="str">
        <x:v>SIDE-citadelle-ancien-du-service</x:v>
      </x:c>
      <x:c r="B23" s="14" t="str">
        <x:v>Citadelle Ancien du service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Quête liée à l’origine spatiale de Shepard.</x:v>
      </x:c>
      <x:c r="I23" s="14" t="str">
        <x:v>Contact familial et condition d’origine.</x:v>
      </x:c>
      <x:c r="J23" s="14" t="str"/>
      <x:c r="K23" s="14" t="str">
        <x:v>content/side_quests/SIDE-citadelle-ancien-du-service.json</x:v>
      </x:c>
      <x:c r="L23" s="14" t="str"/>
      <x:c r="M23" s="14" t="str"/>
      <x:c r="N23" s="14" t="str">
        <x:v>Liste de couverture des affectations ; titres français et déclencheurs à recouper dans ME1.</x:v>
      </x:c>
      <x:c r="O23" s="14" t="str">
        <x:v>https://primagames.com/eguides/mass-effect-pc-eguide/walkthrough/spectre-assignments-noveria-and-feros/feros-assignments</x:v>
      </x:c>
      <x:c r="P23" s="14" t="str">
        <x:v>Production ME1</x:v>
      </x:c>
      <x:c r="Q23" s="14" t="str"/>
    </x:row>
    <x:row r="24" ht="49" customHeight="1">
      <x:c r="A24" s="12" t="str">
        <x:v>SIDE-citadelle-souvenirs-de-mindoir</x:v>
      </x:c>
      <x:c r="B24" s="7" t="str">
        <x:v>Citadelle Souvenirs de Mindoir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Quête liée à l’origine coloniale de Shepard.</x:v>
      </x:c>
      <x:c r="I24" s="7" t="str">
        <x:v>Dialogue sensible et condition d’origine.</x:v>
      </x:c>
      <x:c r="J24" s="7" t="str"/>
      <x:c r="K24" s="7" t="str">
        <x:v>content/side_quests/SIDE-citadelle-souvenirs-de-mindoir.json</x:v>
      </x:c>
      <x:c r="L24" s="7" t="str"/>
      <x:c r="M24" s="7" t="str"/>
      <x:c r="N24" s="7" t="str">
        <x:v>Liste de couverture des affectations ; titres français et déclencheurs à recouper dans ME1.</x:v>
      </x:c>
      <x:c r="O24" s="7" t="str">
        <x:v>https://primagames.com/eguides/mass-effect-pc-eguide/walkthrough/spectre-assignments-noveria-and-feros/feros-assignments</x:v>
      </x:c>
      <x:c r="P24" s="7" t="str">
        <x:v>Production ME1</x:v>
      </x:c>
      <x:c r="Q24" s="7" t="str"/>
    </x:row>
    <x:row r="25" ht="49" customHeight="1">
      <x:c r="A25" s="13" t="str">
        <x:v>SIDE-feros-retablissement-de-l-eau</x:v>
      </x:c>
      <x:c r="B25" s="14" t="str">
        <x:v>Feros Rétablissement de l’eau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Activer les vannes des tunnels.</x:v>
      </x:c>
      <x:c r="I25" s="14" t="str">
        <x:v>Toutes les vannes persistantes et retour à Macha.</x:v>
      </x:c>
      <x:c r="J25" s="14" t="str"/>
      <x:c r="K25" s="14" t="str">
        <x:v>content/side_quests/SIDE-feros-retablissement-de-l-eau.json</x:v>
      </x:c>
      <x:c r="L25" s="14" t="str"/>
      <x:c r="M25" s="14" t="str"/>
      <x:c r="N25" s="14" t="str">
        <x:v>Liste de couverture des affectations ; titres français et déclencheurs à recouper dans ME1.</x:v>
      </x:c>
      <x:c r="O25" s="14" t="str">
        <x:v>https://primagames.com/eguides/mass-effect-pc-eguide/walkthrough/spectre-assignments-noveria-and-feros/feros-assignments</x:v>
      </x:c>
      <x:c r="P25" s="14" t="str">
        <x:v>Production ME1</x:v>
      </x:c>
      <x:c r="Q25" s="14" t="str"/>
    </x:row>
    <x:row r="26" ht="49" customHeight="1">
      <x:c r="A26" s="12" t="str">
        <x:v>SIDE-feros-varrens</x:v>
      </x:c>
      <x:c r="B26" s="7" t="str">
        <x:v>Feros Varrens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Éliminer la menace contre le ravitaillement.</x:v>
      </x:c>
      <x:c r="I26" s="7" t="str">
        <x:v>Alpha et compteur d’ennemis documentés.</x:v>
      </x:c>
      <x:c r="J26" s="7" t="str"/>
      <x:c r="K26" s="7" t="str">
        <x:v>content/side_quests/SIDE-feros-varrens.json</x:v>
      </x:c>
      <x:c r="L26" s="7" t="str"/>
      <x:c r="M26" s="7" t="str"/>
      <x:c r="N26" s="7" t="str">
        <x:v>Liste de couverture des affectations ; titres français et déclencheurs à recouper dans ME1.</x:v>
      </x:c>
      <x:c r="O26" s="7" t="str">
        <x:v>https://primagames.com/eguides/mass-effect-pc-eguide/walkthrough/spectre-assignments-noveria-and-feros/feros-assignments</x:v>
      </x:c>
      <x:c r="P26" s="7" t="str">
        <x:v>Production ME1</x:v>
      </x:c>
      <x:c r="Q26" s="7" t="str"/>
    </x:row>
    <x:row r="27" ht="49" customHeight="1">
      <x:c r="A27" s="13" t="str">
        <x:v>SIDE-feros-cellules-energetiques</x:v>
      </x:c>
      <x:c r="B27" s="14" t="str">
        <x:v>Feros Cellules énergétiques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Récupérer des cellules pour la colonie.</x:v>
      </x:c>
      <x:c r="I27" s="14" t="str">
        <x:v>Livraison unique à May.</x:v>
      </x:c>
      <x:c r="J27" s="14" t="str"/>
      <x:c r="K27" s="14" t="str">
        <x:v>content/side_quests/SIDE-feros-cellules-energetiques.json</x:v>
      </x:c>
      <x:c r="L27" s="14" t="str"/>
      <x:c r="M27" s="14" t="str"/>
      <x:c r="N27" s="14" t="str">
        <x:v>Liste de couverture des affectations ; titres français et déclencheurs à recouper dans ME1.</x:v>
      </x:c>
      <x:c r="O27" s="14" t="str">
        <x:v>https://primagames.com/eguides/mass-effect-pc-eguide/walkthrough/spectre-assignments-noveria-and-feros/feros-assignments</x:v>
      </x:c>
      <x:c r="P27" s="14" t="str">
        <x:v>Production ME1</x:v>
      </x:c>
      <x:c r="Q27" s="14" t="str"/>
    </x:row>
    <x:row r="28" ht="49" customHeight="1">
      <x:c r="A28" s="12" t="str">
        <x:v>SIDE-feros-geth-dans-les-tunnels</x:v>
      </x:c>
      <x:c r="B28" s="7" t="str">
        <x:v>Feros Geth dans les tunnels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Nettoyer une menace locale.</x:v>
      </x:c>
      <x:c r="I28" s="7" t="str">
        <x:v>Récompense séparée de l’intrigue principale.</x:v>
      </x:c>
      <x:c r="J28" s="7" t="str"/>
      <x:c r="K28" s="7" t="str">
        <x:v>content/side_quests/SIDE-feros-geth-dans-les-tunnels.json</x:v>
      </x:c>
      <x:c r="L28" s="7" t="str"/>
      <x:c r="M28" s="7" t="str"/>
      <x:c r="N28" s="7" t="str">
        <x:v>Liste de couverture des affectations ; titres français et déclencheurs à recouper dans ME1.</x:v>
      </x:c>
      <x:c r="O28" s="7" t="str">
        <x:v>https://primagames.com/eguides/mass-effect-pc-eguide/walkthrough/spectre-assignments-noveria-and-feros/feros-assignments</x:v>
      </x:c>
      <x:c r="P28" s="7" t="str">
        <x:v>Production ME1</x:v>
      </x:c>
      <x:c r="Q28" s="7" t="str"/>
    </x:row>
    <x:row r="29" ht="49" customHeight="1">
      <x:c r="A29" s="13" t="str">
        <x:v>SIDE-noveria-contrebande</x:v>
      </x:c>
      <x:c r="B29" s="14" t="str">
        <x:v>Noveria Contrebande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Acheminer ou dénoncer le paquet d’Opold.</x:v>
      </x:c>
      <x:c r="I29" s="14" t="str">
        <x:v>Destinataire et gains dépendants du choix.</x:v>
      </x:c>
      <x:c r="J29" s="14" t="str"/>
      <x:c r="K29" s="14" t="str">
        <x:v>content/side_quests/SIDE-noveria-contrebande.json</x:v>
      </x:c>
      <x:c r="L29" s="14" t="str"/>
      <x:c r="M29" s="14" t="str"/>
      <x:c r="N29" s="14" t="str">
        <x:v>Liste de couverture des affectations ; titres français et déclencheurs à recouper dans ME1.</x:v>
      </x:c>
      <x:c r="O29" s="14" t="str">
        <x:v>https://primagames.com/eguides/mass-effect-pc-eguide/walkthrough/spectre-assignments-noveria-and-feros/feros-assignments</x:v>
      </x:c>
      <x:c r="P29" s="14" t="str">
        <x:v>Production ME1</x:v>
      </x:c>
      <x:c r="Q29" s="14" t="str"/>
    </x:row>
    <x:row r="30" ht="49" customHeight="1">
      <x:c r="A30" s="12" t="str">
        <x:v>SIDE-noveria-espionnage</x:v>
      </x:c>
      <x:c r="B30" s="7" t="str">
        <x:v>Noveria Espionnage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Traiter une demande d’espionnage industriel.</x:v>
      </x:c>
      <x:c r="I30" s="7" t="str">
        <x:v>Consentement et preuve enregistrés.</x:v>
      </x:c>
      <x:c r="J30" s="7" t="str"/>
      <x:c r="K30" s="7" t="str">
        <x:v>content/side_quests/SIDE-noveria-espionnage.json</x:v>
      </x:c>
      <x:c r="L30" s="7" t="str"/>
      <x:c r="M30" s="7" t="str"/>
      <x:c r="N30" s="7" t="str">
        <x:v>Liste de couverture des affectations ; titres français et déclencheurs à recouper dans ME1.</x:v>
      </x:c>
      <x:c r="O30" s="7" t="str">
        <x:v>https://primagames.com/eguides/mass-effect-pc-eguide/walkthrough/spectre-assignments-noveria-and-feros/feros-assignments</x:v>
      </x:c>
      <x:c r="P30" s="7" t="str">
        <x:v>Production ME1</x:v>
      </x:c>
      <x:c r="Q30" s="7" t="str"/>
    </x:row>
    <x:row r="31" ht="49" customHeight="1">
      <x:c r="A31" s="13" t="str">
        <x:v>SIDE-noveria-lorik-qui-in</x:v>
      </x:c>
      <x:c r="B31" s="14" t="str">
        <x:v>Noveria Lorik Qui’in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Récupérer les preuves et négocier le témoignage.</x:v>
      </x:c>
      <x:c r="I31" s="14" t="str">
        <x:v>Issue de l’affaire Anoleis cohérente.</x:v>
      </x:c>
      <x:c r="J31" s="14" t="str"/>
      <x:c r="K31" s="14" t="str">
        <x:v>content/side_quests/SIDE-noveria-lorik-qui-in.json</x:v>
      </x:c>
      <x:c r="L31" s="14" t="str"/>
      <x:c r="M31" s="14" t="str"/>
      <x:c r="N31" s="14" t="str">
        <x:v>Liste de couverture des affectations ; titres français et déclencheurs à recouper dans ME1.</x:v>
      </x:c>
      <x:c r="O31" s="14" t="str">
        <x:v>https://primagames.com/eguides/mass-effect-pc-eguide/walkthrough/spectre-assignments-noveria-and-feros/feros-assignments</x:v>
      </x:c>
      <x:c r="P31" s="14" t="str">
        <x:v>Production ME1</x:v>
      </x:c>
      <x:c r="Q31" s="14" t="str"/>
    </x:row>
    <x:row r="32" ht="49" customHeight="1">
      <x:c r="A32" s="12" t="str">
        <x:v>SIDE-unc-equipe-disparue</x:v>
      </x:c>
      <x:c r="B32" s="7" t="str">
        <x:v>UNC Équipe disparue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Rechercher les hommes de Kahoku sur Edolus.</x:v>
      </x:c>
      <x:c r="I32" s="7" t="str">
        <x:v>Découverte et rapport avant la chaîne Cerberus.</x:v>
      </x:c>
      <x:c r="J32" s="7" t="str"/>
      <x:c r="K32" s="7" t="str">
        <x:v>content/side_quests/SIDE-unc-equipe-disparue.json</x:v>
      </x:c>
      <x:c r="L32" s="7" t="str"/>
      <x:c r="M32" s="7" t="str"/>
      <x:c r="N32" s="7" t="str">
        <x:v>Liste de couverture des affectations ; titres français et déclencheurs à recouper dans ME1.</x:v>
      </x:c>
      <x:c r="O32" s="7" t="str">
        <x:v>https://primagames.com/eguides/mass-effect-pc-eguide/walkthrough/spectre-assignments-noveria-and-feros/feros-assignments</x:v>
      </x:c>
      <x:c r="P32" s="7" t="str">
        <x:v>Production ME1</x:v>
      </x:c>
      <x:c r="Q32" s="7" t="str"/>
    </x:row>
    <x:row r="33" ht="49" customHeight="1">
      <x:c r="A33" s="13" t="str">
        <x:v>SIDE-unc-cerberus</x:v>
      </x:c>
      <x:c r="B33" s="14" t="str">
        <x:v>UNC Cerberus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Enquêter sur les installations clandestines.</x:v>
      </x:c>
      <x:c r="I33" s="14" t="str">
        <x:v>Ordre des bases et preuves contrôlé.</x:v>
      </x:c>
      <x:c r="J33" s="14" t="str"/>
      <x:c r="K33" s="14" t="str">
        <x:v>content/side_quests/SIDE-unc-cerberus.json</x:v>
      </x:c>
      <x:c r="L33" s="14" t="str"/>
      <x:c r="M33" s="14" t="str"/>
      <x:c r="N33" s="14" t="str">
        <x:v>Liste de couverture des affectations ; titres français et déclencheurs à recouper dans ME1.</x:v>
      </x:c>
      <x:c r="O33" s="14" t="str">
        <x:v>https://primagames.com/eguides/mass-effect-pc-eguide/walkthrough/spectre-assignments-noveria-and-feros/feros-assignments</x:v>
      </x:c>
      <x:c r="P33" s="14" t="str">
        <x:v>Production ME1</x:v>
      </x:c>
      <x:c r="Q33" s="14" t="str"/>
    </x:row>
    <x:row r="34" ht="49" customHeight="1">
      <x:c r="A34" s="12" t="str">
        <x:v>SIDE-unc-chiens-de-l-enfer</x:v>
      </x:c>
      <x:c r="B34" s="7" t="str">
        <x:v>UNC Chiens de l’enfer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Poursuivre la chaîne d’enquête Cerberus.</x:v>
      </x:c>
      <x:c r="I34" s="7" t="str">
        <x:v>Conditions issues de la mission précédente.</x:v>
      </x:c>
      <x:c r="J34" s="7" t="str"/>
      <x:c r="K34" s="7" t="str">
        <x:v>content/side_quests/SIDE-unc-chiens-de-l-enfer.json</x:v>
      </x:c>
      <x:c r="L34" s="7" t="str"/>
      <x:c r="M34" s="7" t="str"/>
      <x:c r="N34" s="7" t="str">
        <x:v>Liste de couverture des affectations ; titres français et déclencheurs à recouper dans ME1.</x:v>
      </x:c>
      <x:c r="O34" s="7" t="str">
        <x:v>https://primagames.com/eguides/mass-effect-pc-eguide/walkthrough/spectre-assignments-noveria-and-feros/feros-assignments</x:v>
      </x:c>
      <x:c r="P34" s="7" t="str">
        <x:v>Production ME1</x:v>
      </x:c>
      <x:c r="Q34" s="7" t="str"/>
    </x:row>
    <x:row r="35" ht="49" customHeight="1">
      <x:c r="A35" s="13" t="str">
        <x:v>SIDE-unc-scientifique-mort</x:v>
      </x:c>
      <x:c r="B35" s="14" t="str">
        <x:v>UNC Scientifique mort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Confronter la situation de Toombs.</x:v>
      </x:c>
      <x:c r="I35" s="14" t="str">
        <x:v>Réactions au passé de Shepard.</x:v>
      </x:c>
      <x:c r="J35" s="14" t="str"/>
      <x:c r="K35" s="14" t="str">
        <x:v>content/side_quests/SIDE-unc-scientifique-mort.json</x:v>
      </x:c>
      <x:c r="L35" s="14" t="str"/>
      <x:c r="M35" s="14" t="str"/>
      <x:c r="N35" s="14" t="str">
        <x:v>Liste de couverture des affectations ; titres français et déclencheurs à recouper dans ME1.</x:v>
      </x:c>
      <x:c r="O35" s="14" t="str">
        <x:v>https://primagames.com/eguides/mass-effect-pc-eguide/walkthrough/spectre-assignments-noveria-and-feros/feros-assignments</x:v>
      </x:c>
      <x:c r="P35" s="14" t="str">
        <x:v>Production ME1</x:v>
      </x:c>
      <x:c r="Q35" s="14" t="str"/>
    </x:row>
    <x:row r="36" ht="49" customHeight="1">
      <x:c r="A36" s="12" t="str">
        <x:v>SIDE-unc-scientifiques-disparus</x:v>
      </x:c>
      <x:c r="B36" s="7" t="str">
        <x:v>UNC Scientifiques disparus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Enquêter sur le camp de Trebin.</x:v>
      </x:c>
      <x:c r="I36" s="7" t="str">
        <x:v>Disparition et fouilles correctement reliées.</x:v>
      </x:c>
      <x:c r="J36" s="7" t="str"/>
      <x:c r="K36" s="7" t="str">
        <x:v>content/side_quests/SIDE-unc-scientifiques-disparus.json</x:v>
      </x:c>
      <x:c r="L36" s="7" t="str"/>
      <x:c r="M36" s="7" t="str"/>
      <x:c r="N36" s="7" t="str">
        <x:v>Liste de couverture des affectations ; titres français et déclencheurs à recouper dans ME1.</x:v>
      </x:c>
      <x:c r="O36" s="7" t="str">
        <x:v>https://primagames.com/eguides/mass-effect-pc-eguide/walkthrough/spectre-assignments-noveria-and-feros/feros-assignments</x:v>
      </x:c>
      <x:c r="P36" s="7" t="str">
        <x:v>Production ME1</x:v>
      </x:c>
      <x:c r="Q36" s="7" t="str"/>
    </x:row>
    <x:row r="37" ht="49" customHeight="1">
      <x:c r="A37" s="13" t="str">
        <x:v>SIDE-unc-colonie-des-morts</x:v>
      </x:c>
      <x:c r="B37" s="14" t="str">
        <x:v>UNC Colonie des morts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Enquêter sur Chasca.</x:v>
      </x:c>
      <x:c r="I37" s="14" t="str">
        <x:v>Terminaux et husks sans contradiction d’état.</x:v>
      </x:c>
      <x:c r="J37" s="14" t="str"/>
      <x:c r="K37" s="14" t="str">
        <x:v>content/side_quests/SIDE-unc-colonie-des-morts.json</x:v>
      </x:c>
      <x:c r="L37" s="14" t="str"/>
      <x:c r="M37" s="14" t="str"/>
      <x:c r="N37" s="14" t="str">
        <x:v>Liste de couverture des affectations ; titres français et déclencheurs à recouper dans ME1.</x:v>
      </x:c>
      <x:c r="O37" s="14" t="str">
        <x:v>https://primagames.com/eguides/mass-effect-pc-eguide/walkthrough/spectre-assignments-noveria-and-feros/feros-assignments</x:v>
      </x:c>
      <x:c r="P37" s="14" t="str">
        <x:v>Production ME1</x:v>
      </x:c>
      <x:c r="Q37" s="14" t="str"/>
    </x:row>
    <x:row r="38" ht="49" customHeight="1">
      <x:c r="A38" s="12" t="str">
        <x:v>SIDE-unc-module-de-donnees</x:v>
      </x:c>
      <x:c r="B38" s="7" t="str">
        <x:v>UNC Module de données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Récupérer l’objet sur Eletania.</x:v>
      </x:c>
      <x:c r="I38" s="7" t="str">
        <x:v>Faune et choix de méthode conservés.</x:v>
      </x:c>
      <x:c r="J38" s="7" t="str"/>
      <x:c r="K38" s="7" t="str">
        <x:v>content/side_quests/SIDE-unc-module-de-donnees.json</x:v>
      </x:c>
      <x:c r="L38" s="7" t="str"/>
      <x:c r="M38" s="7" t="str"/>
      <x:c r="N38" s="7" t="str">
        <x:v>Liste de couverture des affectations ; titres français et déclencheurs à recouper dans ME1.</x:v>
      </x:c>
      <x:c r="O38" s="7" t="str">
        <x:v>https://primagames.com/eguides/mass-effect-pc-eguide/walkthrough/spectre-assignments-noveria-and-feros/feros-assignments</x:v>
      </x:c>
      <x:c r="P38" s="7" t="str">
        <x:v>Production ME1</x:v>
      </x:c>
      <x:c r="Q38" s="7" t="str"/>
    </x:row>
    <x:row r="39" ht="49" customHeight="1">
      <x:c r="A39" s="13" t="str">
        <x:v>SIDE-unc-ia-rebelle</x:v>
      </x:c>
      <x:c r="B39" s="14" t="str">
        <x:v>UNC IA rebelle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Affronter l’installation d’entraînement de Luna.</x:v>
      </x:c>
      <x:c r="I39" s="14" t="str">
        <x:v>Récompense de spécialisation reliée à la fin.</x:v>
      </x:c>
      <x:c r="J39" s="14" t="str"/>
      <x:c r="K39" s="14" t="str">
        <x:v>content/side_quests/SIDE-unc-ia-rebelle.json</x:v>
      </x:c>
      <x:c r="L39" s="14" t="str"/>
      <x:c r="M39" s="14" t="str"/>
      <x:c r="N39" s="14" t="str">
        <x:v>Liste de couverture des affectations ; titres français et déclencheurs à recouper dans ME1.</x:v>
      </x:c>
      <x:c r="O39" s="14" t="str">
        <x:v>https://primagames.com/eguides/mass-effect-pc-eguide/walkthrough/spectre-assignments-noveria-and-feros/feros-assignments</x:v>
      </x:c>
      <x:c r="P39" s="14" t="str">
        <x:v>Production ME1</x:v>
      </x:c>
      <x:c r="Q39" s="14" t="str"/>
    </x:row>
    <x:row r="40" ht="49" customHeight="1">
      <x:c r="A40" s="12" t="str">
        <x:v>SIDE-unc-prise-d-otage</x:v>
      </x:c>
      <x:c r="B40" s="7" t="str">
        <x:v>UNC Prise d’otage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Résoudre une crise biotique.</x:v>
      </x:c>
      <x:c r="I40" s="7" t="str">
        <x:v>Négociation possible avant le combat.</x:v>
      </x:c>
      <x:c r="J40" s="7" t="str"/>
      <x:c r="K40" s="7" t="str">
        <x:v>content/side_quests/SIDE-unc-prise-d-otage.json</x:v>
      </x:c>
      <x:c r="L40" s="7" t="str"/>
      <x:c r="M40" s="7" t="str"/>
      <x:c r="N40" s="7" t="str">
        <x:v>Liste de couverture des affectations ; titres français et déclencheurs à recouper dans ME1.</x:v>
      </x:c>
      <x:c r="O40" s="7" t="str">
        <x:v>https://primagames.com/eguides/mass-effect-pc-eguide/walkthrough/spectre-assignments-noveria-and-feros/feros-assignments</x:v>
      </x:c>
      <x:c r="P40" s="7" t="str">
        <x:v>Production ME1</x:v>
      </x:c>
      <x:c r="Q40" s="7" t="str"/>
    </x:row>
    <x:row r="41" ht="49" customHeight="1">
      <x:c r="A41" s="13" t="str">
        <x:v>SIDE-unc-major-kyle</x:v>
      </x:c>
      <x:c r="B41" s="14" t="str">
        <x:v>UNC Major Kyle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Référence à vérifier</x:v>
      </x:c>
      <x:c r="H41" s="14" t="str">
        <x:v>Approcher le groupe du Major Kyle.</x:v>
      </x:c>
      <x:c r="I41" s="14" t="str">
        <x:v>Voie pacifique complète disponible.</x:v>
      </x:c>
      <x:c r="J41" s="14" t="str"/>
      <x:c r="K41" s="14" t="str">
        <x:v>content/side_quests/SIDE-unc-major-kyle.json</x:v>
      </x:c>
      <x:c r="L41" s="14" t="str"/>
      <x:c r="M41" s="14" t="str"/>
      <x:c r="N41" s="14" t="str">
        <x:v>Liste de couverture des affectations ; titres français et déclencheurs à recouper dans ME1.</x:v>
      </x:c>
      <x:c r="O41" s="14" t="str">
        <x:v>https://primagames.com/eguides/mass-effect-pc-eguide/walkthrough/spectre-assignments-noveria-and-feros/feros-assignments</x:v>
      </x:c>
      <x:c r="P41" s="14" t="str">
        <x:v>Production ME1</x:v>
      </x:c>
      <x:c r="Q41" s="14" t="str"/>
    </x:row>
    <x:row r="42" ht="49" customHeight="1">
      <x:c r="A42" s="12" t="str">
        <x:v>SIDE-unc-base-assiegee</x:v>
      </x:c>
      <x:c r="B42" s="7" t="str">
        <x:v>UNC Base assiégée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Référence à vérifier</x:v>
      </x:c>
      <x:c r="H42" s="7" t="str">
        <x:v>Secourir des civils sous contrainte.</x:v>
      </x:c>
      <x:c r="I42" s="7" t="str">
        <x:v>Dégâts collatéraux influencent l’issue.</x:v>
      </x:c>
      <x:c r="J42" s="7" t="str"/>
      <x:c r="K42" s="7" t="str">
        <x:v>content/side_quests/SIDE-unc-base-assiegee.json</x:v>
      </x:c>
      <x:c r="L42" s="7" t="str"/>
      <x:c r="M42" s="7" t="str"/>
      <x:c r="N42" s="7" t="str">
        <x:v>Liste de couverture des affectations ; titres français et déclencheurs à recouper dans ME1.</x:v>
      </x:c>
      <x:c r="O42" s="7" t="str">
        <x:v>https://primagames.com/eguides/mass-effect-pc-eguide/walkthrough/spectre-assignments-noveria-and-feros/feros-assignments</x:v>
      </x:c>
      <x:c r="P42" s="7" t="str">
        <x:v>Production ME1</x:v>
      </x:c>
      <x:c r="Q42" s="7" t="str"/>
    </x:row>
    <x:row r="43" ht="49" customHeight="1">
      <x:c r="A43" s="13" t="str">
        <x:v>SIDE-unc-negociation</x:v>
      </x:c>
      <x:c r="B43" s="14" t="str">
        <x:v>UNC Négociation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Référence à vérifier</x:v>
      </x:c>
      <x:c r="H43" s="14" t="str">
        <x:v>Mission de contact avec un chef local.</x:v>
      </x:c>
      <x:c r="I43" s="14" t="str">
        <x:v>Déblocage moral à vérifier.</x:v>
      </x:c>
      <x:c r="J43" s="14" t="str"/>
      <x:c r="K43" s="14" t="str">
        <x:v>content/side_quests/SIDE-unc-negociation.json</x:v>
      </x:c>
      <x:c r="L43" s="14" t="str"/>
      <x:c r="M43" s="14" t="str"/>
      <x:c r="N43" s="14" t="str">
        <x:v>Liste de couverture des affectations ; titres français et déclencheurs à recouper dans ME1.</x:v>
      </x:c>
      <x:c r="O43" s="14" t="str">
        <x:v>https://primagames.com/eguides/mass-effect-pc-eguide/walkthrough/spectre-assignments-noveria-and-feros/feros-assignments</x:v>
      </x:c>
      <x:c r="P43" s="14" t="str">
        <x:v>Production ME1</x:v>
      </x:c>
      <x:c r="Q43" s="14" t="str"/>
    </x:row>
    <x:row r="44" ht="49" customHeight="1">
      <x:c r="A44" s="12" t="str">
        <x:v>SIDE-unc-sonde-d-espionnage</x:v>
      </x:c>
      <x:c r="B44" s="7" t="str">
        <x:v>UNC Sonde d’espionnage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Référence à vérifier</x:v>
      </x:c>
      <x:c r="H44" s="7" t="str">
        <x:v>Désamorcer un piège sur Agebinium.</x:v>
      </x:c>
      <x:c r="I44" s="7" t="str">
        <x:v>Temps suspendu pendant interaction selon règle retenue.</x:v>
      </x:c>
      <x:c r="J44" s="7" t="str"/>
      <x:c r="K44" s="7" t="str">
        <x:v>content/side_quests/SIDE-unc-sonde-d-espionnage.json</x:v>
      </x:c>
      <x:c r="L44" s="7" t="str"/>
      <x:c r="M44" s="7" t="str"/>
      <x:c r="N44" s="7" t="str">
        <x:v>Liste de couverture des affectations ; titres français et déclencheurs à recouper dans ME1.</x:v>
      </x:c>
      <x:c r="O44" s="7" t="str">
        <x:v>https://primagames.com/eguides/mass-effect-pc-eguide/walkthrough/spectre-assignments-noveria-and-feros/feros-assignments</x:v>
      </x:c>
      <x:c r="P44" s="7" t="str">
        <x:v>Production ME1</x:v>
      </x:c>
      <x:c r="Q44" s="7" t="str"/>
    </x:row>
    <x:row r="45" ht="49" customHeight="1">
      <x:c r="A45" s="13" t="str">
        <x:v>SIDE-unc-crime-organise</x:v>
      </x:c>
      <x:c r="B45" s="14" t="str">
        <x:v>UNC Crime organisé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Référence à vérifier</x:v>
      </x:c>
      <x:c r="H45" s="14" t="str">
        <x:v>Traiter les deux chefs puis Helena Blake.</x:v>
      </x:c>
      <x:c r="I45" s="14" t="str">
        <x:v>Trois lieux et possibilité de persuasion liés.</x:v>
      </x:c>
      <x:c r="J45" s="14" t="str"/>
      <x:c r="K45" s="14" t="str">
        <x:v>content/side_quests/SIDE-unc-crime-organise.json</x:v>
      </x:c>
      <x:c r="L45" s="14" t="str"/>
      <x:c r="M45" s="14" t="str"/>
      <x:c r="N45" s="14" t="str">
        <x:v>Liste de couverture des affectations ; titres français et déclencheurs à recouper dans ME1.</x:v>
      </x:c>
      <x:c r="O45" s="14" t="str">
        <x:v>https://primagames.com/eguides/mass-effect-pc-eguide/walkthrough/spectre-assignments-noveria-and-feros/feros-assignments</x:v>
      </x:c>
      <x:c r="P45" s="14" t="str">
        <x:v>Production ME1</x:v>
      </x:c>
      <x:c r="Q45" s="14" t="str"/>
    </x:row>
    <x:row r="46" ht="49" customHeight="1">
      <x:c r="A46" s="12" t="str">
        <x:v>SIDE-unc-s-ur-de-nassana</x:v>
      </x:c>
      <x:c r="B46" s="7" t="str">
        <x:v>UNC Sœur de Nassana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Référence à vérifier</x:v>
      </x:c>
      <x:c r="H46" s="7" t="str">
        <x:v>Découvrir le mensonge de la commanditaire.</x:v>
      </x:c>
      <x:c r="I46" s="7" t="str">
        <x:v>Documents et confrontation finale pris en compte.</x:v>
      </x:c>
      <x:c r="J46" s="7" t="str"/>
      <x:c r="K46" s="7" t="str">
        <x:v>content/side_quests/SIDE-unc-s-ur-de-nassana.json</x:v>
      </x:c>
      <x:c r="L46" s="7" t="str"/>
      <x:c r="M46" s="7" t="str"/>
      <x:c r="N46" s="7" t="str">
        <x:v>Liste de couverture des affectations ; titres français et déclencheurs à recouper dans ME1.</x:v>
      </x:c>
      <x:c r="O46" s="7" t="str">
        <x:v>https://primagames.com/eguides/mass-effect-pc-eguide/walkthrough/spectre-assignments-noveria-and-feros/feros-assignments</x:v>
      </x:c>
      <x:c r="P46" s="7" t="str">
        <x:v>Production ME1</x:v>
      </x:c>
      <x:c r="Q46" s="7" t="str"/>
    </x:row>
    <x:row r="47" ht="49" customHeight="1">
      <x:c r="A47" s="13" t="str">
        <x:v>SIDE-unc-incursions-geth-antibaar</x:v>
      </x:c>
      <x:c r="B47" s="14" t="str">
        <x:v>UNC Incursions geth Antibaar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Référence à vérifier</x:v>
      </x:c>
      <x:c r="H47" s="14" t="str">
        <x:v>Neutraliser un avant-poste.</x:v>
      </x:c>
      <x:c r="I47" s="14" t="str">
        <x:v>Progression par base persistante.</x:v>
      </x:c>
      <x:c r="J47" s="14" t="str"/>
      <x:c r="K47" s="14" t="str">
        <x:v>content/side_quests/SIDE-unc-incursions-geth-antibaar.json</x:v>
      </x:c>
      <x:c r="L47" s="14" t="str"/>
      <x:c r="M47" s="14" t="str"/>
      <x:c r="N47" s="14" t="str">
        <x:v>Liste de couverture des affectations ; titres français et déclencheurs à recouper dans ME1.</x:v>
      </x:c>
      <x:c r="O47" s="14" t="str">
        <x:v>https://primagames.com/eguides/mass-effect-pc-eguide/walkthrough/spectre-assignments-noveria-and-feros/feros-assignments</x:v>
      </x:c>
      <x:c r="P47" s="14" t="str">
        <x:v>Production ME1</x:v>
      </x:c>
      <x:c r="Q47" s="14" t="str"/>
    </x:row>
    <x:row r="48" ht="49" customHeight="1">
      <x:c r="A48" s="12" t="str">
        <x:v>SIDE-unc-incursions-geth-casbin</x:v>
      </x:c>
      <x:c r="B48" s="7" t="str">
        <x:v>UNC Incursions geth Casbin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Référence à vérifier</x:v>
      </x:c>
      <x:c r="H48" s="7" t="str">
        <x:v>Neutraliser les défenses geth.</x:v>
      </x:c>
      <x:c r="I48" s="7" t="str">
        <x:v>Débarquement et renforts documentés.</x:v>
      </x:c>
      <x:c r="J48" s="7" t="str"/>
      <x:c r="K48" s="7" t="str">
        <x:v>content/side_quests/SIDE-unc-incursions-geth-casbin.json</x:v>
      </x:c>
      <x:c r="L48" s="7" t="str"/>
      <x:c r="M48" s="7" t="str"/>
      <x:c r="N48" s="7" t="str">
        <x:v>Liste de couverture des affectations ; titres français et déclencheurs à recouper dans ME1.</x:v>
      </x:c>
      <x:c r="O48" s="7" t="str">
        <x:v>https://primagames.com/eguides/mass-effect-pc-eguide/walkthrough/spectre-assignments-noveria-and-feros/feros-assignments</x:v>
      </x:c>
      <x:c r="P48" s="7" t="str">
        <x:v>Production ME1</x:v>
      </x:c>
      <x:c r="Q48" s="7" t="str"/>
    </x:row>
    <x:row r="49" ht="49" customHeight="1">
      <x:c r="A49" s="13" t="str">
        <x:v>SIDE-unc-incursions-geth-maji</x:v>
      </x:c>
      <x:c r="B49" s="14" t="str">
        <x:v>UNC Incursions geth Maji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Référence à vérifier</x:v>
      </x:c>
      <x:c r="H49" s="14" t="str">
        <x:v>Traiter le poste geth.</x:v>
      </x:c>
      <x:c r="I49" s="14" t="str">
        <x:v>Terrain et route Mako relevés.</x:v>
      </x:c>
      <x:c r="J49" s="14" t="str"/>
      <x:c r="K49" s="14" t="str">
        <x:v>content/side_quests/SIDE-unc-incursions-geth-maji.json</x:v>
      </x:c>
      <x:c r="L49" s="14" t="str"/>
      <x:c r="M49" s="14" t="str"/>
      <x:c r="N49" s="14" t="str">
        <x:v>Liste de couverture des affectations ; titres français et déclencheurs à recouper dans ME1.</x:v>
      </x:c>
      <x:c r="O49" s="14" t="str">
        <x:v>https://primagames.com/eguides/mass-effect-pc-eguide/walkthrough/spectre-assignments-noveria-and-feros/feros-assignments</x:v>
      </x:c>
      <x:c r="P49" s="14" t="str">
        <x:v>Production ME1</x:v>
      </x:c>
      <x:c r="Q49" s="14" t="str"/>
    </x:row>
    <x:row r="50" ht="49" customHeight="1">
      <x:c r="A50" s="12" t="str">
        <x:v>SIDE-unc-incursions-geth-rayingri</x:v>
      </x:c>
      <x:c r="B50" s="7" t="str">
        <x:v>UNC Incursions geth Rayingri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Référence à vérifier</x:v>
      </x:c>
      <x:c r="H50" s="7" t="str">
        <x:v>Explorer l’installation ennemie.</x:v>
      </x:c>
      <x:c r="I50" s="7" t="str">
        <x:v>Embuscade et sortie documentées.</x:v>
      </x:c>
      <x:c r="J50" s="7" t="str"/>
      <x:c r="K50" s="7" t="str">
        <x:v>content/side_quests/SIDE-unc-incursions-geth-rayingri.json</x:v>
      </x:c>
      <x:c r="L50" s="7" t="str"/>
      <x:c r="M50" s="7" t="str"/>
      <x:c r="N50" s="7" t="str">
        <x:v>Liste de couverture des affectations ; titres français et déclencheurs à recouper dans ME1.</x:v>
      </x:c>
      <x:c r="O50" s="7" t="str">
        <x:v>https://primagames.com/eguides/mass-effect-pc-eguide/walkthrough/spectre-assignments-noveria-and-feros/feros-assignments</x:v>
      </x:c>
      <x:c r="P50" s="7" t="str">
        <x:v>Production ME1</x:v>
      </x:c>
      <x:c r="Q50" s="7" t="str"/>
    </x:row>
    <x:row r="51" ht="49" customHeight="1">
      <x:c r="A51" s="13" t="str">
        <x:v>SIDE-unc-incursions-geth-solcrum</x:v>
      </x:c>
      <x:c r="B51" s="14" t="str">
        <x:v>UNC Incursions geth Solcrum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Référence à vérifier</x:v>
      </x:c>
      <x:c r="H51" s="14" t="str">
        <x:v>Conclure les incursions et récupérer des données.</x:v>
      </x:c>
      <x:c r="I51" s="14" t="str">
        <x:v>Option de remise des données à Tali.</x:v>
      </x:c>
      <x:c r="J51" s="14" t="str"/>
      <x:c r="K51" s="14" t="str">
        <x:v>content/side_quests/SIDE-unc-incursions-geth-solcrum.json</x:v>
      </x:c>
      <x:c r="L51" s="14" t="str"/>
      <x:c r="M51" s="14" t="str"/>
      <x:c r="N51" s="14" t="str">
        <x:v>Liste de couverture des affectations ; titres français et déclencheurs à recouper dans ME1.</x:v>
      </x:c>
      <x:c r="O51" s="14" t="str">
        <x:v>https://primagames.com/eguides/mass-effect-pc-eguide/walkthrough/spectre-assignments-noveria-and-feros/feros-assignments</x:v>
      </x:c>
      <x:c r="P51" s="14" t="str">
        <x:v>Production ME1</x:v>
      </x:c>
      <x:c r="Q51" s="14" t="str"/>
    </x:row>
    <x:row r="52" ht="49" customHeight="1">
      <x:c r="A52" s="12" t="str">
        <x:v>SIDE-garrus-dr-saleon</x:v>
      </x:c>
      <x:c r="B52" s="7" t="str">
        <x:v>Garrus Dr Saleon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Référence à vérifier</x:v>
      </x:c>
      <x:c r="H52" s="7" t="str">
        <x:v>Poursuivre le suspect du passé de Garrus.</x:v>
      </x:c>
      <x:c r="I52" s="7" t="str">
        <x:v>Influence de Shepard sur sa décision.</x:v>
      </x:c>
      <x:c r="J52" s="7" t="str"/>
      <x:c r="K52" s="7" t="str">
        <x:v>content/side_quests/SIDE-garrus-dr-saleon.json</x:v>
      </x:c>
      <x:c r="L52" s="7" t="str"/>
      <x:c r="M52" s="7" t="str"/>
      <x:c r="N52" s="7" t="str">
        <x:v>Liste de couverture des affectations ; titres français et déclencheurs à recouper dans ME1.</x:v>
      </x:c>
      <x:c r="O52" s="7" t="str">
        <x:v>https://primagames.com/eguides/mass-effect-pc-eguide/walkthrough/spectre-assignments-noveria-and-feros/feros-assignments</x:v>
      </x:c>
      <x:c r="P52" s="7" t="str">
        <x:v>Production ME1</x:v>
      </x:c>
      <x:c r="Q52" s="7" t="str"/>
    </x:row>
    <x:row r="53" ht="49" customHeight="1">
      <x:c r="A53" s="13" t="str">
        <x:v>SIDE-wrex-armure-familiale</x:v>
      </x:c>
      <x:c r="B53" s="14" t="str">
        <x:v>Wrex Armure familiale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Référence à vérifier</x:v>
      </x:c>
      <x:c r="H53" s="14" t="str">
        <x:v>Retrouver l’armure de Wrex.</x:v>
      </x:c>
      <x:c r="I53" s="14" t="str">
        <x:v>État utilisé dans son conflit de Virmire.</x:v>
      </x:c>
      <x:c r="J53" s="14" t="str"/>
      <x:c r="K53" s="14" t="str">
        <x:v>content/side_quests/SIDE-wrex-armure-familiale.json</x:v>
      </x:c>
      <x:c r="L53" s="14" t="str"/>
      <x:c r="M53" s="14" t="str"/>
      <x:c r="N53" s="14" t="str">
        <x:v>Liste de couverture des affectations ; titres français et déclencheurs à recouper dans ME1.</x:v>
      </x:c>
      <x:c r="O53" s="14" t="str">
        <x:v>https://primagames.com/eguides/mass-effect-pc-eguide/walkthrough/spectre-assignments-noveria-and-feros/feros-assignments</x:v>
      </x:c>
      <x:c r="P53" s="14" t="str">
        <x:v>Production ME1</x:v>
      </x:c>
      <x:c r="Q53" s="14" t="str"/>
    </x:row>
    <x:row r="54" ht="49" customHeight="1">
      <x:c r="A54" s="12" t="str">
        <x:v>SIDE-tali-pelerinage</x:v>
      </x:c>
      <x:c r="B54" s="7" t="str">
        <x:v>Tali Pèlerinage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Référence à vérifier</x:v>
      </x:c>
      <x:c r="H54" s="7" t="str">
        <x:v>Remettre ou conserver les données geth.</x:v>
      </x:c>
      <x:c r="I54" s="7" t="str">
        <x:v>Réaction et mémoire de relation persistantes.</x:v>
      </x:c>
      <x:c r="J54" s="7" t="str"/>
      <x:c r="K54" s="7" t="str">
        <x:v>content/side_quests/SIDE-tali-pelerinage.json</x:v>
      </x:c>
      <x:c r="L54" s="7" t="str"/>
      <x:c r="M54" s="7" t="str"/>
      <x:c r="N54" s="7" t="str">
        <x:v>Liste de couverture des affectations ; titres français et déclencheurs à recouper dans ME1.</x:v>
      </x:c>
      <x:c r="O54" s="7" t="str">
        <x:v>https://primagames.com/eguides/mass-effect-pc-eguide/walkthrough/spectre-assignments-noveria-and-feros/feros-assignments</x:v>
      </x:c>
      <x:c r="P54" s="7" t="str">
        <x:v>Production ME1</x:v>
      </x:c>
      <x:c r="Q54" s="7" t="str"/>
    </x:row>
    <x:row r="55" ht="49" customHeight="1">
      <x:c r="A55" s="13" t="str">
        <x:v>SIDE-unc-cargo-disparu</x:v>
      </x:c>
      <x:c r="B55" s="14" t="str">
        <x:v>UNC Cargo disparu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Référence à vérifier</x:v>
      </x:c>
      <x:c r="H55" s="14" t="str">
        <x:v>Enquêter sur le vaisseau et la planète liée.</x:v>
      </x:c>
      <x:c r="I55" s="14" t="str">
        <x:v>Accès aux deux zones et résolution contrôlés.</x:v>
      </x:c>
      <x:c r="J55" s="14" t="str"/>
      <x:c r="K55" s="14" t="str">
        <x:v>content/side_quests/SIDE-unc-cargo-disparu.json</x:v>
      </x:c>
      <x:c r="L55" s="14" t="str"/>
      <x:c r="M55" s="14" t="str"/>
      <x:c r="N55" s="14" t="str">
        <x:v>Liste de couverture des affectations ; titres français et déclencheurs à recouper dans ME1.</x:v>
      </x:c>
      <x:c r="O55" s="14" t="str">
        <x:v>https://primagames.com/eguides/mass-effect-pc-eguide/walkthrough/spectre-assignments-noveria-and-feros/feros-assignments</x:v>
      </x:c>
      <x:c r="P55" s="14" t="str">
        <x:v>Production ME1</x:v>
      </x:c>
      <x:c r="Q55" s="14" t="str"/>
    </x:row>
    <x:row r="56" ht="49" customHeight="1">
      <x:c r="A56" s="12" t="str">
        <x:v>SIDE-unc-cargo-abandonne</x:v>
      </x:c>
      <x:c r="B56" s="7" t="str">
        <x:v>UNC Cargo abandonné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Référence à vérifier</x:v>
      </x:c>
      <x:c r="H56" s="7" t="str">
        <x:v>Explorer un bâtiment spatial inquiétant.</x:v>
      </x:c>
      <x:c r="I56" s="7" t="str">
        <x:v>Équipage, données et menace à référencer.</x:v>
      </x:c>
      <x:c r="J56" s="7" t="str"/>
      <x:c r="K56" s="7" t="str">
        <x:v>content/side_quests/SIDE-unc-cargo-abandonne.json</x:v>
      </x:c>
      <x:c r="L56" s="7" t="str"/>
      <x:c r="M56" s="7" t="str"/>
      <x:c r="N56" s="7" t="str">
        <x:v>Liste de couverture des affectations ; titres français et déclencheurs à recouper dans ME1.</x:v>
      </x:c>
      <x:c r="O56" s="7" t="str">
        <x:v>https://primagames.com/eguides/mass-effect-pc-eguide/walkthrough/spectre-assignments-noveria-and-feros/feros-assignments</x:v>
      </x:c>
      <x:c r="P56" s="7" t="str">
        <x:v>Production ME1</x:v>
      </x:c>
      <x:c r="Q56" s="7" t="str"/>
    </x:row>
    <x:row r="57" ht="49" customHeight="1">
      <x:c r="A57" s="13" t="str">
        <x:v>SIDE-unc-depot-sigma-23</x:v>
      </x:c>
      <x:c r="B57" s="14" t="str">
        <x:v>UNC Dépôt Sigma-23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Référence à vérifier</x:v>
      </x:c>
      <x:c r="H57" s="14" t="str">
        <x:v>Enquête sur un dépôt militaire.</x:v>
      </x:c>
      <x:c r="I57" s="14" t="str">
        <x:v>Lien à la mission préalable vérifié.</x:v>
      </x:c>
      <x:c r="J57" s="14" t="str"/>
      <x:c r="K57" s="14" t="str">
        <x:v>content/side_quests/SIDE-unc-depot-sigma-23.json</x:v>
      </x:c>
      <x:c r="L57" s="14" t="str"/>
      <x:c r="M57" s="14" t="str"/>
      <x:c r="N57" s="14" t="str">
        <x:v>Liste de couverture des affectations ; titres français et déclencheurs à recouper dans ME1.</x:v>
      </x:c>
      <x:c r="O57" s="14" t="str">
        <x:v>https://primagames.com/eguides/mass-effect-pc-eguide/walkthrough/spectre-assignments-noveria-and-feros/feros-assignments</x:v>
      </x:c>
      <x:c r="P57" s="14" t="str">
        <x:v>Production ME1</x:v>
      </x:c>
      <x:c r="Q57" s="14" t="str"/>
    </x:row>
    <x:row r="58" ht="49" customHeight="1">
      <x:c r="A58" s="12" t="str">
        <x:v>SIDE-unc-installation-exogeni</x:v>
      </x:c>
      <x:c r="B58" s="7" t="str">
        <x:v>UNC Installation ExoGeni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Référence à vérifier</x:v>
      </x:c>
      <x:c r="H58" s="7" t="str">
        <x:v>Suivre les données vers Nodacrux.</x:v>
      </x:c>
      <x:c r="I58" s="7" t="str">
        <x:v>Responsables et conséquences documentés.</x:v>
      </x:c>
      <x:c r="J58" s="7" t="str"/>
      <x:c r="K58" s="7" t="str">
        <x:v>content/side_quests/SIDE-unc-installation-exogeni.json</x:v>
      </x:c>
      <x:c r="L58" s="7" t="str"/>
      <x:c r="M58" s="7" t="str"/>
      <x:c r="N58" s="7" t="str">
        <x:v>Liste de couverture des affectations ; titres français et déclencheurs à recouper dans ME1.</x:v>
      </x:c>
      <x:c r="O58" s="7" t="str">
        <x:v>https://primagames.com/eguides/mass-effect-pc-eguide/walkthrough/spectre-assignments-noveria-and-feros/feros-assignments</x:v>
      </x:c>
      <x:c r="P58" s="7" t="str">
        <x:v>Production ME1</x:v>
      </x:c>
      <x:c r="Q58" s="7" t="str"/>
    </x:row>
    <x:row r="59" ht="49" customHeight="1">
      <x:c r="A59" s="13" t="str">
        <x:v>SIDE-unc-minerais</x:v>
      </x:c>
      <x:c r="B59" s="14" t="str">
        <x:v>UNC Minerais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Référence à vérifier</x:v>
      </x:c>
      <x:c r="H59" s="14" t="str">
        <x:v>Repérer les gisements dans les mondes explorables.</x:v>
      </x:c>
      <x:c r="I59" s="14" t="str">
        <x:v>Chaque dépôt a un identifiant persistant.</x:v>
      </x:c>
      <x:c r="J59" s="14" t="str"/>
      <x:c r="K59" s="14" t="str">
        <x:v>content/side_quests/SIDE-unc-minerais.json</x:v>
      </x:c>
      <x:c r="L59" s="14" t="str"/>
      <x:c r="M59" s="14" t="str"/>
      <x:c r="N59" s="14" t="str">
        <x:v>Liste de couverture des affectations ; titres français et déclencheurs à recouper dans ME1.</x:v>
      </x:c>
      <x:c r="O59" s="14" t="str">
        <x:v>https://primagames.com/eguides/mass-effect-pc-eguide/walkthrough/spectre-assignments-noveria-and-feros/feros-assignments</x:v>
      </x:c>
      <x:c r="P59" s="14" t="str">
        <x:v>Production ME1</x:v>
      </x:c>
      <x:c r="Q59" s="14" t="str"/>
    </x:row>
    <x:row r="60" ht="49" customHeight="1">
      <x:c r="A60" s="12" t="str">
        <x:v>SIDE-unc-ecrits-asari</x:v>
      </x:c>
      <x:c r="B60" s="7" t="str">
        <x:v>UNC Écrits asari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Référence à vérifier</x:v>
      </x:c>
      <x:c r="H60" s="7" t="str">
        <x:v>Collecter les écrits de la Matriarche.</x:v>
      </x:c>
      <x:c r="I60" s="7" t="str">
        <x:v>Source, emplacement et compteur vérifiés.</x:v>
      </x:c>
      <x:c r="J60" s="7" t="str"/>
      <x:c r="K60" s="7" t="str">
        <x:v>content/side_quests/SIDE-unc-ecrits-asari.json</x:v>
      </x:c>
      <x:c r="L60" s="7" t="str"/>
      <x:c r="M60" s="7" t="str"/>
      <x:c r="N60" s="7" t="str">
        <x:v>Liste de couverture des affectations ; titres français et déclencheurs à recouper dans ME1.</x:v>
      </x:c>
      <x:c r="O60" s="7" t="str">
        <x:v>https://primagames.com/eguides/mass-effect-pc-eguide/walkthrough/spectre-assignments-noveria-and-feros/feros-assignments</x:v>
      </x:c>
      <x:c r="P60" s="7" t="str">
        <x:v>Production ME1</x:v>
      </x:c>
      <x:c r="Q60" s="7" t="str"/>
    </x:row>
    <x:row r="61" ht="49" customHeight="1">
      <x:c r="A61" s="13" t="str">
        <x:v>SIDE-unc-medaillons-de-la-ligue</x:v>
      </x:c>
      <x:c r="B61" s="14" t="str">
        <x:v>UNC Médaillons de la Ligue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Référence à vérifier</x:v>
      </x:c>
      <x:c r="H61" s="14" t="str">
        <x:v>Collecte liée aux mondes annexes.</x:v>
      </x:c>
      <x:c r="I61" s="14" t="str">
        <x:v>Aucune collecte dupliquée par retour en zone.</x:v>
      </x:c>
      <x:c r="J61" s="14" t="str"/>
      <x:c r="K61" s="14" t="str">
        <x:v>content/side_quests/SIDE-unc-medaillons-de-la-ligue.json</x:v>
      </x:c>
      <x:c r="L61" s="14" t="str"/>
      <x:c r="M61" s="14" t="str"/>
      <x:c r="N61" s="14" t="str">
        <x:v>Liste de couverture des affectations ; titres français et déclencheurs à recouper dans ME1.</x:v>
      </x:c>
      <x:c r="O61" s="14" t="str">
        <x:v>https://primagames.com/eguides/mass-effect-pc-eguide/walkthrough/spectre-assignments-noveria-and-feros/feros-assignments</x:v>
      </x:c>
      <x:c r="P61" s="14" t="str">
        <x:v>Production ME1</x:v>
      </x:c>
      <x:c r="Q61" s="14" t="str"/>
    </x:row>
    <x:row r="62" ht="49" customHeight="1">
      <x:c r="A62" s="12" t="str">
        <x:v>SIDE-unc-insignes-turiens</x:v>
      </x:c>
      <x:c r="B62" s="7" t="str">
        <x:v>UNC Insignes turiens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Référence à vérifier</x:v>
      </x:c>
      <x:c r="H62" s="7" t="str">
        <x:v>Reconstituer les collectibles.</x:v>
      </x:c>
      <x:c r="I62" s="7" t="str">
        <x:v>Inventaire et journal concordants.</x:v>
      </x:c>
      <x:c r="J62" s="7" t="str"/>
      <x:c r="K62" s="7" t="str">
        <x:v>content/side_quests/SIDE-unc-insignes-turiens.json</x:v>
      </x:c>
      <x:c r="L62" s="7" t="str"/>
      <x:c r="M62" s="7" t="str"/>
      <x:c r="N62" s="7" t="str">
        <x:v>Liste de couverture des affectations ; titres français et déclencheurs à recouper dans ME1.</x:v>
      </x:c>
      <x:c r="O62" s="7" t="str">
        <x:v>https://primagames.com/eguides/mass-effect-pc-eguide/walkthrough/spectre-assignments-noveria-and-feros/feros-assignments</x:v>
      </x:c>
      <x:c r="P62" s="7" t="str">
        <x:v>Production ME1</x:v>
      </x:c>
      <x:c r="Q62" s="7" t="str"/>
    </x:row>
    <x:row r="63" ht="49" customHeight="1">
      <x:c r="A63" s="13" t="str">
        <x:v>SIDE-unc-disques-protheens</x:v>
      </x:c>
      <x:c r="B63" s="14" t="str">
        <x:v>UNC Disques prothéens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Référence à vérifier</x:v>
      </x:c>
      <x:c r="H63" s="14" t="str">
        <x:v>Récupérer les données archéologiques.</x:v>
      </x:c>
      <x:c r="I63" s="14" t="str">
        <x:v>Emplacements à relever précisément.</x:v>
      </x:c>
      <x:c r="J63" s="14" t="str"/>
      <x:c r="K63" s="14" t="str">
        <x:v>content/side_quests/SIDE-unc-disques-protheens.json</x:v>
      </x:c>
      <x:c r="L63" s="14" t="str"/>
      <x:c r="M63" s="14" t="str"/>
      <x:c r="N63" s="14" t="str">
        <x:v>Liste de couverture des affectations ; titres français et déclencheurs à recouper dans ME1.</x:v>
      </x:c>
      <x:c r="O63" s="14" t="str">
        <x:v>https://primagames.com/eguides/mass-effect-pc-eguide/walkthrough/spectre-assignments-noveria-and-feros/feros-assignments</x:v>
      </x:c>
      <x:c r="P63" s="14" t="str">
        <x:v>Production ME1</x:v>
      </x:c>
      <x:c r="Q63" s="14" t="str"/>
    </x:row>
    <x:row r="64" ht="49" customHeight="1">
      <x:c r="A64" s="12" t="str">
        <x:v>SIDE-x57-desactiver-les-propulseurs</x:v>
      </x:c>
      <x:c r="B64" s="7" t="str">
        <x:v>X57 Désactiver les propulseurs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Référence à vérifier</x:v>
      </x:c>
      <x:c r="H64" s="7" t="str">
        <x:v>DLC Bring Down the Sky.</x:v>
      </x:c>
      <x:c r="I64" s="7" t="str">
        <x:v>Plan de l’astéroïde et conditions des trois moteurs.</x:v>
      </x:c>
      <x:c r="J64" s="7" t="str"/>
      <x:c r="K64" s="7" t="str">
        <x:v>content/side_quests/SIDE-x57-desactiver-les-propulseurs.json</x:v>
      </x:c>
      <x:c r="L64" s="7" t="str"/>
      <x:c r="M64" s="7" t="str"/>
      <x:c r="N64" s="7" t="str">
        <x:v>Liste de couverture des affectations ; titres français et déclencheurs à recouper dans ME1.</x:v>
      </x:c>
      <x:c r="O64" s="7" t="str">
        <x:v>https://primagames.com/eguides/mass-effect-pc-eguide/walkthrough/spectre-assignments-noveria-and-feros/feros-assignments</x:v>
      </x:c>
      <x:c r="P64" s="7" t="str">
        <x:v>Production ME1</x:v>
      </x:c>
      <x:c r="Q64" s="7" t="str"/>
    </x:row>
    <x:row r="65" ht="49" customHeight="1">
      <x:c r="A65" s="13" t="str">
        <x:v>SIDE-x57-otages-et-balak</x:v>
      </x:c>
      <x:c r="B65" s="14" t="str">
        <x:v>X57 Otages et Balak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Référence à vérifier</x:v>
      </x:c>
      <x:c r="H65" s="14" t="str">
        <x:v>Choix de conclusion du DLC.</x:v>
      </x:c>
      <x:c r="I65" s="14" t="str">
        <x:v>Sauvetage et poursuite produisent des états distincts.</x:v>
      </x:c>
      <x:c r="J65" s="14" t="str"/>
      <x:c r="K65" s="14" t="str">
        <x:v>content/side_quests/SIDE-x57-otages-et-balak.json</x:v>
      </x:c>
      <x:c r="L65" s="14" t="str"/>
      <x:c r="M65" s="14" t="str"/>
      <x:c r="N65" s="14" t="str">
        <x:v>Liste de couverture des affectations ; titres français et déclencheurs à recouper dans ME1.</x:v>
      </x:c>
      <x:c r="O65" s="14" t="str">
        <x:v>https://primagames.com/eguides/mass-effect-pc-eguide/walkthrough/spectre-assignments-noveria-and-feros/feros-assignments</x:v>
      </x:c>
      <x:c r="P65" s="14" t="str">
        <x:v>Production ME1</x:v>
      </x:c>
      <x:c r="Q65" s="14" t="str"/>
    </x:row>
    <x:row r="66" ht="49" customHeight="1">
      <x:c r="A66" s="12" t="str">
        <x:v>SIDE-x57-ingenieurs-disparus</x:v>
      </x:c>
      <x:c r="B66" s="7" t="str">
        <x:v>X57 Ingénieurs disparus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Référence à vérifier</x:v>
      </x:c>
      <x:c r="H66" s="7" t="str">
        <x:v>Explorer les indices annexes du DLC.</x:v>
      </x:c>
      <x:c r="I66" s="7" t="str">
        <x:v>Sort des victimes et remise du rapport.</x:v>
      </x:c>
      <x:c r="J66" s="7" t="str"/>
      <x:c r="K66" s="7" t="str">
        <x:v>content/side_quests/SIDE-x57-ingenieurs-disparus.json</x:v>
      </x:c>
      <x:c r="L66" s="7" t="str"/>
      <x:c r="M66" s="7" t="str"/>
      <x:c r="N66" s="7" t="str">
        <x:v>Liste de couverture des affectations ; titres français et déclencheurs à recouper dans ME1.</x:v>
      </x:c>
      <x:c r="O66" s="7" t="str">
        <x:v>https://primagames.com/eguides/mass-effect-pc-eguide/walkthrough/spectre-assignments-noveria-and-feros/feros-assignments</x:v>
      </x:c>
      <x:c r="P66" s="7" t="str">
        <x:v>Production ME1</x:v>
      </x:c>
      <x:c r="Q66" s="7" t="str"/>
    </x:row>
    <x:row r="67" ht="49" customHeight="1">
      <x:c r="A67" s="13" t="str">
        <x:v>SIDE-pinnacle-simulations</x:v>
      </x:c>
      <x:c r="B67" s="14" t="str">
        <x:v>Pinnacle Simulations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Référence à vérifier</x:v>
      </x:c>
      <x:c r="H67" s="14" t="str">
        <x:v>DLC de défis en environnement contrôlé.</x:v>
      </x:c>
      <x:c r="I67" s="14" t="str">
        <x:v>Extension indépendante et disponibilité explicitée.</x:v>
      </x:c>
      <x:c r="J67" s="14" t="str"/>
      <x:c r="K67" s="14" t="str">
        <x:v>content/side_quests/SIDE-pinnacle-simulations.json</x:v>
      </x:c>
      <x:c r="L67" s="14" t="str"/>
      <x:c r="M67" s="14" t="str"/>
      <x:c r="N67" s="14" t="str">
        <x:v>Liste de couverture des affectations ; titres français et déclencheurs à recouper dans ME1.</x:v>
      </x:c>
      <x:c r="O67" s="14" t="str">
        <x:v>https://primagames.com/eguides/mass-effect-pc-eguide/walkthrough/spectre-assignments-noveria-and-feros/feros-assignments</x:v>
      </x:c>
      <x:c r="P67" s="14" t="str">
        <x:v>Production ME1</x:v>
      </x:c>
      <x:c r="Q67" s="14" t="str"/>
    </x:row>
    <x:row r="68" ht="49" customHeight="1">
      <x:c r="A68" s="12" t="str">
        <x:v>SIDE-pinnacle-appartement</x:v>
      </x:c>
      <x:c r="B68" s="7" t="str">
        <x:v>Pinnacle Appartement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Référence à vérifier</x:v>
      </x:c>
      <x:c r="H68" s="7" t="str">
        <x:v>Récompense propre à cette extension.</x:v>
      </x:c>
      <x:c r="I68" s="7" t="str">
        <x:v>Condition exacte à vérifier et contenu séparé du jeu de base.</x:v>
      </x:c>
      <x:c r="J68" s="7" t="str"/>
      <x:c r="K68" s="7" t="str">
        <x:v>content/side_quests/SIDE-pinnacle-appartement.json</x:v>
      </x:c>
      <x:c r="L68" s="7" t="str"/>
      <x:c r="M68" s="7" t="str"/>
      <x:c r="N68" s="7" t="str">
        <x:v>Liste de couverture des affectations ; titres français et déclencheurs à recouper dans ME1.</x:v>
      </x:c>
      <x:c r="O68" s="7" t="str">
        <x:v>https://primagames.com/eguides/mass-effect-pc-eguide/walkthrough/spectre-assignments-noveria-and-feros/feros-assignments</x:v>
      </x:c>
      <x:c r="P68" s="7" t="str">
        <x:v>Production ME1</x:v>
      </x:c>
      <x:c r="Q68" s="7" t="str"/>
    </x:row>
  </x:sheetData>
  <x:conditionalFormatting sqref="C7:C68">
    <x:cfRule type="cellIs" dxfId="50" priority="1" operator="equal">
      <x:formula>"Prototype"</x:formula>
    </x:cfRule>
    <x:cfRule type="cellIs" dxfId="51" priority="2" operator="equal">
      <x:formula>"Intégré"</x:formula>
    </x:cfRule>
    <x:cfRule type="cellIs" dxfId="52" priority="3" operator="equal">
      <x:formula>"Validé"</x:formula>
    </x:cfRule>
  </x:conditionalFormatting>
  <x:conditionalFormatting sqref="G7:G68">
    <x:cfRule type="cellIs" dxfId="53" priority="4" operator="equal">
      <x:formula>"Référence à vérifier"</x:formula>
    </x:cfRule>
  </x:conditionalFormatting>
  <x:conditionalFormatting sqref="E7:E68">
    <x:cfRule type="cellIs" dxfId="54" priority="5" operator="equal">
      <x:formula>"P0"</x:formula>
    </x:cfRule>
  </x:conditionalFormatting>
  <x:dataValidations count="5">
    <x:dataValidation type="list" sqref="C7:C68">
      <x:formula1>"Défini,Prototype,Intégré,Validé"</x:formula1>
    </x:dataValidation>
    <x:dataValidation type="list" sqref="D7:D68">
      <x:formula1>"À produire,Prototype,Disponible,Validé,Sans objet,Non planifié"</x:formula1>
    </x:dataValidation>
    <x:dataValidation type="list" sqref="E7:E68">
      <x:formula1>"P0,P1,P2"</x:formula1>
    </x:dataValidation>
    <x:dataValidation type="list" sqref="F7:F68">
      <x:formula1>"ME1,ME2,ME3"</x:formula1>
    </x:dataValidation>
    <x:dataValidation type="list" sqref="G7:G6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cf59003c27470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CHC-origine-de-shepard</x:v>
      </x:c>
      <x:c r="B7" s="14" t="str">
        <x:v>Origine de Shepard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Terrien, colon ou spatial ; dialogues et mission propre.</x:v>
      </x:c>
      <x:c r="I7" s="14" t="str">
        <x:v>Origine stable dans toute sauvegarde.</x:v>
      </x:c>
      <x:c r="J7" s="14" t="str"/>
      <x:c r="K7" s="14" t="str">
        <x:v>content/choices/CHC-origine-de-shepard.json</x:v>
      </x:c>
      <x:c r="L7" s="14" t="str"/>
      <x:c r="M7" s="14" t="str"/>
      <x:c r="N7" s="14" t="str">
        <x:v>Drapeaux de narration à relever ; adaptation du stockage, sans nouvelles issues imposées.</x:v>
      </x:c>
      <x:c r="O7" s="14" t="str">
        <x:v>https://primagames.com/eguides/mass-effect-pc-eguide/walkthrough/spectra-assignments-virmire-and-citadel-lockdown/virmire-assignments</x:v>
      </x:c>
      <x:c r="P7" s="14" t="str">
        <x:v>Production ME1</x:v>
      </x:c>
      <x:c r="Q7" s="14" t="str"/>
    </x:row>
    <x:row r="8" ht="49" customHeight="1">
      <x:c r="A8" s="12" t="str">
        <x:v>CHC-profil-psychologique</x:v>
      </x:c>
      <x:c r="B8" s="7" t="str">
        <x:v>Profil psychologique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Héros de guerre, survivant ou impitoyable ; libellés français à confirmer.</x:v>
      </x:c>
      <x:c r="I8" s="7" t="str">
        <x:v>Libellés exacts et réactions contrôlés.</x:v>
      </x:c>
      <x:c r="J8" s="7" t="str"/>
      <x:c r="K8" s="7" t="str">
        <x:v>content/choices/CHC-profil-psychologique.json</x:v>
      </x:c>
      <x:c r="L8" s="7" t="str"/>
      <x:c r="M8" s="7" t="str"/>
      <x:c r="N8" s="7" t="str">
        <x:v>Drapeaux de narration à relever ; adaptation du stockage, sans nouvelles issues imposées.</x:v>
      </x:c>
      <x:c r="O8" s="7" t="str">
        <x:v>https://primagames.com/eguides/mass-effect-pc-eguide/walkthrough/spectra-assignments-virmire-and-citadel-lockdown/virmire-assignments</x:v>
      </x:c>
      <x:c r="P8" s="7" t="str">
        <x:v>Production ME1</x:v>
      </x:c>
      <x:c r="Q8" s="7" t="str"/>
    </x:row>
    <x:row r="9" ht="49" customHeight="1">
      <x:c r="A9" s="13" t="str">
        <x:v>CHC-classe-de-shepard</x:v>
      </x:c>
      <x:c r="B9" s="14" t="str">
        <x:v>Classe de Shepard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Choix initial parmi les six classes.</x:v>
      </x:c>
      <x:c r="I9" s="14" t="str">
        <x:v>Pas de biotique acquise par un simple module de soldat.</x:v>
      </x:c>
      <x:c r="J9" s="14" t="str"/>
      <x:c r="K9" s="14" t="str">
        <x:v>content/choices/CHC-classe-de-shepard.json</x:v>
      </x:c>
      <x:c r="L9" s="14" t="str"/>
      <x:c r="M9" s="14" t="str"/>
      <x:c r="N9" s="14" t="str">
        <x:v>Drapeaux de narration à relever ; adaptation du stockage, sans nouvelles issues imposées.</x:v>
      </x:c>
      <x:c r="O9" s="14" t="str">
        <x:v>https://primagames.com/eguides/mass-effect-pc-eguide/walkthrough/spectra-assignments-virmire-and-citadel-lockdown/virmire-assignments</x:v>
      </x:c>
      <x:c r="P9" s="14" t="str">
        <x:v>Production ME1</x:v>
      </x:c>
      <x:c r="Q9" s="14" t="str"/>
    </x:row>
    <x:row r="10" ht="49" customHeight="1">
      <x:c r="A10" s="12" t="str">
        <x:v>CHC-apparence-de-shepard</x:v>
      </x:c>
      <x:c r="B10" s="7" t="str">
        <x:v>Apparence de Shepard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Visage, peau, cheveux et présentation.</x:v>
      </x:c>
      <x:c r="I10" s="7" t="str">
        <x:v>Portrait et sprites montrent la même personne.</x:v>
      </x:c>
      <x:c r="J10" s="7" t="str"/>
      <x:c r="K10" s="7" t="str">
        <x:v>content/choices/CHC-apparence-de-shepard.json</x:v>
      </x:c>
      <x:c r="L10" s="7" t="str"/>
      <x:c r="M10" s="7" t="str"/>
      <x:c r="N10" s="7" t="str">
        <x:v>Drapeaux de narration à relever ; adaptation du stockage, sans nouvelles issues imposées.</x:v>
      </x:c>
      <x:c r="O10" s="7" t="str">
        <x:v>https://primagames.com/eguides/mass-effect-pc-eguide/walkthrough/spectra-assignments-virmire-and-citadel-lockdown/virmire-assignments</x:v>
      </x:c>
      <x:c r="P10" s="7" t="str">
        <x:v>Production ME1</x:v>
      </x:c>
      <x:c r="Q10" s="7" t="str"/>
    </x:row>
    <x:row r="11" ht="49" customHeight="1">
      <x:c r="A11" s="13" t="str">
        <x:v>CHC-reponse-aux-survivants-eden-prime</x:v>
      </x:c>
      <x:c r="B11" s="14" t="str">
        <x:v>Réponse aux survivants Eden Prime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Ton de Shepard durant le sauvetage.</x:v>
      </x:c>
      <x:c r="I11" s="14" t="str">
        <x:v>Aucune branche supprimant une révélation nécessaire.</x:v>
      </x:c>
      <x:c r="J11" s="14" t="str"/>
      <x:c r="K11" s="14" t="str">
        <x:v>content/choices/CHC-reponse-aux-survivants-eden-prime.json</x:v>
      </x:c>
      <x:c r="L11" s="14" t="str"/>
      <x:c r="M11" s="14" t="str"/>
      <x:c r="N11" s="14" t="str">
        <x:v>Drapeaux de narration à relever ; adaptation du stockage, sans nouvelles issues imposées.</x:v>
      </x:c>
      <x:c r="O11" s="14" t="str">
        <x:v>https://primagames.com/eguides/mass-effect-pc-eguide/walkthrough/spectra-assignments-virmire-and-citadel-lockdown/virmire-assignments</x:v>
      </x:c>
      <x:c r="P11" s="14" t="str">
        <x:v>Production ME1</x:v>
      </x:c>
      <x:c r="Q11" s="14" t="str"/>
    </x:row>
    <x:row r="12" ht="49" customHeight="1">
      <x:c r="A12" s="12" t="str">
        <x:v>CHC-sort-de-fist</x:v>
      </x:c>
      <x:c r="B12" s="7" t="str">
        <x:v>Sort de Fist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Issue de la confrontation à Chora’s Den.</x:v>
      </x:c>
      <x:c r="I12" s="7" t="str">
        <x:v>Influence de la présence de Wrex respectée.</x:v>
      </x:c>
      <x:c r="J12" s="7" t="str"/>
      <x:c r="K12" s="7" t="str">
        <x:v>content/choices/CHC-sort-de-fist.json</x:v>
      </x:c>
      <x:c r="L12" s="7" t="str"/>
      <x:c r="M12" s="7" t="str"/>
      <x:c r="N12" s="7" t="str">
        <x:v>Drapeaux de narration à relever ; adaptation du stockage, sans nouvelles issues imposées.</x:v>
      </x:c>
      <x:c r="O12" s="7" t="str">
        <x:v>https://primagames.com/eguides/mass-effect-pc-eguide/walkthrough/spectra-assignments-virmire-and-citadel-lockdown/virmire-assignments</x:v>
      </x:c>
      <x:c r="P12" s="7" t="str">
        <x:v>Production ME1</x:v>
      </x:c>
      <x:c r="Q12" s="7" t="str"/>
    </x:row>
    <x:row r="13" ht="49" customHeight="1">
      <x:c r="A13" s="13" t="str">
        <x:v>CHC-recrutement-de-garrus</x:v>
      </x:c>
      <x:c r="B13" s="14" t="str">
        <x:v>Recrutement de Garrus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Acceptation et moment de recrutement.</x:v>
      </x:c>
      <x:c r="I13" s="14" t="str">
        <x:v>PNJ et équipier ne coexistent pas en double.</x:v>
      </x:c>
      <x:c r="J13" s="14" t="str"/>
      <x:c r="K13" s="14" t="str">
        <x:v>content/choices/CHC-recrutement-de-garrus.json</x:v>
      </x:c>
      <x:c r="L13" s="14" t="str"/>
      <x:c r="M13" s="14" t="str"/>
      <x:c r="N13" s="14" t="str">
        <x:v>Drapeaux de narration à relever ; adaptation du stockage, sans nouvelles issues imposées.</x:v>
      </x:c>
      <x:c r="O13" s="14" t="str">
        <x:v>https://primagames.com/eguides/mass-effect-pc-eguide/walkthrough/spectra-assignments-virmire-and-citadel-lockdown/virmire-assignments</x:v>
      </x:c>
      <x:c r="P13" s="14" t="str">
        <x:v>Production ME1</x:v>
      </x:c>
      <x:c r="Q13" s="14" t="str"/>
    </x:row>
    <x:row r="14" ht="49" customHeight="1">
      <x:c r="A14" s="12" t="str">
        <x:v>CHC-recrutement-de-wrex</x:v>
      </x:c>
      <x:c r="B14" s="7" t="str">
        <x:v>Recrutement de Wrex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Acceptation de son aide.</x:v>
      </x:c>
      <x:c r="I14" s="7" t="str">
        <x:v>Conversations et présence en soute adaptées.</x:v>
      </x:c>
      <x:c r="J14" s="7" t="str"/>
      <x:c r="K14" s="7" t="str">
        <x:v>content/choices/CHC-recrutement-de-wrex.json</x:v>
      </x:c>
      <x:c r="L14" s="7" t="str"/>
      <x:c r="M14" s="7" t="str"/>
      <x:c r="N14" s="7" t="str">
        <x:v>Drapeaux de narration à relever ; adaptation du stockage, sans nouvelles issues imposées.</x:v>
      </x:c>
      <x:c r="O14" s="7" t="str">
        <x:v>https://primagames.com/eguides/mass-effect-pc-eguide/walkthrough/spectra-assignments-virmire-and-citadel-lockdown/virmire-assignments</x:v>
      </x:c>
      <x:c r="P14" s="7" t="str">
        <x:v>Production ME1</x:v>
      </x:c>
      <x:c r="Q14" s="7" t="str"/>
    </x:row>
    <x:row r="15" ht="49" customHeight="1">
      <x:c r="A15" s="13" t="str">
        <x:v>CHC-ordre-des-destinations</x:v>
      </x:c>
      <x:c r="B15" s="14" t="str">
        <x:v>Ordre des destinations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Therum, Feros, Noveria selon progression.</x:v>
      </x:c>
      <x:c r="I15" s="14" t="str">
        <x:v>Dialogues de Liara réactifs à un recrutement tardif.</x:v>
      </x:c>
      <x:c r="J15" s="14" t="str"/>
      <x:c r="K15" s="14" t="str">
        <x:v>content/choices/CHC-ordre-des-destinations.json</x:v>
      </x:c>
      <x:c r="L15" s="14" t="str"/>
      <x:c r="M15" s="14" t="str"/>
      <x:c r="N15" s="14" t="str">
        <x:v>Drapeaux de narration à relever ; adaptation du stockage, sans nouvelles issues imposées.</x:v>
      </x:c>
      <x:c r="O15" s="14" t="str">
        <x:v>https://primagames.com/eguides/mass-effect-pc-eguide/walkthrough/spectra-assignments-virmire-and-citadel-lockdown/virmire-assignments</x:v>
      </x:c>
      <x:c r="P15" s="14" t="str">
        <x:v>Production ME1</x:v>
      </x:c>
      <x:c r="Q15" s="14" t="str"/>
    </x:row>
    <x:row r="16" ht="49" customHeight="1">
      <x:c r="A16" s="12" t="str">
        <x:v>CHC-donnees-de-tali</x:v>
      </x:c>
      <x:c r="B16" s="7" t="str">
        <x:v>Données de Tali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Partage des données geth.</x:v>
      </x:c>
      <x:c r="I16" s="7" t="str">
        <x:v>Relation et export futur mis à jour.</x:v>
      </x:c>
      <x:c r="J16" s="7" t="str"/>
      <x:c r="K16" s="7" t="str">
        <x:v>content/choices/CHC-donnees-de-tali.json</x:v>
      </x:c>
      <x:c r="L16" s="7" t="str"/>
      <x:c r="M16" s="7" t="str"/>
      <x:c r="N16" s="7" t="str">
        <x:v>Drapeaux de narration à relever ; adaptation du stockage, sans nouvelles issues imposées.</x:v>
      </x:c>
      <x:c r="O16" s="7" t="str">
        <x:v>https://primagames.com/eguides/mass-effect-pc-eguide/walkthrough/spectra-assignments-virmire-and-citadel-lockdown/virmire-assignments</x:v>
      </x:c>
      <x:c r="P16" s="7" t="str">
        <x:v>Production ME1</x:v>
      </x:c>
      <x:c r="Q16" s="7" t="str"/>
    </x:row>
    <x:row r="17" ht="49" customHeight="1">
      <x:c r="A17" s="13" t="str">
        <x:v>CHC-attitude-de-garrus</x:v>
      </x:c>
      <x:c r="B17" s="14" t="str">
        <x:v>Attitude de Garrus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Encouragement de la procédure ou de la force.</x:v>
      </x:c>
      <x:c r="I17" s="14" t="str">
        <x:v>Conversation suivante se réfère au bon choix.</x:v>
      </x:c>
      <x:c r="J17" s="14" t="str"/>
      <x:c r="K17" s="14" t="str">
        <x:v>content/choices/CHC-attitude-de-garrus.json</x:v>
      </x:c>
      <x:c r="L17" s="14" t="str"/>
      <x:c r="M17" s="14" t="str"/>
      <x:c r="N17" s="14" t="str">
        <x:v>Drapeaux de narration à relever ; adaptation du stockage, sans nouvelles issues imposées.</x:v>
      </x:c>
      <x:c r="O17" s="14" t="str">
        <x:v>https://primagames.com/eguides/mass-effect-pc-eguide/walkthrough/spectra-assignments-virmire-and-citadel-lockdown/virmire-assignments</x:v>
      </x:c>
      <x:c r="P17" s="14" t="str">
        <x:v>Production ME1</x:v>
      </x:c>
      <x:c r="Q17" s="14" t="str"/>
    </x:row>
    <x:row r="18" ht="49" customHeight="1">
      <x:c r="A18" s="12" t="str">
        <x:v>CHC-armure-de-wrex</x:v>
      </x:c>
      <x:c r="B18" s="7" t="str">
        <x:v>Armure de Wrex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Remise de l’objet familial.</x:v>
      </x:c>
      <x:c r="I18" s="7" t="str">
        <x:v>Drapeau exploitable dans le dialogue de Virmire.</x:v>
      </x:c>
      <x:c r="J18" s="7" t="str"/>
      <x:c r="K18" s="7" t="str">
        <x:v>content/choices/CHC-armure-de-wrex.json</x:v>
      </x:c>
      <x:c r="L18" s="7" t="str"/>
      <x:c r="M18" s="7" t="str"/>
      <x:c r="N18" s="7" t="str">
        <x:v>Drapeaux de narration à relever ; adaptation du stockage, sans nouvelles issues imposées.</x:v>
      </x:c>
      <x:c r="O18" s="7" t="str">
        <x:v>https://primagames.com/eguides/mass-effect-pc-eguide/walkthrough/spectra-assignments-virmire-and-citadel-lockdown/virmire-assignments</x:v>
      </x:c>
      <x:c r="P18" s="7" t="str">
        <x:v>Production ME1</x:v>
      </x:c>
      <x:c r="Q18" s="7" t="str"/>
    </x:row>
    <x:row r="19" ht="49" customHeight="1">
      <x:c r="A19" s="13" t="str">
        <x:v>CHC-colons-de-feros</x:v>
      </x:c>
      <x:c r="B19" s="14" t="str">
        <x:v>Colons de Feros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Nombre de survivants et méthodes employées.</x:v>
      </x:c>
      <x:c r="I19" s="14" t="str">
        <x:v>Bilan lié aux cibles réellement épargnées.</x:v>
      </x:c>
      <x:c r="J19" s="14" t="str"/>
      <x:c r="K19" s="14" t="str">
        <x:v>content/choices/CHC-colons-de-feros.json</x:v>
      </x:c>
      <x:c r="L19" s="14" t="str"/>
      <x:c r="M19" s="14" t="str"/>
      <x:c r="N19" s="14" t="str">
        <x:v>Drapeaux de narration à relever ; adaptation du stockage, sans nouvelles issues imposées.</x:v>
      </x:c>
      <x:c r="O19" s="14" t="str">
        <x:v>https://primagames.com/eguides/mass-effect-pc-eguide/walkthrough/spectra-assignments-virmire-and-citadel-lockdown/virmire-assignments</x:v>
      </x:c>
      <x:c r="P19" s="14" t="str">
        <x:v>Production ME1</x:v>
      </x:c>
      <x:c r="Q19" s="14" t="str"/>
    </x:row>
    <x:row r="20" ht="49" customHeight="1">
      <x:c r="A20" s="12" t="str">
        <x:v>CHC-sort-de-shiala</x:v>
      </x:c>
      <x:c r="B20" s="7" t="str">
        <x:v>Sort de Shiala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Décision après le Thorian.</x:v>
      </x:c>
      <x:c r="I20" s="7" t="str">
        <x:v>PNJ et export narratif concordants.</x:v>
      </x:c>
      <x:c r="J20" s="7" t="str"/>
      <x:c r="K20" s="7" t="str">
        <x:v>content/choices/CHC-sort-de-shiala.json</x:v>
      </x:c>
      <x:c r="L20" s="7" t="str"/>
      <x:c r="M20" s="7" t="str"/>
      <x:c r="N20" s="7" t="str">
        <x:v>Drapeaux de narration à relever ; adaptation du stockage, sans nouvelles issues imposées.</x:v>
      </x:c>
      <x:c r="O20" s="7" t="str">
        <x:v>https://primagames.com/eguides/mass-effect-pc-eguide/walkthrough/spectra-assignments-virmire-and-citadel-lockdown/virmire-assignments</x:v>
      </x:c>
      <x:c r="P20" s="7" t="str">
        <x:v>Production ME1</x:v>
      </x:c>
      <x:c r="Q20" s="7" t="str"/>
    </x:row>
    <x:row r="21" ht="49" customHeight="1">
      <x:c r="A21" s="13" t="str">
        <x:v>CHC-affaire-jeong</x:v>
      </x:c>
      <x:c r="B21" s="14" t="str">
        <x:v>Affaire Jeong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Persuasion ou confrontation.</x:v>
      </x:c>
      <x:c r="I21" s="14" t="str">
        <x:v>État de la colonie et issue de dialogue enregistrés.</x:v>
      </x:c>
      <x:c r="J21" s="14" t="str"/>
      <x:c r="K21" s="14" t="str">
        <x:v>content/choices/CHC-affaire-jeong.json</x:v>
      </x:c>
      <x:c r="L21" s="14" t="str"/>
      <x:c r="M21" s="14" t="str"/>
      <x:c r="N21" s="14" t="str">
        <x:v>Drapeaux de narration à relever ; adaptation du stockage, sans nouvelles issues imposées.</x:v>
      </x:c>
      <x:c r="O21" s="14" t="str">
        <x:v>https://primagames.com/eguides/mass-effect-pc-eguide/walkthrough/spectra-assignments-virmire-and-citadel-lockdown/virmire-assignments</x:v>
      </x:c>
      <x:c r="P21" s="14" t="str">
        <x:v>Production ME1</x:v>
      </x:c>
      <x:c r="Q21" s="14" t="str"/>
    </x:row>
    <x:row r="22" ht="49" customHeight="1">
      <x:c r="A22" s="12" t="str">
        <x:v>CHC-corruption-noveria</x:v>
      </x:c>
      <x:c r="B22" s="7" t="str">
        <x:v>Corruption Noveria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Voie de résolution pour obtenir l’accès.</x:v>
      </x:c>
      <x:c r="I22" s="7" t="str">
        <x:v>Une voie ne bloque pas involontairement les autres.</x:v>
      </x:c>
      <x:c r="J22" s="7" t="str"/>
      <x:c r="K22" s="7" t="str">
        <x:v>content/choices/CHC-corruption-noveria.json</x:v>
      </x:c>
      <x:c r="L22" s="7" t="str"/>
      <x:c r="M22" s="7" t="str"/>
      <x:c r="N22" s="7" t="str">
        <x:v>Drapeaux de narration à relever ; adaptation du stockage, sans nouvelles issues imposées.</x:v>
      </x:c>
      <x:c r="O22" s="7" t="str">
        <x:v>https://primagames.com/eguides/mass-effect-pc-eguide/walkthrough/spectra-assignments-virmire-and-citadel-lockdown/virmire-assignments</x:v>
      </x:c>
      <x:c r="P22" s="7" t="str">
        <x:v>Production ME1</x:v>
      </x:c>
      <x:c r="Q22" s="7" t="str"/>
    </x:row>
    <x:row r="23" ht="49" customHeight="1">
      <x:c r="A23" s="13" t="str">
        <x:v>CHC-temoignage-de-lorik</x:v>
      </x:c>
      <x:c r="B23" s="14" t="str">
        <x:v>Témoignage de Lorik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Convaincre ou éviter de l’impliquer.</x:v>
      </x:c>
      <x:c r="I23" s="14" t="str">
        <x:v>Issue Gianna et Anoleis cohérente.</x:v>
      </x:c>
      <x:c r="J23" s="14" t="str"/>
      <x:c r="K23" s="14" t="str">
        <x:v>content/choices/CHC-temoignage-de-lorik.json</x:v>
      </x:c>
      <x:c r="L23" s="14" t="str"/>
      <x:c r="M23" s="14" t="str"/>
      <x:c r="N23" s="14" t="str">
        <x:v>Drapeaux de narration à relever ; adaptation du stockage, sans nouvelles issues imposées.</x:v>
      </x:c>
      <x:c r="O23" s="14" t="str">
        <x:v>https://primagames.com/eguides/mass-effect-pc-eguide/walkthrough/spectra-assignments-virmire-and-citadel-lockdown/virmire-assignments</x:v>
      </x:c>
      <x:c r="P23" s="14" t="str">
        <x:v>Production ME1</x:v>
      </x:c>
      <x:c r="Q23" s="14" t="str"/>
    </x:row>
    <x:row r="24" ht="49" customHeight="1">
      <x:c r="A24" s="12" t="str">
        <x:v>CHC-sort-de-la-reine-rachni</x:v>
      </x:c>
      <x:c r="B24" s="7" t="str">
        <x:v>Sort de la reine rachni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Libérer ou tuer la reine.</x:v>
      </x:c>
      <x:c r="I24" s="7" t="str">
        <x:v>Conséquence persistante et exportable.</x:v>
      </x:c>
      <x:c r="J24" s="7" t="str"/>
      <x:c r="K24" s="7" t="str">
        <x:v>content/choices/CHC-sort-de-la-reine-rachni.json</x:v>
      </x:c>
      <x:c r="L24" s="7" t="str"/>
      <x:c r="M24" s="7" t="str"/>
      <x:c r="N24" s="7" t="str">
        <x:v>Drapeaux de narration à relever ; adaptation du stockage, sans nouvelles issues imposées.</x:v>
      </x:c>
      <x:c r="O24" s="7" t="str">
        <x:v>https://primagames.com/eguides/mass-effect-pc-eguide/walkthrough/spectra-assignments-virmire-and-citadel-lockdown/virmire-assignments</x:v>
      </x:c>
      <x:c r="P24" s="7" t="str">
        <x:v>Production ME1</x:v>
      </x:c>
      <x:c r="Q24" s="7" t="str"/>
    </x:row>
    <x:row r="25" ht="49" customHeight="1">
      <x:c r="A25" s="13" t="str">
        <x:v>CHC-conflit-de-wrex</x:v>
      </x:c>
      <x:c r="B25" s="14" t="str">
        <x:v>Conflit de Wrex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Persuasion, preuve d’amitié ou mort.</x:v>
      </x:c>
      <x:c r="I25" s="14" t="str">
        <x:v>Options conditionnées par talents et mission d’armure.</x:v>
      </x:c>
      <x:c r="J25" s="14" t="str"/>
      <x:c r="K25" s="14" t="str">
        <x:v>content/choices/CHC-conflit-de-wrex.json</x:v>
      </x:c>
      <x:c r="L25" s="14" t="str"/>
      <x:c r="M25" s="14" t="str"/>
      <x:c r="N25" s="14" t="str">
        <x:v>Drapeaux de narration à relever ; adaptation du stockage, sans nouvelles issues imposées.</x:v>
      </x:c>
      <x:c r="O25" s="14" t="str">
        <x:v>https://primagames.com/eguides/mass-effect-pc-eguide/walkthrough/spectra-assignments-virmire-and-citadel-lockdown/virmire-assignments</x:v>
      </x:c>
      <x:c r="P25" s="14" t="str">
        <x:v>Production ME1</x:v>
      </x:c>
      <x:c r="Q25" s="14" t="str"/>
    </x:row>
    <x:row r="26" ht="49" customHeight="1">
      <x:c r="A26" s="12" t="str">
        <x:v>CHC-affectation-virmire</x:v>
      </x:c>
      <x:c r="B26" s="7" t="str">
        <x:v>Affectation Virmire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Choisir le rôle d’Ashley et de Kaidan.</x:v>
      </x:c>
      <x:c r="I26" s="7" t="str">
        <x:v>Positions de sauvetage reflètent l’affectation.</x:v>
      </x:c>
      <x:c r="J26" s="7" t="str"/>
      <x:c r="K26" s="7" t="str">
        <x:v>content/choices/CHC-affectation-virmire.json</x:v>
      </x:c>
      <x:c r="L26" s="7" t="str"/>
      <x:c r="M26" s="7" t="str"/>
      <x:c r="N26" s="7" t="str">
        <x:v>Drapeaux de narration à relever ; adaptation du stockage, sans nouvelles issues imposées.</x:v>
      </x:c>
      <x:c r="O26" s="7" t="str">
        <x:v>https://primagames.com/eguides/mass-effect-pc-eguide/walkthrough/spectra-assignments-virmire-and-citadel-lockdown/virmire-assignments</x:v>
      </x:c>
      <x:c r="P26" s="7" t="str">
        <x:v>Production ME1</x:v>
      </x:c>
      <x:c r="Q26" s="7" t="str"/>
    </x:row>
    <x:row r="27" ht="49" customHeight="1">
      <x:c r="A27" s="13" t="str">
        <x:v>CHC-soutien-a-kirrahe</x:v>
      </x:c>
      <x:c r="B27" s="14" t="str">
        <x:v>Soutien à Kirrahe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Sabotages utiles à l’équipe galarienne.</x:v>
      </x:c>
      <x:c r="I27" s="14" t="str">
        <x:v>Chaque objectif est enregistré séparément.</x:v>
      </x:c>
      <x:c r="J27" s="14" t="str"/>
      <x:c r="K27" s="14" t="str">
        <x:v>content/choices/CHC-soutien-a-kirrahe.json</x:v>
      </x:c>
      <x:c r="L27" s="14" t="str"/>
      <x:c r="M27" s="14" t="str"/>
      <x:c r="N27" s="14" t="str">
        <x:v>Drapeaux de narration à relever ; adaptation du stockage, sans nouvelles issues imposées.</x:v>
      </x:c>
      <x:c r="O27" s="14" t="str">
        <x:v>https://primagames.com/eguides/mass-effect-pc-eguide/walkthrough/spectra-assignments-virmire-and-citadel-lockdown/virmire-assignments</x:v>
      </x:c>
      <x:c r="P27" s="14" t="str">
        <x:v>Production ME1</x:v>
      </x:c>
      <x:c r="Q27" s="14" t="str"/>
    </x:row>
    <x:row r="28" ht="49" customHeight="1">
      <x:c r="A28" s="12" t="str">
        <x:v>CHC-sort-de-rana</x:v>
      </x:c>
      <x:c r="B28" s="7" t="str">
        <x:v>Sort de Rana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La laisser partir ou la tuer.</x:v>
      </x:c>
      <x:c r="I28" s="7" t="str">
        <x:v>État exportable sans conséquence inventée dans ME1.</x:v>
      </x:c>
      <x:c r="J28" s="7" t="str"/>
      <x:c r="K28" s="7" t="str">
        <x:v>content/choices/CHC-sort-de-rana.json</x:v>
      </x:c>
      <x:c r="L28" s="7" t="str"/>
      <x:c r="M28" s="7" t="str"/>
      <x:c r="N28" s="7" t="str">
        <x:v>Drapeaux de narration à relever ; adaptation du stockage, sans nouvelles issues imposées.</x:v>
      </x:c>
      <x:c r="O28" s="7" t="str">
        <x:v>https://primagames.com/eguides/mass-effect-pc-eguide/walkthrough/spectra-assignments-virmire-and-citadel-lockdown/virmire-assignments</x:v>
      </x:c>
      <x:c r="P28" s="7" t="str">
        <x:v>Production ME1</x:v>
      </x:c>
      <x:c r="Q28" s="7" t="str"/>
    </x:row>
    <x:row r="29" ht="49" customHeight="1">
      <x:c r="A29" s="13" t="str">
        <x:v>CHC-survivant-de-virmire</x:v>
      </x:c>
      <x:c r="B29" s="14" t="str">
        <x:v>Survivant de Virmire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Ashley ou Kaidan.</x:v>
      </x:c>
      <x:c r="I29" s="14" t="str">
        <x:v>Équipe, dialogues, romance et épilogue mis à jour.</x:v>
      </x:c>
      <x:c r="J29" s="14" t="str"/>
      <x:c r="K29" s="14" t="str">
        <x:v>content/choices/CHC-survivant-de-virmire.json</x:v>
      </x:c>
      <x:c r="L29" s="14" t="str"/>
      <x:c r="M29" s="14" t="str"/>
      <x:c r="N29" s="14" t="str">
        <x:v>Drapeaux de narration à relever ; adaptation du stockage, sans nouvelles issues imposées.</x:v>
      </x:c>
      <x:c r="O29" s="14" t="str">
        <x:v>https://primagames.com/eguides/mass-effect-pc-eguide/walkthrough/spectra-assignments-virmire-and-citadel-lockdown/virmire-assignments</x:v>
      </x:c>
      <x:c r="P29" s="14" t="str">
        <x:v>Production ME1</x:v>
      </x:c>
      <x:c r="Q29" s="14" t="str"/>
    </x:row>
    <x:row r="30" ht="49" customHeight="1">
      <x:c r="A30" s="12" t="str">
        <x:v>CHC-romance-ashley</x:v>
      </x:c>
      <x:c r="B30" s="7" t="str">
        <x:v>Romance Ashley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Relation possible selon le Shepard de ME1.</x:v>
      </x:c>
      <x:c r="I30" s="7" t="str">
        <x:v>Éligibilité, étapes et interruption documentées.</x:v>
      </x:c>
      <x:c r="J30" s="7" t="str"/>
      <x:c r="K30" s="7" t="str">
        <x:v>content/choices/CHC-romance-ashley.json</x:v>
      </x:c>
      <x:c r="L30" s="7" t="str"/>
      <x:c r="M30" s="7" t="str"/>
      <x:c r="N30" s="7" t="str">
        <x:v>Drapeaux de narration à relever ; adaptation du stockage, sans nouvelles issues imposées.</x:v>
      </x:c>
      <x:c r="O30" s="7" t="str">
        <x:v>https://primagames.com/eguides/mass-effect-pc-eguide/walkthrough/spectra-assignments-virmire-and-citadel-lockdown/virmire-assignments</x:v>
      </x:c>
      <x:c r="P30" s="7" t="str">
        <x:v>Production ME1</x:v>
      </x:c>
      <x:c r="Q30" s="7" t="str"/>
    </x:row>
    <x:row r="31" ht="49" customHeight="1">
      <x:c r="A31" s="13" t="str">
        <x:v>CHC-romance-kaidan</x:v>
      </x:c>
      <x:c r="B31" s="14" t="str">
        <x:v>Romance Kaidan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Relation possible selon le Shepard de ME1.</x:v>
      </x:c>
      <x:c r="I31" s="14" t="str">
        <x:v>Éligibilité conforme à l’épisode retenu.</x:v>
      </x:c>
      <x:c r="J31" s="14" t="str"/>
      <x:c r="K31" s="14" t="str">
        <x:v>content/choices/CHC-romance-kaidan.json</x:v>
      </x:c>
      <x:c r="L31" s="14" t="str"/>
      <x:c r="M31" s="14" t="str"/>
      <x:c r="N31" s="14" t="str">
        <x:v>Drapeaux de narration à relever ; adaptation du stockage, sans nouvelles issues imposées.</x:v>
      </x:c>
      <x:c r="O31" s="14" t="str">
        <x:v>https://primagames.com/eguides/mass-effect-pc-eguide/walkthrough/spectra-assignments-virmire-and-citadel-lockdown/virmire-assignments</x:v>
      </x:c>
      <x:c r="P31" s="14" t="str">
        <x:v>Production ME1</x:v>
      </x:c>
      <x:c r="Q31" s="14" t="str"/>
    </x:row>
    <x:row r="32" ht="49" customHeight="1">
      <x:c r="A32" s="12" t="str">
        <x:v>CHC-romance-liara</x:v>
      </x:c>
      <x:c r="B32" s="7" t="str">
        <x:v>Romance Liara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Relation évoluant après recrutement.</x:v>
      </x:c>
      <x:c r="I32" s="7" t="str">
        <x:v>Conflits relationnels et choix explicites respectés.</x:v>
      </x:c>
      <x:c r="J32" s="7" t="str"/>
      <x:c r="K32" s="7" t="str">
        <x:v>content/choices/CHC-romance-liara.json</x:v>
      </x:c>
      <x:c r="L32" s="7" t="str"/>
      <x:c r="M32" s="7" t="str"/>
      <x:c r="N32" s="7" t="str">
        <x:v>Drapeaux de narration à relever ; adaptation du stockage, sans nouvelles issues imposées.</x:v>
      </x:c>
      <x:c r="O32" s="7" t="str">
        <x:v>https://primagames.com/eguides/mass-effect-pc-eguide/walkthrough/spectra-assignments-virmire-and-citadel-lockdown/virmire-assignments</x:v>
      </x:c>
      <x:c r="P32" s="7" t="str">
        <x:v>Production ME1</x:v>
      </x:c>
      <x:c r="Q32" s="7" t="str"/>
    </x:row>
    <x:row r="33" ht="49" customHeight="1">
      <x:c r="A33" s="13" t="str">
        <x:v>CHC-conflit-amoureux</x:v>
      </x:c>
      <x:c r="B33" s="14" t="str">
        <x:v>Conflit amoureux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Référence à vérifier</x:v>
      </x:c>
      <x:c r="H33" s="14" t="str">
        <x:v>Résoudre plusieurs intentions relationnelles.</x:v>
      </x:c>
      <x:c r="I33" s="14" t="str">
        <x:v>Aucune scène déclenchée avec un personnage indisponible.</x:v>
      </x:c>
      <x:c r="J33" s="14" t="str"/>
      <x:c r="K33" s="14" t="str">
        <x:v>content/choices/CHC-conflit-amoureux.json</x:v>
      </x:c>
      <x:c r="L33" s="14" t="str"/>
      <x:c r="M33" s="14" t="str"/>
      <x:c r="N33" s="14" t="str">
        <x:v>Drapeaux de narration à relever ; adaptation du stockage, sans nouvelles issues imposées.</x:v>
      </x:c>
      <x:c r="O33" s="14" t="str">
        <x:v>https://primagames.com/eguides/mass-effect-pc-eguide/walkthrough/spectra-assignments-virmire-and-citadel-lockdown/virmire-assignments</x:v>
      </x:c>
      <x:c r="P33" s="14" t="str">
        <x:v>Production ME1</x:v>
      </x:c>
      <x:c r="Q33" s="14" t="str"/>
    </x:row>
    <x:row r="34" ht="49" customHeight="1">
      <x:c r="A34" s="12" t="str">
        <x:v>CHC-anderson-et-le-depart</x:v>
      </x:c>
      <x:c r="B34" s="7" t="str">
        <x:v>Anderson et le départ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Référence à vérifier</x:v>
      </x:c>
      <x:c r="H34" s="7" t="str">
        <x:v>Méthode permettant de quitter la Citadelle.</x:v>
      </x:c>
      <x:c r="I34" s="7" t="str">
        <x:v>Scène et dialogue reflètent la méthode choisie.</x:v>
      </x:c>
      <x:c r="J34" s="7" t="str"/>
      <x:c r="K34" s="7" t="str">
        <x:v>content/choices/CHC-anderson-et-le-depart.json</x:v>
      </x:c>
      <x:c r="L34" s="7" t="str"/>
      <x:c r="M34" s="7" t="str"/>
      <x:c r="N34" s="7" t="str">
        <x:v>Drapeaux de narration à relever ; adaptation du stockage, sans nouvelles issues imposées.</x:v>
      </x:c>
      <x:c r="O34" s="7" t="str">
        <x:v>https://primagames.com/eguides/mass-effect-pc-eguide/walkthrough/spectra-assignments-virmire-and-citadel-lockdown/virmire-assignments</x:v>
      </x:c>
      <x:c r="P34" s="7" t="str">
        <x:v>Production ME1</x:v>
      </x:c>
      <x:c r="Q34" s="7" t="str"/>
    </x:row>
    <x:row r="35" ht="49" customHeight="1">
      <x:c r="A35" s="13" t="str">
        <x:v>CHC-persuasion-de-saren</x:v>
      </x:c>
      <x:c r="B35" s="14" t="str">
        <x:v>Persuasion de Saren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Référence à vérifier</x:v>
      </x:c>
      <x:c r="H35" s="14" t="str">
        <x:v>Utiliser les options débloquées lors de la confrontation.</x:v>
      </x:c>
      <x:c r="I35" s="14" t="str">
        <x:v>Conditions exactes relevées, sans raccourci arbitraire.</x:v>
      </x:c>
      <x:c r="J35" s="14" t="str"/>
      <x:c r="K35" s="14" t="str">
        <x:v>content/choices/CHC-persuasion-de-saren.json</x:v>
      </x:c>
      <x:c r="L35" s="14" t="str"/>
      <x:c r="M35" s="14" t="str"/>
      <x:c r="N35" s="14" t="str">
        <x:v>Drapeaux de narration à relever ; adaptation du stockage, sans nouvelles issues imposées.</x:v>
      </x:c>
      <x:c r="O35" s="14" t="str">
        <x:v>https://primagames.com/eguides/mass-effect-pc-eguide/walkthrough/spectra-assignments-virmire-and-citadel-lockdown/virmire-assignments</x:v>
      </x:c>
      <x:c r="P35" s="14" t="str">
        <x:v>Production ME1</x:v>
      </x:c>
      <x:c r="Q35" s="14" t="str"/>
    </x:row>
    <x:row r="36" ht="49" customHeight="1">
      <x:c r="A36" s="12" t="str">
        <x:v>CHC-sort-du-conseil</x:v>
      </x:c>
      <x:c r="B36" s="7" t="str">
        <x:v>Sort du Conseil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Référence à vérifier</x:v>
      </x:c>
      <x:c r="H36" s="7" t="str">
        <x:v>Décision militaire au final.</x:v>
      </x:c>
      <x:c r="I36" s="7" t="str">
        <x:v>Épilogue et composition politique dépendants.</x:v>
      </x:c>
      <x:c r="J36" s="7" t="str"/>
      <x:c r="K36" s="7" t="str">
        <x:v>content/choices/CHC-sort-du-conseil.json</x:v>
      </x:c>
      <x:c r="L36" s="7" t="str"/>
      <x:c r="M36" s="7" t="str"/>
      <x:c r="N36" s="7" t="str">
        <x:v>Drapeaux de narration à relever ; adaptation du stockage, sans nouvelles issues imposées.</x:v>
      </x:c>
      <x:c r="O36" s="7" t="str">
        <x:v>https://primagames.com/eguides/mass-effect-pc-eguide/walkthrough/spectra-assignments-virmire-and-citadel-lockdown/virmire-assignments</x:v>
      </x:c>
      <x:c r="P36" s="7" t="str">
        <x:v>Production ME1</x:v>
      </x:c>
      <x:c r="Q36" s="7" t="str"/>
    </x:row>
    <x:row r="37" ht="49" customHeight="1">
      <x:c r="A37" s="13" t="str">
        <x:v>CHC-representation-humaine</x:v>
      </x:c>
      <x:c r="B37" s="14" t="str">
        <x:v>Représentation humaine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Référence à vérifier</x:v>
      </x:c>
      <x:c r="H37" s="14" t="str">
        <x:v>Choix final de représentant.</x:v>
      </x:c>
      <x:c r="I37" s="14" t="str">
        <x:v>Drapeau d’export conservé séparément du Conseil.</x:v>
      </x:c>
      <x:c r="J37" s="14" t="str"/>
      <x:c r="K37" s="14" t="str">
        <x:v>content/choices/CHC-representation-humaine.json</x:v>
      </x:c>
      <x:c r="L37" s="14" t="str"/>
      <x:c r="M37" s="14" t="str"/>
      <x:c r="N37" s="14" t="str">
        <x:v>Drapeaux de narration à relever ; adaptation du stockage, sans nouvelles issues imposées.</x:v>
      </x:c>
      <x:c r="O37" s="14" t="str">
        <x:v>https://primagames.com/eguides/mass-effect-pc-eguide/walkthrough/spectra-assignments-virmire-and-citadel-lockdown/virmire-assignments</x:v>
      </x:c>
      <x:c r="P37" s="14" t="str">
        <x:v>Production ME1</x:v>
      </x:c>
      <x:c r="Q37" s="14" t="str"/>
    </x:row>
    <x:row r="38" ht="49" customHeight="1">
      <x:c r="A38" s="12" t="str">
        <x:v>CHC-otages-x57</x:v>
      </x:c>
      <x:c r="B38" s="7" t="str">
        <x:v>Otages X57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Référence à vérifier</x:v>
      </x:c>
      <x:c r="H38" s="7" t="str">
        <x:v>Priorité aux otages ou poursuite de Balak.</x:v>
      </x:c>
      <x:c r="I38" s="7" t="str">
        <x:v>Résultat et victimes explicités.</x:v>
      </x:c>
      <x:c r="J38" s="7" t="str"/>
      <x:c r="K38" s="7" t="str">
        <x:v>content/choices/CHC-otages-x57.json</x:v>
      </x:c>
      <x:c r="L38" s="7" t="str"/>
      <x:c r="M38" s="7" t="str"/>
      <x:c r="N38" s="7" t="str">
        <x:v>Drapeaux de narration à relever ; adaptation du stockage, sans nouvelles issues imposées.</x:v>
      </x:c>
      <x:c r="O38" s="7" t="str">
        <x:v>https://primagames.com/eguides/mass-effect-pc-eguide/walkthrough/spectra-assignments-virmire-and-citadel-lockdown/virmire-assignments</x:v>
      </x:c>
      <x:c r="P38" s="7" t="str">
        <x:v>Production ME1</x:v>
      </x:c>
      <x:c r="Q38" s="7" t="str"/>
    </x:row>
    <x:row r="39" ht="49" customHeight="1">
      <x:c r="A39" s="13" t="str">
        <x:v>CHC-traitement-de-balak</x:v>
      </x:c>
      <x:c r="B39" s="14" t="str">
        <x:v>Traitement de Balak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Référence à vérifier</x:v>
      </x:c>
      <x:c r="H39" s="14" t="str">
        <x:v>Issue du DLC selon les branches.</x:v>
      </x:c>
      <x:c r="I39" s="14" t="str">
        <x:v>Retour futur conditionnel et séparé du jeu de base.</x:v>
      </x:c>
      <x:c r="J39" s="14" t="str"/>
      <x:c r="K39" s="14" t="str">
        <x:v>content/choices/CHC-traitement-de-balak.json</x:v>
      </x:c>
      <x:c r="L39" s="14" t="str"/>
      <x:c r="M39" s="14" t="str"/>
      <x:c r="N39" s="14" t="str">
        <x:v>Drapeaux de narration à relever ; adaptation du stockage, sans nouvelles issues imposées.</x:v>
      </x:c>
      <x:c r="O39" s="14" t="str">
        <x:v>https://primagames.com/eguides/mass-effect-pc-eguide/walkthrough/spectra-assignments-virmire-and-citadel-lockdown/virmire-assignments</x:v>
      </x:c>
      <x:c r="P39" s="14" t="str">
        <x:v>Production ME1</x:v>
      </x:c>
      <x:c r="Q39" s="14" t="str"/>
    </x:row>
    <x:row r="40" ht="49" customHeight="1">
      <x:c r="A40" s="12" t="str">
        <x:v>CHC-mort-narrative</x:v>
      </x:c>
      <x:c r="B40" s="7" t="str">
        <x:v>Mort narrative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Référence à vérifier</x:v>
      </x:c>
      <x:c r="H40" s="7" t="str">
        <x:v>Événement permanent du récit.</x:v>
      </x:c>
      <x:c r="I40" s="7" t="str">
        <x:v>Médi-gel et Unité ne restaurent pas une perte narrative.</x:v>
      </x:c>
      <x:c r="J40" s="7" t="str"/>
      <x:c r="K40" s="7" t="str">
        <x:v>content/choices/CHC-mort-narrative.json</x:v>
      </x:c>
      <x:c r="L40" s="7" t="str"/>
      <x:c r="M40" s="7" t="str"/>
      <x:c r="N40" s="7" t="str">
        <x:v>Drapeaux de narration à relever ; adaptation du stockage, sans nouvelles issues imposées.</x:v>
      </x:c>
      <x:c r="O40" s="7" t="str">
        <x:v>https://primagames.com/eguides/mass-effect-pc-eguide/walkthrough/spectra-assignments-virmire-and-citadel-lockdown/virmire-assignments</x:v>
      </x:c>
      <x:c r="P40" s="7" t="str">
        <x:v>Production ME1</x:v>
      </x:c>
      <x:c r="Q40" s="7" t="str"/>
    </x:row>
  </x:sheetData>
  <x:conditionalFormatting sqref="C7:C40">
    <x:cfRule type="cellIs" dxfId="55" priority="1" operator="equal">
      <x:formula>"Prototype"</x:formula>
    </x:cfRule>
    <x:cfRule type="cellIs" dxfId="56" priority="2" operator="equal">
      <x:formula>"Intégré"</x:formula>
    </x:cfRule>
    <x:cfRule type="cellIs" dxfId="57" priority="3" operator="equal">
      <x:formula>"Validé"</x:formula>
    </x:cfRule>
  </x:conditionalFormatting>
  <x:conditionalFormatting sqref="G7:G40">
    <x:cfRule type="cellIs" dxfId="58" priority="4" operator="equal">
      <x:formula>"Référence à vérifier"</x:formula>
    </x:cfRule>
  </x:conditionalFormatting>
  <x:conditionalFormatting sqref="E7:E40">
    <x:cfRule type="cellIs" dxfId="59" priority="5" operator="equal">
      <x:formula>"P0"</x:formula>
    </x:cfRule>
  </x:conditionalFormatting>
  <x:dataValidations count="5">
    <x:dataValidation type="list" sqref="C7:C40">
      <x:formula1>"Défini,Prototype,Intégré,Validé"</x:formula1>
    </x:dataValidation>
    <x:dataValidation type="list" sqref="D7:D40">
      <x:formula1>"À produire,Prototype,Disponible,Validé,Sans objet,Non planifié"</x:formula1>
    </x:dataValidation>
    <x:dataValidation type="list" sqref="E7:E40">
      <x:formula1>"P0,P1,P2"</x:formula1>
    </x:dataValidation>
    <x:dataValidation type="list" sqref="F7:F40">
      <x:formula1>"ME1,ME2,ME3"</x:formula1>
    </x:dataValidation>
    <x:dataValidation type="list" sqref="G7:G40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bc1dd61bc04d47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DIA-anderson-avant-eden-prime</x:v>
      </x:c>
      <x:c r="B7" s="14" t="str">
        <x:v>Anderson avant Eden Prime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Présenter le test du Normandy et la mission.</x:v>
      </x:c>
      <x:c r="I7" s="14" t="str">
        <x:v>Choix de ton, questions et sortie de dialogue fonctionnent.</x:v>
      </x:c>
      <x:c r="J7" s="14" t="str"/>
      <x:c r="K7" s="14" t="str">
        <x:v>content/dialogues/DIA-anderson-avant-eden-prime.json</x:v>
      </x:c>
      <x:c r="L7" s="14" t="str"/>
      <x:c r="M7" s="14" t="str"/>
      <x:c r="N7" s="14" t="str">
        <x:v>Réécriture de production à valider contre la scène ME1 ; pas de transcription intégrale fournie.</x:v>
      </x:c>
      <x:c r="O7" s="14" t="str"/>
      <x:c r="P7" s="14" t="str">
        <x:v>Production ME1</x:v>
      </x:c>
      <x:c r="Q7" s="14" t="str"/>
    </x:row>
    <x:row r="8" ht="36" customHeight="1">
      <x:c r="A8" s="12" t="str">
        <x:v>DIA-nihlus-observation</x:v>
      </x:c>
      <x:c r="B8" s="7" t="str">
        <x:v>Nihlus observation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Expliquer sa présence auprès de Shepard.</x:v>
      </x:c>
      <x:c r="I8" s="7" t="str">
        <x:v>Informations de Spectre révélées dans l’ordre prévu.</x:v>
      </x:c>
      <x:c r="J8" s="7" t="str"/>
      <x:c r="K8" s="7" t="str">
        <x:v>content/dialogues/DIA-nihlus-observation.json</x:v>
      </x:c>
      <x:c r="L8" s="7" t="str"/>
      <x:c r="M8" s="7" t="str"/>
      <x:c r="N8" s="7" t="str">
        <x:v>Réécriture de production à valider contre la scène ME1 ; pas de transcription intégrale fournie.</x:v>
      </x:c>
      <x:c r="O8" s="7" t="str"/>
      <x:c r="P8" s="7" t="str">
        <x:v>Production ME1</x:v>
      </x:c>
      <x:c r="Q8" s="7" t="str"/>
    </x:row>
    <x:row r="9" ht="36" customHeight="1">
      <x:c r="A9" s="13" t="str">
        <x:v>DIA-joker-retour-du-prologue</x:v>
      </x:c>
      <x:c r="B9" s="14" t="str">
        <x:v>Joker retour du prologue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Conversation au cockpit après la balise.</x:v>
      </x:c>
      <x:c r="I9" s="14" t="str">
        <x:v>Condition de chapitre avant les dialogues ordinaires.</x:v>
      </x:c>
      <x:c r="J9" s="14" t="str"/>
      <x:c r="K9" s="14" t="str">
        <x:v>content/dialogues/DIA-joker-retour-du-prologue.json</x:v>
      </x:c>
      <x:c r="L9" s="14" t="str"/>
      <x:c r="M9" s="14" t="str"/>
      <x:c r="N9" s="14" t="str">
        <x:v>Réécriture de production à valider contre la scène ME1 ; pas de transcription intégrale fournie.</x:v>
      </x:c>
      <x:c r="O9" s="14" t="str"/>
      <x:c r="P9" s="14" t="str">
        <x:v>Production ME1</x:v>
      </x:c>
      <x:c r="Q9" s="14" t="str"/>
    </x:row>
    <x:row r="10" ht="36" customHeight="1">
      <x:c r="A10" s="12" t="str">
        <x:v>DIA-chakwas-etat-de-shepard</x:v>
      </x:c>
      <x:c r="B10" s="7" t="str">
        <x:v>Chakwas état de Shepard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Échange médical après la vision.</x:v>
      </x:c>
      <x:c r="I10" s="7" t="str">
        <x:v>Portrait et animation cohérents avec le lieu.</x:v>
      </x:c>
      <x:c r="J10" s="7" t="str"/>
      <x:c r="K10" s="7" t="str">
        <x:v>content/dialogues/DIA-chakwas-etat-de-shepard.json</x:v>
      </x:c>
      <x:c r="L10" s="7" t="str"/>
      <x:c r="M10" s="7" t="str"/>
      <x:c r="N10" s="7" t="str">
        <x:v>Réécriture de production à valider contre la scène ME1 ; pas de transcription intégrale fournie.</x:v>
      </x:c>
      <x:c r="O10" s="7" t="str"/>
      <x:c r="P10" s="7" t="str">
        <x:v>Production ME1</x:v>
      </x:c>
      <x:c r="Q10" s="7" t="str"/>
    </x:row>
    <x:row r="11" ht="36" customHeight="1">
      <x:c r="A11" s="13" t="str">
        <x:v>DIA-ashley-apres-recrutement</x:v>
      </x:c>
      <x:c r="B11" s="14" t="str">
        <x:v>Ashley après recrutement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Réactions à la perte de son unité.</x:v>
      </x:c>
      <x:c r="I11" s="14" t="str">
        <x:v>Variantes selon le ton adopté sur Eden Prime.</x:v>
      </x:c>
      <x:c r="J11" s="14" t="str"/>
      <x:c r="K11" s="14" t="str">
        <x:v>content/dialogues/DIA-ashley-apres-recrutement.json</x:v>
      </x:c>
      <x:c r="L11" s="14" t="str"/>
      <x:c r="M11" s="14" t="str"/>
      <x:c r="N11" s="14" t="str">
        <x:v>Réécriture de production à valider contre la scène ME1 ; pas de transcription intégrale fournie.</x:v>
      </x:c>
      <x:c r="O11" s="14" t="str"/>
      <x:c r="P11" s="14" t="str">
        <x:v>Production ME1</x:v>
      </x:c>
      <x:c r="Q11" s="14" t="str"/>
    </x:row>
    <x:row r="12" ht="36" customHeight="1">
      <x:c r="A12" s="12" t="str">
        <x:v>DIA-premiere-audience</x:v>
      </x:c>
      <x:c r="B12" s="7" t="str">
        <x:v>Première audience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Débat avec le Conseil et Udina.</x:v>
      </x:c>
      <x:c r="I12" s="7" t="str">
        <x:v>Interlocuteur actif toujours identifié.</x:v>
      </x:c>
      <x:c r="J12" s="7" t="str"/>
      <x:c r="K12" s="7" t="str">
        <x:v>content/dialogues/DIA-premiere-audience.json</x:v>
      </x:c>
      <x:c r="L12" s="7" t="str"/>
      <x:c r="M12" s="7" t="str"/>
      <x:c r="N12" s="7" t="str">
        <x:v>Réécriture de production à valider contre la scène ME1 ; pas de transcription intégrale fournie.</x:v>
      </x:c>
      <x:c r="O12" s="7" t="str"/>
      <x:c r="P12" s="7" t="str">
        <x:v>Production ME1</x:v>
      </x:c>
      <x:c r="Q12" s="7" t="str"/>
    </x:row>
    <x:row r="13" ht="36" customHeight="1">
      <x:c r="A13" s="13" t="str">
        <x:v>DIA-garrus-clinique</x:v>
      </x:c>
      <x:c r="B13" s="14" t="str">
        <x:v>Garrus clinique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Présentation de l’enquête et possibilité de recrutement.</x:v>
      </x:c>
      <x:c r="I13" s="14" t="str">
        <x:v>Les embranchements gardent une issue valide.</x:v>
      </x:c>
      <x:c r="J13" s="14" t="str"/>
      <x:c r="K13" s="14" t="str">
        <x:v>content/dialogues/DIA-garrus-clinique.json</x:v>
      </x:c>
      <x:c r="L13" s="14" t="str"/>
      <x:c r="M13" s="14" t="str"/>
      <x:c r="N13" s="14" t="str">
        <x:v>Réécriture de production à valider contre la scène ME1 ; pas de transcription intégrale fournie.</x:v>
      </x:c>
      <x:c r="O13" s="14" t="str"/>
      <x:c r="P13" s="14" t="str">
        <x:v>Production ME1</x:v>
      </x:c>
      <x:c r="Q13" s="14" t="str"/>
    </x:row>
    <x:row r="14" ht="36" customHeight="1">
      <x:c r="A14" s="12" t="str">
        <x:v>DIA-wrex-contrat</x:v>
      </x:c>
      <x:c r="B14" s="7" t="str">
        <x:v>Wrex contrat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Présentation du mercenaire et de son intérêt.</x:v>
      </x:c>
      <x:c r="I14" s="7" t="str">
        <x:v>Respecter les options de refus ou report.</x:v>
      </x:c>
      <x:c r="J14" s="7" t="str"/>
      <x:c r="K14" s="7" t="str">
        <x:v>content/dialogues/DIA-wrex-contrat.json</x:v>
      </x:c>
      <x:c r="L14" s="7" t="str"/>
      <x:c r="M14" s="7" t="str"/>
      <x:c r="N14" s="7" t="str">
        <x:v>Réécriture de production à valider contre la scène ME1 ; pas de transcription intégrale fournie.</x:v>
      </x:c>
      <x:c r="O14" s="7" t="str"/>
      <x:c r="P14" s="7" t="str">
        <x:v>Production ME1</x:v>
      </x:c>
      <x:c r="Q14" s="7" t="str"/>
    </x:row>
    <x:row r="15" ht="36" customHeight="1">
      <x:c r="A15" s="13" t="str">
        <x:v>DIA-tali-preuve</x:v>
      </x:c>
      <x:c r="B15" s="14" t="str">
        <x:v>Tali preuve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Expliquer les données récupérées.</x:v>
      </x:c>
      <x:c r="I15" s="14" t="str">
        <x:v>La preuve n’est pas disponible avant l’événement.</x:v>
      </x:c>
      <x:c r="J15" s="14" t="str"/>
      <x:c r="K15" s="14" t="str">
        <x:v>content/dialogues/DIA-tali-preuve.json</x:v>
      </x:c>
      <x:c r="L15" s="14" t="str"/>
      <x:c r="M15" s="14" t="str"/>
      <x:c r="N15" s="14" t="str">
        <x:v>Réécriture de production à valider contre la scène ME1 ; pas de transcription intégrale fournie.</x:v>
      </x:c>
      <x:c r="O15" s="14" t="str"/>
      <x:c r="P15" s="14" t="str">
        <x:v>Production ME1</x:v>
      </x:c>
      <x:c r="Q15" s="14" t="str"/>
    </x:row>
    <x:row r="16" ht="36" customHeight="1">
      <x:c r="A16" s="12" t="str">
        <x:v>DIA-intronisation</x:v>
      </x:c>
      <x:c r="B16" s="7" t="str">
        <x:v>Intronisation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Reconnaissance de Shepard comme Spectre.</x:v>
      </x:c>
      <x:c r="I16" s="7" t="str">
        <x:v>Choix de réponse sans modification inventée du verdict.</x:v>
      </x:c>
      <x:c r="J16" s="7" t="str"/>
      <x:c r="K16" s="7" t="str">
        <x:v>content/dialogues/DIA-intronisation.json</x:v>
      </x:c>
      <x:c r="L16" s="7" t="str"/>
      <x:c r="M16" s="7" t="str"/>
      <x:c r="N16" s="7" t="str">
        <x:v>Réécriture de production à valider contre la scène ME1 ; pas de transcription intégrale fournie.</x:v>
      </x:c>
      <x:c r="O16" s="7" t="str"/>
      <x:c r="P16" s="7" t="str">
        <x:v>Production ME1</x:v>
      </x:c>
      <x:c r="Q16" s="7" t="str"/>
    </x:row>
    <x:row r="17" ht="36" customHeight="1">
      <x:c r="A17" s="13" t="str">
        <x:v>DIA-anderson-transmission</x:v>
      </x:c>
      <x:c r="B17" s="14" t="str">
        <x:v>Anderson transmission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Passation du commandement.</x:v>
      </x:c>
      <x:c r="I17" s="14" t="str">
        <x:v>Débloquer le Normandy au terme de la scène.</x:v>
      </x:c>
      <x:c r="J17" s="14" t="str"/>
      <x:c r="K17" s="14" t="str">
        <x:v>content/dialogues/DIA-anderson-transmission.json</x:v>
      </x:c>
      <x:c r="L17" s="14" t="str"/>
      <x:c r="M17" s="14" t="str"/>
      <x:c r="N17" s="14" t="str">
        <x:v>Réécriture de production à valider contre la scène ME1 ; pas de transcription intégrale fournie.</x:v>
      </x:c>
      <x:c r="O17" s="14" t="str"/>
      <x:c r="P17" s="14" t="str">
        <x:v>Production ME1</x:v>
      </x:c>
      <x:c r="Q17" s="14" t="str"/>
    </x:row>
    <x:row r="18" ht="36" customHeight="1">
      <x:c r="A18" s="12" t="str">
        <x:v>DIA-tali-vie-de-la-flotte</x:v>
      </x:c>
      <x:c r="B18" s="7" t="str">
        <x:v>Tali vie de la flotte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Conversation sur les Quariens et les geth.</x:v>
      </x:c>
      <x:c r="I18" s="7" t="str">
        <x:v>Codex débloqué après le sujet abordé.</x:v>
      </x:c>
      <x:c r="J18" s="7" t="str"/>
      <x:c r="K18" s="7" t="str">
        <x:v>content/dialogues/DIA-tali-vie-de-la-flotte.json</x:v>
      </x:c>
      <x:c r="L18" s="7" t="str"/>
      <x:c r="M18" s="7" t="str"/>
      <x:c r="N18" s="7" t="str">
        <x:v>Réécriture de production à valider contre la scène ME1 ; pas de transcription intégrale fournie.</x:v>
      </x:c>
      <x:c r="O18" s="7" t="str"/>
      <x:c r="P18" s="7" t="str">
        <x:v>Production ME1</x:v>
      </x:c>
      <x:c r="Q18" s="7" t="str"/>
    </x:row>
    <x:row r="19" ht="36" customHeight="1">
      <x:c r="A19" s="13" t="str">
        <x:v>DIA-wrex-genophage</x:v>
      </x:c>
      <x:c r="B19" s="14" t="str">
        <x:v>Wrex génophage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Échange sur les Krogans.</x:v>
      </x:c>
      <x:c r="I19" s="14" t="str">
        <x:v>Nuances et positions conservées dans la réécriture concise.</x:v>
      </x:c>
      <x:c r="J19" s="14" t="str"/>
      <x:c r="K19" s="14" t="str">
        <x:v>content/dialogues/DIA-wrex-genophage.json</x:v>
      </x:c>
      <x:c r="L19" s="14" t="str"/>
      <x:c r="M19" s="14" t="str"/>
      <x:c r="N19" s="14" t="str">
        <x:v>Réécriture de production à valider contre la scène ME1 ; pas de transcription intégrale fournie.</x:v>
      </x:c>
      <x:c r="O19" s="14" t="str"/>
      <x:c r="P19" s="14" t="str">
        <x:v>Production ME1</x:v>
      </x:c>
      <x:c r="Q19" s="14" t="str"/>
    </x:row>
    <x:row r="20" ht="36" customHeight="1">
      <x:c r="A20" s="12" t="str">
        <x:v>DIA-garrus-procedures</x:v>
      </x:c>
      <x:c r="B20" s="7" t="str">
        <x:v>Garrus procédures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Discussion sur les limites du SSC.</x:v>
      </x:c>
      <x:c r="I20" s="7" t="str">
        <x:v>Mémoriser le conseil donné par Shepard.</x:v>
      </x:c>
      <x:c r="J20" s="7" t="str"/>
      <x:c r="K20" s="7" t="str">
        <x:v>content/dialogues/DIA-garrus-procedures.json</x:v>
      </x:c>
      <x:c r="L20" s="7" t="str"/>
      <x:c r="M20" s="7" t="str"/>
      <x:c r="N20" s="7" t="str">
        <x:v>Réécriture de production à valider contre la scène ME1 ; pas de transcription intégrale fournie.</x:v>
      </x:c>
      <x:c r="O20" s="7" t="str"/>
      <x:c r="P20" s="7" t="str">
        <x:v>Production ME1</x:v>
      </x:c>
      <x:c r="Q20" s="7" t="str"/>
    </x:row>
    <x:row r="21" ht="36" customHeight="1">
      <x:c r="A21" s="13" t="str">
        <x:v>DIA-liara-archeologie</x:v>
      </x:c>
      <x:c r="B21" s="14" t="str">
        <x:v>Liara archéologie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Échange sur ses recherches prothéennes.</x:v>
      </x:c>
      <x:c r="I21" s="14" t="str">
        <x:v>Savoir limité au stade du récit.</x:v>
      </x:c>
      <x:c r="J21" s="14" t="str"/>
      <x:c r="K21" s="14" t="str">
        <x:v>content/dialogues/DIA-liara-archeologie.json</x:v>
      </x:c>
      <x:c r="L21" s="14" t="str"/>
      <x:c r="M21" s="14" t="str"/>
      <x:c r="N21" s="14" t="str">
        <x:v>Réécriture de production à valider contre la scène ME1 ; pas de transcription intégrale fournie.</x:v>
      </x:c>
      <x:c r="O21" s="14" t="str"/>
      <x:c r="P21" s="14" t="str">
        <x:v>Production ME1</x:v>
      </x:c>
      <x:c r="Q21" s="14" t="str"/>
    </x:row>
    <x:row r="22" ht="36" customHeight="1">
      <x:c r="A22" s="12" t="str">
        <x:v>DIA-kaidan-implants</x:v>
      </x:c>
      <x:c r="B22" s="7" t="str">
        <x:v>Kaidan implants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Dialogue autour de son passé biotique.</x:v>
      </x:c>
      <x:c r="I22" s="7" t="str">
        <x:v>Pas de mélange avec les implants de ME2.</x:v>
      </x:c>
      <x:c r="J22" s="7" t="str"/>
      <x:c r="K22" s="7" t="str">
        <x:v>content/dialogues/DIA-kaidan-implants.json</x:v>
      </x:c>
      <x:c r="L22" s="7" t="str"/>
      <x:c r="M22" s="7" t="str"/>
      <x:c r="N22" s="7" t="str">
        <x:v>Réécriture de production à valider contre la scène ME1 ; pas de transcription intégrale fournie.</x:v>
      </x:c>
      <x:c r="O22" s="7" t="str"/>
      <x:c r="P22" s="7" t="str">
        <x:v>Production ME1</x:v>
      </x:c>
      <x:c r="Q22" s="7" t="str"/>
    </x:row>
    <x:row r="23" ht="36" customHeight="1">
      <x:c r="A23" s="13" t="str">
        <x:v>DIA-ashley-famille</x:v>
      </x:c>
      <x:c r="B23" s="14" t="str">
        <x:v>Ashley famille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Dialogue sur sa famille et son service.</x:v>
      </x:c>
      <x:c r="I23" s="14" t="str">
        <x:v>Ton personnel distinct du briefing militaire.</x:v>
      </x:c>
      <x:c r="J23" s="14" t="str"/>
      <x:c r="K23" s="14" t="str">
        <x:v>content/dialogues/DIA-ashley-famille.json</x:v>
      </x:c>
      <x:c r="L23" s="14" t="str"/>
      <x:c r="M23" s="14" t="str"/>
      <x:c r="N23" s="14" t="str">
        <x:v>Réécriture de production à valider contre la scène ME1 ; pas de transcription intégrale fournie.</x:v>
      </x:c>
      <x:c r="O23" s="14" t="str"/>
      <x:c r="P23" s="14" t="str">
        <x:v>Production ME1</x:v>
      </x:c>
      <x:c r="Q23" s="14" t="str"/>
    </x:row>
    <x:row r="24" ht="36" customHeight="1">
      <x:c r="A24" s="12" t="str">
        <x:v>DIA-colons-de-zhu-s-hope</x:v>
      </x:c>
      <x:c r="B24" s="7" t="str">
        <x:v>Colons de Zhu’s Hope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Demandes et inquiétudes locales.</x:v>
      </x:c>
      <x:c r="I24" s="7" t="str">
        <x:v>Disponibilité liée à la survie des interlocuteurs.</x:v>
      </x:c>
      <x:c r="J24" s="7" t="str"/>
      <x:c r="K24" s="7" t="str">
        <x:v>content/dialogues/DIA-colons-de-zhu-s-hope.json</x:v>
      </x:c>
      <x:c r="L24" s="7" t="str"/>
      <x:c r="M24" s="7" t="str"/>
      <x:c r="N24" s="7" t="str">
        <x:v>Réécriture de production à valider contre la scène ME1 ; pas de transcription intégrale fournie.</x:v>
      </x:c>
      <x:c r="O24" s="7" t="str"/>
      <x:c r="P24" s="7" t="str">
        <x:v>Production ME1</x:v>
      </x:c>
      <x:c r="Q24" s="7" t="str"/>
    </x:row>
    <x:row r="25" ht="36" customHeight="1">
      <x:c r="A25" s="13" t="str">
        <x:v>DIA-exogeni-temoignage</x:v>
      </x:c>
      <x:c r="B25" s="14" t="str">
        <x:v>ExoGeni témoignage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Informations données par Lizbeth.</x:v>
      </x:c>
      <x:c r="I25" s="14" t="str">
        <x:v>Ne pas répéter un dialogue complet après résolution.</x:v>
      </x:c>
      <x:c r="J25" s="14" t="str"/>
      <x:c r="K25" s="14" t="str">
        <x:v>content/dialogues/DIA-exogeni-temoignage.json</x:v>
      </x:c>
      <x:c r="L25" s="14" t="str"/>
      <x:c r="M25" s="14" t="str"/>
      <x:c r="N25" s="14" t="str">
        <x:v>Réécriture de production à valider contre la scène ME1 ; pas de transcription intégrale fournie.</x:v>
      </x:c>
      <x:c r="O25" s="14" t="str"/>
      <x:c r="P25" s="14" t="str">
        <x:v>Production ME1</x:v>
      </x:c>
      <x:c r="Q25" s="14" t="str"/>
    </x:row>
    <x:row r="26" ht="36" customHeight="1">
      <x:c r="A26" s="12" t="str">
        <x:v>DIA-shiala-et-le-cypher</x:v>
      </x:c>
      <x:c r="B26" s="7" t="str">
        <x:v>Shiala et le Cypher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Révélation après le Thorian.</x:v>
      </x:c>
      <x:c r="I26" s="7" t="str">
        <x:v>Drapeaux de connaissance mis à jour.</x:v>
      </x:c>
      <x:c r="J26" s="7" t="str"/>
      <x:c r="K26" s="7" t="str">
        <x:v>content/dialogues/DIA-shiala-et-le-cypher.json</x:v>
      </x:c>
      <x:c r="L26" s="7" t="str"/>
      <x:c r="M26" s="7" t="str"/>
      <x:c r="N26" s="7" t="str">
        <x:v>Réécriture de production à valider contre la scène ME1 ; pas de transcription intégrale fournie.</x:v>
      </x:c>
      <x:c r="O26" s="7" t="str"/>
      <x:c r="P26" s="7" t="str">
        <x:v>Production ME1</x:v>
      </x:c>
      <x:c r="Q26" s="7" t="str"/>
    </x:row>
    <x:row r="27" ht="36" customHeight="1">
      <x:c r="A27" s="13" t="str">
        <x:v>DIA-anoleis-laissez-passer</x:v>
      </x:c>
      <x:c r="B27" s="14" t="str">
        <x:v>Anoleis laissez-passer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Négociation de l’accès aux montagnes.</x:v>
      </x:c>
      <x:c r="I27" s="14" t="str">
        <x:v>Conditions alternatives lisibles.</x:v>
      </x:c>
      <x:c r="J27" s="14" t="str"/>
      <x:c r="K27" s="14" t="str">
        <x:v>content/dialogues/DIA-anoleis-laissez-passer.json</x:v>
      </x:c>
      <x:c r="L27" s="14" t="str"/>
      <x:c r="M27" s="14" t="str"/>
      <x:c r="N27" s="14" t="str">
        <x:v>Réécriture de production à valider contre la scène ME1 ; pas de transcription intégrale fournie.</x:v>
      </x:c>
      <x:c r="O27" s="14" t="str"/>
      <x:c r="P27" s="14" t="str">
        <x:v>Production ME1</x:v>
      </x:c>
      <x:c r="Q27" s="14" t="str"/>
    </x:row>
    <x:row r="28" ht="36" customHeight="1">
      <x:c r="A28" s="12" t="str">
        <x:v>DIA-gianna-enquete</x:v>
      </x:c>
      <x:c r="B28" s="7" t="str">
        <x:v>Gianna enquête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Révélation de sa mission.</x:v>
      </x:c>
      <x:c r="I28" s="7" t="str">
        <x:v>Conditions de Lorik et des preuves synchronisées.</x:v>
      </x:c>
      <x:c r="J28" s="7" t="str"/>
      <x:c r="K28" s="7" t="str">
        <x:v>content/dialogues/DIA-gianna-enquete.json</x:v>
      </x:c>
      <x:c r="L28" s="7" t="str"/>
      <x:c r="M28" s="7" t="str"/>
      <x:c r="N28" s="7" t="str">
        <x:v>Réécriture de production à valider contre la scène ME1 ; pas de transcription intégrale fournie.</x:v>
      </x:c>
      <x:c r="O28" s="7" t="str"/>
      <x:c r="P28" s="7" t="str">
        <x:v>Production ME1</x:v>
      </x:c>
      <x:c r="Q28" s="7" t="str"/>
    </x:row>
    <x:row r="29" ht="36" customHeight="1">
      <x:c r="A29" s="13" t="str">
        <x:v>DIA-mira-assistance</x:v>
      </x:c>
      <x:c r="B29" s="14" t="str">
        <x:v>Mira assistance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IV de la station de recherche.</x:v>
      </x:c>
      <x:c r="I29" s="14" t="str">
        <x:v>Options disponibles selon les réparations.</x:v>
      </x:c>
      <x:c r="J29" s="14" t="str"/>
      <x:c r="K29" s="14" t="str">
        <x:v>content/dialogues/DIA-mira-assistance.json</x:v>
      </x:c>
      <x:c r="L29" s="14" t="str"/>
      <x:c r="M29" s="14" t="str"/>
      <x:c r="N29" s="14" t="str">
        <x:v>Réécriture de production à valider contre la scène ME1 ; pas de transcription intégrale fournie.</x:v>
      </x:c>
      <x:c r="O29" s="14" t="str"/>
      <x:c r="P29" s="14" t="str">
        <x:v>Production ME1</x:v>
      </x:c>
      <x:c r="Q29" s="14" t="str"/>
    </x:row>
    <x:row r="30" ht="36" customHeight="1">
      <x:c r="A30" s="12" t="str">
        <x:v>DIA-benezia-revelations</x:v>
      </x:c>
      <x:c r="B30" s="7" t="str">
        <x:v>Benezia révélations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Moments de lucidité pendant la confrontation.</x:v>
      </x:c>
      <x:c r="I30" s="7" t="str">
        <x:v>Combats et dialogues ne se déclenchent pas ensemble.</x:v>
      </x:c>
      <x:c r="J30" s="7" t="str"/>
      <x:c r="K30" s="7" t="str">
        <x:v>content/dialogues/DIA-benezia-revelations.json</x:v>
      </x:c>
      <x:c r="L30" s="7" t="str"/>
      <x:c r="M30" s="7" t="str"/>
      <x:c r="N30" s="7" t="str">
        <x:v>Réécriture de production à valider contre la scène ME1 ; pas de transcription intégrale fournie.</x:v>
      </x:c>
      <x:c r="O30" s="7" t="str"/>
      <x:c r="P30" s="7" t="str">
        <x:v>Production ME1</x:v>
      </x:c>
      <x:c r="Q30" s="7" t="str"/>
    </x:row>
    <x:row r="31" ht="36" customHeight="1">
      <x:c r="A31" s="13" t="str">
        <x:v>DIA-reine-rachni</x:v>
      </x:c>
      <x:c r="B31" s="14" t="str">
        <x:v>Reine rachni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Communication et décision.</x:v>
      </x:c>
      <x:c r="I31" s="14" t="str">
        <x:v>Choix présenté avec son enjeu sans résultat caché arbitraire.</x:v>
      </x:c>
      <x:c r="J31" s="14" t="str"/>
      <x:c r="K31" s="14" t="str">
        <x:v>content/dialogues/DIA-reine-rachni.json</x:v>
      </x:c>
      <x:c r="L31" s="14" t="str"/>
      <x:c r="M31" s="14" t="str"/>
      <x:c r="N31" s="14" t="str">
        <x:v>Réécriture de production à valider contre la scène ME1 ; pas de transcription intégrale fournie.</x:v>
      </x:c>
      <x:c r="O31" s="14" t="str"/>
      <x:c r="P31" s="14" t="str">
        <x:v>Production ME1</x:v>
      </x:c>
      <x:c r="Q31" s="14" t="str"/>
    </x:row>
    <x:row r="32" ht="36" customHeight="1">
      <x:c r="A32" s="12" t="str">
        <x:v>DIA-wrex-virmire</x:v>
      </x:c>
      <x:c r="B32" s="7" t="str">
        <x:v>Wrex Virmire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Conflit sur les expériences de Saren.</x:v>
      </x:c>
      <x:c r="I32" s="7" t="str">
        <x:v>Persuasion conditionnelle vérifiée.</x:v>
      </x:c>
      <x:c r="J32" s="7" t="str"/>
      <x:c r="K32" s="7" t="str">
        <x:v>content/dialogues/DIA-wrex-virmire.json</x:v>
      </x:c>
      <x:c r="L32" s="7" t="str"/>
      <x:c r="M32" s="7" t="str"/>
      <x:c r="N32" s="7" t="str">
        <x:v>Réécriture de production à valider contre la scène ME1 ; pas de transcription intégrale fournie.</x:v>
      </x:c>
      <x:c r="O32" s="7" t="str"/>
      <x:c r="P32" s="7" t="str">
        <x:v>Production ME1</x:v>
      </x:c>
      <x:c r="Q32" s="7" t="str"/>
    </x:row>
    <x:row r="33" ht="36" customHeight="1">
      <x:c r="A33" s="13" t="str">
        <x:v>DIA-kirrahe-briefing</x:v>
      </x:c>
      <x:c r="B33" s="14" t="str">
        <x:v>Kirrahe briefing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Préparation de l’opération.</x:v>
      </x:c>
      <x:c r="I33" s="14" t="str">
        <x:v>Rôles attribués et objectifs optionnels enregistrés.</x:v>
      </x:c>
      <x:c r="J33" s="14" t="str"/>
      <x:c r="K33" s="14" t="str">
        <x:v>content/dialogues/DIA-kirrahe-briefing.json</x:v>
      </x:c>
      <x:c r="L33" s="14" t="str"/>
      <x:c r="M33" s="14" t="str"/>
      <x:c r="N33" s="14" t="str">
        <x:v>Réécriture de production à valider contre la scène ME1 ; pas de transcription intégrale fournie.</x:v>
      </x:c>
      <x:c r="O33" s="14" t="str"/>
      <x:c r="P33" s="14" t="str">
        <x:v>Production ME1</x:v>
      </x:c>
      <x:c r="Q33" s="14" t="str"/>
    </x:row>
    <x:row r="34" ht="36" customHeight="1">
      <x:c r="A34" s="12" t="str">
        <x:v>DIA-sovereign-transmission</x:v>
      </x:c>
      <x:c r="B34" s="7" t="str">
        <x:v>Sovereign transmission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Révélation de la nature de l’ennemi.</x:v>
      </x:c>
      <x:c r="I34" s="7" t="str">
        <x:v>Cadre et progression de l’information respectés.</x:v>
      </x:c>
      <x:c r="J34" s="7" t="str"/>
      <x:c r="K34" s="7" t="str">
        <x:v>content/dialogues/DIA-sovereign-transmission.json</x:v>
      </x:c>
      <x:c r="L34" s="7" t="str"/>
      <x:c r="M34" s="7" t="str"/>
      <x:c r="N34" s="7" t="str">
        <x:v>Réécriture de production à valider contre la scène ME1 ; pas de transcription intégrale fournie.</x:v>
      </x:c>
      <x:c r="O34" s="7" t="str"/>
      <x:c r="P34" s="7" t="str">
        <x:v>Production ME1</x:v>
      </x:c>
      <x:c r="Q34" s="7" t="str"/>
    </x:row>
    <x:row r="35" ht="36" customHeight="1">
      <x:c r="A35" s="13" t="str">
        <x:v>DIA-apres-virmire</x:v>
      </x:c>
      <x:c r="B35" s="14" t="str">
        <x:v>Après Virmire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Deuil et réactions des survivants.</x:v>
      </x:c>
      <x:c r="I35" s="14" t="str">
        <x:v>Personnage perdu absent de chaque variante.</x:v>
      </x:c>
      <x:c r="J35" s="14" t="str"/>
      <x:c r="K35" s="14" t="str">
        <x:v>content/dialogues/DIA-apres-virmire.json</x:v>
      </x:c>
      <x:c r="L35" s="14" t="str"/>
      <x:c r="M35" s="14" t="str"/>
      <x:c r="N35" s="14" t="str">
        <x:v>Réécriture de production à valider contre la scène ME1 ; pas de transcription intégrale fournie.</x:v>
      </x:c>
      <x:c r="O35" s="14" t="str"/>
      <x:c r="P35" s="14" t="str">
        <x:v>Production ME1</x:v>
      </x:c>
      <x:c r="Q35" s="14" t="str"/>
    </x:row>
    <x:row r="36" ht="36" customHeight="1">
      <x:c r="A36" s="12" t="str">
        <x:v>DIA-conseil-apres-virmire</x:v>
      </x:c>
      <x:c r="B36" s="7" t="str">
        <x:v>Conseil après Virmire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Rapport politique et frustration.</x:v>
      </x:c>
      <x:c r="I36" s="7" t="str">
        <x:v>Réponse selon les événements accomplis.</x:v>
      </x:c>
      <x:c r="J36" s="7" t="str"/>
      <x:c r="K36" s="7" t="str">
        <x:v>content/dialogues/DIA-conseil-apres-virmire.json</x:v>
      </x:c>
      <x:c r="L36" s="7" t="str"/>
      <x:c r="M36" s="7" t="str"/>
      <x:c r="N36" s="7" t="str">
        <x:v>Réécriture de production à valider contre la scène ME1 ; pas de transcription intégrale fournie.</x:v>
      </x:c>
      <x:c r="O36" s="7" t="str"/>
      <x:c r="P36" s="7" t="str">
        <x:v>Production ME1</x:v>
      </x:c>
      <x:c r="Q36" s="7" t="str"/>
    </x:row>
    <x:row r="37" ht="36" customHeight="1">
      <x:c r="A37" s="13" t="str">
        <x:v>DIA-vigil-histoire</x:v>
      </x:c>
      <x:c r="B37" s="14" t="str">
        <x:v>Vigil histoire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Explication de la fin des Prothéens.</x:v>
      </x:c>
      <x:c r="I37" s="14" t="str">
        <x:v>Entrées de codex visibles seulement ensuite.</x:v>
      </x:c>
      <x:c r="J37" s="14" t="str"/>
      <x:c r="K37" s="14" t="str">
        <x:v>content/dialogues/DIA-vigil-histoire.json</x:v>
      </x:c>
      <x:c r="L37" s="14" t="str"/>
      <x:c r="M37" s="14" t="str"/>
      <x:c r="N37" s="14" t="str">
        <x:v>Réécriture de production à valider contre la scène ME1 ; pas de transcription intégrale fournie.</x:v>
      </x:c>
      <x:c r="O37" s="14" t="str"/>
      <x:c r="P37" s="14" t="str">
        <x:v>Production ME1</x:v>
      </x:c>
      <x:c r="Q37" s="14" t="str"/>
    </x:row>
    <x:row r="38" ht="36" customHeight="1">
      <x:c r="A38" s="12" t="str">
        <x:v>DIA-saren-final</x:v>
      </x:c>
      <x:c r="B38" s="7" t="str">
        <x:v>Saren final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Confrontation verbale avant l’issue.</x:v>
      </x:c>
      <x:c r="I38" s="7" t="str">
        <x:v>Persuasion et échec mènent à un état jouable.</x:v>
      </x:c>
      <x:c r="J38" s="7" t="str"/>
      <x:c r="K38" s="7" t="str">
        <x:v>content/dialogues/DIA-saren-final.json</x:v>
      </x:c>
      <x:c r="L38" s="7" t="str"/>
      <x:c r="M38" s="7" t="str"/>
      <x:c r="N38" s="7" t="str">
        <x:v>Réécriture de production à valider contre la scène ME1 ; pas de transcription intégrale fournie.</x:v>
      </x:c>
      <x:c r="O38" s="7" t="str"/>
      <x:c r="P38" s="7" t="str">
        <x:v>Production ME1</x:v>
      </x:c>
      <x:c r="Q38" s="7" t="str"/>
    </x:row>
    <x:row r="39" ht="36" customHeight="1">
      <x:c r="A39" s="13" t="str">
        <x:v>DIA-epilogue-politique</x:v>
      </x:c>
      <x:c r="B39" s="14" t="str">
        <x:v>Épilogue politique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Réactions au sort du Conseil.</x:v>
      </x:c>
      <x:c r="I39" s="14" t="str">
        <x:v>Choix final et sauvegarde concordants.</x:v>
      </x:c>
      <x:c r="J39" s="14" t="str"/>
      <x:c r="K39" s="14" t="str">
        <x:v>content/dialogues/DIA-epilogue-politique.json</x:v>
      </x:c>
      <x:c r="L39" s="14" t="str"/>
      <x:c r="M39" s="14" t="str"/>
      <x:c r="N39" s="14" t="str">
        <x:v>Réécriture de production à valider contre la scène ME1 ; pas de transcription intégrale fournie.</x:v>
      </x:c>
      <x:c r="O39" s="14" t="str"/>
      <x:c r="P39" s="14" t="str">
        <x:v>Production ME1</x:v>
      </x:c>
      <x:c r="Q39" s="14" t="str"/>
    </x:row>
    <x:row r="40" ht="36" customHeight="1">
      <x:c r="A40" s="12" t="str">
        <x:v>DIA-banter-en-exploration</x:v>
      </x:c>
      <x:c r="B40" s="7" t="str">
        <x:v>Banter en exploration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Courts échanges entre les deux équipiers actifs.</x:v>
      </x:c>
      <x:c r="I40" s="7" t="str">
        <x:v>Pas de phrase d’un équipier absent.</x:v>
      </x:c>
      <x:c r="J40" s="7" t="str"/>
      <x:c r="K40" s="7" t="str">
        <x:v>content/dialogues/DIA-banter-en-exploration.json</x:v>
      </x:c>
      <x:c r="L40" s="7" t="str"/>
      <x:c r="M40" s="7" t="str"/>
      <x:c r="N40" s="7" t="str">
        <x:v>Réécriture de production à valider contre la scène ME1 ; pas de transcription intégrale fournie.</x:v>
      </x:c>
      <x:c r="O40" s="7" t="str"/>
      <x:c r="P40" s="7" t="str">
        <x:v>Production ME1</x:v>
      </x:c>
      <x:c r="Q40" s="7" t="str"/>
    </x:row>
    <x:row r="41" ht="36" customHeight="1">
      <x:c r="A41" s="13" t="str">
        <x:v>DIA-annonce-d-ascenseur</x:v>
      </x:c>
      <x:c r="B41" s="14" t="str">
        <x:v>Annonce d’ascenseur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Actualités et conversations dans les transitions.</x:v>
      </x:c>
      <x:c r="I41" s="14" t="str">
        <x:v>Éviter répétition et audio superposé.</x:v>
      </x:c>
      <x:c r="J41" s="14" t="str"/>
      <x:c r="K41" s="14" t="str">
        <x:v>content/dialogues/DIA-annonce-d-ascenseur.json</x:v>
      </x:c>
      <x:c r="L41" s="14" t="str"/>
      <x:c r="M41" s="14" t="str"/>
      <x:c r="N41" s="14" t="str">
        <x:v>Réécriture de production à valider contre la scène ME1 ; pas de transcription intégrale fournie.</x:v>
      </x:c>
      <x:c r="O41" s="14" t="str"/>
      <x:c r="P41" s="14" t="str">
        <x:v>Production ME1</x:v>
      </x:c>
      <x:c r="Q41" s="14" t="str"/>
    </x:row>
    <x:row r="42" ht="36" customHeight="1">
      <x:c r="A42" s="12" t="str">
        <x:v>DIA-reponse-au-joueur-inactif</x:v>
      </x:c>
      <x:c r="B42" s="7" t="str">
        <x:v>Réponse au joueur inactif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Dialogue interrompu puis repris proprement.</x:v>
      </x:c>
      <x:c r="I42" s="7" t="str">
        <x:v>Sauvegarde et reprise à un nœud valide.</x:v>
      </x:c>
      <x:c r="J42" s="7" t="str"/>
      <x:c r="K42" s="7" t="str">
        <x:v>content/dialogues/DIA-reponse-au-joueur-inactif.json</x:v>
      </x:c>
      <x:c r="L42" s="7" t="str"/>
      <x:c r="M42" s="7" t="str"/>
      <x:c r="N42" s="7" t="str">
        <x:v>Réécriture de production à valider contre la scène ME1 ; pas de transcription intégrale fournie.</x:v>
      </x:c>
      <x:c r="O42" s="7" t="str"/>
      <x:c r="P42" s="7" t="str">
        <x:v>Production ME1</x:v>
      </x:c>
      <x:c r="Q42" s="7" t="str"/>
    </x:row>
  </x:sheetData>
  <x:conditionalFormatting sqref="C7:C42">
    <x:cfRule type="cellIs" dxfId="60" priority="1" operator="equal">
      <x:formula>"Prototype"</x:formula>
    </x:cfRule>
    <x:cfRule type="cellIs" dxfId="61" priority="2" operator="equal">
      <x:formula>"Intégré"</x:formula>
    </x:cfRule>
    <x:cfRule type="cellIs" dxfId="62" priority="3" operator="equal">
      <x:formula>"Validé"</x:formula>
    </x:cfRule>
  </x:conditionalFormatting>
  <x:conditionalFormatting sqref="G7:G42">
    <x:cfRule type="cellIs" dxfId="63" priority="4" operator="equal">
      <x:formula>"Référence à vérifier"</x:formula>
    </x:cfRule>
  </x:conditionalFormatting>
  <x:conditionalFormatting sqref="E7:E42">
    <x:cfRule type="cellIs" dxfId="64" priority="5" operator="equal">
      <x:formula>"P0"</x:formula>
    </x:cfRule>
  </x:conditionalFormatting>
  <x:dataValidations count="5">
    <x:dataValidation type="list" sqref="C7:C42">
      <x:formula1>"Défini,Prototype,Intégré,Validé"</x:formula1>
    </x:dataValidation>
    <x:dataValidation type="list" sqref="D7:D42">
      <x:formula1>"À produire,Prototype,Disponible,Validé,Sans objet,Non planifié"</x:formula1>
    </x:dataValidation>
    <x:dataValidation type="list" sqref="E7:E42">
      <x:formula1>"P0,P1,P2"</x:formula1>
    </x:dataValidation>
    <x:dataValidation type="list" sqref="F7:F42">
      <x:formula1>"ME1,ME2,ME3"</x:formula1>
    </x:dataValidation>
    <x:dataValidation type="list" sqref="G7:G4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17b669c32c4bf4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CIN-ouverture-au-normandy</x:v>
      </x:c>
      <x:c r="B7" s="14" t="str">
        <x:v>Ouverture au Normandy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Plans rapprochés sur commandement et départ.</x:v>
      </x:c>
      <x:c r="I7" s="14" t="str">
        <x:v>Sprites gardent leurs proportions malgré le recadrage.</x:v>
      </x:c>
      <x:c r="J7" s="14" t="str"/>
      <x:c r="K7" s="14" t="str">
        <x:v>content/cinematics/CIN-ouverture-au-normandy.json</x:v>
      </x:c>
      <x:c r="L7" s="14" t="str"/>
      <x:c r="M7" s="14" t="str"/>
      <x:c r="N7" s="14" t="str">
        <x:v>Découpage cinématique proposé ; fidélité plan par plan à vérifier.</x:v>
      </x:c>
      <x:c r="O7" s="14" t="str"/>
      <x:c r="P7" s="14" t="str">
        <x:v>Production ME1</x:v>
      </x:c>
      <x:c r="Q7" s="14" t="str"/>
    </x:row>
    <x:row r="8" ht="36" customHeight="1">
      <x:c r="A8" s="12" t="str">
        <x:v>CIN-approche-d-eden-prime</x:v>
      </x:c>
      <x:c r="B8" s="7" t="str">
        <x:v>Approche d’Eden Prime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Vue spatiale puis descente vers la colonie.</x:v>
      </x:c>
      <x:c r="I8" s="7" t="str">
        <x:v>Transition 3D vers équipe 2D sans changement d’apparence.</x:v>
      </x:c>
      <x:c r="J8" s="7" t="str"/>
      <x:c r="K8" s="7" t="str">
        <x:v>content/cinematics/CIN-approche-d-eden-prime.json</x:v>
      </x:c>
      <x:c r="L8" s="7" t="str"/>
      <x:c r="M8" s="7" t="str"/>
      <x:c r="N8" s="7" t="str">
        <x:v>Découpage cinématique proposé ; fidélité plan par plan à vérifier.</x:v>
      </x:c>
      <x:c r="O8" s="7" t="str"/>
      <x:c r="P8" s="7" t="str">
        <x:v>Production ME1</x:v>
      </x:c>
      <x:c r="Q8" s="7" t="str"/>
    </x:row>
    <x:row r="9" ht="36" customHeight="1">
      <x:c r="A9" s="13" t="str">
        <x:v>CIN-premier-feu-geth</x:v>
      </x:c>
      <x:c r="B9" s="14" t="str">
        <x:v>Premier feu geth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Mise en scène de la perte de Jenkins.</x:v>
      </x:c>
      <x:c r="I9" s="14" t="str">
        <x:v>Déclenchement unique et verrouillage des commandes temporaire.</x:v>
      </x:c>
      <x:c r="J9" s="14" t="str"/>
      <x:c r="K9" s="14" t="str">
        <x:v>content/cinematics/CIN-premier-feu-geth.json</x:v>
      </x:c>
      <x:c r="L9" s="14" t="str"/>
      <x:c r="M9" s="14" t="str"/>
      <x:c r="N9" s="14" t="str">
        <x:v>Découpage cinématique proposé ; fidélité plan par plan à vérifier.</x:v>
      </x:c>
      <x:c r="O9" s="14" t="str"/>
      <x:c r="P9" s="14" t="str">
        <x:v>Production ME1</x:v>
      </x:c>
      <x:c r="Q9" s="14" t="str"/>
    </x:row>
    <x:row r="10" ht="49" customHeight="1">
      <x:c r="A10" s="12" t="str">
        <x:v>CIN-silhouette-de-sovereign</x:v>
      </x:c>
      <x:c r="B10" s="7" t="str">
        <x:v>Silhouette de Sovereign</x:v>
      </x:c>
      <x:c r="C10" s="10" t="str">
        <x:v>Défini</x:v>
      </x:c>
      <x:c r="D10" s="11" t="str">
        <x:v>Prototype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Apparition lointaine menaçante.</x:v>
      </x:c>
      <x:c r="I10" s="7" t="str">
        <x:v>Échelle monumentale, aucun combat individuel contre le vaisseau.</x:v>
      </x:c>
      <x:c r="J10" s="7" t="str"/>
      <x:c r="K10" s="7" t="str">
        <x:v>content/cinematics/CIN-silhouette-de-sovereign.json</x:v>
      </x:c>
      <x:c r="L10" s="7" t="str">
        <x:v>public/assets/vehicle-atlas.png</x:v>
      </x:c>
      <x:c r="M10" s="7" t="str">
        <x:v>vehicles:sovereign</x:v>
      </x:c>
      <x:c r="N10" s="7" t="str">
        <x:v>Découpage cinématique proposé ; fidélité plan par plan à vérifier.</x:v>
      </x:c>
      <x:c r="O10" s="7" t="str"/>
      <x:c r="P10" s="7" t="str">
        <x:v>Production ME1</x:v>
      </x:c>
      <x:c r="Q10" s="7" t="str">
        <x:v>Illustration statique employée comme fond monumental dans src/world.js. Ce placement décoratif ne produit pas la séquence cinématique complète.</x:v>
      </x:c>
    </x:row>
    <x:row r="11" ht="36" customHeight="1">
      <x:c r="A11" s="13" t="str">
        <x:v>CIN-mort-de-nihlus</x:v>
      </x:c>
      <x:c r="B11" s="14" t="str">
        <x:v>Mort de Nihlus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Scène narrative sur les quais.</x:v>
      </x:c>
      <x:c r="I11" s="14" t="str">
        <x:v>Ordre de découverte et point de vue vérifiés.</x:v>
      </x:c>
      <x:c r="J11" s="14" t="str"/>
      <x:c r="K11" s="14" t="str">
        <x:v>content/cinematics/CIN-mort-de-nihlus.json</x:v>
      </x:c>
      <x:c r="L11" s="14" t="str"/>
      <x:c r="M11" s="14" t="str"/>
      <x:c r="N11" s="14" t="str">
        <x:v>Découpage cinématique proposé ; fidélité plan par plan à vérifier.</x:v>
      </x:c>
      <x:c r="O11" s="14" t="str"/>
      <x:c r="P11" s="14" t="str">
        <x:v>Production ME1</x:v>
      </x:c>
      <x:c r="Q11" s="14" t="str"/>
    </x:row>
    <x:row r="12" ht="36" customHeight="1">
      <x:c r="A12" s="12" t="str">
        <x:v>CIN-vision-de-la-balise</x:v>
      </x:c>
      <x:c r="B12" s="7" t="str">
        <x:v>Vision de la balise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Montage abstrait et réaction de Shepard.</x:v>
      </x:c>
      <x:c r="I12" s="7" t="str">
        <x:v>Lisibilité sans flashs imposés, option d’intensité.</x:v>
      </x:c>
      <x:c r="J12" s="7" t="str"/>
      <x:c r="K12" s="7" t="str">
        <x:v>content/cinematics/CIN-vision-de-la-balise.json</x:v>
      </x:c>
      <x:c r="L12" s="7" t="str"/>
      <x:c r="M12" s="7" t="str"/>
      <x:c r="N12" s="7" t="str">
        <x:v>Découpage cinématique proposé ; fidélité plan par plan à vérifier.</x:v>
      </x:c>
      <x:c r="O12" s="7" t="str"/>
      <x:c r="P12" s="7" t="str">
        <x:v>Production ME1</x:v>
      </x:c>
      <x:c r="Q12" s="7" t="str"/>
    </x:row>
    <x:row r="13" ht="36" customHeight="1">
      <x:c r="A13" s="13" t="str">
        <x:v>CIN-arrivee-citadelle</x:v>
      </x:c>
      <x:c r="B13" s="14" t="str">
        <x:v>Arrivée Citadelle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Révélation panoramique de la station.</x:v>
      </x:c>
      <x:c r="I13" s="14" t="str">
        <x:v>Géométrie et axes iconiques comparés aux références.</x:v>
      </x:c>
      <x:c r="J13" s="14" t="str"/>
      <x:c r="K13" s="14" t="str">
        <x:v>content/cinematics/CIN-arrivee-citadelle.json</x:v>
      </x:c>
      <x:c r="L13" s="14" t="str"/>
      <x:c r="M13" s="14" t="str"/>
      <x:c r="N13" s="14" t="str">
        <x:v>Découpage cinématique proposé ; fidélité plan par plan à vérifier.</x:v>
      </x:c>
      <x:c r="O13" s="14" t="str"/>
      <x:c r="P13" s="14" t="str">
        <x:v>Production ME1</x:v>
      </x:c>
      <x:c r="Q13" s="14" t="str"/>
    </x:row>
    <x:row r="14" ht="36" customHeight="1">
      <x:c r="A14" s="12" t="str">
        <x:v>CIN-audience-du-conseil</x:v>
      </x:c>
      <x:c r="B14" s="7" t="str">
        <x:v>Audience du Conseil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Cadrage frontal et contrechamps.</x:v>
      </x:c>
      <x:c r="I14" s="7" t="str">
        <x:v>Portraits et personnages présents correctement raccordés.</x:v>
      </x:c>
      <x:c r="J14" s="7" t="str"/>
      <x:c r="K14" s="7" t="str">
        <x:v>content/cinematics/CIN-audience-du-conseil.json</x:v>
      </x:c>
      <x:c r="L14" s="7" t="str"/>
      <x:c r="M14" s="7" t="str"/>
      <x:c r="N14" s="7" t="str">
        <x:v>Découpage cinématique proposé ; fidélité plan par plan à vérifier.</x:v>
      </x:c>
      <x:c r="O14" s="7" t="str"/>
      <x:c r="P14" s="7" t="str">
        <x:v>Production ME1</x:v>
      </x:c>
      <x:c r="Q14" s="7" t="str"/>
    </x:row>
    <x:row r="15" ht="36" customHeight="1">
      <x:c r="A15" s="13" t="str">
        <x:v>CIN-intronisation-spectre</x:v>
      </x:c>
      <x:c r="B15" s="14" t="str">
        <x:v>Intronisation Spectre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Moment de reconnaissance officielle.</x:v>
      </x:c>
      <x:c r="I15" s="14" t="str">
        <x:v>Mise en scène sobre et statut de jeu synchronisé.</x:v>
      </x:c>
      <x:c r="J15" s="14" t="str"/>
      <x:c r="K15" s="14" t="str">
        <x:v>content/cinematics/CIN-intronisation-spectre.json</x:v>
      </x:c>
      <x:c r="L15" s="14" t="str"/>
      <x:c r="M15" s="14" t="str"/>
      <x:c r="N15" s="14" t="str">
        <x:v>Découpage cinématique proposé ; fidélité plan par plan à vérifier.</x:v>
      </x:c>
      <x:c r="O15" s="14" t="str"/>
      <x:c r="P15" s="14" t="str">
        <x:v>Production ME1</x:v>
      </x:c>
      <x:c r="Q15" s="14" t="str"/>
    </x:row>
    <x:row r="16" ht="36" customHeight="1">
      <x:c r="A16" s="12" t="str">
        <x:v>CIN-prise-de-commandement</x:v>
      </x:c>
      <x:c r="B16" s="7" t="str">
        <x:v>Prise de commandement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Retour au SR-1 et message à l’équipage.</x:v>
      </x:c>
      <x:c r="I16" s="7" t="str">
        <x:v>Tenues, ponts et interlocuteurs du bon épisode.</x:v>
      </x:c>
      <x:c r="J16" s="7" t="str"/>
      <x:c r="K16" s="7" t="str">
        <x:v>content/cinematics/CIN-prise-de-commandement.json</x:v>
      </x:c>
      <x:c r="L16" s="7" t="str"/>
      <x:c r="M16" s="7" t="str"/>
      <x:c r="N16" s="7" t="str">
        <x:v>Découpage cinématique proposé ; fidélité plan par plan à vérifier.</x:v>
      </x:c>
      <x:c r="O16" s="7" t="str"/>
      <x:c r="P16" s="7" t="str">
        <x:v>Production ME1</x:v>
      </x:c>
      <x:c r="Q16" s="7" t="str"/>
    </x:row>
    <x:row r="17" ht="36" customHeight="1">
      <x:c r="A17" s="13" t="str">
        <x:v>CIN-sauvetage-de-liara</x:v>
      </x:c>
      <x:c r="B17" s="14" t="str">
        <x:v>Sauvetage de Liara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Libération et sortie du site minier.</x:v>
      </x:c>
      <x:c r="I17" s="14" t="str">
        <x:v>Personnage initialement captif puis mobile.</x:v>
      </x:c>
      <x:c r="J17" s="14" t="str"/>
      <x:c r="K17" s="14" t="str">
        <x:v>content/cinematics/CIN-sauvetage-de-liara.json</x:v>
      </x:c>
      <x:c r="L17" s="14" t="str"/>
      <x:c r="M17" s="14" t="str"/>
      <x:c r="N17" s="14" t="str">
        <x:v>Découpage cinématique proposé ; fidélité plan par plan à vérifier.</x:v>
      </x:c>
      <x:c r="O17" s="14" t="str"/>
      <x:c r="P17" s="14" t="str">
        <x:v>Production ME1</x:v>
      </x:c>
      <x:c r="Q17" s="14" t="str"/>
    </x:row>
    <x:row r="18" ht="36" customHeight="1">
      <x:c r="A18" s="12" t="str">
        <x:v>CIN-decouverte-du-thorian</x:v>
      </x:c>
      <x:c r="B18" s="7" t="str">
        <x:v>Découverte du Thorian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Révélation du volume organique.</x:v>
      </x:c>
      <x:c r="I18" s="7" t="str">
        <x:v>Échelle et profondeur compatibles avec le combat.</x:v>
      </x:c>
      <x:c r="J18" s="7" t="str"/>
      <x:c r="K18" s="7" t="str">
        <x:v>content/cinematics/CIN-decouverte-du-thorian.json</x:v>
      </x:c>
      <x:c r="L18" s="7" t="str"/>
      <x:c r="M18" s="7" t="str"/>
      <x:c r="N18" s="7" t="str">
        <x:v>Découpage cinématique proposé ; fidélité plan par plan à vérifier.</x:v>
      </x:c>
      <x:c r="O18" s="7" t="str"/>
      <x:c r="P18" s="7" t="str">
        <x:v>Production ME1</x:v>
      </x:c>
      <x:c r="Q18" s="7" t="str"/>
    </x:row>
    <x:row r="19" ht="36" customHeight="1">
      <x:c r="A19" s="13" t="str">
        <x:v>CIN-extraction-du-cypher</x:v>
      </x:c>
      <x:c r="B19" s="14" t="str">
        <x:v>Extraction du Cypher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Scène après Feros.</x:v>
      </x:c>
      <x:c r="I19" s="14" t="str">
        <x:v>Révélation liée à la décision du joueur.</x:v>
      </x:c>
      <x:c r="J19" s="14" t="str"/>
      <x:c r="K19" s="14" t="str">
        <x:v>content/cinematics/CIN-extraction-du-cypher.json</x:v>
      </x:c>
      <x:c r="L19" s="14" t="str"/>
      <x:c r="M19" s="14" t="str"/>
      <x:c r="N19" s="14" t="str">
        <x:v>Découpage cinématique proposé ; fidélité plan par plan à vérifier.</x:v>
      </x:c>
      <x:c r="O19" s="14" t="str"/>
      <x:c r="P19" s="14" t="str">
        <x:v>Production ME1</x:v>
      </x:c>
      <x:c r="Q19" s="14" t="str"/>
    </x:row>
    <x:row r="20" ht="36" customHeight="1">
      <x:c r="A20" s="12" t="str">
        <x:v>CIN-affrontement-benezia</x:v>
      </x:c>
      <x:c r="B20" s="7" t="str">
        <x:v>Affrontement Benezia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Introduction, vagues et rupture de contrôle.</x:v>
      </x:c>
      <x:c r="I20" s="7" t="str">
        <x:v>Éviter caméra libre montrant le profil plat des sprites.</x:v>
      </x:c>
      <x:c r="J20" s="7" t="str"/>
      <x:c r="K20" s="7" t="str">
        <x:v>content/cinematics/CIN-affrontement-benezia.json</x:v>
      </x:c>
      <x:c r="L20" s="7" t="str"/>
      <x:c r="M20" s="7" t="str"/>
      <x:c r="N20" s="7" t="str">
        <x:v>Découpage cinématique proposé ; fidélité plan par plan à vérifier.</x:v>
      </x:c>
      <x:c r="O20" s="7" t="str"/>
      <x:c r="P20" s="7" t="str">
        <x:v>Production ME1</x:v>
      </x:c>
      <x:c r="Q20" s="7" t="str"/>
    </x:row>
    <x:row r="21" ht="36" customHeight="1">
      <x:c r="A21" s="13" t="str">
        <x:v>CIN-choix-de-la-reine</x:v>
      </x:c>
      <x:c r="B21" s="14" t="str">
        <x:v>Choix de la reine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Mise en scène calme de la décision.</x:v>
      </x:c>
      <x:c r="I21" s="14" t="str">
        <x:v>Animation de l’issue correspond au choix.</x:v>
      </x:c>
      <x:c r="J21" s="14" t="str"/>
      <x:c r="K21" s="14" t="str">
        <x:v>content/cinematics/CIN-choix-de-la-reine.json</x:v>
      </x:c>
      <x:c r="L21" s="14" t="str"/>
      <x:c r="M21" s="14" t="str"/>
      <x:c r="N21" s="14" t="str">
        <x:v>Découpage cinématique proposé ; fidélité plan par plan à vérifier.</x:v>
      </x:c>
      <x:c r="O21" s="14" t="str"/>
      <x:c r="P21" s="14" t="str">
        <x:v>Production ME1</x:v>
      </x:c>
      <x:c r="Q21" s="14" t="str"/>
    </x:row>
    <x:row r="22" ht="36" customHeight="1">
      <x:c r="A22" s="12" t="str">
        <x:v>CIN-discours-de-kirrahe</x:v>
      </x:c>
      <x:c r="B22" s="7" t="str">
        <x:v>Discours de Kirrahe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Préparation de l’équipe galarienne.</x:v>
      </x:c>
      <x:c r="I22" s="7" t="str">
        <x:v>Présence et distribution des rôles stables.</x:v>
      </x:c>
      <x:c r="J22" s="7" t="str"/>
      <x:c r="K22" s="7" t="str">
        <x:v>content/cinematics/CIN-discours-de-kirrahe.json</x:v>
      </x:c>
      <x:c r="L22" s="7" t="str"/>
      <x:c r="M22" s="7" t="str"/>
      <x:c r="N22" s="7" t="str">
        <x:v>Découpage cinématique proposé ; fidélité plan par plan à vérifier.</x:v>
      </x:c>
      <x:c r="O22" s="7" t="str"/>
      <x:c r="P22" s="7" t="str">
        <x:v>Production ME1</x:v>
      </x:c>
      <x:c r="Q22" s="7" t="str"/>
    </x:row>
    <x:row r="23" ht="36" customHeight="1">
      <x:c r="A23" s="13" t="str">
        <x:v>CIN-confrontation-wrex</x:v>
      </x:c>
      <x:c r="B23" s="14" t="str">
        <x:v>Confrontation Wrex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Moment de tension dans le camp.</x:v>
      </x:c>
      <x:c r="I23" s="14" t="str">
        <x:v>Toutes les issues et présences contrôlées.</x:v>
      </x:c>
      <x:c r="J23" s="14" t="str"/>
      <x:c r="K23" s="14" t="str">
        <x:v>content/cinematics/CIN-confrontation-wrex.json</x:v>
      </x:c>
      <x:c r="L23" s="14" t="str"/>
      <x:c r="M23" s="14" t="str"/>
      <x:c r="N23" s="14" t="str">
        <x:v>Découpage cinématique proposé ; fidélité plan par plan à vérifier.</x:v>
      </x:c>
      <x:c r="O23" s="14" t="str"/>
      <x:c r="P23" s="14" t="str">
        <x:v>Production ME1</x:v>
      </x:c>
      <x:c r="Q23" s="14" t="str"/>
    </x:row>
    <x:row r="24" ht="36" customHeight="1">
      <x:c r="A24" s="12" t="str">
        <x:v>CIN-dialogue-de-sovereign</x:v>
      </x:c>
      <x:c r="B24" s="7" t="str">
        <x:v>Dialogue de Sovereign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Grand cadrage du dispositif de communication.</x:v>
      </x:c>
      <x:c r="I24" s="7" t="str">
        <x:v>Effets graphiques ne cachent pas les sous-titres.</x:v>
      </x:c>
      <x:c r="J24" s="7" t="str"/>
      <x:c r="K24" s="7" t="str">
        <x:v>content/cinematics/CIN-dialogue-de-sovereign.json</x:v>
      </x:c>
      <x:c r="L24" s="7" t="str"/>
      <x:c r="M24" s="7" t="str"/>
      <x:c r="N24" s="7" t="str">
        <x:v>Découpage cinématique proposé ; fidélité plan par plan à vérifier.</x:v>
      </x:c>
      <x:c r="O24" s="7" t="str"/>
      <x:c r="P24" s="7" t="str">
        <x:v>Production ME1</x:v>
      </x:c>
      <x:c r="Q24" s="7" t="str"/>
    </x:row>
    <x:row r="25" ht="36" customHeight="1">
      <x:c r="A25" s="13" t="str">
        <x:v>CIN-sacrifice-de-virmire</x:v>
      </x:c>
      <x:c r="B25" s="14" t="str">
        <x:v>Sacrifice de Virmire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Départ et conséquence du choix.</x:v>
      </x:c>
      <x:c r="I25" s="14" t="str">
        <x:v>Aucun personnage perdu visible dans la soute suivante.</x:v>
      </x:c>
      <x:c r="J25" s="14" t="str"/>
      <x:c r="K25" s="14" t="str">
        <x:v>content/cinematics/CIN-sacrifice-de-virmire.json</x:v>
      </x:c>
      <x:c r="L25" s="14" t="str"/>
      <x:c r="M25" s="14" t="str"/>
      <x:c r="N25" s="14" t="str">
        <x:v>Découpage cinématique proposé ; fidélité plan par plan à vérifier.</x:v>
      </x:c>
      <x:c r="O25" s="14" t="str"/>
      <x:c r="P25" s="14" t="str">
        <x:v>Production ME1</x:v>
      </x:c>
      <x:c r="Q25" s="14" t="str"/>
    </x:row>
    <x:row r="26" ht="36" customHeight="1">
      <x:c r="A26" s="12" t="str">
        <x:v>CIN-evasion-citadelle</x:v>
      </x:c>
      <x:c r="B26" s="7" t="str">
        <x:v>Évasion Citadelle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Action d’Anderson et départ du Normandy.</x:v>
      </x:c>
      <x:c r="I26" s="7" t="str">
        <x:v>Méthode choisie reflétée dans la scène.</x:v>
      </x:c>
      <x:c r="J26" s="7" t="str"/>
      <x:c r="K26" s="7" t="str">
        <x:v>content/cinematics/CIN-evasion-citadelle.json</x:v>
      </x:c>
      <x:c r="L26" s="7" t="str"/>
      <x:c r="M26" s="7" t="str"/>
      <x:c r="N26" s="7" t="str">
        <x:v>Découpage cinématique proposé ; fidélité plan par plan à vérifier.</x:v>
      </x:c>
      <x:c r="O26" s="7" t="str"/>
      <x:c r="P26" s="7" t="str">
        <x:v>Production ME1</x:v>
      </x:c>
      <x:c r="Q26" s="7" t="str"/>
    </x:row>
    <x:row r="27" ht="36" customHeight="1">
      <x:c r="A27" s="13" t="str">
        <x:v>CIN-arrivee-sur-ilos</x:v>
      </x:c>
      <x:c r="B27" s="14" t="str">
        <x:v>Arrivée sur Ilos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Poursuite immédiate dans les ruines.</x:v>
      </x:c>
      <x:c r="I27" s="14" t="str">
        <x:v>Orientation de départ cohérente avec la carte.</x:v>
      </x:c>
      <x:c r="J27" s="14" t="str"/>
      <x:c r="K27" s="14" t="str">
        <x:v>content/cinematics/CIN-arrivee-sur-ilos.json</x:v>
      </x:c>
      <x:c r="L27" s="14" t="str"/>
      <x:c r="M27" s="14" t="str"/>
      <x:c r="N27" s="14" t="str">
        <x:v>Découpage cinématique proposé ; fidélité plan par plan à vérifier.</x:v>
      </x:c>
      <x:c r="O27" s="14" t="str"/>
      <x:c r="P27" s="14" t="str">
        <x:v>Production ME1</x:v>
      </x:c>
      <x:c r="Q27" s="14" t="str"/>
    </x:row>
    <x:row r="28" ht="36" customHeight="1">
      <x:c r="A28" s="12" t="str">
        <x:v>CIN-vigil</x:v>
      </x:c>
      <x:c r="B28" s="7" t="str">
        <x:v>Vigil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Rencontre au cœur des archives.</x:v>
      </x:c>
      <x:c r="I28" s="7" t="str">
        <x:v>Hologramme et réactions des équipiers.</x:v>
      </x:c>
      <x:c r="J28" s="7" t="str"/>
      <x:c r="K28" s="7" t="str">
        <x:v>content/cinematics/CIN-vigil.json</x:v>
      </x:c>
      <x:c r="L28" s="7" t="str"/>
      <x:c r="M28" s="7" t="str"/>
      <x:c r="N28" s="7" t="str">
        <x:v>Découpage cinématique proposé ; fidélité plan par plan à vérifier.</x:v>
      </x:c>
      <x:c r="O28" s="7" t="str"/>
      <x:c r="P28" s="7" t="str">
        <x:v>Production ME1</x:v>
      </x:c>
      <x:c r="Q28" s="7" t="str"/>
    </x:row>
    <x:row r="29" ht="36" customHeight="1">
      <x:c r="A29" s="13" t="str">
        <x:v>CIN-passage-du-conduit</x:v>
      </x:c>
      <x:c r="B29" s="14" t="str">
        <x:v>Passage du Conduit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Course et transition vers la Citadelle.</x:v>
      </x:c>
      <x:c r="I29" s="14" t="str">
        <x:v>Vitesse et caméra ne traversent pas les sprites.</x:v>
      </x:c>
      <x:c r="J29" s="14" t="str"/>
      <x:c r="K29" s="14" t="str">
        <x:v>content/cinematics/CIN-passage-du-conduit.json</x:v>
      </x:c>
      <x:c r="L29" s="14" t="str"/>
      <x:c r="M29" s="14" t="str"/>
      <x:c r="N29" s="14" t="str">
        <x:v>Découpage cinématique proposé ; fidélité plan par plan à vérifier.</x:v>
      </x:c>
      <x:c r="O29" s="14" t="str"/>
      <x:c r="P29" s="14" t="str">
        <x:v>Production ME1</x:v>
      </x:c>
      <x:c r="Q29" s="14" t="str"/>
    </x:row>
    <x:row r="30" ht="36" customHeight="1">
      <x:c r="A30" s="12" t="str">
        <x:v>CIN-bataille-de-la-citadelle</x:v>
      </x:c>
      <x:c r="B30" s="7" t="str">
        <x:v>Bataille de la Citadelle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Conflit spatial parallèle à l’assaut au sol.</x:v>
      </x:c>
      <x:c r="I30" s="7" t="str">
        <x:v>Séparer clairement les échelles d’action.</x:v>
      </x:c>
      <x:c r="J30" s="7" t="str"/>
      <x:c r="K30" s="7" t="str">
        <x:v>content/cinematics/CIN-bataille-de-la-citadelle.json</x:v>
      </x:c>
      <x:c r="L30" s="7" t="str"/>
      <x:c r="M30" s="7" t="str"/>
      <x:c r="N30" s="7" t="str">
        <x:v>Découpage cinématique proposé ; fidélité plan par plan à vérifier.</x:v>
      </x:c>
      <x:c r="O30" s="7" t="str"/>
      <x:c r="P30" s="7" t="str">
        <x:v>Production ME1</x:v>
      </x:c>
      <x:c r="Q30" s="7" t="str"/>
    </x:row>
    <x:row r="31" ht="36" customHeight="1">
      <x:c r="A31" s="13" t="str">
        <x:v>CIN-conclusion-de-saren</x:v>
      </x:c>
      <x:c r="B31" s="14" t="str">
        <x:v>Conclusion de Saren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Issue du dialogue et combat terminal.</x:v>
      </x:c>
      <x:c r="I31" s="14" t="str">
        <x:v>Transitions compatibles avec toutes les branches.</x:v>
      </x:c>
      <x:c r="J31" s="14" t="str"/>
      <x:c r="K31" s="14" t="str">
        <x:v>content/cinematics/CIN-conclusion-de-saren.json</x:v>
      </x:c>
      <x:c r="L31" s="14" t="str"/>
      <x:c r="M31" s="14" t="str"/>
      <x:c r="N31" s="14" t="str">
        <x:v>Découpage cinématique proposé ; fidélité plan par plan à vérifier.</x:v>
      </x:c>
      <x:c r="O31" s="14" t="str"/>
      <x:c r="P31" s="14" t="str">
        <x:v>Production ME1</x:v>
      </x:c>
      <x:c r="Q31" s="14" t="str"/>
    </x:row>
    <x:row r="32" ht="36" customHeight="1">
      <x:c r="A32" s="12" t="str">
        <x:v>CIN-epilogue</x:v>
      </x:c>
      <x:c r="B32" s="7" t="str">
        <x:v>Épilogue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Clôture politique et départ vers la suite.</x:v>
      </x:c>
      <x:c r="I32" s="7" t="str">
        <x:v>Résumé de choix sans déclarer de contenu ME2 jouable.</x:v>
      </x:c>
      <x:c r="J32" s="7" t="str"/>
      <x:c r="K32" s="7" t="str">
        <x:v>content/cinematics/CIN-epilogue.json</x:v>
      </x:c>
      <x:c r="L32" s="7" t="str"/>
      <x:c r="M32" s="7" t="str"/>
      <x:c r="N32" s="7" t="str">
        <x:v>Découpage cinématique proposé ; fidélité plan par plan à vérifier.</x:v>
      </x:c>
      <x:c r="O32" s="7" t="str"/>
      <x:c r="P32" s="7" t="str">
        <x:v>Production ME1</x:v>
      </x:c>
      <x:c r="Q32" s="7" t="str"/>
    </x:row>
  </x:sheetData>
  <x:conditionalFormatting sqref="C7:C32">
    <x:cfRule type="cellIs" dxfId="65" priority="1" operator="equal">
      <x:formula>"Prototype"</x:formula>
    </x:cfRule>
    <x:cfRule type="cellIs" dxfId="66" priority="2" operator="equal">
      <x:formula>"Intégré"</x:formula>
    </x:cfRule>
    <x:cfRule type="cellIs" dxfId="67" priority="3" operator="equal">
      <x:formula>"Validé"</x:formula>
    </x:cfRule>
  </x:conditionalFormatting>
  <x:conditionalFormatting sqref="G7:G32">
    <x:cfRule type="cellIs" dxfId="68" priority="4" operator="equal">
      <x:formula>"Référence à vérifier"</x:formula>
    </x:cfRule>
  </x:conditionalFormatting>
  <x:conditionalFormatting sqref="E7:E32">
    <x:cfRule type="cellIs" dxfId="69" priority="5" operator="equal">
      <x:formula>"P0"</x:formula>
    </x:cfRule>
  </x:conditionalFormatting>
  <x:dataValidations count="5">
    <x:dataValidation type="list" sqref="C7:C32">
      <x:formula1>"Défini,Prototype,Intégré,Validé"</x:formula1>
    </x:dataValidation>
    <x:dataValidation type="list" sqref="D7:D32">
      <x:formula1>"À produire,Prototype,Disponible,Validé,Sans objet,Non planifié"</x:formula1>
    </x:dataValidation>
    <x:dataValidation type="list" sqref="E7:E32">
      <x:formula1>"P0,P1,P2"</x:formula1>
    </x:dataValidation>
    <x:dataValidation type="list" sqref="F7:F32">
      <x:formula1>"ME1,ME2,ME3"</x:formula1>
    </x:dataValidation>
    <x:dataValidation type="list" sqref="G7:G3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d5a2650a43495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WPN-pistolet-standard</x:v>
      </x:c>
      <x:c r="B7" s="14" t="str">
        <x:v>Pistolet standard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Arme de précision polyvalente à chaleur.</x:v>
      </x:c>
      <x:c r="I7" s="14" t="str">
        <x:v>Action ATB courte, chauffe modérée, modèle de ME1.</x:v>
      </x:c>
      <x:c r="J7" s="14" t="str"/>
      <x:c r="K7" s="14" t="str">
        <x:v>content/weapons/WPN-pistolet-standard.json</x:v>
      </x:c>
      <x:c r="L7" s="14" t="str"/>
      <x:c r="M7" s="14" t="str"/>
      <x:c r="N7" s="14" t="str">
        <x:v>Famille canonique ou modèle candidat ; fabricant, rang et statistiques à vérifier.</x:v>
      </x:c>
      <x:c r="O7" s="14" t="str">
        <x:v>https://eaassets-a.akamaihd.net/eahelp/manuals/mass-effect-manuals_PC_fr.pdf</x:v>
      </x:c>
      <x:c r="P7" s="14" t="str">
        <x:v>Production ME1</x:v>
      </x:c>
      <x:c r="Q7" s="14" t="str"/>
    </x:row>
    <x:row r="8" ht="36" customHeight="1">
      <x:c r="A8" s="12" t="str">
        <x:v>WPN-fusil-d-assaut-standard</x:v>
      </x:c>
      <x:c r="B8" s="7" t="str">
        <x:v>Fusil d’assaut standard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Tir soutenu pour plusieurs rôles militaires.</x:v>
      </x:c>
      <x:c r="I8" s="7" t="str">
        <x:v>Rafales visibles et surchauffe progressive.</x:v>
      </x:c>
      <x:c r="J8" s="7" t="str"/>
      <x:c r="K8" s="7" t="str">
        <x:v>content/weapons/WPN-fusil-d-assaut-standard.json</x:v>
      </x:c>
      <x:c r="L8" s="7" t="str"/>
      <x:c r="M8" s="7" t="str"/>
      <x:c r="N8" s="7" t="str">
        <x:v>Famille canonique ou modèle candidat ; fabricant, rang et statistiques à vérifier.</x:v>
      </x:c>
      <x:c r="O8" s="7" t="str">
        <x:v>https://eaassets-a.akamaihd.net/eahelp/manuals/mass-effect-manuals_PC_fr.pdf</x:v>
      </x:c>
      <x:c r="P8" s="7" t="str">
        <x:v>Production ME1</x:v>
      </x:c>
      <x:c r="Q8" s="7" t="str"/>
    </x:row>
    <x:row r="9" ht="36" customHeight="1">
      <x:c r="A9" s="13" t="str">
        <x:v>WPN-fusil-a-pompe-standard</x:v>
      </x:c>
      <x:c r="B9" s="14" t="str">
        <x:v>Fusil à pompe standard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Impact élevé à courte distance.</x:v>
      </x:c>
      <x:c r="I9" s="14" t="str">
        <x:v>Dégâts diminuent avec la distance d’action retenue.</x:v>
      </x:c>
      <x:c r="J9" s="14" t="str"/>
      <x:c r="K9" s="14" t="str">
        <x:v>content/weapons/WPN-fusil-a-pompe-standard.json</x:v>
      </x:c>
      <x:c r="L9" s="14" t="str"/>
      <x:c r="M9" s="14" t="str"/>
      <x:c r="N9" s="14" t="str">
        <x:v>Famille canonique ou modèle candidat ; fabricant, rang et statistiques à vérifier.</x:v>
      </x:c>
      <x:c r="O9" s="14" t="str">
        <x:v>https://eaassets-a.akamaihd.net/eahelp/manuals/mass-effect-manuals_PC_fr.pdf</x:v>
      </x:c>
      <x:c r="P9" s="14" t="str">
        <x:v>Production ME1</x:v>
      </x:c>
      <x:c r="Q9" s="14" t="str"/>
    </x:row>
    <x:row r="10" ht="36" customHeight="1">
      <x:c r="A10" s="12" t="str">
        <x:v>WPN-fusil-de-precision-standard</x:v>
      </x:c>
      <x:c r="B10" s="7" t="str">
        <x:v>Fusil de précision standard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Tir lent et précis.</x:v>
      </x:c>
      <x:c r="I10" s="7" t="str">
        <x:v>Télégraphe de visée et ligne de tir cohérente.</x:v>
      </x:c>
      <x:c r="J10" s="7" t="str"/>
      <x:c r="K10" s="7" t="str">
        <x:v>content/weapons/WPN-fusil-de-precision-standard.json</x:v>
      </x:c>
      <x:c r="L10" s="7" t="str"/>
      <x:c r="M10" s="7" t="str"/>
      <x:c r="N10" s="7" t="str">
        <x:v>Famille canonique ou modèle candidat ; fabricant, rang et statistiques à vérifier.</x:v>
      </x:c>
      <x:c r="O10" s="7" t="str">
        <x:v>https://eaassets-a.akamaihd.net/eahelp/manuals/mass-effect-manuals_PC_fr.pdf</x:v>
      </x:c>
      <x:c r="P10" s="7" t="str">
        <x:v>Production ME1</x:v>
      </x:c>
      <x:c r="Q10" s="7" t="str"/>
    </x:row>
    <x:row r="11" ht="36" customHeight="1">
      <x:c r="A11" s="13" t="str">
        <x:v>WPN-grenade-de-shepard</x:v>
      </x:c>
      <x:c r="B11" s="14" t="str">
        <x:v>Grenade de Shepard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Projectile disque déclenchable.</x:v>
      </x:c>
      <x:c r="I11" s="14" t="str">
        <x:v>Réserve limitée et usage réservé selon règle de ME1.</x:v>
      </x:c>
      <x:c r="J11" s="14" t="str"/>
      <x:c r="K11" s="14" t="str">
        <x:v>content/weapons/WPN-grenade-de-shepard.json</x:v>
      </x:c>
      <x:c r="L11" s="14" t="str"/>
      <x:c r="M11" s="14" t="str"/>
      <x:c r="N11" s="14" t="str">
        <x:v>Famille canonique ou modèle candidat ; fabricant, rang et statistiques à vérifier.</x:v>
      </x:c>
      <x:c r="O11" s="14" t="str">
        <x:v>https://eaassets-a.akamaihd.net/eahelp/manuals/mass-effect-manuals_PC_fr.pdf</x:v>
      </x:c>
      <x:c r="P11" s="14" t="str">
        <x:v>Production ME1</x:v>
      </x:c>
      <x:c r="Q11" s="14" t="str"/>
    </x:row>
    <x:row r="12" ht="36" customHeight="1">
      <x:c r="A12" s="12" t="str">
        <x:v>WPN-avenger</x:v>
      </x:c>
      <x:c r="B12" s="7" t="str">
        <x:v>Avenger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Famille de fusils d’assaut à documenter.</x:v>
      </x:c>
      <x:c r="I12" s="7" t="str">
        <x:v>Appellation, fabricant et modèle ME1 vérifiés avant asset final.</x:v>
      </x:c>
      <x:c r="J12" s="7" t="str"/>
      <x:c r="K12" s="7" t="str">
        <x:v>content/weapons/WPN-avenger.json</x:v>
      </x:c>
      <x:c r="L12" s="7" t="str"/>
      <x:c r="M12" s="7" t="str"/>
      <x:c r="N12" s="7" t="str">
        <x:v>Famille canonique ou modèle candidat ; fabricant, rang et statistiques à vérifier.</x:v>
      </x:c>
      <x:c r="O12" s="7" t="str">
        <x:v>https://eaassets-a.akamaihd.net/eahelp/manuals/mass-effect-manuals_PC_fr.pdf</x:v>
      </x:c>
      <x:c r="P12" s="7" t="str">
        <x:v>Production ME1</x:v>
      </x:c>
      <x:c r="Q12" s="7" t="str"/>
    </x:row>
    <x:row r="13" ht="36" customHeight="1">
      <x:c r="A13" s="13" t="str">
        <x:v>WPN-lancer</x:v>
      </x:c>
      <x:c r="B13" s="14" t="str">
        <x:v>Lancer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Famille militaire de fusils d’assaut.</x:v>
      </x:c>
      <x:c r="I13" s="14" t="str">
        <x:v>Silhouette et comportement relevés dans ME1.</x:v>
      </x:c>
      <x:c r="J13" s="14" t="str"/>
      <x:c r="K13" s="14" t="str">
        <x:v>content/weapons/WPN-lancer.json</x:v>
      </x:c>
      <x:c r="L13" s="14" t="str"/>
      <x:c r="M13" s="14" t="str"/>
      <x:c r="N13" s="14" t="str">
        <x:v>Famille canonique ou modèle candidat ; fabricant, rang et statistiques à vérifier.</x:v>
      </x:c>
      <x:c r="O13" s="14" t="str">
        <x:v>https://eaassets-a.akamaihd.net/eahelp/manuals/mass-effect-manuals_PC_fr.pdf</x:v>
      </x:c>
      <x:c r="P13" s="14" t="str">
        <x:v>Production ME1</x:v>
      </x:c>
      <x:c r="Q13" s="14" t="str"/>
    </x:row>
    <x:row r="14" ht="36" customHeight="1">
      <x:c r="A14" s="12" t="str">
        <x:v>WPN-hmwa</x:v>
      </x:c>
      <x:c r="B14" s="7" t="str">
        <x:v>HMWA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Fusil d’assaut Spectre.</x:v>
      </x:c>
      <x:c r="I14" s="7" t="str">
        <x:v>Accès lié aux conditions d’achat et niveau retenus.</x:v>
      </x:c>
      <x:c r="J14" s="7" t="str"/>
      <x:c r="K14" s="7" t="str">
        <x:v>content/weapons/WPN-hmwa.json</x:v>
      </x:c>
      <x:c r="L14" s="7" t="str"/>
      <x:c r="M14" s="7" t="str"/>
      <x:c r="N14" s="7" t="str">
        <x:v>Famille canonique ou modèle candidat ; fabricant, rang et statistiques à vérifier.</x:v>
      </x:c>
      <x:c r="O14" s="7" t="str">
        <x:v>https://eaassets-a.akamaihd.net/eahelp/manuals/mass-effect-manuals_PC_fr.pdf</x:v>
      </x:c>
      <x:c r="P14" s="7" t="str">
        <x:v>Production ME1</x:v>
      </x:c>
      <x:c r="Q14" s="7" t="str"/>
    </x:row>
    <x:row r="15" ht="36" customHeight="1">
      <x:c r="A15" s="13" t="str">
        <x:v>WPN-kessler</x:v>
      </x:c>
      <x:c r="B15" s="14" t="str">
        <x:v>Kessler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Famille de pistolets.</x:v>
      </x:c>
      <x:c r="I15" s="14" t="str">
        <x:v>Référence de silhouette et fabricant à relever.</x:v>
      </x:c>
      <x:c r="J15" s="14" t="str"/>
      <x:c r="K15" s="14" t="str">
        <x:v>content/weapons/WPN-kessler.json</x:v>
      </x:c>
      <x:c r="L15" s="14" t="str"/>
      <x:c r="M15" s="14" t="str"/>
      <x:c r="N15" s="14" t="str">
        <x:v>Famille canonique ou modèle candidat ; fabricant, rang et statistiques à vérifier.</x:v>
      </x:c>
      <x:c r="O15" s="14" t="str">
        <x:v>https://eaassets-a.akamaihd.net/eahelp/manuals/mass-effect-manuals_PC_fr.pdf</x:v>
      </x:c>
      <x:c r="P15" s="14" t="str">
        <x:v>Production ME1</x:v>
      </x:c>
      <x:c r="Q15" s="14" t="str"/>
    </x:row>
    <x:row r="16" ht="36" customHeight="1">
      <x:c r="A16" s="12" t="str">
        <x:v>WPN-stinger</x:v>
      </x:c>
      <x:c r="B16" s="7" t="str">
        <x:v>Stinger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Famille de pistolets.</x:v>
      </x:c>
      <x:c r="I16" s="7" t="str">
        <x:v>Variation utile de caractéristiques sans nouveau pouvoir.</x:v>
      </x:c>
      <x:c r="J16" s="7" t="str"/>
      <x:c r="K16" s="7" t="str">
        <x:v>content/weapons/WPN-stinger.json</x:v>
      </x:c>
      <x:c r="L16" s="7" t="str"/>
      <x:c r="M16" s="7" t="str"/>
      <x:c r="N16" s="7" t="str">
        <x:v>Famille canonique ou modèle candidat ; fabricant, rang et statistiques à vérifier.</x:v>
      </x:c>
      <x:c r="O16" s="7" t="str">
        <x:v>https://eaassets-a.akamaihd.net/eahelp/manuals/mass-effect-manuals_PC_fr.pdf</x:v>
      </x:c>
      <x:c r="P16" s="7" t="str">
        <x:v>Production ME1</x:v>
      </x:c>
      <x:c r="Q16" s="7" t="str"/>
    </x:row>
    <x:row r="17" ht="36" customHeight="1">
      <x:c r="A17" s="13" t="str">
        <x:v>WPN-hmwp</x:v>
      </x:c>
      <x:c r="B17" s="14" t="str">
        <x:v>HMWP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Pistolet Spectre.</x:v>
      </x:c>
      <x:c r="I17" s="14" t="str">
        <x:v>Acquisition et prix contrôlés.</x:v>
      </x:c>
      <x:c r="J17" s="14" t="str"/>
      <x:c r="K17" s="14" t="str">
        <x:v>content/weapons/WPN-hmwp.json</x:v>
      </x:c>
      <x:c r="L17" s="14" t="str"/>
      <x:c r="M17" s="14" t="str"/>
      <x:c r="N17" s="14" t="str">
        <x:v>Famille canonique ou modèle candidat ; fabricant, rang et statistiques à vérifier.</x:v>
      </x:c>
      <x:c r="O17" s="14" t="str">
        <x:v>https://eaassets-a.akamaihd.net/eahelp/manuals/mass-effect-manuals_PC_fr.pdf</x:v>
      </x:c>
      <x:c r="P17" s="14" t="str">
        <x:v>Production ME1</x:v>
      </x:c>
      <x:c r="Q17" s="14" t="str"/>
    </x:row>
    <x:row r="18" ht="36" customHeight="1">
      <x:c r="A18" s="12" t="str">
        <x:v>WPN-scimitar</x:v>
      </x:c>
      <x:c r="B18" s="7" t="str">
        <x:v>Scimitar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Famille de fusils à pompe.</x:v>
      </x:c>
      <x:c r="I18" s="7" t="str">
        <x:v>Pompe, recul et volume cohérents.</x:v>
      </x:c>
      <x:c r="J18" s="7" t="str"/>
      <x:c r="K18" s="7" t="str">
        <x:v>content/weapons/WPN-scimitar.json</x:v>
      </x:c>
      <x:c r="L18" s="7" t="str"/>
      <x:c r="M18" s="7" t="str"/>
      <x:c r="N18" s="7" t="str">
        <x:v>Famille canonique ou modèle candidat ; fabricant, rang et statistiques à vérifier.</x:v>
      </x:c>
      <x:c r="O18" s="7" t="str">
        <x:v>https://eaassets-a.akamaihd.net/eahelp/manuals/mass-effect-manuals_PC_fr.pdf</x:v>
      </x:c>
      <x:c r="P18" s="7" t="str">
        <x:v>Production ME1</x:v>
      </x:c>
      <x:c r="Q18" s="7" t="str"/>
    </x:row>
    <x:row r="19" ht="36" customHeight="1">
      <x:c r="A19" s="13" t="str">
        <x:v>WPN-katana</x:v>
      </x:c>
      <x:c r="B19" s="14" t="str">
        <x:v>Katana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Famille de fusils à pompe.</x:v>
      </x:c>
      <x:c r="I19" s="14" t="str">
        <x:v>Référence propre à ME1 à confirmer.</x:v>
      </x:c>
      <x:c r="J19" s="14" t="str"/>
      <x:c r="K19" s="14" t="str">
        <x:v>content/weapons/WPN-katana.json</x:v>
      </x:c>
      <x:c r="L19" s="14" t="str"/>
      <x:c r="M19" s="14" t="str"/>
      <x:c r="N19" s="14" t="str">
        <x:v>Famille canonique ou modèle candidat ; fabricant, rang et statistiques à vérifier.</x:v>
      </x:c>
      <x:c r="O19" s="14" t="str">
        <x:v>https://eaassets-a.akamaihd.net/eahelp/manuals/mass-effect-manuals_PC_fr.pdf</x:v>
      </x:c>
      <x:c r="P19" s="14" t="str">
        <x:v>Production ME1</x:v>
      </x:c>
      <x:c r="Q19" s="14" t="str"/>
    </x:row>
    <x:row r="20" ht="36" customHeight="1">
      <x:c r="A20" s="12" t="str">
        <x:v>WPN-hmwsg</x:v>
      </x:c>
      <x:c r="B20" s="7" t="str">
        <x:v>HMWSG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Fusil à pompe Spectre.</x:v>
      </x:c>
      <x:c r="I20" s="7" t="str">
        <x:v>Identification du modèle et progression.</x:v>
      </x:c>
      <x:c r="J20" s="7" t="str"/>
      <x:c r="K20" s="7" t="str">
        <x:v>content/weapons/WPN-hmwsg.json</x:v>
      </x:c>
      <x:c r="L20" s="7" t="str"/>
      <x:c r="M20" s="7" t="str"/>
      <x:c r="N20" s="7" t="str">
        <x:v>Famille canonique ou modèle candidat ; fabricant, rang et statistiques à vérifier.</x:v>
      </x:c>
      <x:c r="O20" s="7" t="str">
        <x:v>https://eaassets-a.akamaihd.net/eahelp/manuals/mass-effect-manuals_PC_fr.pdf</x:v>
      </x:c>
      <x:c r="P20" s="7" t="str">
        <x:v>Production ME1</x:v>
      </x:c>
      <x:c r="Q20" s="7" t="str"/>
    </x:row>
    <x:row r="21" ht="36" customHeight="1">
      <x:c r="A21" s="13" t="str">
        <x:v>WPN-hammer</x:v>
      </x:c>
      <x:c r="B21" s="14" t="str">
        <x:v>Hammer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Famille de fusils de précision.</x:v>
      </x:c>
      <x:c r="I21" s="14" t="str">
        <x:v>Modèle, cadence et thermique à documenter.</x:v>
      </x:c>
      <x:c r="J21" s="14" t="str"/>
      <x:c r="K21" s="14" t="str">
        <x:v>content/weapons/WPN-hammer.json</x:v>
      </x:c>
      <x:c r="L21" s="14" t="str"/>
      <x:c r="M21" s="14" t="str"/>
      <x:c r="N21" s="14" t="str">
        <x:v>Famille canonique ou modèle candidat ; fabricant, rang et statistiques à vérifier.</x:v>
      </x:c>
      <x:c r="O21" s="14" t="str">
        <x:v>https://eaassets-a.akamaihd.net/eahelp/manuals/mass-effect-manuals_PC_fr.pdf</x:v>
      </x:c>
      <x:c r="P21" s="14" t="str">
        <x:v>Production ME1</x:v>
      </x:c>
      <x:c r="Q21" s="14" t="str"/>
    </x:row>
    <x:row r="22" ht="36" customHeight="1">
      <x:c r="A22" s="12" t="str">
        <x:v>WPN-reaper-fusil</x:v>
      </x:c>
      <x:c r="B22" s="7" t="str">
        <x:v>Reaper fusil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Famille d’arme portant ce nom, distincte de la faction.</x:v>
      </x:c>
      <x:c r="I22" s="7" t="str">
        <x:v>Traduction et existence dans la version retenue vérifiées.</x:v>
      </x:c>
      <x:c r="J22" s="7" t="str"/>
      <x:c r="K22" s="7" t="str">
        <x:v>content/weapons/WPN-reaper-fusil.json</x:v>
      </x:c>
      <x:c r="L22" s="7" t="str"/>
      <x:c r="M22" s="7" t="str"/>
      <x:c r="N22" s="7" t="str">
        <x:v>Famille canonique ou modèle candidat ; fabricant, rang et statistiques à vérifier.</x:v>
      </x:c>
      <x:c r="O22" s="7" t="str">
        <x:v>https://eaassets-a.akamaihd.net/eahelp/manuals/mass-effect-manuals_PC_fr.pdf</x:v>
      </x:c>
      <x:c r="P22" s="7" t="str">
        <x:v>Production ME1</x:v>
      </x:c>
      <x:c r="Q22" s="7" t="str"/>
    </x:row>
    <x:row r="23" ht="36" customHeight="1">
      <x:c r="A23" s="13" t="str">
        <x:v>WPN-hmwsr</x:v>
      </x:c>
      <x:c r="B23" s="14" t="str">
        <x:v>HMWSR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Fusil de précision Spectre.</x:v>
      </x:c>
      <x:c r="I23" s="14" t="str">
        <x:v>Cadence élevée ou bonus seulement si confirmés.</x:v>
      </x:c>
      <x:c r="J23" s="14" t="str"/>
      <x:c r="K23" s="14" t="str">
        <x:v>content/weapons/WPN-hmwsr.json</x:v>
      </x:c>
      <x:c r="L23" s="14" t="str"/>
      <x:c r="M23" s="14" t="str"/>
      <x:c r="N23" s="14" t="str">
        <x:v>Famille canonique ou modèle candidat ; fabricant, rang et statistiques à vérifier.</x:v>
      </x:c>
      <x:c r="O23" s="14" t="str">
        <x:v>https://eaassets-a.akamaihd.net/eahelp/manuals/mass-effect-manuals_PC_fr.pdf</x:v>
      </x:c>
      <x:c r="P23" s="14" t="str">
        <x:v>Production ME1</x:v>
      </x:c>
      <x:c r="Q23" s="14" t="str"/>
    </x:row>
    <x:row r="24" ht="36" customHeight="1">
      <x:c r="A24" s="12" t="str">
        <x:v>WPN-arme-geth-legere</x:v>
      </x:c>
      <x:c r="B24" s="7" t="str">
        <x:v>Arme geth légère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Arme portée par l’infanterie synthétique.</x:v>
      </x:c>
      <x:c r="I24" s="7" t="str">
        <x:v>Modèle et effets cohérents avec les rencontres.</x:v>
      </x:c>
      <x:c r="J24" s="7" t="str"/>
      <x:c r="K24" s="7" t="str">
        <x:v>content/weapons/WPN-arme-geth-legere.json</x:v>
      </x:c>
      <x:c r="L24" s="7" t="str"/>
      <x:c r="M24" s="7" t="str"/>
      <x:c r="N24" s="7" t="str">
        <x:v>Famille canonique ou modèle candidat ; fabricant, rang et statistiques à vérifier.</x:v>
      </x:c>
      <x:c r="O24" s="7" t="str">
        <x:v>https://eaassets-a.akamaihd.net/eahelp/manuals/mass-effect-manuals_PC_fr.pdf</x:v>
      </x:c>
      <x:c r="P24" s="7" t="str">
        <x:v>Production ME1</x:v>
      </x:c>
      <x:c r="Q24" s="7" t="str"/>
    </x:row>
    <x:row r="25" ht="36" customHeight="1">
      <x:c r="A25" s="13" t="str">
        <x:v>WPN-lance-roquettes-ennemi</x:v>
      </x:c>
      <x:c r="B25" s="14" t="str">
        <x:v>Lance-roquettes ennemi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Arme à projectile explosif des geth.</x:v>
      </x:c>
      <x:c r="I25" s="14" t="str">
        <x:v>Vitesse, arc et télégraphe documentés.</x:v>
      </x:c>
      <x:c r="J25" s="14" t="str"/>
      <x:c r="K25" s="14" t="str">
        <x:v>content/weapons/WPN-lance-roquettes-ennemi.json</x:v>
      </x:c>
      <x:c r="L25" s="14" t="str"/>
      <x:c r="M25" s="14" t="str"/>
      <x:c r="N25" s="14" t="str">
        <x:v>Famille canonique ou modèle candidat ; fabricant, rang et statistiques à vérifier.</x:v>
      </x:c>
      <x:c r="O25" s="14" t="str">
        <x:v>https://eaassets-a.akamaihd.net/eahelp/manuals/mass-effect-manuals_PC_fr.pdf</x:v>
      </x:c>
      <x:c r="P25" s="14" t="str">
        <x:v>Production ME1</x:v>
      </x:c>
      <x:c r="Q25" s="14" t="str"/>
    </x:row>
    <x:row r="26" ht="36" customHeight="1">
      <x:c r="A26" s="12" t="str">
        <x:v>WPN-canon-du-mako</x:v>
      </x:c>
      <x:c r="B26" s="7" t="str">
        <x:v>Canon du Mako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Armement lourd du véhicule.</x:v>
      </x:c>
      <x:c r="I26" s="7" t="str">
        <x:v>Cycle de tir et recul distincts de la mitrailleuse.</x:v>
      </x:c>
      <x:c r="J26" s="7" t="str"/>
      <x:c r="K26" s="7" t="str">
        <x:v>content/weapons/WPN-canon-du-mako.json</x:v>
      </x:c>
      <x:c r="L26" s="7" t="str"/>
      <x:c r="M26" s="7" t="str"/>
      <x:c r="N26" s="7" t="str">
        <x:v>Famille canonique ou modèle candidat ; fabricant, rang et statistiques à vérifier.</x:v>
      </x:c>
      <x:c r="O26" s="7" t="str">
        <x:v>https://eaassets-a.akamaihd.net/eahelp/manuals/mass-effect-manuals_PC_fr.pdf</x:v>
      </x:c>
      <x:c r="P26" s="7" t="str">
        <x:v>Production ME1</x:v>
      </x:c>
      <x:c r="Q26" s="7" t="str"/>
    </x:row>
    <x:row r="27" ht="36" customHeight="1">
      <x:c r="A27" s="13" t="str">
        <x:v>WPN-mitrailleuse-du-mako</x:v>
      </x:c>
      <x:c r="B27" s="14" t="str">
        <x:v>Mitrailleuse du Mako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Feu rapide contre menaces légères.</x:v>
      </x:c>
      <x:c r="I27" s="14" t="str">
        <x:v>Chauffe, dispersion et portée du prototype explicités.</x:v>
      </x:c>
      <x:c r="J27" s="14" t="str"/>
      <x:c r="K27" s="14" t="str">
        <x:v>content/weapons/WPN-mitrailleuse-du-mako.json</x:v>
      </x:c>
      <x:c r="L27" s="14" t="str"/>
      <x:c r="M27" s="14" t="str"/>
      <x:c r="N27" s="14" t="str">
        <x:v>Famille canonique ou modèle candidat ; fabricant, rang et statistiques à vérifier.</x:v>
      </x:c>
      <x:c r="O27" s="14" t="str">
        <x:v>https://eaassets-a.akamaihd.net/eahelp/manuals/mass-effect-manuals_PC_fr.pdf</x:v>
      </x:c>
      <x:c r="P27" s="14" t="str">
        <x:v>Production ME1</x:v>
      </x:c>
      <x:c r="Q27" s="14" t="str"/>
    </x:row>
    <x:row r="28" ht="36" customHeight="1">
      <x:c r="A28" s="12" t="str">
        <x:v>WPN-arme-de-tourelle</x:v>
      </x:c>
      <x:c r="B28" s="7" t="str">
        <x:v>Arme de tourelle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Défense fixe ou montée.</x:v>
      </x:c>
      <x:c r="I28" s="7" t="str">
        <x:v>Arc de tir limité par la monture.</x:v>
      </x:c>
      <x:c r="J28" s="7" t="str"/>
      <x:c r="K28" s="7" t="str">
        <x:v>content/weapons/WPN-arme-de-tourelle.json</x:v>
      </x:c>
      <x:c r="L28" s="7" t="str"/>
      <x:c r="M28" s="7" t="str"/>
      <x:c r="N28" s="7" t="str">
        <x:v>Famille canonique ou modèle candidat ; fabricant, rang et statistiques à vérifier.</x:v>
      </x:c>
      <x:c r="O28" s="7" t="str">
        <x:v>https://eaassets-a.akamaihd.net/eahelp/manuals/mass-effect-manuals_PC_fr.pdf</x:v>
      </x:c>
      <x:c r="P28" s="7" t="str">
        <x:v>Production ME1</x:v>
      </x:c>
      <x:c r="Q28" s="7" t="str"/>
    </x:row>
    <x:row r="29" ht="36" customHeight="1">
      <x:c r="A29" s="13" t="str">
        <x:v>WPN-ameliorations-d-arme</x:v>
      </x:c>
      <x:c r="B29" s="14" t="str">
        <x:v>Améliorations d’arme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Modules de dégâts, précision et dissipation.</x:v>
      </x:c>
      <x:c r="I29" s="14" t="str">
        <x:v>Compatibilité et compromis affichés.</x:v>
      </x:c>
      <x:c r="J29" s="14" t="str"/>
      <x:c r="K29" s="14" t="str">
        <x:v>content/weapons/WPN-ameliorations-d-arme.json</x:v>
      </x:c>
      <x:c r="L29" s="14" t="str"/>
      <x:c r="M29" s="14" t="str"/>
      <x:c r="N29" s="14" t="str">
        <x:v>Famille canonique ou modèle candidat ; fabricant, rang et statistiques à vérifier.</x:v>
      </x:c>
      <x:c r="O29" s="14" t="str">
        <x:v>https://eaassets-a.akamaihd.net/eahelp/manuals/mass-effect-manuals_PC_fr.pdf</x:v>
      </x:c>
      <x:c r="P29" s="14" t="str">
        <x:v>Production ME1</x:v>
      </x:c>
      <x:c r="Q29" s="14" t="str"/>
    </x:row>
    <x:row r="30" ht="36" customHeight="1">
      <x:c r="A30" s="12" t="str">
        <x:v>WPN-ameliorations-de-munitions</x:v>
      </x:c>
      <x:c r="B30" s="7" t="str">
        <x:v>Améliorations de munitions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Effets contre synthétiques, organiques ou autres.</x:v>
      </x:c>
      <x:c r="I30" s="7" t="str">
        <x:v>Équipement persistant, sans cartouches thermiques dans ME1.</x:v>
      </x:c>
      <x:c r="J30" s="7" t="str"/>
      <x:c r="K30" s="7" t="str">
        <x:v>content/weapons/WPN-ameliorations-de-munitions.json</x:v>
      </x:c>
      <x:c r="L30" s="7" t="str"/>
      <x:c r="M30" s="7" t="str"/>
      <x:c r="N30" s="7" t="str">
        <x:v>Famille canonique ou modèle candidat ; fabricant, rang et statistiques à vérifier.</x:v>
      </x:c>
      <x:c r="O30" s="7" t="str">
        <x:v>https://eaassets-a.akamaihd.net/eahelp/manuals/mass-effect-manuals_PC_fr.pdf</x:v>
      </x:c>
      <x:c r="P30" s="7" t="str">
        <x:v>Production ME1</x:v>
      </x:c>
      <x:c r="Q30" s="7" t="str"/>
    </x:row>
  </x:sheetData>
  <x:conditionalFormatting sqref="C7:C30">
    <x:cfRule type="cellIs" dxfId="70" priority="1" operator="equal">
      <x:formula>"Prototype"</x:formula>
    </x:cfRule>
    <x:cfRule type="cellIs" dxfId="71" priority="2" operator="equal">
      <x:formula>"Intégré"</x:formula>
    </x:cfRule>
    <x:cfRule type="cellIs" dxfId="72" priority="3" operator="equal">
      <x:formula>"Validé"</x:formula>
    </x:cfRule>
  </x:conditionalFormatting>
  <x:conditionalFormatting sqref="G7:G30">
    <x:cfRule type="cellIs" dxfId="73" priority="4" operator="equal">
      <x:formula>"Référence à vérifier"</x:formula>
    </x:cfRule>
  </x:conditionalFormatting>
  <x:conditionalFormatting sqref="E7:E30">
    <x:cfRule type="cellIs" dxfId="74" priority="5" operator="equal">
      <x:formula>"P0"</x:formula>
    </x:cfRule>
  </x:conditionalFormatting>
  <x:dataValidations count="5">
    <x:dataValidation type="list" sqref="C7:C30">
      <x:formula1>"Défini,Prototype,Intégré,Validé"</x:formula1>
    </x:dataValidation>
    <x:dataValidation type="list" sqref="D7:D30">
      <x:formula1>"À produire,Prototype,Disponible,Validé,Sans objet,Non planifié"</x:formula1>
    </x:dataValidation>
    <x:dataValidation type="list" sqref="E7:E30">
      <x:formula1>"P0,P1,P2"</x:formula1>
    </x:dataValidation>
    <x:dataValidation type="list" sqref="F7:F30">
      <x:formula1>"ME1,ME2,ME3"</x:formula1>
    </x:dataValidation>
    <x:dataValidation type="list" sqref="G7:G30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0e43a3882e40d4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EQP-armure-legere-humaine</x:v>
      </x:c>
      <x:c r="B7" s="14" t="str">
        <x:v>Armure légère humaine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Référence à vérifier</x:v>
      </x:c>
      <x:c r="H7" s="14" t="str">
        <x:v>Protection de base compatible avec les classes concernées.</x:v>
      </x:c>
      <x:c r="I7" s="14" t="str">
        <x:v>Version masculine et féminine cohérente avec même gamme.</x:v>
      </x:c>
      <x:c r="J7" s="14" t="str"/>
      <x:c r="K7" s="14" t="str">
        <x:v>content/equipment/EQP-armure-legere-humaine.json</x:v>
      </x:c>
      <x:c r="L7" s="14" t="str"/>
      <x:c r="M7" s="14" t="str"/>
      <x:c r="N7" s="14" t="str">
        <x:v>Catalogue d’équipement à relever dans ME1 ; valeurs non inventées.</x:v>
      </x:c>
      <x:c r="O7" s="14" t="str">
        <x:v>https://eaassets-a.akamaihd.net/eahelp/manuals/mass-effect-manuals_PC_fr.pdf</x:v>
      </x:c>
      <x:c r="P7" s="14" t="str">
        <x:v>Production ME1</x:v>
      </x:c>
      <x:c r="Q7" s="14" t="str"/>
    </x:row>
    <x:row r="8" ht="36" customHeight="1">
      <x:c r="A8" s="12" t="str">
        <x:v>EQP-armure-intermediaire-humaine</x:v>
      </x:c>
      <x:c r="B8" s="7" t="str">
        <x:v>Armure intermédiaire humaine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Référence à vérifier</x:v>
      </x:c>
      <x:c r="H8" s="7" t="str">
        <x:v>Protection liée aux talents autorisés.</x:v>
      </x:c>
      <x:c r="I8" s="7" t="str">
        <x:v>Restrictions de classe et progression vérifiées.</x:v>
      </x:c>
      <x:c r="J8" s="7" t="str"/>
      <x:c r="K8" s="7" t="str">
        <x:v>content/equipment/EQP-armure-intermediaire-humaine.json</x:v>
      </x:c>
      <x:c r="L8" s="7" t="str"/>
      <x:c r="M8" s="7" t="str"/>
      <x:c r="N8" s="7" t="str">
        <x:v>Catalogue d’équipement à relever dans ME1 ; valeurs non inventées.</x:v>
      </x:c>
      <x:c r="O8" s="7" t="str">
        <x:v>https://eaassets-a.akamaihd.net/eahelp/manuals/mass-effect-manuals_PC_fr.pdf</x:v>
      </x:c>
      <x:c r="P8" s="7" t="str">
        <x:v>Production ME1</x:v>
      </x:c>
      <x:c r="Q8" s="7" t="str"/>
    </x:row>
    <x:row r="9" ht="36" customHeight="1">
      <x:c r="A9" s="13" t="str">
        <x:v>EQP-armure-lourde-humaine</x:v>
      </x:c>
      <x:c r="B9" s="14" t="str">
        <x:v>Armure lourde humaine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Référence à vérifier</x:v>
      </x:c>
      <x:c r="H9" s="14" t="str">
        <x:v>Protection militaire spécialisée.</x:v>
      </x:c>
      <x:c r="I9" s="14" t="str">
        <x:v>Déblocage requis avant équipement.</x:v>
      </x:c>
      <x:c r="J9" s="14" t="str"/>
      <x:c r="K9" s="14" t="str">
        <x:v>content/equipment/EQP-armure-lourde-humaine.json</x:v>
      </x:c>
      <x:c r="L9" s="14" t="str"/>
      <x:c r="M9" s="14" t="str"/>
      <x:c r="N9" s="14" t="str">
        <x:v>Catalogue d’équipement à relever dans ME1 ; valeurs non inventées.</x:v>
      </x:c>
      <x:c r="O9" s="14" t="str">
        <x:v>https://eaassets-a.akamaihd.net/eahelp/manuals/mass-effect-manuals_PC_fr.pdf</x:v>
      </x:c>
      <x:c r="P9" s="14" t="str">
        <x:v>Production ME1</x:v>
      </x:c>
      <x:c r="Q9" s="14" t="str"/>
    </x:row>
    <x:row r="10" ht="36" customHeight="1">
      <x:c r="A10" s="12" t="str">
        <x:v>EQP-armure-turienne</x:v>
      </x:c>
      <x:c r="B10" s="7" t="str">
        <x:v>Armure turienne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Référence à vérifier</x:v>
      </x:c>
      <x:c r="H10" s="7" t="str">
        <x:v>Modèle adapté à l’anatomie turienne.</x:v>
      </x:c>
      <x:c r="I10" s="7" t="str">
        <x:v>Aucun torse humain redimensionné approximativement.</x:v>
      </x:c>
      <x:c r="J10" s="7" t="str"/>
      <x:c r="K10" s="7" t="str">
        <x:v>content/equipment/EQP-armure-turienne.json</x:v>
      </x:c>
      <x:c r="L10" s="7" t="str"/>
      <x:c r="M10" s="7" t="str"/>
      <x:c r="N10" s="7" t="str">
        <x:v>Catalogue d’équipement à relever dans ME1 ; valeurs non inventées.</x:v>
      </x:c>
      <x:c r="O10" s="7" t="str">
        <x:v>https://eaassets-a.akamaihd.net/eahelp/manuals/mass-effect-manuals_PC_fr.pdf</x:v>
      </x:c>
      <x:c r="P10" s="7" t="str">
        <x:v>Production ME1</x:v>
      </x:c>
      <x:c r="Q10" s="7" t="str"/>
    </x:row>
    <x:row r="11" ht="36" customHeight="1">
      <x:c r="A11" s="13" t="str">
        <x:v>EQP-armure-krogan</x:v>
      </x:c>
      <x:c r="B11" s="14" t="str">
        <x:v>Armure krogan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Référence à vérifier</x:v>
      </x:c>
      <x:c r="H11" s="14" t="str">
        <x:v>Protection de grands volumes et bosse dorsale.</x:v>
      </x:c>
      <x:c r="I11" s="14" t="str">
        <x:v>Détails visibles depuis les huit directions retenues.</x:v>
      </x:c>
      <x:c r="J11" s="14" t="str"/>
      <x:c r="K11" s="14" t="str">
        <x:v>content/equipment/EQP-armure-krogan.json</x:v>
      </x:c>
      <x:c r="L11" s="14" t="str"/>
      <x:c r="M11" s="14" t="str"/>
      <x:c r="N11" s="14" t="str">
        <x:v>Catalogue d’équipement à relever dans ME1 ; valeurs non inventées.</x:v>
      </x:c>
      <x:c r="O11" s="14" t="str">
        <x:v>https://eaassets-a.akamaihd.net/eahelp/manuals/mass-effect-manuals_PC_fr.pdf</x:v>
      </x:c>
      <x:c r="P11" s="14" t="str">
        <x:v>Production ME1</x:v>
      </x:c>
      <x:c r="Q11" s="14" t="str"/>
    </x:row>
    <x:row r="12" ht="36" customHeight="1">
      <x:c r="A12" s="12" t="str">
        <x:v>EQP-combinaison-quarienne</x:v>
      </x:c>
      <x:c r="B12" s="7" t="str">
        <x:v>Combinaison quarienne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Référence à vérifier</x:v>
      </x:c>
      <x:c r="H12" s="7" t="str">
        <x:v>Protection environnementale intégrale.</x:v>
      </x:c>
      <x:c r="I12" s="7" t="str">
        <x:v>Visière, tuyaux et motifs cohérents entre portraits et sprites.</x:v>
      </x:c>
      <x:c r="J12" s="7" t="str"/>
      <x:c r="K12" s="7" t="str">
        <x:v>content/equipment/EQP-combinaison-quarienne.json</x:v>
      </x:c>
      <x:c r="L12" s="7" t="str"/>
      <x:c r="M12" s="7" t="str"/>
      <x:c r="N12" s="7" t="str">
        <x:v>Catalogue d’équipement à relever dans ME1 ; valeurs non inventées.</x:v>
      </x:c>
      <x:c r="O12" s="7" t="str">
        <x:v>https://eaassets-a.akamaihd.net/eahelp/manuals/mass-effect-manuals_PC_fr.pdf</x:v>
      </x:c>
      <x:c r="P12" s="7" t="str">
        <x:v>Production ME1</x:v>
      </x:c>
      <x:c r="Q12" s="7" t="str"/>
    </x:row>
    <x:row r="13" ht="36" customHeight="1">
      <x:c r="A13" s="13" t="str">
        <x:v>EQP-armure-onyx</x:v>
      </x:c>
      <x:c r="B13" s="14" t="str">
        <x:v>Armure Onyx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Référence à vérifier</x:v>
      </x:c>
      <x:c r="H13" s="14" t="str">
        <x:v>Gamme de référence militaire.</x:v>
      </x:c>
      <x:c r="I13" s="14" t="str">
        <x:v>Motifs et insignes par personnage vérifiés.</x:v>
      </x:c>
      <x:c r="J13" s="14" t="str"/>
      <x:c r="K13" s="14" t="str">
        <x:v>content/equipment/EQP-armure-onyx.json</x:v>
      </x:c>
      <x:c r="L13" s="14" t="str"/>
      <x:c r="M13" s="14" t="str"/>
      <x:c r="N13" s="14" t="str">
        <x:v>Catalogue d’équipement à relever dans ME1 ; valeurs non inventées.</x:v>
      </x:c>
      <x:c r="O13" s="14" t="str">
        <x:v>https://eaassets-a.akamaihd.net/eahelp/manuals/mass-effect-manuals_PC_fr.pdf</x:v>
      </x:c>
      <x:c r="P13" s="14" t="str">
        <x:v>Production ME1</x:v>
      </x:c>
      <x:c r="Q13" s="14" t="str"/>
    </x:row>
    <x:row r="14" ht="36" customHeight="1">
      <x:c r="A14" s="12" t="str">
        <x:v>EQP-armure-phoenix</x:v>
      </x:c>
      <x:c r="B14" s="7" t="str">
        <x:v>Armure Phoenix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Référence à vérifier</x:v>
      </x:c>
      <x:c r="H14" s="7" t="str">
        <x:v>Gamme visuelle associée à des références ME1.</x:v>
      </x:c>
      <x:c r="I14" s="7" t="str">
        <x:v>Couleurs et disponibilité vérifiées.</x:v>
      </x:c>
      <x:c r="J14" s="7" t="str"/>
      <x:c r="K14" s="7" t="str">
        <x:v>content/equipment/EQP-armure-phoenix.json</x:v>
      </x:c>
      <x:c r="L14" s="7" t="str"/>
      <x:c r="M14" s="7" t="str"/>
      <x:c r="N14" s="7" t="str">
        <x:v>Catalogue d’équipement à relever dans ME1 ; valeurs non inventées.</x:v>
      </x:c>
      <x:c r="O14" s="7" t="str">
        <x:v>https://eaassets-a.akamaihd.net/eahelp/manuals/mass-effect-manuals_PC_fr.pdf</x:v>
      </x:c>
      <x:c r="P14" s="7" t="str">
        <x:v>Production ME1</x:v>
      </x:c>
      <x:c r="Q14" s="7" t="str"/>
    </x:row>
    <x:row r="15" ht="36" customHeight="1">
      <x:c r="A15" s="13" t="str">
        <x:v>EQP-armure-colossus</x:v>
      </x:c>
      <x:c r="B15" s="14" t="str">
        <x:v>Armure Colossus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Référence à vérifier</x:v>
      </x:c>
      <x:c r="H15" s="14" t="str">
        <x:v>Gamme d’équipement avancé.</x:v>
      </x:c>
      <x:c r="I15" s="14" t="str">
        <x:v>Ne pas confondre avec l’ennemi geth du même nom.</x:v>
      </x:c>
      <x:c r="J15" s="14" t="str"/>
      <x:c r="K15" s="14" t="str">
        <x:v>content/equipment/EQP-armure-colossus.json</x:v>
      </x:c>
      <x:c r="L15" s="14" t="str"/>
      <x:c r="M15" s="14" t="str"/>
      <x:c r="N15" s="14" t="str">
        <x:v>Catalogue d’équipement à relever dans ME1 ; valeurs non inventées.</x:v>
      </x:c>
      <x:c r="O15" s="14" t="str">
        <x:v>https://eaassets-a.akamaihd.net/eahelp/manuals/mass-effect-manuals_PC_fr.pdf</x:v>
      </x:c>
      <x:c r="P15" s="14" t="str">
        <x:v>Production ME1</x:v>
      </x:c>
      <x:c r="Q15" s="14" t="str"/>
    </x:row>
    <x:row r="16" ht="36" customHeight="1">
      <x:c r="A16" s="12" t="str">
        <x:v>EQP-armure-predator</x:v>
      </x:c>
      <x:c r="B16" s="7" t="str">
        <x:v>Armure Predator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Référence à vérifier</x:v>
      </x:c>
      <x:c r="H16" s="7" t="str">
        <x:v>Gamme d’équipement avancé.</x:v>
      </x:c>
      <x:c r="I16" s="7" t="str">
        <x:v>Version et fabricant à relever.</x:v>
      </x:c>
      <x:c r="J16" s="7" t="str"/>
      <x:c r="K16" s="7" t="str">
        <x:v>content/equipment/EQP-armure-predator.json</x:v>
      </x:c>
      <x:c r="L16" s="7" t="str"/>
      <x:c r="M16" s="7" t="str"/>
      <x:c r="N16" s="7" t="str">
        <x:v>Catalogue d’équipement à relever dans ME1 ; valeurs non inventées.</x:v>
      </x:c>
      <x:c r="O16" s="7" t="str">
        <x:v>https://eaassets-a.akamaihd.net/eahelp/manuals/mass-effect-manuals_PC_fr.pdf</x:v>
      </x:c>
      <x:c r="P16" s="7" t="str">
        <x:v>Production ME1</x:v>
      </x:c>
      <x:c r="Q16" s="7" t="str"/>
    </x:row>
    <x:row r="17" ht="36" customHeight="1">
      <x:c r="A17" s="13" t="str">
        <x:v>EQP-armure-mercenary</x:v>
      </x:c>
      <x:c r="B17" s="14" t="str">
        <x:v>Armure Mercenary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Référence à vérifier</x:v>
      </x:c>
      <x:c r="H17" s="14" t="str">
        <x:v>Gamme d’équipement standard.</x:v>
      </x:c>
      <x:c r="I17" s="14" t="str">
        <x:v>Variantes réellement disponibles recensées.</x:v>
      </x:c>
      <x:c r="J17" s="14" t="str"/>
      <x:c r="K17" s="14" t="str">
        <x:v>content/equipment/EQP-armure-mercenary.json</x:v>
      </x:c>
      <x:c r="L17" s="14" t="str"/>
      <x:c r="M17" s="14" t="str"/>
      <x:c r="N17" s="14" t="str">
        <x:v>Catalogue d’équipement à relever dans ME1 ; valeurs non inventées.</x:v>
      </x:c>
      <x:c r="O17" s="14" t="str">
        <x:v>https://eaassets-a.akamaihd.net/eahelp/manuals/mass-effect-manuals_PC_fr.pdf</x:v>
      </x:c>
      <x:c r="P17" s="14" t="str">
        <x:v>Production ME1</x:v>
      </x:c>
      <x:c r="Q17" s="14" t="str"/>
    </x:row>
    <x:row r="18" ht="36" customHeight="1">
      <x:c r="A18" s="12" t="str">
        <x:v>EQP-armure-explorer</x:v>
      </x:c>
      <x:c r="B18" s="7" t="str">
        <x:v>Armure Explorer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Gamme d’exploration.</x:v>
      </x:c>
      <x:c r="I18" s="7" t="str">
        <x:v>Classes et espèces compatibles documentées.</x:v>
      </x:c>
      <x:c r="J18" s="7" t="str"/>
      <x:c r="K18" s="7" t="str">
        <x:v>content/equipment/EQP-armure-explorer.json</x:v>
      </x:c>
      <x:c r="L18" s="7" t="str"/>
      <x:c r="M18" s="7" t="str"/>
      <x:c r="N18" s="7" t="str">
        <x:v>Catalogue d’équipement à relever dans ME1 ; valeurs non inventées.</x:v>
      </x:c>
      <x:c r="O18" s="7" t="str">
        <x:v>https://eaassets-a.akamaihd.net/eahelp/manuals/mass-effect-manuals_PC_fr.pdf</x:v>
      </x:c>
      <x:c r="P18" s="7" t="str">
        <x:v>Production ME1</x:v>
      </x:c>
      <x:c r="Q18" s="7" t="str"/>
    </x:row>
    <x:row r="19" ht="36" customHeight="1">
      <x:c r="A19" s="13" t="str">
        <x:v>EQP-casque-militaire</x:v>
      </x:c>
      <x:c r="B19" s="14" t="str">
        <x:v>Casque militaire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Casque lié à l’armure équipée.</x:v>
      </x:c>
      <x:c r="I19" s="14" t="str">
        <x:v>Masquage en dialogue distinct de la protection réelle.</x:v>
      </x:c>
      <x:c r="J19" s="14" t="str"/>
      <x:c r="K19" s="14" t="str">
        <x:v>content/equipment/EQP-casque-militaire.json</x:v>
      </x:c>
      <x:c r="L19" s="14" t="str"/>
      <x:c r="M19" s="14" t="str"/>
      <x:c r="N19" s="14" t="str">
        <x:v>Catalogue d’équipement à relever dans ME1 ; valeurs non inventées.</x:v>
      </x:c>
      <x:c r="O19" s="14" t="str">
        <x:v>https://eaassets-a.akamaihd.net/eahelp/manuals/mass-effect-manuals_PC_fr.pdf</x:v>
      </x:c>
      <x:c r="P19" s="14" t="str">
        <x:v>Production ME1</x:v>
      </x:c>
      <x:c r="Q19" s="14" t="str"/>
    </x:row>
    <x:row r="20" ht="36" customHeight="1">
      <x:c r="A20" s="12" t="str">
        <x:v>EQP-visiere-de-tali</x:v>
      </x:c>
      <x:c r="B20" s="7" t="str">
        <x:v>Visière de Tali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Visière de combinaison.</x:v>
      </x:c>
      <x:c r="I20" s="7" t="str">
        <x:v>Transparence ne révèle pas un visage inventé comme canon.</x:v>
      </x:c>
      <x:c r="J20" s="7" t="str"/>
      <x:c r="K20" s="7" t="str">
        <x:v>content/equipment/EQP-visiere-de-tali.json</x:v>
      </x:c>
      <x:c r="L20" s="7" t="str"/>
      <x:c r="M20" s="7" t="str"/>
      <x:c r="N20" s="7" t="str">
        <x:v>Catalogue d’équipement à relever dans ME1 ; valeurs non inventées.</x:v>
      </x:c>
      <x:c r="O20" s="7" t="str">
        <x:v>https://eaassets-a.akamaihd.net/eahelp/manuals/mass-effect-manuals_PC_fr.pdf</x:v>
      </x:c>
      <x:c r="P20" s="7" t="str">
        <x:v>Production ME1</x:v>
      </x:c>
      <x:c r="Q20" s="7" t="str"/>
    </x:row>
    <x:row r="21" ht="36" customHeight="1">
      <x:c r="A21" s="13" t="str">
        <x:v>EQP-omni-outil</x:v>
      </x:c>
      <x:c r="B21" s="14" t="str">
        <x:v>Omni-outil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Interface technologique de l’équipier.</x:v>
      </x:c>
      <x:c r="I21" s="14" t="str">
        <x:v>Effets et modèles compatibles avec sa classe.</x:v>
      </x:c>
      <x:c r="J21" s="14" t="str"/>
      <x:c r="K21" s="14" t="str">
        <x:v>content/equipment/EQP-omni-outil.json</x:v>
      </x:c>
      <x:c r="L21" s="14" t="str"/>
      <x:c r="M21" s="14" t="str"/>
      <x:c r="N21" s="14" t="str">
        <x:v>Catalogue d’équipement à relever dans ME1 ; valeurs non inventées.</x:v>
      </x:c>
      <x:c r="O21" s="14" t="str">
        <x:v>https://eaassets-a.akamaihd.net/eahelp/manuals/mass-effect-manuals_PC_fr.pdf</x:v>
      </x:c>
      <x:c r="P21" s="14" t="str">
        <x:v>Production ME1</x:v>
      </x:c>
      <x:c r="Q21" s="14" t="str"/>
    </x:row>
    <x:row r="22" ht="36" customHeight="1">
      <x:c r="A22" s="12" t="str">
        <x:v>EQP-amplificateur-biotique</x:v>
      </x:c>
      <x:c r="B22" s="7" t="str">
        <x:v>Amplificateur biotique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Équipement réservé aux utilisateurs biotiques.</x:v>
      </x:c>
      <x:c r="I22" s="7" t="str">
        <x:v>N’accorde pas la biotique à un personnage non biotique.</x:v>
      </x:c>
      <x:c r="J22" s="7" t="str"/>
      <x:c r="K22" s="7" t="str">
        <x:v>content/equipment/EQP-amplificateur-biotique.json</x:v>
      </x:c>
      <x:c r="L22" s="7" t="str"/>
      <x:c r="M22" s="7" t="str"/>
      <x:c r="N22" s="7" t="str">
        <x:v>Catalogue d’équipement à relever dans ME1 ; valeurs non inventées.</x:v>
      </x:c>
      <x:c r="O22" s="7" t="str">
        <x:v>https://eaassets-a.akamaihd.net/eahelp/manuals/mass-effect-manuals_PC_fr.pdf</x:v>
      </x:c>
      <x:c r="P22" s="7" t="str">
        <x:v>Production ME1</x:v>
      </x:c>
      <x:c r="Q22" s="7" t="str"/>
    </x:row>
    <x:row r="23" ht="36" customHeight="1">
      <x:c r="A23" s="13" t="str">
        <x:v>EQP-medi-gel</x:v>
      </x:c>
      <x:c r="B23" s="14" t="str">
        <x:v>Médi-gel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Ressource de soin du commando.</x:v>
      </x:c>
      <x:c r="I23" s="14" t="str">
        <x:v>Quantité, délai et effet explicitement affichés.</x:v>
      </x:c>
      <x:c r="J23" s="14" t="str"/>
      <x:c r="K23" s="14" t="str">
        <x:v>content/equipment/EQP-medi-gel.json</x:v>
      </x:c>
      <x:c r="L23" s="14" t="str"/>
      <x:c r="M23" s="14" t="str"/>
      <x:c r="N23" s="14" t="str">
        <x:v>Catalogue d’équipement à relever dans ME1 ; valeurs non inventées.</x:v>
      </x:c>
      <x:c r="O23" s="14" t="str">
        <x:v>https://eaassets-a.akamaihd.net/eahelp/manuals/mass-effect-manuals_PC_fr.pdf</x:v>
      </x:c>
      <x:c r="P23" s="14" t="str">
        <x:v>Production ME1</x:v>
      </x:c>
      <x:c r="Q23" s="14" t="str"/>
    </x:row>
    <x:row r="24" ht="36" customHeight="1">
      <x:c r="A24" s="12" t="str">
        <x:v>EQP-omni-gel</x:v>
      </x:c>
      <x:c r="B24" s="7" t="str">
        <x:v>Omni-gel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Ressource technique de conversion et réparation.</x:v>
      </x:c>
      <x:c r="I24" s="7" t="str">
        <x:v>Aucun gain par annulation répétée d’une action.</x:v>
      </x:c>
      <x:c r="J24" s="7" t="str"/>
      <x:c r="K24" s="7" t="str">
        <x:v>content/equipment/EQP-omni-gel.json</x:v>
      </x:c>
      <x:c r="L24" s="7" t="str"/>
      <x:c r="M24" s="7" t="str"/>
      <x:c r="N24" s="7" t="str">
        <x:v>Catalogue d’équipement à relever dans ME1 ; valeurs non inventées.</x:v>
      </x:c>
      <x:c r="O24" s="7" t="str">
        <x:v>https://eaassets-a.akamaihd.net/eahelp/manuals/mass-effect-manuals_PC_fr.pdf</x:v>
      </x:c>
      <x:c r="P24" s="7" t="str">
        <x:v>Production ME1</x:v>
      </x:c>
      <x:c r="Q24" s="7" t="str"/>
    </x:row>
    <x:row r="25" ht="36" customHeight="1">
      <x:c r="A25" s="13" t="str">
        <x:v>EQP-amelioration-de-bouclier</x:v>
      </x:c>
      <x:c r="B25" s="14" t="str">
        <x:v>Amélioration de bouclier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Module de protection.</x:v>
      </x:c>
      <x:c r="I25" s="14" t="str">
        <x:v>Statistiques recalculées après équipement.</x:v>
      </x:c>
      <x:c r="J25" s="14" t="str"/>
      <x:c r="K25" s="14" t="str">
        <x:v>content/equipment/EQP-amelioration-de-bouclier.json</x:v>
      </x:c>
      <x:c r="L25" s="14" t="str"/>
      <x:c r="M25" s="14" t="str"/>
      <x:c r="N25" s="14" t="str">
        <x:v>Catalogue d’équipement à relever dans ME1 ; valeurs non inventées.</x:v>
      </x:c>
      <x:c r="O25" s="14" t="str">
        <x:v>https://eaassets-a.akamaihd.net/eahelp/manuals/mass-effect-manuals_PC_fr.pdf</x:v>
      </x:c>
      <x:c r="P25" s="14" t="str">
        <x:v>Production ME1</x:v>
      </x:c>
      <x:c r="Q25" s="14" t="str"/>
    </x:row>
    <x:row r="26" ht="36" customHeight="1">
      <x:c r="A26" s="12" t="str">
        <x:v>EQP-amelioration-de-sante</x:v>
      </x:c>
      <x:c r="B26" s="7" t="str">
        <x:v>Amélioration de santé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Référence à vérifier</x:v>
      </x:c>
      <x:c r="H26" s="7" t="str">
        <x:v>Module de résistance et récupération.</x:v>
      </x:c>
      <x:c r="I26" s="7" t="str">
        <x:v>Ne neutralise pas les morts narratives.</x:v>
      </x:c>
      <x:c r="J26" s="7" t="str"/>
      <x:c r="K26" s="7" t="str">
        <x:v>content/equipment/EQP-amelioration-de-sante.json</x:v>
      </x:c>
      <x:c r="L26" s="7" t="str"/>
      <x:c r="M26" s="7" t="str"/>
      <x:c r="N26" s="7" t="str">
        <x:v>Catalogue d’équipement à relever dans ME1 ; valeurs non inventées.</x:v>
      </x:c>
      <x:c r="O26" s="7" t="str">
        <x:v>https://eaassets-a.akamaihd.net/eahelp/manuals/mass-effect-manuals_PC_fr.pdf</x:v>
      </x:c>
      <x:c r="P26" s="7" t="str">
        <x:v>Production ME1</x:v>
      </x:c>
      <x:c r="Q26" s="7" t="str"/>
    </x:row>
    <x:row r="27" ht="36" customHeight="1">
      <x:c r="A27" s="13" t="str">
        <x:v>EQP-protection-environnementale</x:v>
      </x:c>
      <x:c r="B27" s="14" t="str">
        <x:v>Protection environnementale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Référence à vérifier</x:v>
      </x:c>
      <x:c r="H27" s="14" t="str">
        <x:v>Résistance aux dangers de surface.</x:v>
      </x:c>
      <x:c r="I27" s="14" t="str">
        <x:v>Avertissement et progression du danger lisibles.</x:v>
      </x:c>
      <x:c r="J27" s="14" t="str"/>
      <x:c r="K27" s="14" t="str">
        <x:v>content/equipment/EQP-protection-environnementale.json</x:v>
      </x:c>
      <x:c r="L27" s="14" t="str"/>
      <x:c r="M27" s="14" t="str"/>
      <x:c r="N27" s="14" t="str">
        <x:v>Catalogue d’équipement à relever dans ME1 ; valeurs non inventées.</x:v>
      </x:c>
      <x:c r="O27" s="14" t="str">
        <x:v>https://eaassets-a.akamaihd.net/eahelp/manuals/mass-effect-manuals_PC_fr.pdf</x:v>
      </x:c>
      <x:c r="P27" s="14" t="str">
        <x:v>Production ME1</x:v>
      </x:c>
      <x:c r="Q27" s="14" t="str"/>
    </x:row>
    <x:row r="28" ht="36" customHeight="1">
      <x:c r="A28" s="12" t="str">
        <x:v>EQP-dissipateur-d-arme</x:v>
      </x:c>
      <x:c r="B28" s="7" t="str">
        <x:v>Dissipateur d’arme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Référence à vérifier</x:v>
      </x:c>
      <x:c r="H28" s="7" t="str">
        <x:v>Module de gestion de chaleur.</x:v>
      </x:c>
      <x:c r="I28" s="7" t="str">
        <x:v>Refroidissement actif et maximum testés.</x:v>
      </x:c>
      <x:c r="J28" s="7" t="str"/>
      <x:c r="K28" s="7" t="str">
        <x:v>content/equipment/EQP-dissipateur-d-arme.json</x:v>
      </x:c>
      <x:c r="L28" s="7" t="str"/>
      <x:c r="M28" s="7" t="str"/>
      <x:c r="N28" s="7" t="str">
        <x:v>Catalogue d’équipement à relever dans ME1 ; valeurs non inventées.</x:v>
      </x:c>
      <x:c r="O28" s="7" t="str">
        <x:v>https://eaassets-a.akamaihd.net/eahelp/manuals/mass-effect-manuals_PC_fr.pdf</x:v>
      </x:c>
      <x:c r="P28" s="7" t="str">
        <x:v>Production ME1</x:v>
      </x:c>
      <x:c r="Q28" s="7" t="str"/>
    </x:row>
    <x:row r="29" ht="36" customHeight="1">
      <x:c r="A29" s="13" t="str">
        <x:v>EQP-module-de-precision</x:v>
      </x:c>
      <x:c r="B29" s="14" t="str">
        <x:v>Module de précision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Référence à vérifier</x:v>
      </x:c>
      <x:c r="H29" s="14" t="str">
        <x:v>Amélioration de stabilité d’arme.</x:v>
      </x:c>
      <x:c r="I29" s="14" t="str">
        <x:v>Effet reflété dans la prévisualisation de l’action.</x:v>
      </x:c>
      <x:c r="J29" s="14" t="str"/>
      <x:c r="K29" s="14" t="str">
        <x:v>content/equipment/EQP-module-de-precision.json</x:v>
      </x:c>
      <x:c r="L29" s="14" t="str"/>
      <x:c r="M29" s="14" t="str"/>
      <x:c r="N29" s="14" t="str">
        <x:v>Catalogue d’équipement à relever dans ME1 ; valeurs non inventées.</x:v>
      </x:c>
      <x:c r="O29" s="14" t="str">
        <x:v>https://eaassets-a.akamaihd.net/eahelp/manuals/mass-effect-manuals_PC_fr.pdf</x:v>
      </x:c>
      <x:c r="P29" s="14" t="str">
        <x:v>Production ME1</x:v>
      </x:c>
      <x:c r="Q29" s="14" t="str"/>
    </x:row>
    <x:row r="30" ht="36" customHeight="1">
      <x:c r="A30" s="12" t="str">
        <x:v>EQP-module-de-grenade</x:v>
      </x:c>
      <x:c r="B30" s="7" t="str">
        <x:v>Module de grenade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Effet spécifique d’une grenade.</x:v>
      </x:c>
      <x:c r="I30" s="7" t="str">
        <x:v>Cible organique ou contexte de Feros correctement filtré.</x:v>
      </x:c>
      <x:c r="J30" s="7" t="str"/>
      <x:c r="K30" s="7" t="str">
        <x:v>content/equipment/EQP-module-de-grenade.json</x:v>
      </x:c>
      <x:c r="L30" s="7" t="str"/>
      <x:c r="M30" s="7" t="str"/>
      <x:c r="N30" s="7" t="str">
        <x:v>Catalogue d’équipement à relever dans ME1 ; valeurs non inventées.</x:v>
      </x:c>
      <x:c r="O30" s="7" t="str">
        <x:v>https://eaassets-a.akamaihd.net/eahelp/manuals/mass-effect-manuals_PC_fr.pdf</x:v>
      </x:c>
      <x:c r="P30" s="7" t="str">
        <x:v>Production ME1</x:v>
      </x:c>
      <x:c r="Q30" s="7" t="str"/>
    </x:row>
    <x:row r="31" ht="36" customHeight="1">
      <x:c r="A31" s="13" t="str">
        <x:v>EQP-licence-d-equipement</x:v>
      </x:c>
      <x:c r="B31" s="14" t="str">
        <x:v>Licence d’équipement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Accès aux stocks d’un fabricant.</x:v>
      </x:c>
      <x:c r="I31" s="14" t="str">
        <x:v>Catalogue marchand actualisé à la prochaine consultation.</x:v>
      </x:c>
      <x:c r="J31" s="14" t="str"/>
      <x:c r="K31" s="14" t="str">
        <x:v>content/equipment/EQP-licence-d-equipement.json</x:v>
      </x:c>
      <x:c r="L31" s="14" t="str"/>
      <x:c r="M31" s="14" t="str"/>
      <x:c r="N31" s="14" t="str">
        <x:v>Catalogue d’équipement à relever dans ME1 ; valeurs non inventées.</x:v>
      </x:c>
      <x:c r="O31" s="14" t="str">
        <x:v>https://eaassets-a.akamaihd.net/eahelp/manuals/mass-effect-manuals_PC_fr.pdf</x:v>
      </x:c>
      <x:c r="P31" s="14" t="str">
        <x:v>Production ME1</x:v>
      </x:c>
      <x:c r="Q31" s="14" t="str"/>
    </x:row>
    <x:row r="32" ht="36" customHeight="1">
      <x:c r="A32" s="12" t="str">
        <x:v>EQP-credits</x:v>
      </x:c>
      <x:c r="B32" s="7" t="str">
        <x:v>Crédits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Référence à vérifier</x:v>
      </x:c>
      <x:c r="H32" s="7" t="str">
        <x:v>Monnaie des achats et récompenses.</x:v>
      </x:c>
      <x:c r="I32" s="7" t="str">
        <x:v>Transactions atomiques et quantités jamais négatives.</x:v>
      </x:c>
      <x:c r="J32" s="7" t="str"/>
      <x:c r="K32" s="7" t="str">
        <x:v>content/equipment/EQP-credits.json</x:v>
      </x:c>
      <x:c r="L32" s="7" t="str"/>
      <x:c r="M32" s="7" t="str"/>
      <x:c r="N32" s="7" t="str">
        <x:v>Catalogue d’équipement à relever dans ME1 ; valeurs non inventées.</x:v>
      </x:c>
      <x:c r="O32" s="7" t="str">
        <x:v>https://eaassets-a.akamaihd.net/eahelp/manuals/mass-effect-manuals_PC_fr.pdf</x:v>
      </x:c>
      <x:c r="P32" s="7" t="str">
        <x:v>Production ME1</x:v>
      </x:c>
      <x:c r="Q32" s="7" t="str"/>
    </x:row>
  </x:sheetData>
  <x:conditionalFormatting sqref="C7:C32">
    <x:cfRule type="cellIs" dxfId="75" priority="1" operator="equal">
      <x:formula>"Prototype"</x:formula>
    </x:cfRule>
    <x:cfRule type="cellIs" dxfId="76" priority="2" operator="equal">
      <x:formula>"Intégré"</x:formula>
    </x:cfRule>
    <x:cfRule type="cellIs" dxfId="77" priority="3" operator="equal">
      <x:formula>"Validé"</x:formula>
    </x:cfRule>
  </x:conditionalFormatting>
  <x:conditionalFormatting sqref="G7:G32">
    <x:cfRule type="cellIs" dxfId="78" priority="4" operator="equal">
      <x:formula>"Référence à vérifier"</x:formula>
    </x:cfRule>
  </x:conditionalFormatting>
  <x:conditionalFormatting sqref="E7:E32">
    <x:cfRule type="cellIs" dxfId="79" priority="5" operator="equal">
      <x:formula>"P0"</x:formula>
    </x:cfRule>
  </x:conditionalFormatting>
  <x:dataValidations count="5">
    <x:dataValidation type="list" sqref="C7:C32">
      <x:formula1>"Défini,Prototype,Intégré,Validé"</x:formula1>
    </x:dataValidation>
    <x:dataValidation type="list" sqref="D7:D32">
      <x:formula1>"À produire,Prototype,Disponible,Validé,Sans objet,Non planifié"</x:formula1>
    </x:dataValidation>
    <x:dataValidation type="list" sqref="E7:E32">
      <x:formula1>"P0,P1,P2"</x:formula1>
    </x:dataValidation>
    <x:dataValidation type="list" sqref="F7:F32">
      <x:formula1>"ME1,ME2,ME3"</x:formula1>
    </x:dataValidation>
    <x:dataValidation type="list" sqref="G7:G3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4d8c6391ee4a1d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PWR-projection</x:v>
      </x:c>
      <x:c r="B7" s="14" t="str">
        <x:v>Projection</x:v>
      </x:c>
      <x:c r="C7" s="10" t="str">
        <x:v>Prototype</x:v>
      </x:c>
      <x:c r="D7" s="11" t="str">
        <x:v>Prototype</x:v>
      </x:c>
      <x:c r="E7" s="15" t="str">
        <x:v>P1</x:v>
      </x:c>
      <x:c r="F7" s="15" t="str">
        <x:v>ME1</x:v>
      </x:c>
      <x:c r="G7" s="15" t="str">
        <x:v>Confirmé</x:v>
      </x:c>
      <x:c r="H7" s="14" t="str">
        <x:v>Déplacer une cible par biotique.</x:v>
      </x:c>
      <x:c r="I7" s="14" t="str">
        <x:v>Résistance et trajectoire vérifiées selon ME1.</x:v>
      </x:c>
      <x:c r="J7" s="14" t="str"/>
      <x:c r="K7" s="14" t="str">
        <x:v>content/powers/PWR-projection.json</x:v>
      </x:c>
      <x:c r="L7" s="14" t="str">
        <x:v>src/combat.js</x:v>
      </x:c>
      <x:c r="M7" s="14" t="str">
        <x:v>ACTIONS.throw</x:v>
      </x:c>
      <x:c r="N7" s="14" t="str">
        <x:v>Talent de ME1 ou règle explicitement adaptée ; traduction et paramètres à relever.</x:v>
      </x:c>
      <x:c r="O7" s="14" t="str">
        <x:v>https://eaassets-a.akamaihd.net/eahelp/manuals/mass-effect-manuals_PC_fr.pdf</x:v>
      </x:c>
      <x:c r="P7" s="14" t="str">
        <x:v>Production ME1</x:v>
      </x:c>
      <x:c r="Q7" s="14" t="str">
        <x:v>Règle ATB fonctionnelle dans le prototype ; chiffres, animation et correspondance à ME1 restent à calibrer.</x:v>
      </x:c>
    </x:row>
    <x:row r="8" ht="36" customHeight="1">
      <x:c r="A8" s="12" t="str">
        <x:v>PWR-levitation</x:v>
      </x:c>
      <x:c r="B8" s="7" t="str">
        <x:v>Lévitation</x:v>
      </x:c>
      <x:c r="C8" s="10" t="str">
        <x:v>Prototype</x:v>
      </x:c>
      <x:c r="D8" s="11" t="str">
        <x:v>Prototype</x:v>
      </x:c>
      <x:c r="E8" s="9" t="str">
        <x:v>P1</x:v>
      </x:c>
      <x:c r="F8" s="9" t="str">
        <x:v>ME1</x:v>
      </x:c>
      <x:c r="G8" s="9" t="str">
        <x:v>Confirmé</x:v>
      </x:c>
      <x:c r="H8" s="7" t="str">
        <x:v>Soulever des cibles exposées.</x:v>
      </x:c>
      <x:c r="I8" s="7" t="str">
        <x:v>Envol du sprite accompagné d’une ombre au sol.</x:v>
      </x:c>
      <x:c r="J8" s="7" t="str"/>
      <x:c r="K8" s="7" t="str">
        <x:v>content/powers/PWR-levitation.json</x:v>
      </x:c>
      <x:c r="L8" s="7" t="str">
        <x:v>src/combat.js</x:v>
      </x:c>
      <x:c r="M8" s="7" t="str">
        <x:v>ACTIONS.lift</x:v>
      </x:c>
      <x:c r="N8" s="7" t="str">
        <x:v>Talent de ME1 ou règle explicitement adaptée ; traduction et paramètres à relever.</x:v>
      </x:c>
      <x:c r="O8" s="7" t="str">
        <x:v>https://eaassets-a.akamaihd.net/eahelp/manuals/mass-effect-manuals_PC_fr.pdf</x:v>
      </x:c>
      <x:c r="P8" s="7" t="str">
        <x:v>Production ME1</x:v>
      </x:c>
      <x:c r="Q8" s="7" t="str">
        <x:v>Règle ATB fonctionnelle dans le prototype ; chiffres, animation et correspondance à ME1 restent à calibrer.</x:v>
      </x:c>
    </x:row>
    <x:row r="9" ht="36" customHeight="1">
      <x:c r="A9" s="13" t="str">
        <x:v>PWR-dechirure</x:v>
      </x:c>
      <x:c r="B9" s="14" t="str">
        <x:v>Déchirure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Confirmé</x:v>
      </x:c>
      <x:c r="H9" s="14" t="str">
        <x:v>Dégâts biotiques et réduction de protection selon ME1.</x:v>
      </x:c>
      <x:c r="I9" s="14" t="str">
        <x:v>Durée et résistance documentées.</x:v>
      </x:c>
      <x:c r="J9" s="14" t="str"/>
      <x:c r="K9" s="14" t="str">
        <x:v>content/powers/PWR-dechirure.json</x:v>
      </x:c>
      <x:c r="L9" s="14" t="str">
        <x:v>src/combat.js</x:v>
      </x:c>
      <x:c r="M9" s="14" t="str">
        <x:v>ACTIONS.warp</x:v>
      </x:c>
      <x:c r="N9" s="14" t="str">
        <x:v>Talent de ME1 ou règle explicitement adaptée ; traduction et paramètres à relever.</x:v>
      </x:c>
      <x:c r="O9" s="14" t="str">
        <x:v>https://eaassets-a.akamaihd.net/eahelp/manuals/mass-effect-manuals_PC_fr.pdf</x:v>
      </x:c>
      <x:c r="P9" s="14" t="str">
        <x:v>Production ME1</x:v>
      </x:c>
      <x:c r="Q9" s="14" t="str">
        <x:v>Règle ATB fonctionnelle dans le prototype ; chiffres, animation et correspondance à ME1 restent à calibrer.</x:v>
      </x:c>
    </x:row>
    <x:row r="10" ht="36" customHeight="1">
      <x:c r="A10" s="12" t="str">
        <x:v>PWR-singularite</x:v>
      </x:c>
      <x:c r="B10" s="7" t="str">
        <x:v>Singularité</x:v>
      </x:c>
      <x:c r="C10" s="10" t="str">
        <x:v>Prototype</x:v>
      </x:c>
      <x:c r="D10" s="11" t="str">
        <x:v>Prototype</x:v>
      </x:c>
      <x:c r="E10" s="9" t="str">
        <x:v>P1</x:v>
      </x:c>
      <x:c r="F10" s="9" t="str">
        <x:v>ME1</x:v>
      </x:c>
      <x:c r="G10" s="9" t="str">
        <x:v>Confirmé</x:v>
      </x:c>
      <x:c r="H10" s="7" t="str">
        <x:v>Regrouper et contrôler des objets ou adversaires.</x:v>
      </x:c>
      <x:c r="I10" s="7" t="str">
        <x:v>Cibles autorisées et durée clairement définies.</x:v>
      </x:c>
      <x:c r="J10" s="7" t="str"/>
      <x:c r="K10" s="7" t="str">
        <x:v>content/powers/PWR-singularite.json</x:v>
      </x:c>
      <x:c r="L10" s="7" t="str">
        <x:v>src/combat.js</x:v>
      </x:c>
      <x:c r="M10" s="7" t="str">
        <x:v>ACTIONS.singularity</x:v>
      </x:c>
      <x:c r="N10" s="7" t="str">
        <x:v>Talent de ME1 ou règle explicitement adaptée ; traduction et paramètres à relever.</x:v>
      </x:c>
      <x:c r="O10" s="7" t="str">
        <x:v>https://eaassets-a.akamaihd.net/eahelp/manuals/mass-effect-manuals_PC_fr.pdf</x:v>
      </x:c>
      <x:c r="P10" s="7" t="str">
        <x:v>Production ME1</x:v>
      </x:c>
      <x:c r="Q10" s="7" t="str">
        <x:v>Règle ATB fonctionnelle dans le prototype ; chiffres, animation et correspondance à ME1 restent à calibrer.</x:v>
      </x:c>
    </x:row>
    <x:row r="11" ht="36" customHeight="1">
      <x:c r="A11" s="13" t="str">
        <x:v>PWR-barriere</x:v>
      </x:c>
      <x:c r="B11" s="14" t="str">
        <x:v>Barrière</x:v>
      </x:c>
      <x:c r="C11" s="10" t="str">
        <x:v>Prototype</x:v>
      </x:c>
      <x:c r="D11" s="11" t="str">
        <x:v>Prototype</x:v>
      </x:c>
      <x:c r="E11" s="15" t="str">
        <x:v>P1</x:v>
      </x:c>
      <x:c r="F11" s="15" t="str">
        <x:v>ME1</x:v>
      </x:c>
      <x:c r="G11" s="15" t="str">
        <x:v>Confirmé</x:v>
      </x:c>
      <x:c r="H11" s="14" t="str">
        <x:v>Protection biotique du personnage.</x:v>
      </x:c>
      <x:c r="I11" s="14" t="str">
        <x:v>Ne pas cumuler indéfiniment une même activation.</x:v>
      </x:c>
      <x:c r="J11" s="14" t="str"/>
      <x:c r="K11" s="14" t="str">
        <x:v>content/powers/PWR-barriere.json</x:v>
      </x:c>
      <x:c r="L11" s="14" t="str">
        <x:v>src/combat.js</x:v>
      </x:c>
      <x:c r="M11" s="14" t="str">
        <x:v>ACTIONS.barrier</x:v>
      </x:c>
      <x:c r="N11" s="14" t="str">
        <x:v>Talent de ME1 ou règle explicitement adaptée ; traduction et paramètres à relever.</x:v>
      </x:c>
      <x:c r="O11" s="14" t="str">
        <x:v>https://eaassets-a.akamaihd.net/eahelp/manuals/mass-effect-manuals_PC_fr.pdf</x:v>
      </x:c>
      <x:c r="P11" s="14" t="str">
        <x:v>Production ME1</x:v>
      </x:c>
      <x:c r="Q11" s="14" t="str">
        <x:v>Règle ATB fonctionnelle dans le prototype ; chiffres, animation et correspondance à ME1 restent à calibrer.</x:v>
      </x:c>
    </x:row>
    <x:row r="12" ht="36" customHeight="1">
      <x:c r="A12" s="12" t="str">
        <x:v>PWR-stase</x:v>
      </x:c>
      <x:c r="B12" s="7" t="str">
        <x:v>Stase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Confirmé</x:v>
      </x:c>
      <x:c r="H12" s="7" t="str">
        <x:v>Immobiliser et isoler une cible.</x:v>
      </x:c>
      <x:c r="I12" s="7" t="str">
        <x:v>Immunité aux dégâts de la version de base respectée.</x:v>
      </x:c>
      <x:c r="J12" s="7" t="str"/>
      <x:c r="K12" s="7" t="str">
        <x:v>content/powers/PWR-stase.json</x:v>
      </x:c>
      <x:c r="L12" s="7" t="str">
        <x:v>src/combat.js</x:v>
      </x:c>
      <x:c r="M12" s="7" t="str">
        <x:v>ACTIONS.stasis</x:v>
      </x:c>
      <x:c r="N12" s="7" t="str">
        <x:v>Talent de ME1 ou règle explicitement adaptée ; traduction et paramètres à relever.</x:v>
      </x:c>
      <x:c r="O12" s="7" t="str">
        <x:v>https://eaassets-a.akamaihd.net/eahelp/manuals/mass-effect-manuals_PC_fr.pdf</x:v>
      </x:c>
      <x:c r="P12" s="7" t="str">
        <x:v>Production ME1</x:v>
      </x:c>
      <x:c r="Q12" s="7" t="str">
        <x:v>Règle ATB fonctionnelle dans le prototype ; chiffres, animation et correspondance à ME1 restent à calibrer.</x:v>
      </x:c>
    </x:row>
    <x:row r="13" ht="36" customHeight="1">
      <x:c r="A13" s="13" t="str">
        <x:v>PWR-surcharge</x:v>
      </x:c>
      <x:c r="B13" s="14" t="str">
        <x:v>Surcharge</x:v>
      </x:c>
      <x:c r="C13" s="10" t="str">
        <x:v>Prototype</x:v>
      </x:c>
      <x:c r="D13" s="11" t="str">
        <x:v>Prototype</x:v>
      </x:c>
      <x:c r="E13" s="15" t="str">
        <x:v>P1</x:v>
      </x:c>
      <x:c r="F13" s="15" t="str">
        <x:v>ME1</x:v>
      </x:c>
      <x:c r="G13" s="15" t="str">
        <x:v>Confirmé</x:v>
      </x:c>
      <x:c r="H13" s="14" t="str">
        <x:v>Attaque technologique contre les protections.</x:v>
      </x:c>
      <x:c r="I13" s="14" t="str">
        <x:v>Interactions avec boucliers et électronique documentées.</x:v>
      </x:c>
      <x:c r="J13" s="14" t="str"/>
      <x:c r="K13" s="14" t="str">
        <x:v>content/powers/PWR-surcharge.json</x:v>
      </x:c>
      <x:c r="L13" s="14" t="str">
        <x:v>src/combat.js</x:v>
      </x:c>
      <x:c r="M13" s="14" t="str">
        <x:v>ACTIONS.overload</x:v>
      </x:c>
      <x:c r="N13" s="14" t="str">
        <x:v>Talent de ME1 ou règle explicitement adaptée ; traduction et paramètres à relever.</x:v>
      </x:c>
      <x:c r="O13" s="14" t="str">
        <x:v>https://eaassets-a.akamaihd.net/eahelp/manuals/mass-effect-manuals_PC_fr.pdf</x:v>
      </x:c>
      <x:c r="P13" s="14" t="str">
        <x:v>Production ME1</x:v>
      </x:c>
      <x:c r="Q13" s="14" t="str">
        <x:v>Règle ATB fonctionnelle dans le prototype ; chiffres, animation et correspondance à ME1 restent à calibrer.</x:v>
      </x:c>
    </x:row>
    <x:row r="14" ht="36" customHeight="1">
      <x:c r="A14" s="12" t="str">
        <x:v>PWR-sabotage</x:v>
      </x:c>
      <x:c r="B14" s="7" t="str">
        <x:v>Sabotage</x:v>
      </x:c>
      <x:c r="C14" s="10" t="str">
        <x:v>Prototype</x:v>
      </x:c>
      <x:c r="D14" s="11" t="str">
        <x:v>Prototype</x:v>
      </x:c>
      <x:c r="E14" s="9" t="str">
        <x:v>P1</x:v>
      </x:c>
      <x:c r="F14" s="9" t="str">
        <x:v>ME1</x:v>
      </x:c>
      <x:c r="G14" s="9" t="str">
        <x:v>Confirmé</x:v>
      </x:c>
      <x:c r="H14" s="7" t="str">
        <x:v>Perturber l’armement ennemi.</x:v>
      </x:c>
      <x:c r="I14" s="7" t="str">
        <x:v>Délai et effet de chauffe ne bloquent pas définitivement l’IA.</x:v>
      </x:c>
      <x:c r="J14" s="7" t="str"/>
      <x:c r="K14" s="7" t="str">
        <x:v>content/powers/PWR-sabotage.json</x:v>
      </x:c>
      <x:c r="L14" s="7" t="str">
        <x:v>src/combat.js</x:v>
      </x:c>
      <x:c r="M14" s="7" t="str">
        <x:v>ACTIONS.sabotage</x:v>
      </x:c>
      <x:c r="N14" s="7" t="str">
        <x:v>Talent de ME1 ou règle explicitement adaptée ; traduction et paramètres à relever.</x:v>
      </x:c>
      <x:c r="O14" s="7" t="str">
        <x:v>https://eaassets-a.akamaihd.net/eahelp/manuals/mass-effect-manuals_PC_fr.pdf</x:v>
      </x:c>
      <x:c r="P14" s="7" t="str">
        <x:v>Production ME1</x:v>
      </x:c>
      <x:c r="Q14" s="7" t="str">
        <x:v>Règle ATB fonctionnelle dans le prototype ; chiffres, animation et correspondance à ME1 restent à calibrer.</x:v>
      </x:c>
    </x:row>
    <x:row r="15" ht="36" customHeight="1">
      <x:c r="A15" s="13" t="str">
        <x:v>PWR-amortissement</x:v>
      </x:c>
      <x:c r="B15" s="14" t="str">
        <x:v>Amortissement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Confirmé</x:v>
      </x:c>
      <x:c r="H15" s="14" t="str">
        <x:v>Perturber l’usage des pouvoirs.</x:v>
      </x:c>
      <x:c r="I15" s="14" t="str">
        <x:v>Actions déjà résolues non annulées rétroactivement.</x:v>
      </x:c>
      <x:c r="J15" s="14" t="str"/>
      <x:c r="K15" s="14" t="str">
        <x:v>content/powers/PWR-amortissement.json</x:v>
      </x:c>
      <x:c r="L15" s="14" t="str"/>
      <x:c r="M15" s="14" t="str"/>
      <x:c r="N15" s="14" t="str">
        <x:v>Talent de ME1 ou règle explicitement adaptée ; traduction et paramètres à relever.</x:v>
      </x:c>
      <x:c r="O15" s="14" t="str">
        <x:v>https://eaassets-a.akamaihd.net/eahelp/manuals/mass-effect-manuals_PC_fr.pdf</x:v>
      </x:c>
      <x:c r="P15" s="14" t="str">
        <x:v>Production ME1</x:v>
      </x:c>
      <x:c r="Q15" s="14" t="str"/>
    </x:row>
    <x:row r="16" ht="36" customHeight="1">
      <x:c r="A16" s="12" t="str">
        <x:v>PWR-piratage-d-ia</x:v>
      </x:c>
      <x:c r="B16" s="7" t="str">
        <x:v>Piratage d’IA</x:v>
      </x:c>
      <x:c r="C16" s="10" t="str">
        <x:v>Prototype</x:v>
      </x:c>
      <x:c r="D16" s="11" t="str">
        <x:v>Prototype</x:v>
      </x:c>
      <x:c r="E16" s="9" t="str">
        <x:v>P1</x:v>
      </x:c>
      <x:c r="F16" s="9" t="str">
        <x:v>ME1</x:v>
      </x:c>
      <x:c r="G16" s="9" t="str">
        <x:v>Confirmé</x:v>
      </x:c>
      <x:c r="H16" s="7" t="str">
        <x:v>Retourner temporairement un synthétique compatible.</x:v>
      </x:c>
      <x:c r="I16" s="7" t="str">
        <x:v>Cibles organiques exclues.</x:v>
      </x:c>
      <x:c r="J16" s="7" t="str"/>
      <x:c r="K16" s="7" t="str">
        <x:v>content/powers/PWR-piratage-d-ia.json</x:v>
      </x:c>
      <x:c r="L16" s="7" t="str">
        <x:v>src/combat.js</x:v>
      </x:c>
      <x:c r="M16" s="7" t="str">
        <x:v>ACTIONS.hack</x:v>
      </x:c>
      <x:c r="N16" s="7" t="str">
        <x:v>Talent de ME1 ou règle explicitement adaptée ; traduction et paramètres à relever.</x:v>
      </x:c>
      <x:c r="O16" s="7" t="str">
        <x:v>https://eaassets-a.akamaihd.net/eahelp/manuals/mass-effect-manuals_PC_fr.pdf</x:v>
      </x:c>
      <x:c r="P16" s="7" t="str">
        <x:v>Production ME1</x:v>
      </x:c>
      <x:c r="Q16" s="7" t="str">
        <x:v>Règle ATB fonctionnelle dans le prototype ; chiffres, animation et correspondance à ME1 restent à calibrer.</x:v>
      </x:c>
    </x:row>
    <x:row r="17" ht="36" customHeight="1">
      <x:c r="A17" s="13" t="str">
        <x:v>PWR-premiers-secours</x:v>
      </x:c>
      <x:c r="B17" s="14" t="str">
        <x:v>Premiers secours</x:v>
      </x:c>
      <x:c r="C17" s="10" t="str">
        <x:v>Prototype</x:v>
      </x:c>
      <x:c r="D17" s="11" t="str">
        <x:v>Prototype</x:v>
      </x:c>
      <x:c r="E17" s="15" t="str">
        <x:v>P1</x:v>
      </x:c>
      <x:c r="F17" s="15" t="str">
        <x:v>ME1</x:v>
      </x:c>
      <x:c r="G17" s="15" t="str">
        <x:v>Confirmé</x:v>
      </x:c>
      <x:c r="H17" s="14" t="str">
        <x:v>Soigner le commando avec médi-gel.</x:v>
      </x:c>
      <x:c r="I17" s="14" t="str">
        <x:v>Délai et consommation affichés.</x:v>
      </x:c>
      <x:c r="J17" s="14" t="str"/>
      <x:c r="K17" s="14" t="str">
        <x:v>content/powers/PWR-premiers-secours.json</x:v>
      </x:c>
      <x:c r="L17" s="14" t="str">
        <x:v>src/combat.js</x:v>
      </x:c>
      <x:c r="M17" s="14" t="str">
        <x:v>ACTIONS.medigel</x:v>
      </x:c>
      <x:c r="N17" s="14" t="str">
        <x:v>Talent de ME1 ou règle explicitement adaptée ; traduction et paramètres à relever.</x:v>
      </x:c>
      <x:c r="O17" s="14" t="str">
        <x:v>https://eaassets-a.akamaihd.net/eahelp/manuals/mass-effect-manuals_PC_fr.pdf</x:v>
      </x:c>
      <x:c r="P17" s="14" t="str">
        <x:v>Production ME1</x:v>
      </x:c>
      <x:c r="Q17" s="14" t="str">
        <x:v>Règle ATB fonctionnelle dans le prototype ; chiffres, animation et correspondance à ME1 restent à calibrer.</x:v>
      </x:c>
    </x:row>
    <x:row r="18" ht="36" customHeight="1">
      <x:c r="A18" s="12" t="str">
        <x:v>PWR-medecine</x:v>
      </x:c>
      <x:c r="B18" s="7" t="str">
        <x:v>Médecine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Référence à vérifier</x:v>
      </x:c>
      <x:c r="H18" s="7" t="str">
        <x:v>Améliorer les capacités médicales selon le talent.</x:v>
      </x:c>
      <x:c r="I18" s="7" t="str">
        <x:v>Effets exacts vérifiés avant équilibrage.</x:v>
      </x:c>
      <x:c r="J18" s="7" t="str"/>
      <x:c r="K18" s="7" t="str">
        <x:v>content/powers/PWR-medecine.json</x:v>
      </x:c>
      <x:c r="L18" s="7" t="str"/>
      <x:c r="M18" s="7" t="str"/>
      <x:c r="N18" s="7" t="str">
        <x:v>Talent de ME1 ou règle explicitement adaptée ; traduction et paramètres à relever.</x:v>
      </x:c>
      <x:c r="O18" s="7" t="str">
        <x:v>https://eaassets-a.akamaihd.net/eahelp/manuals/mass-effect-manuals_PC_fr.pdf</x:v>
      </x:c>
      <x:c r="P18" s="7" t="str">
        <x:v>Production ME1</x:v>
      </x:c>
      <x:c r="Q18" s="7" t="str"/>
    </x:row>
    <x:row r="19" ht="36" customHeight="1">
      <x:c r="A19" s="13" t="str">
        <x:v>PWR-unite</x:v>
      </x:c>
      <x:c r="B19" s="14" t="str">
        <x:v>Unité</x:v>
      </x:c>
      <x:c r="C19" s="10" t="str">
        <x:v>Prototype</x:v>
      </x:c>
      <x:c r="D19" s="11" t="str">
        <x:v>Prototype</x:v>
      </x:c>
      <x:c r="E19" s="15" t="str">
        <x:v>P1</x:v>
      </x:c>
      <x:c r="F19" s="15" t="str">
        <x:v>ME1</x:v>
      </x:c>
      <x:c r="G19" s="15" t="str">
        <x:v>Référence à vérifier</x:v>
      </x:c>
      <x:c r="H19" s="14" t="str">
        <x:v>Réanimer les équipiers tombés au combat.</x:v>
      </x:c>
      <x:c r="I19" s="14" t="str">
        <x:v>Ne concerne pas les morts du scénario.</x:v>
      </x:c>
      <x:c r="J19" s="14" t="str"/>
      <x:c r="K19" s="14" t="str">
        <x:v>content/powers/PWR-unite.json</x:v>
      </x:c>
      <x:c r="L19" s="14" t="str">
        <x:v>src/combat.js</x:v>
      </x:c>
      <x:c r="M19" s="14" t="str">
        <x:v>ACTIONS.unity</x:v>
      </x:c>
      <x:c r="N19" s="14" t="str">
        <x:v>Talent de ME1 ou règle explicitement adaptée ; traduction et paramètres à relever.</x:v>
      </x:c>
      <x:c r="O19" s="14" t="str">
        <x:v>https://eaassets-a.akamaihd.net/eahelp/manuals/mass-effect-manuals_PC_fr.pdf</x:v>
      </x:c>
      <x:c r="P19" s="14" t="str">
        <x:v>Production ME1</x:v>
      </x:c>
      <x:c r="Q19" s="14" t="str">
        <x:v>Règle ATB fonctionnelle dans le prototype ; chiffres, animation et correspondance à ME1 restent à calibrer.</x:v>
      </x:c>
    </x:row>
    <x:row r="20" ht="36" customHeight="1">
      <x:c r="A20" s="12" t="str">
        <x:v>PWR-tireur-d-elite-pistolet</x:v>
      </x:c>
      <x:c r="B20" s="7" t="str">
        <x:v>Tireur d’élite pistolet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Référence à vérifier</x:v>
      </x:c>
      <x:c r="H20" s="7" t="str">
        <x:v>Pouvoir lié à la maîtrise du pistolet.</x:v>
      </x:c>
      <x:c r="I20" s="7" t="str">
        <x:v>Durée et gestion de chaleur selon version choisie.</x:v>
      </x:c>
      <x:c r="J20" s="7" t="str"/>
      <x:c r="K20" s="7" t="str">
        <x:v>content/powers/PWR-tireur-d-elite-pistolet.json</x:v>
      </x:c>
      <x:c r="L20" s="7" t="str"/>
      <x:c r="M20" s="7" t="str"/>
      <x:c r="N20" s="7" t="str">
        <x:v>Talent de ME1 ou règle explicitement adaptée ; traduction et paramètres à relever.</x:v>
      </x:c>
      <x:c r="O20" s="7" t="str">
        <x:v>https://eaassets-a.akamaihd.net/eahelp/manuals/mass-effect-manuals_PC_fr.pdf</x:v>
      </x:c>
      <x:c r="P20" s="7" t="str">
        <x:v>Production ME1</x:v>
      </x:c>
      <x:c r="Q20" s="7" t="str"/>
    </x:row>
    <x:row r="21" ht="36" customHeight="1">
      <x:c r="A21" s="13" t="str">
        <x:v>PWR-carnage</x:v>
      </x:c>
      <x:c r="B21" s="14" t="str">
        <x:v>Carnage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Référence à vérifier</x:v>
      </x:c>
      <x:c r="H21" s="14" t="str">
        <x:v>Pouvoir lié au fusil à pompe.</x:v>
      </x:c>
      <x:c r="I21" s="14" t="str">
        <x:v>Projectile et effets propres à ME1.</x:v>
      </x:c>
      <x:c r="J21" s="14" t="str"/>
      <x:c r="K21" s="14" t="str">
        <x:v>content/powers/PWR-carnage.json</x:v>
      </x:c>
      <x:c r="L21" s="14" t="str"/>
      <x:c r="M21" s="14" t="str"/>
      <x:c r="N21" s="14" t="str">
        <x:v>Talent de ME1 ou règle explicitement adaptée ; traduction et paramètres à relever.</x:v>
      </x:c>
      <x:c r="O21" s="14" t="str">
        <x:v>https://eaassets-a.akamaihd.net/eahelp/manuals/mass-effect-manuals_PC_fr.pdf</x:v>
      </x:c>
      <x:c r="P21" s="14" t="str">
        <x:v>Production ME1</x:v>
      </x:c>
      <x:c r="Q21" s="14" t="str"/>
    </x:row>
    <x:row r="22" ht="36" customHeight="1">
      <x:c r="A22" s="12" t="str">
        <x:v>PWR-assassinat</x:v>
      </x:c>
      <x:c r="B22" s="7" t="str">
        <x:v>Assassinat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Référence à vérifier</x:v>
      </x:c>
      <x:c r="H22" s="7" t="str">
        <x:v>Pouvoir lié au fusil de précision.</x:v>
      </x:c>
      <x:c r="I22" s="7" t="str">
        <x:v>Cible unique et conditions de visée.</x:v>
      </x:c>
      <x:c r="J22" s="7" t="str"/>
      <x:c r="K22" s="7" t="str">
        <x:v>content/powers/PWR-assassinat.json</x:v>
      </x:c>
      <x:c r="L22" s="7" t="str"/>
      <x:c r="M22" s="7" t="str"/>
      <x:c r="N22" s="7" t="str">
        <x:v>Talent de ME1 ou règle explicitement adaptée ; traduction et paramètres à relever.</x:v>
      </x:c>
      <x:c r="O22" s="7" t="str">
        <x:v>https://eaassets-a.akamaihd.net/eahelp/manuals/mass-effect-manuals_PC_fr.pdf</x:v>
      </x:c>
      <x:c r="P22" s="7" t="str">
        <x:v>Production ME1</x:v>
      </x:c>
      <x:c r="Q22" s="7" t="str"/>
    </x:row>
    <x:row r="23" ht="36" customHeight="1">
      <x:c r="A23" s="13" t="str">
        <x:v>PWR-surpuissance-fusil-d-assaut</x:v>
      </x:c>
      <x:c r="B23" s="14" t="str">
        <x:v>Surpuissance fusil d’assaut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Référence à vérifier</x:v>
      </x:c>
      <x:c r="H23" s="14" t="str">
        <x:v>Pouvoir militaire de tir soutenu.</x:v>
      </x:c>
      <x:c r="I23" s="14" t="str">
        <x:v>Nom français exact et fonctionnement à vérifier.</x:v>
      </x:c>
      <x:c r="J23" s="14" t="str"/>
      <x:c r="K23" s="14" t="str">
        <x:v>content/powers/PWR-surpuissance-fusil-d-assaut.json</x:v>
      </x:c>
      <x:c r="L23" s="14" t="str"/>
      <x:c r="M23" s="14" t="str"/>
      <x:c r="N23" s="14" t="str">
        <x:v>Talent de ME1 ou règle explicitement adaptée ; traduction et paramètres à relever.</x:v>
      </x:c>
      <x:c r="O23" s="14" t="str">
        <x:v>https://eaassets-a.akamaihd.net/eahelp/manuals/mass-effect-manuals_PC_fr.pdf</x:v>
      </x:c>
      <x:c r="P23" s="14" t="str">
        <x:v>Production ME1</x:v>
      </x:c>
      <x:c r="Q23" s="14" t="str"/>
    </x:row>
    <x:row r="24" ht="36" customHeight="1">
      <x:c r="A24" s="12" t="str">
        <x:v>PWR-immunite</x:v>
      </x:c>
      <x:c r="B24" s="7" t="str">
        <x:v>Immunité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Référence à vérifier</x:v>
      </x:c>
      <x:c r="H24" s="7" t="str">
        <x:v>Pouvoir de résistance militaire.</x:v>
      </x:c>
      <x:c r="I24" s="7" t="str">
        <x:v>Durée de la version originale ou LE explicitement choisie.</x:v>
      </x:c>
      <x:c r="J24" s="7" t="str"/>
      <x:c r="K24" s="7" t="str">
        <x:v>content/powers/PWR-immunite.json</x:v>
      </x:c>
      <x:c r="L24" s="7" t="str"/>
      <x:c r="M24" s="7" t="str"/>
      <x:c r="N24" s="7" t="str">
        <x:v>Talent de ME1 ou règle explicitement adaptée ; traduction et paramètres à relever.</x:v>
      </x:c>
      <x:c r="O24" s="7" t="str">
        <x:v>https://eaassets-a.akamaihd.net/eahelp/manuals/mass-effect-manuals_PC_fr.pdf</x:v>
      </x:c>
      <x:c r="P24" s="7" t="str">
        <x:v>Production ME1</x:v>
      </x:c>
      <x:c r="Q24" s="7" t="str"/>
    </x:row>
    <x:row r="25" ht="36" customHeight="1">
      <x:c r="A25" s="13" t="str">
        <x:v>PWR-montee-d-adrenaline-me1</x:v>
      </x:c>
      <x:c r="B25" s="14" t="str">
        <x:v>Montée d’adrénaline ME1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Référence à vérifier</x:v>
      </x:c>
      <x:c r="H25" s="14" t="str">
        <x:v>Talent militaire dont la fonction diffère des suites.</x:v>
      </x:c>
      <x:c r="I25" s="14" t="str">
        <x:v>Ne pas importer automatiquement le ralenti de ME2.</x:v>
      </x:c>
      <x:c r="J25" s="14" t="str"/>
      <x:c r="K25" s="14" t="str">
        <x:v>content/powers/PWR-montee-d-adrenaline-me1.json</x:v>
      </x:c>
      <x:c r="L25" s="14" t="str"/>
      <x:c r="M25" s="14" t="str"/>
      <x:c r="N25" s="14" t="str">
        <x:v>Talent de ME1 ou règle explicitement adaptée ; traduction et paramètres à relever.</x:v>
      </x:c>
      <x:c r="O25" s="14" t="str">
        <x:v>https://eaassets-a.akamaihd.net/eahelp/manuals/mass-effect-manuals_PC_fr.pdf</x:v>
      </x:c>
      <x:c r="P25" s="14" t="str">
        <x:v>Production ME1</x:v>
      </x:c>
      <x:c r="Q25" s="14" t="str"/>
    </x:row>
    <x:row r="26" ht="36" customHeight="1">
      <x:c r="A26" s="12" t="str">
        <x:v>PWR-decryptage</x:v>
      </x:c>
      <x:c r="B26" s="7" t="str">
        <x:v>Décryptage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Confirmé</x:v>
      </x:c>
      <x:c r="H26" s="7" t="str">
        <x:v>Compétence d’ouverture et d’accès.</x:v>
      </x:c>
      <x:c r="I26" s="7" t="str">
        <x:v>Objets incompatibles ne proposent pas l’action.</x:v>
      </x:c>
      <x:c r="J26" s="7" t="str"/>
      <x:c r="K26" s="7" t="str">
        <x:v>content/powers/PWR-decryptage.json</x:v>
      </x:c>
      <x:c r="L26" s="7" t="str"/>
      <x:c r="M26" s="7" t="str"/>
      <x:c r="N26" s="7" t="str">
        <x:v>Talent de ME1 ou règle explicitement adaptée ; traduction et paramètres à relever.</x:v>
      </x:c>
      <x:c r="O26" s="7" t="str">
        <x:v>https://eaassets-a.akamaihd.net/eahelp/manuals/mass-effect-manuals_PC_fr.pdf</x:v>
      </x:c>
      <x:c r="P26" s="7" t="str">
        <x:v>Production ME1</x:v>
      </x:c>
      <x:c r="Q26" s="7" t="str"/>
    </x:row>
    <x:row r="27" ht="36" customHeight="1">
      <x:c r="A27" s="13" t="str">
        <x:v>PWR-electronique</x:v>
      </x:c>
      <x:c r="B27" s="14" t="str">
        <x:v>Électronique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Confirmé</x:v>
      </x:c>
      <x:c r="H27" s="14" t="str">
        <x:v>Compétence d’accès et de protection technique.</x:v>
      </x:c>
      <x:c r="I27" s="14" t="str">
        <x:v>Équipier actif éligible requis quand applicable.</x:v>
      </x:c>
      <x:c r="J27" s="14" t="str"/>
      <x:c r="K27" s="14" t="str">
        <x:v>content/powers/PWR-electronique.json</x:v>
      </x:c>
      <x:c r="L27" s="14" t="str"/>
      <x:c r="M27" s="14" t="str"/>
      <x:c r="N27" s="14" t="str">
        <x:v>Talent de ME1 ou règle explicitement adaptée ; traduction et paramètres à relever.</x:v>
      </x:c>
      <x:c r="O27" s="14" t="str">
        <x:v>https://eaassets-a.akamaihd.net/eahelp/manuals/mass-effect-manuals_PC_fr.pdf</x:v>
      </x:c>
      <x:c r="P27" s="14" t="str">
        <x:v>Production ME1</x:v>
      </x:c>
      <x:c r="Q27" s="14" t="str"/>
    </x:row>
    <x:row r="28" ht="36" customHeight="1">
      <x:c r="A28" s="12" t="str">
        <x:v>PWR-charme</x:v>
      </x:c>
      <x:c r="B28" s="7" t="str">
        <x:v>Charme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Confirmé</x:v>
      </x:c>
      <x:c r="H28" s="7" t="str">
        <x:v>Options de persuasion conciliatrice.</x:v>
      </x:c>
      <x:c r="I28" s="7" t="str">
        <x:v>Seuils liés aux talents et décisions.</x:v>
      </x:c>
      <x:c r="J28" s="7" t="str"/>
      <x:c r="K28" s="7" t="str">
        <x:v>content/powers/PWR-charme.json</x:v>
      </x:c>
      <x:c r="L28" s="7" t="str"/>
      <x:c r="M28" s="7" t="str"/>
      <x:c r="N28" s="7" t="str">
        <x:v>Talent de ME1 ou règle explicitement adaptée ; traduction et paramètres à relever.</x:v>
      </x:c>
      <x:c r="O28" s="7" t="str">
        <x:v>https://eaassets-a.akamaihd.net/eahelp/manuals/mass-effect-manuals_PC_fr.pdf</x:v>
      </x:c>
      <x:c r="P28" s="7" t="str">
        <x:v>Production ME1</x:v>
      </x:c>
      <x:c r="Q28" s="7" t="str"/>
    </x:row>
    <x:row r="29" ht="36" customHeight="1">
      <x:c r="A29" s="13" t="str">
        <x:v>PWR-intimidation</x:v>
      </x:c>
      <x:c r="B29" s="14" t="str">
        <x:v>Intimidation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Confirmé</x:v>
      </x:c>
      <x:c r="H29" s="14" t="str">
        <x:v>Options de persuasion pragmatique.</x:v>
      </x:c>
      <x:c r="I29" s="14" t="str">
        <x:v>Affichage d’option indisponible compréhensible.</x:v>
      </x:c>
      <x:c r="J29" s="14" t="str"/>
      <x:c r="K29" s="14" t="str">
        <x:v>content/powers/PWR-intimidation.json</x:v>
      </x:c>
      <x:c r="L29" s="14" t="str"/>
      <x:c r="M29" s="14" t="str"/>
      <x:c r="N29" s="14" t="str">
        <x:v>Talent de ME1 ou règle explicitement adaptée ; traduction et paramètres à relever.</x:v>
      </x:c>
      <x:c r="O29" s="14" t="str">
        <x:v>https://eaassets-a.akamaihd.net/eahelp/manuals/mass-effect-manuals_PC_fr.pdf</x:v>
      </x:c>
      <x:c r="P29" s="14" t="str">
        <x:v>Production ME1</x:v>
      </x:c>
      <x:c r="Q29" s="14" t="str"/>
    </x:row>
    <x:row r="30" ht="36" customHeight="1">
      <x:c r="A30" s="12" t="str">
        <x:v>PWR-formation-spectre</x:v>
      </x:c>
      <x:c r="B30" s="7" t="str">
        <x:v>Formation Spectre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Référence à vérifier</x:v>
      </x:c>
      <x:c r="H30" s="7" t="str">
        <x:v>Progression propre à Shepard après intronisation.</x:v>
      </x:c>
      <x:c r="I30" s="7" t="str">
        <x:v>Dépendance au statut vérifiée.</x:v>
      </x:c>
      <x:c r="J30" s="7" t="str"/>
      <x:c r="K30" s="7" t="str">
        <x:v>content/powers/PWR-formation-spectre.json</x:v>
      </x:c>
      <x:c r="L30" s="7" t="str"/>
      <x:c r="M30" s="7" t="str"/>
      <x:c r="N30" s="7" t="str">
        <x:v>Talent de ME1 ou règle explicitement adaptée ; traduction et paramètres à relever.</x:v>
      </x:c>
      <x:c r="O30" s="7" t="str">
        <x:v>https://eaassets-a.akamaihd.net/eahelp/manuals/mass-effect-manuals_PC_fr.pdf</x:v>
      </x:c>
      <x:c r="P30" s="7" t="str">
        <x:v>Production ME1</x:v>
      </x:c>
      <x:c r="Q30" s="7" t="str"/>
    </x:row>
    <x:row r="31" ht="36" customHeight="1">
      <x:c r="A31" s="13" t="str">
        <x:v>PWR-combat-rapproche</x:v>
      </x:c>
      <x:c r="B31" s="14" t="str">
        <x:v>Combat rapproché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Référence à vérifier</x:v>
      </x:c>
      <x:c r="H31" s="14" t="str">
        <x:v>Frappe physique de l’épisode.</x:v>
      </x:c>
      <x:c r="I31" s="14" t="str">
        <x:v>Animation de crosse ou geste canonique, sans omni-lame ME3.</x:v>
      </x:c>
      <x:c r="J31" s="14" t="str"/>
      <x:c r="K31" s="14" t="str">
        <x:v>content/powers/PWR-combat-rapproche.json</x:v>
      </x:c>
      <x:c r="L31" s="14" t="str"/>
      <x:c r="M31" s="14" t="str"/>
      <x:c r="N31" s="14" t="str">
        <x:v>Talent de ME1 ou règle explicitement adaptée ; traduction et paramètres à relever.</x:v>
      </x:c>
      <x:c r="O31" s="14" t="str">
        <x:v>https://eaassets-a.akamaihd.net/eahelp/manuals/mass-effect-manuals_PC_fr.pdf</x:v>
      </x:c>
      <x:c r="P31" s="14" t="str">
        <x:v>Production ME1</x:v>
      </x:c>
      <x:c r="Q31" s="14" t="str"/>
    </x:row>
    <x:row r="32" ht="36" customHeight="1">
      <x:c r="A32" s="12" t="str">
        <x:v>PWR-garde-atb</x:v>
      </x:c>
      <x:c r="B32" s="7" t="str">
        <x:v>Garde ATB</x:v>
      </x:c>
      <x:c r="C32" s="10" t="str">
        <x:v>Prototype</x:v>
      </x:c>
      <x:c r="D32" s="11" t="str">
        <x:v>Prototype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Réduire l’exposition en attendant une ouverture.</x:v>
      </x:c>
      <x:c r="I32" s="7" t="str">
        <x:v>Règle originale de l’adaptation explicitement indiquée.</x:v>
      </x:c>
      <x:c r="J32" s="7" t="str"/>
      <x:c r="K32" s="7" t="str">
        <x:v>content/powers/PWR-garde-atb.json</x:v>
      </x:c>
      <x:c r="L32" s="7" t="str">
        <x:v>src/combat.js</x:v>
      </x:c>
      <x:c r="M32" s="7" t="str">
        <x:v>ACTIONS.cover</x:v>
      </x:c>
      <x:c r="N32" s="7" t="str">
        <x:v>Règle de combat conçue pour le fan game.</x:v>
      </x:c>
      <x:c r="O32" s="7" t="str"/>
      <x:c r="P32" s="7" t="str">
        <x:v>Production ME1</x:v>
      </x:c>
      <x:c r="Q32" s="7" t="str">
        <x:v>Règle ATB fonctionnelle dans le prototype ; chiffres, animation et correspondance à ME1 restent à calibrer.</x:v>
      </x:c>
    </x:row>
    <x:row r="33" ht="36" customHeight="1">
      <x:c r="A33" s="13" t="str">
        <x:v>PWR-repositionnement-atb</x:v>
      </x:c>
      <x:c r="B33" s="14" t="str">
        <x:v>Repositionnement ATB</x:v>
      </x:c>
      <x:c r="C33" s="10" t="str">
        <x:v>Prototype</x:v>
      </x:c>
      <x:c r="D33" s="11" t="str">
        <x:v>Prototype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Changer de couvert ou de bande de portée.</x:v>
      </x:c>
      <x:c r="I33" s="14" t="str">
        <x:v>Coût et emplacement final vérifiables.</x:v>
      </x:c>
      <x:c r="J33" s="14" t="str"/>
      <x:c r="K33" s="14" t="str">
        <x:v>content/powers/PWR-repositionnement-atb.json</x:v>
      </x:c>
      <x:c r="L33" s="14" t="str">
        <x:v>src/combat.js</x:v>
      </x:c>
      <x:c r="M33" s="14" t="str">
        <x:v>ACTIONS.reposition</x:v>
      </x:c>
      <x:c r="N33" s="14" t="str">
        <x:v>Règle de combat conçue pour le fan game.</x:v>
      </x:c>
      <x:c r="O33" s="14" t="str"/>
      <x:c r="P33" s="14" t="str">
        <x:v>Production ME1</x:v>
      </x:c>
      <x:c r="Q33" s="14" t="str">
        <x:v>Règle ATB fonctionnelle dans le prototype ; chiffres, animation et correspondance à ME1 restent à calibrer.</x:v>
      </x:c>
    </x:row>
    <x:row r="34" ht="36" customHeight="1">
      <x:c r="A34" s="12" t="str">
        <x:v>PWR-ordre-coordonne</x:v>
      </x:c>
      <x:c r="B34" s="7" t="str">
        <x:v>Ordre coordonné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Dépenser les commandes de plusieurs alliés pour une séquence.</x:v>
      </x:c>
      <x:c r="I34" s="7" t="str">
        <x:v>Aucun pouvoir nouveau accordé aux participants.</x:v>
      </x:c>
      <x:c r="J34" s="7" t="str"/>
      <x:c r="K34" s="7" t="str">
        <x:v>content/powers/PWR-ordre-coordonne.json</x:v>
      </x:c>
      <x:c r="L34" s="7" t="str"/>
      <x:c r="M34" s="7" t="str"/>
      <x:c r="N34" s="7" t="str">
        <x:v>Règle de combat conçue pour le fan game.</x:v>
      </x:c>
      <x:c r="O34" s="7" t="str"/>
      <x:c r="P34" s="7" t="str">
        <x:v>Production ME1</x:v>
      </x:c>
      <x:c r="Q34" s="7" t="str"/>
    </x:row>
    <x:row r="35" ht="36" customHeight="1">
      <x:c r="A35" s="13" t="str">
        <x:v>PWR-analyse-tactique</x:v>
      </x:c>
      <x:c r="B35" s="14" t="str">
        <x:v>Analyse tactique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Lire les résistances observées de la cible.</x:v>
      </x:c>
      <x:c r="I35" s="14" t="str">
        <x:v>Données découvertes et données inconnues distinguées.</x:v>
      </x:c>
      <x:c r="J35" s="14" t="str"/>
      <x:c r="K35" s="14" t="str">
        <x:v>content/powers/PWR-analyse-tactique.json</x:v>
      </x:c>
      <x:c r="L35" s="14" t="str"/>
      <x:c r="M35" s="14" t="str"/>
      <x:c r="N35" s="14" t="str">
        <x:v>Règle de combat conçue pour le fan game.</x:v>
      </x:c>
      <x:c r="O35" s="14" t="str"/>
      <x:c r="P35" s="14" t="str">
        <x:v>Production ME1</x:v>
      </x:c>
      <x:c r="Q35" s="14" t="str"/>
    </x:row>
    <x:row r="36" ht="36" customHeight="1">
      <x:c r="A36" s="12" t="str">
        <x:v>PWR-retraite-tactique</x:v>
      </x:c>
      <x:c r="B36" s="7" t="str">
        <x:v>Retraite tactique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Quitter un combat éligible.</x:v>
      </x:c>
      <x:c r="I36" s="7" t="str">
        <x:v>Interdiction uniquement dans les rencontres qui l’exigent.</x:v>
      </x:c>
      <x:c r="J36" s="7" t="str"/>
      <x:c r="K36" s="7" t="str">
        <x:v>content/powers/PWR-retraite-tactique.json</x:v>
      </x:c>
      <x:c r="L36" s="7" t="str"/>
      <x:c r="M36" s="7" t="str"/>
      <x:c r="N36" s="7" t="str">
        <x:v>Règle de combat conçue pour le fan game.</x:v>
      </x:c>
      <x:c r="O36" s="7" t="str"/>
      <x:c r="P36" s="7" t="str">
        <x:v>Production ME1</x:v>
      </x:c>
      <x:c r="Q36" s="7" t="str"/>
    </x:row>
  </x:sheetData>
  <x:conditionalFormatting sqref="C7:C36">
    <x:cfRule type="cellIs" dxfId="80" priority="1" operator="equal">
      <x:formula>"Prototype"</x:formula>
    </x:cfRule>
    <x:cfRule type="cellIs" dxfId="81" priority="2" operator="equal">
      <x:formula>"Intégré"</x:formula>
    </x:cfRule>
    <x:cfRule type="cellIs" dxfId="82" priority="3" operator="equal">
      <x:formula>"Validé"</x:formula>
    </x:cfRule>
  </x:conditionalFormatting>
  <x:conditionalFormatting sqref="G7:G36">
    <x:cfRule type="cellIs" dxfId="83" priority="4" operator="equal">
      <x:formula>"Référence à vérifier"</x:formula>
    </x:cfRule>
  </x:conditionalFormatting>
  <x:conditionalFormatting sqref="E7:E36">
    <x:cfRule type="cellIs" dxfId="84" priority="5" operator="equal">
      <x:formula>"P0"</x:formula>
    </x:cfRule>
  </x:conditionalFormatting>
  <x:dataValidations count="5">
    <x:dataValidation type="list" sqref="C7:C36">
      <x:formula1>"Défini,Prototype,Intégré,Validé"</x:formula1>
    </x:dataValidation>
    <x:dataValidation type="list" sqref="D7:D36">
      <x:formula1>"À produire,Prototype,Disponible,Validé,Sans objet,Non planifié"</x:formula1>
    </x:dataValidation>
    <x:dataValidation type="list" sqref="E7:E36">
      <x:formula1>"P0,P1,P2"</x:formula1>
    </x:dataValidation>
    <x:dataValidation type="list" sqref="F7:F36">
      <x:formula1>"ME1,ME2,ME3"</x:formula1>
    </x:dataValidation>
    <x:dataValidation type="list" sqref="G7:G3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1312c0affa41c1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MOV-shepard-tir-commande</x:v>
      </x:c>
      <x:c r="B7" s="14" t="str">
        <x:v>Shepard — Tir commandé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Arme équipée et compétence de classe</x:v>
      </x:c>
      <x:c r="I7" s="14" t="str">
        <x:v>Personnage éligible, cible valide, coût, délai, animation et effets contrôlés.</x:v>
      </x:c>
      <x:c r="J7" s="14" t="str">
        <x:v>CHR-shepard</x:v>
      </x:c>
      <x:c r="K7" s="14" t="str">
        <x:v>content/ally_moves/MOV-shepard-tir-commande.json</x:v>
      </x:c>
      <x:c r="L7" s="14" t="str"/>
      <x:c r="M7" s="14" t="str"/>
      <x:c r="N7" s="14" t="str">
        <x:v>Arbre de talents de ce personnage à contrôler dans ME1 ; timing ATB original.</x:v>
      </x:c>
      <x:c r="O7" s="14" t="str">
        <x:v>https://masseffect.fandom.com/wiki/Squad</x:v>
      </x:c>
      <x:c r="P7" s="14" t="str">
        <x:v>Production ME1</x:v>
      </x:c>
      <x:c r="Q7" s="14" t="str">
        <x:v>Valeurs et cadence ATB à équilibrer ; aucune promesse de reproduction des dégâts en temps réel.</x:v>
      </x:c>
    </x:row>
    <x:row r="8" ht="36" customHeight="1">
      <x:c r="A8" s="12" t="str">
        <x:v>MOV-shepard-grenade</x:v>
      </x:c>
      <x:c r="B8" s="7" t="str">
        <x:v>Shepard — Grenade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Projectile de réserve limitée</x:v>
      </x:c>
      <x:c r="I8" s="7" t="str">
        <x:v>Personnage éligible, cible valide, coût, délai, animation et effets contrôlés.</x:v>
      </x:c>
      <x:c r="J8" s="7" t="str">
        <x:v>CHR-shepard</x:v>
      </x:c>
      <x:c r="K8" s="7" t="str">
        <x:v>content/ally_moves/MOV-shepard-grenade.json</x:v>
      </x:c>
      <x:c r="L8" s="7" t="str"/>
      <x:c r="M8" s="7" t="str"/>
      <x:c r="N8" s="7" t="str">
        <x:v>Arbre de talents de ce personnage à contrôler dans ME1 ; timing ATB original.</x:v>
      </x:c>
      <x:c r="O8" s="7" t="str">
        <x:v>https://masseffect.fandom.com/wiki/Squad</x:v>
      </x:c>
      <x:c r="P8" s="7" t="str">
        <x:v>Production ME1</x:v>
      </x:c>
      <x:c r="Q8" s="7" t="str">
        <x:v>Valeurs et cadence ATB à équilibrer ; aucune promesse de reproduction des dégâts en temps réel.</x:v>
      </x:c>
    </x:row>
    <x:row r="9" ht="36" customHeight="1">
      <x:c r="A9" s="13" t="str">
        <x:v>MOV-shepard-unite</x:v>
      </x:c>
      <x:c r="B9" s="14" t="str">
        <x:v>Shepard — Unité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Relève les équipiers seulement tombés en combat</x:v>
      </x:c>
      <x:c r="I9" s="14" t="str">
        <x:v>Personnage éligible, cible valide, coût, délai, animation et effets contrôlés.</x:v>
      </x:c>
      <x:c r="J9" s="14" t="str">
        <x:v>CHR-shepard</x:v>
      </x:c>
      <x:c r="K9" s="14" t="str">
        <x:v>content/ally_moves/MOV-shepard-unite.json</x:v>
      </x:c>
      <x:c r="L9" s="14" t="str"/>
      <x:c r="M9" s="14" t="str"/>
      <x:c r="N9" s="14" t="str">
        <x:v>Arbre de talents de ce personnage à contrôler dans ME1 ; timing ATB original.</x:v>
      </x:c>
      <x:c r="O9" s="14" t="str">
        <x:v>https://masseffect.fandom.com/wiki/Squad</x:v>
      </x:c>
      <x:c r="P9" s="14" t="str">
        <x:v>Production ME1</x:v>
      </x:c>
      <x:c r="Q9" s="14" t="str">
        <x:v>Valeurs et cadence ATB à équilibrer ; aucune promesse de reproduction des dégâts en temps réel.</x:v>
      </x:c>
    </x:row>
    <x:row r="10" ht="36" customHeight="1">
      <x:c r="A10" s="12" t="str">
        <x:v>MOV-shepard-talent-militaire</x:v>
      </x:c>
      <x:c r="B10" s="7" t="str">
        <x:v>Shepard — Talent militaire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Sélection selon la classe créée</x:v>
      </x:c>
      <x:c r="I10" s="7" t="str">
        <x:v>Personnage éligible, cible valide, coût, délai, animation et effets contrôlés.</x:v>
      </x:c>
      <x:c r="J10" s="7" t="str">
        <x:v>CHR-shepard</x:v>
      </x:c>
      <x:c r="K10" s="7" t="str">
        <x:v>content/ally_moves/MOV-shepard-talent-militaire.json</x:v>
      </x:c>
      <x:c r="L10" s="7" t="str"/>
      <x:c r="M10" s="7" t="str"/>
      <x:c r="N10" s="7" t="str">
        <x:v>Arbre de talents de ce personnage à contrôler dans ME1 ; timing ATB original.</x:v>
      </x:c>
      <x:c r="O10" s="7" t="str">
        <x:v>https://masseffect.fandom.com/wiki/Squad</x:v>
      </x:c>
      <x:c r="P10" s="7" t="str">
        <x:v>Production ME1</x:v>
      </x:c>
      <x:c r="Q10" s="7" t="str">
        <x:v>Valeurs et cadence ATB à équilibrer ; aucune promesse de reproduction des dégâts en temps réel.</x:v>
      </x:c>
    </x:row>
    <x:row r="11" ht="36" customHeight="1">
      <x:c r="A11" s="13" t="str">
        <x:v>MOV-shepard-talent-technologique</x:v>
      </x:c>
      <x:c r="B11" s="14" t="str">
        <x:v>Shepard — Talent technologique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Disponible si la classe le permet</x:v>
      </x:c>
      <x:c r="I11" s="14" t="str">
        <x:v>Personnage éligible, cible valide, coût, délai, animation et effets contrôlés.</x:v>
      </x:c>
      <x:c r="J11" s="14" t="str">
        <x:v>CHR-shepard</x:v>
      </x:c>
      <x:c r="K11" s="14" t="str">
        <x:v>content/ally_moves/MOV-shepard-talent-technologique.json</x:v>
      </x:c>
      <x:c r="L11" s="14" t="str"/>
      <x:c r="M11" s="14" t="str"/>
      <x:c r="N11" s="14" t="str">
        <x:v>Arbre de talents de ce personnage à contrôler dans ME1 ; timing ATB original.</x:v>
      </x:c>
      <x:c r="O11" s="14" t="str">
        <x:v>https://masseffect.fandom.com/wiki/Squad</x:v>
      </x:c>
      <x:c r="P11" s="14" t="str">
        <x:v>Production ME1</x:v>
      </x:c>
      <x:c r="Q11" s="14" t="str">
        <x:v>Valeurs et cadence ATB à équilibrer ; aucune promesse de reproduction des dégâts en temps réel.</x:v>
      </x:c>
    </x:row>
    <x:row r="12" ht="36" customHeight="1">
      <x:c r="A12" s="12" t="str">
        <x:v>MOV-shepard-talent-biotique</x:v>
      </x:c>
      <x:c r="B12" s="7" t="str">
        <x:v>Shepard — Talent biotique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Disponible si la classe le permet</x:v>
      </x:c>
      <x:c r="I12" s="7" t="str">
        <x:v>Personnage éligible, cible valide, coût, délai, animation et effets contrôlés.</x:v>
      </x:c>
      <x:c r="J12" s="7" t="str">
        <x:v>CHR-shepard</x:v>
      </x:c>
      <x:c r="K12" s="7" t="str">
        <x:v>content/ally_moves/MOV-shepard-talent-biotique.json</x:v>
      </x:c>
      <x:c r="L12" s="7" t="str"/>
      <x:c r="M12" s="7" t="str"/>
      <x:c r="N12" s="7" t="str">
        <x:v>Arbre de talents de ce personnage à contrôler dans ME1 ; timing ATB original.</x:v>
      </x:c>
      <x:c r="O12" s="7" t="str">
        <x:v>https://masseffect.fandom.com/wiki/Squad</x:v>
      </x:c>
      <x:c r="P12" s="7" t="str">
        <x:v>Production ME1</x:v>
      </x:c>
      <x:c r="Q12" s="7" t="str">
        <x:v>Valeurs et cadence ATB à équilibrer ; aucune promesse de reproduction des dégâts en temps réel.</x:v>
      </x:c>
    </x:row>
    <x:row r="13" ht="36" customHeight="1">
      <x:c r="A13" s="13" t="str">
        <x:v>MOV-shepard-garde</x:v>
      </x:c>
      <x:c r="B13" s="14" t="str">
        <x:v>Shepard — Garde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Ordre défensif ATB</x:v>
      </x:c>
      <x:c r="I13" s="14" t="str">
        <x:v>Personnage éligible, cible valide, coût, délai, animation et effets contrôlés.</x:v>
      </x:c>
      <x:c r="J13" s="14" t="str">
        <x:v>CHR-shepard</x:v>
      </x:c>
      <x:c r="K13" s="14" t="str">
        <x:v>content/ally_moves/MOV-shepard-garde.json</x:v>
      </x:c>
      <x:c r="L13" s="14" t="str"/>
      <x:c r="M13" s="14" t="str"/>
      <x:c r="N13" s="14" t="str">
        <x:v>Arbre de talents de ce personnage à contrôler dans ME1 ; timing ATB original.</x:v>
      </x:c>
      <x:c r="O13" s="14" t="str">
        <x:v>https://masseffect.fandom.com/wiki/Squad</x:v>
      </x:c>
      <x:c r="P13" s="14" t="str">
        <x:v>Production ME1</x:v>
      </x:c>
      <x:c r="Q13" s="14" t="str">
        <x:v>Valeurs et cadence ATB à équilibrer ; aucune promesse de reproduction des dégâts en temps réel.</x:v>
      </x:c>
    </x:row>
    <x:row r="14" ht="36" customHeight="1">
      <x:c r="A14" s="12" t="str">
        <x:v>MOV-shepard-ordre-coordonne</x:v>
      </x:c>
      <x:c r="B14" s="7" t="str">
        <x:v>Shepard — Ordre coordonné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Commande d’équipe proposée</x:v>
      </x:c>
      <x:c r="I14" s="7" t="str">
        <x:v>Personnage éligible, cible valide, coût, délai, animation et effets contrôlés.</x:v>
      </x:c>
      <x:c r="J14" s="7" t="str">
        <x:v>CHR-shepard</x:v>
      </x:c>
      <x:c r="K14" s="7" t="str">
        <x:v>content/ally_moves/MOV-shepard-ordre-coordonne.json</x:v>
      </x:c>
      <x:c r="L14" s="7" t="str"/>
      <x:c r="M14" s="7" t="str"/>
      <x:c r="N14" s="7" t="str">
        <x:v>Arbre de talents de ce personnage à contrôler dans ME1 ; timing ATB original.</x:v>
      </x:c>
      <x:c r="O14" s="7" t="str">
        <x:v>https://masseffect.fandom.com/wiki/Squad</x:v>
      </x:c>
      <x:c r="P14" s="7" t="str">
        <x:v>Production ME1</x:v>
      </x:c>
      <x:c r="Q14" s="7" t="str">
        <x:v>Valeurs et cadence ATB à équilibrer ; aucune promesse de reproduction des dégâts en temps réel.</x:v>
      </x:c>
    </x:row>
    <x:row r="15" ht="36" customHeight="1">
      <x:c r="A15" s="13" t="str">
        <x:v>MOV-ashley-williams-rafale-d-assaut</x:v>
      </x:c>
      <x:c r="B15" s="14" t="str">
        <x:v>Ashley Williams — Rafale d’assaut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Pression à moyenne portée</x:v>
      </x:c>
      <x:c r="I15" s="14" t="str">
        <x:v>Personnage éligible, cible valide, coût, délai, animation et effets contrôlés.</x:v>
      </x:c>
      <x:c r="J15" s="14" t="str">
        <x:v>CHR-ashley-williams</x:v>
      </x:c>
      <x:c r="K15" s="14" t="str">
        <x:v>content/ally_moves/MOV-ashley-williams-rafale-d-assaut.json</x:v>
      </x:c>
      <x:c r="L15" s="14" t="str"/>
      <x:c r="M15" s="14" t="str"/>
      <x:c r="N15" s="14" t="str">
        <x:v>Arbre de talents de ce personnage à contrôler dans ME1 ; timing ATB original.</x:v>
      </x:c>
      <x:c r="O15" s="14" t="str">
        <x:v>https://masseffect.fandom.com/wiki/Squad</x:v>
      </x:c>
      <x:c r="P15" s="14" t="str">
        <x:v>Production ME1</x:v>
      </x:c>
      <x:c r="Q15" s="14" t="str">
        <x:v>Valeurs et cadence ATB à équilibrer ; aucune promesse de reproduction des dégâts en temps réel.</x:v>
      </x:c>
    </x:row>
    <x:row r="16" ht="36" customHeight="1">
      <x:c r="A16" s="12" t="str">
        <x:v>MOV-ashley-williams-tir-de-precision</x:v>
      </x:c>
      <x:c r="B16" s="7" t="str">
        <x:v>Ashley Williams — Tir de précision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Arme et talent appropriés</x:v>
      </x:c>
      <x:c r="I16" s="7" t="str">
        <x:v>Personnage éligible, cible valide, coût, délai, animation et effets contrôlés.</x:v>
      </x:c>
      <x:c r="J16" s="7" t="str">
        <x:v>CHR-ashley-williams</x:v>
      </x:c>
      <x:c r="K16" s="7" t="str">
        <x:v>content/ally_moves/MOV-ashley-williams-tir-de-precision.json</x:v>
      </x:c>
      <x:c r="L16" s="7" t="str"/>
      <x:c r="M16" s="7" t="str"/>
      <x:c r="N16" s="7" t="str">
        <x:v>Arbre de talents de ce personnage à contrôler dans ME1 ; timing ATB original.</x:v>
      </x:c>
      <x:c r="O16" s="7" t="str">
        <x:v>https://masseffect.fandom.com/wiki/Squad</x:v>
      </x:c>
      <x:c r="P16" s="7" t="str">
        <x:v>Production ME1</x:v>
      </x:c>
      <x:c r="Q16" s="7" t="str">
        <x:v>Valeurs et cadence ATB à équilibrer ; aucune promesse de reproduction des dégâts en temps réel.</x:v>
      </x:c>
    </x:row>
    <x:row r="17" ht="36" customHeight="1">
      <x:c r="A17" s="13" t="str">
        <x:v>MOV-ashley-williams-decharge-de-pompe</x:v>
      </x:c>
      <x:c r="B17" s="14" t="str">
        <x:v>Ashley Williams — Décharge de pompe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Réponse à courte portée</x:v>
      </x:c>
      <x:c r="I17" s="14" t="str">
        <x:v>Personnage éligible, cible valide, coût, délai, animation et effets contrôlés.</x:v>
      </x:c>
      <x:c r="J17" s="14" t="str">
        <x:v>CHR-ashley-williams</x:v>
      </x:c>
      <x:c r="K17" s="14" t="str">
        <x:v>content/ally_moves/MOV-ashley-williams-decharge-de-pompe.json</x:v>
      </x:c>
      <x:c r="L17" s="14" t="str"/>
      <x:c r="M17" s="14" t="str"/>
      <x:c r="N17" s="14" t="str">
        <x:v>Arbre de talents de ce personnage à contrôler dans ME1 ; timing ATB original.</x:v>
      </x:c>
      <x:c r="O17" s="14" t="str">
        <x:v>https://masseffect.fandom.com/wiki/Squad</x:v>
      </x:c>
      <x:c r="P17" s="14" t="str">
        <x:v>Production ME1</x:v>
      </x:c>
      <x:c r="Q17" s="14" t="str">
        <x:v>Valeurs et cadence ATB à équilibrer ; aucune promesse de reproduction des dégâts en temps réel.</x:v>
      </x:c>
    </x:row>
    <x:row r="18" ht="36" customHeight="1">
      <x:c r="A18" s="12" t="str">
        <x:v>MOV-ashley-williams-pistolet</x:v>
      </x:c>
      <x:c r="B18" s="7" t="str">
        <x:v>Ashley Williams — Pistolet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Arme secondaire</x:v>
      </x:c>
      <x:c r="I18" s="7" t="str">
        <x:v>Personnage éligible, cible valide, coût, délai, animation et effets contrôlés.</x:v>
      </x:c>
      <x:c r="J18" s="7" t="str">
        <x:v>CHR-ashley-williams</x:v>
      </x:c>
      <x:c r="K18" s="7" t="str">
        <x:v>content/ally_moves/MOV-ashley-williams-pistolet.json</x:v>
      </x:c>
      <x:c r="L18" s="7" t="str"/>
      <x:c r="M18" s="7" t="str"/>
      <x:c r="N18" s="7" t="str">
        <x:v>Arbre de talents de ce personnage à contrôler dans ME1 ; timing ATB original.</x:v>
      </x:c>
      <x:c r="O18" s="7" t="str">
        <x:v>https://masseffect.fandom.com/wiki/Squad</x:v>
      </x:c>
      <x:c r="P18" s="7" t="str">
        <x:v>Production ME1</x:v>
      </x:c>
      <x:c r="Q18" s="7" t="str">
        <x:v>Valeurs et cadence ATB à équilibrer ; aucune promesse de reproduction des dégâts en temps réel.</x:v>
      </x:c>
    </x:row>
    <x:row r="19" ht="36" customHeight="1">
      <x:c r="A19" s="13" t="str">
        <x:v>MOV-ashley-williams-resistance</x:v>
      </x:c>
      <x:c r="B19" s="14" t="str">
        <x:v>Ashley Williams — Résistance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Pouvoir militaire à vérifier</x:v>
      </x:c>
      <x:c r="I19" s="14" t="str">
        <x:v>Personnage éligible, cible valide, coût, délai, animation et effets contrôlés.</x:v>
      </x:c>
      <x:c r="J19" s="14" t="str">
        <x:v>CHR-ashley-williams</x:v>
      </x:c>
      <x:c r="K19" s="14" t="str">
        <x:v>content/ally_moves/MOV-ashley-williams-resistance.json</x:v>
      </x:c>
      <x:c r="L19" s="14" t="str"/>
      <x:c r="M19" s="14" t="str"/>
      <x:c r="N19" s="14" t="str">
        <x:v>Arbre de talents de ce personnage à contrôler dans ME1 ; timing ATB original.</x:v>
      </x:c>
      <x:c r="O19" s="14" t="str">
        <x:v>https://masseffect.fandom.com/wiki/Squad</x:v>
      </x:c>
      <x:c r="P19" s="14" t="str">
        <x:v>Production ME1</x:v>
      </x:c>
      <x:c r="Q19" s="14" t="str">
        <x:v>Valeurs et cadence ATB à équilibrer ; aucune promesse de reproduction des dégâts en temps réel.</x:v>
      </x:c>
    </x:row>
    <x:row r="20" ht="36" customHeight="1">
      <x:c r="A20" s="12" t="str">
        <x:v>MOV-ashley-williams-protection-de-couvert</x:v>
      </x:c>
      <x:c r="B20" s="7" t="str">
        <x:v>Ashley Williams — Protection de couvert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Garde de l’adaptation</x:v>
      </x:c>
      <x:c r="I20" s="7" t="str">
        <x:v>Personnage éligible, cible valide, coût, délai, animation et effets contrôlés.</x:v>
      </x:c>
      <x:c r="J20" s="7" t="str">
        <x:v>CHR-ashley-williams</x:v>
      </x:c>
      <x:c r="K20" s="7" t="str">
        <x:v>content/ally_moves/MOV-ashley-williams-protection-de-couvert.json</x:v>
      </x:c>
      <x:c r="L20" s="7" t="str"/>
      <x:c r="M20" s="7" t="str"/>
      <x:c r="N20" s="7" t="str">
        <x:v>Arbre de talents de ce personnage à contrôler dans ME1 ; timing ATB original.</x:v>
      </x:c>
      <x:c r="O20" s="7" t="str">
        <x:v>https://masseffect.fandom.com/wiki/Squad</x:v>
      </x:c>
      <x:c r="P20" s="7" t="str">
        <x:v>Production ME1</x:v>
      </x:c>
      <x:c r="Q20" s="7" t="str">
        <x:v>Valeurs et cadence ATB à équilibrer ; aucune promesse de reproduction des dégâts en temps réel.</x:v>
      </x:c>
    </x:row>
    <x:row r="21" ht="36" customHeight="1">
      <x:c r="A21" s="13" t="str">
        <x:v>MOV-kaidan-alenko-pistolet-controle</x:v>
      </x:c>
      <x:c r="B21" s="14" t="str">
        <x:v>Kaidan Alenko — Pistolet contrôlé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Tir à chaleur modérée</x:v>
      </x:c>
      <x:c r="I21" s="14" t="str">
        <x:v>Personnage éligible, cible valide, coût, délai, animation et effets contrôlés.</x:v>
      </x:c>
      <x:c r="J21" s="14" t="str">
        <x:v>CHR-kaidan-alenko</x:v>
      </x:c>
      <x:c r="K21" s="14" t="str">
        <x:v>content/ally_moves/MOV-kaidan-alenko-pistolet-controle.json</x:v>
      </x:c>
      <x:c r="L21" s="14" t="str"/>
      <x:c r="M21" s="14" t="str"/>
      <x:c r="N21" s="14" t="str">
        <x:v>Arbre de talents de ce personnage à contrôler dans ME1 ; timing ATB original.</x:v>
      </x:c>
      <x:c r="O21" s="14" t="str">
        <x:v>https://masseffect.fandom.com/wiki/Squad</x:v>
      </x:c>
      <x:c r="P21" s="14" t="str">
        <x:v>Production ME1</x:v>
      </x:c>
      <x:c r="Q21" s="14" t="str">
        <x:v>Valeurs et cadence ATB à équilibrer ; aucune promesse de reproduction des dégâts en temps réel.</x:v>
      </x:c>
    </x:row>
    <x:row r="22" ht="36" customHeight="1">
      <x:c r="A22" s="12" t="str">
        <x:v>MOV-kaidan-alenko-projection</x:v>
      </x:c>
      <x:c r="B22" s="7" t="str">
        <x:v>Kaidan Alenko — Projection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Déplacement biotique</x:v>
      </x:c>
      <x:c r="I22" s="7" t="str">
        <x:v>Personnage éligible, cible valide, coût, délai, animation et effets contrôlés.</x:v>
      </x:c>
      <x:c r="J22" s="7" t="str">
        <x:v>CHR-kaidan-alenko</x:v>
      </x:c>
      <x:c r="K22" s="7" t="str">
        <x:v>content/ally_moves/MOV-kaidan-alenko-projection.json</x:v>
      </x:c>
      <x:c r="L22" s="7" t="str"/>
      <x:c r="M22" s="7" t="str"/>
      <x:c r="N22" s="7" t="str">
        <x:v>Arbre de talents de ce personnage à contrôler dans ME1 ; timing ATB original.</x:v>
      </x:c>
      <x:c r="O22" s="7" t="str">
        <x:v>https://masseffect.fandom.com/wiki/Squad</x:v>
      </x:c>
      <x:c r="P22" s="7" t="str">
        <x:v>Production ME1</x:v>
      </x:c>
      <x:c r="Q22" s="7" t="str">
        <x:v>Valeurs et cadence ATB à équilibrer ; aucune promesse de reproduction des dégâts en temps réel.</x:v>
      </x:c>
    </x:row>
    <x:row r="23" ht="36" customHeight="1">
      <x:c r="A23" s="13" t="str">
        <x:v>MOV-kaidan-alenko-levitation</x:v>
      </x:c>
      <x:c r="B23" s="14" t="str">
        <x:v>Kaidan Alenko — Lévitation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Contrôle de cible</x:v>
      </x:c>
      <x:c r="I23" s="14" t="str">
        <x:v>Personnage éligible, cible valide, coût, délai, animation et effets contrôlés.</x:v>
      </x:c>
      <x:c r="J23" s="14" t="str">
        <x:v>CHR-kaidan-alenko</x:v>
      </x:c>
      <x:c r="K23" s="14" t="str">
        <x:v>content/ally_moves/MOV-kaidan-alenko-levitation.json</x:v>
      </x:c>
      <x:c r="L23" s="14" t="str"/>
      <x:c r="M23" s="14" t="str"/>
      <x:c r="N23" s="14" t="str">
        <x:v>Arbre de talents de ce personnage à contrôler dans ME1 ; timing ATB original.</x:v>
      </x:c>
      <x:c r="O23" s="14" t="str">
        <x:v>https://masseffect.fandom.com/wiki/Squad</x:v>
      </x:c>
      <x:c r="P23" s="14" t="str">
        <x:v>Production ME1</x:v>
      </x:c>
      <x:c r="Q23" s="14" t="str">
        <x:v>Valeurs et cadence ATB à équilibrer ; aucune promesse de reproduction des dégâts en temps réel.</x:v>
      </x:c>
    </x:row>
    <x:row r="24" ht="36" customHeight="1">
      <x:c r="A24" s="12" t="str">
        <x:v>MOV-kaidan-alenko-barriere</x:v>
      </x:c>
      <x:c r="B24" s="7" t="str">
        <x:v>Kaidan Alenko — Barrière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Protection biotique</x:v>
      </x:c>
      <x:c r="I24" s="7" t="str">
        <x:v>Personnage éligible, cible valide, coût, délai, animation et effets contrôlés.</x:v>
      </x:c>
      <x:c r="J24" s="7" t="str">
        <x:v>CHR-kaidan-alenko</x:v>
      </x:c>
      <x:c r="K24" s="7" t="str">
        <x:v>content/ally_moves/MOV-kaidan-alenko-barriere.json</x:v>
      </x:c>
      <x:c r="L24" s="7" t="str"/>
      <x:c r="M24" s="7" t="str"/>
      <x:c r="N24" s="7" t="str">
        <x:v>Arbre de talents de ce personnage à contrôler dans ME1 ; timing ATB original.</x:v>
      </x:c>
      <x:c r="O24" s="7" t="str">
        <x:v>https://masseffect.fandom.com/wiki/Squad</x:v>
      </x:c>
      <x:c r="P24" s="7" t="str">
        <x:v>Production ME1</x:v>
      </x:c>
      <x:c r="Q24" s="7" t="str">
        <x:v>Valeurs et cadence ATB à équilibrer ; aucune promesse de reproduction des dégâts en temps réel.</x:v>
      </x:c>
    </x:row>
    <x:row r="25" ht="36" customHeight="1">
      <x:c r="A25" s="13" t="str">
        <x:v>MOV-kaidan-alenko-stase</x:v>
      </x:c>
      <x:c r="B25" s="14" t="str">
        <x:v>Kaidan Alenko — Stase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Isolation avec immunité selon ME1</x:v>
      </x:c>
      <x:c r="I25" s="14" t="str">
        <x:v>Personnage éligible, cible valide, coût, délai, animation et effets contrôlés.</x:v>
      </x:c>
      <x:c r="J25" s="14" t="str">
        <x:v>CHR-kaidan-alenko</x:v>
      </x:c>
      <x:c r="K25" s="14" t="str">
        <x:v>content/ally_moves/MOV-kaidan-alenko-stase.json</x:v>
      </x:c>
      <x:c r="L25" s="14" t="str"/>
      <x:c r="M25" s="14" t="str"/>
      <x:c r="N25" s="14" t="str">
        <x:v>Arbre de talents de ce personnage à contrôler dans ME1 ; timing ATB original.</x:v>
      </x:c>
      <x:c r="O25" s="14" t="str">
        <x:v>https://masseffect.fandom.com/wiki/Squad</x:v>
      </x:c>
      <x:c r="P25" s="14" t="str">
        <x:v>Production ME1</x:v>
      </x:c>
      <x:c r="Q25" s="14" t="str">
        <x:v>Valeurs et cadence ATB à équilibrer ; aucune promesse de reproduction des dégâts en temps réel.</x:v>
      </x:c>
    </x:row>
    <x:row r="26" ht="36" customHeight="1">
      <x:c r="A26" s="12" t="str">
        <x:v>MOV-kaidan-alenko-surcharge</x:v>
      </x:c>
      <x:c r="B26" s="7" t="str">
        <x:v>Kaidan Alenko — Surcharge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Neutralisation technologique</x:v>
      </x:c>
      <x:c r="I26" s="7" t="str">
        <x:v>Personnage éligible, cible valide, coût, délai, animation et effets contrôlés.</x:v>
      </x:c>
      <x:c r="J26" s="7" t="str">
        <x:v>CHR-kaidan-alenko</x:v>
      </x:c>
      <x:c r="K26" s="7" t="str">
        <x:v>content/ally_moves/MOV-kaidan-alenko-surcharge.json</x:v>
      </x:c>
      <x:c r="L26" s="7" t="str"/>
      <x:c r="M26" s="7" t="str"/>
      <x:c r="N26" s="7" t="str">
        <x:v>Arbre de talents de ce personnage à contrôler dans ME1 ; timing ATB original.</x:v>
      </x:c>
      <x:c r="O26" s="7" t="str">
        <x:v>https://masseffect.fandom.com/wiki/Squad</x:v>
      </x:c>
      <x:c r="P26" s="7" t="str">
        <x:v>Production ME1</x:v>
      </x:c>
      <x:c r="Q26" s="7" t="str">
        <x:v>Valeurs et cadence ATB à équilibrer ; aucune promesse de reproduction des dégâts en temps réel.</x:v>
      </x:c>
    </x:row>
    <x:row r="27" ht="36" customHeight="1">
      <x:c r="A27" s="13" t="str">
        <x:v>MOV-kaidan-alenko-sabotage</x:v>
      </x:c>
      <x:c r="B27" s="14" t="str">
        <x:v>Kaidan Alenko — Sabotage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Perturbation d’arme</x:v>
      </x:c>
      <x:c r="I27" s="14" t="str">
        <x:v>Personnage éligible, cible valide, coût, délai, animation et effets contrôlés.</x:v>
      </x:c>
      <x:c r="J27" s="14" t="str">
        <x:v>CHR-kaidan-alenko</x:v>
      </x:c>
      <x:c r="K27" s="14" t="str">
        <x:v>content/ally_moves/MOV-kaidan-alenko-sabotage.json</x:v>
      </x:c>
      <x:c r="L27" s="14" t="str"/>
      <x:c r="M27" s="14" t="str"/>
      <x:c r="N27" s="14" t="str">
        <x:v>Arbre de talents de ce personnage à contrôler dans ME1 ; timing ATB original.</x:v>
      </x:c>
      <x:c r="O27" s="14" t="str">
        <x:v>https://masseffect.fandom.com/wiki/Squad</x:v>
      </x:c>
      <x:c r="P27" s="14" t="str">
        <x:v>Production ME1</x:v>
      </x:c>
      <x:c r="Q27" s="14" t="str">
        <x:v>Valeurs et cadence ATB à équilibrer ; aucune promesse de reproduction des dégâts en temps réel.</x:v>
      </x:c>
    </x:row>
    <x:row r="28" ht="36" customHeight="1">
      <x:c r="A28" s="12" t="str">
        <x:v>MOV-kaidan-alenko-premiers-secours</x:v>
      </x:c>
      <x:c r="B28" s="7" t="str">
        <x:v>Kaidan Alenko — Premiers secours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Soutien médical du commando</x:v>
      </x:c>
      <x:c r="I28" s="7" t="str">
        <x:v>Personnage éligible, cible valide, coût, délai, animation et effets contrôlés.</x:v>
      </x:c>
      <x:c r="J28" s="7" t="str">
        <x:v>CHR-kaidan-alenko</x:v>
      </x:c>
      <x:c r="K28" s="7" t="str">
        <x:v>content/ally_moves/MOV-kaidan-alenko-premiers-secours.json</x:v>
      </x:c>
      <x:c r="L28" s="7" t="str"/>
      <x:c r="M28" s="7" t="str"/>
      <x:c r="N28" s="7" t="str">
        <x:v>Arbre de talents de ce personnage à contrôler dans ME1 ; timing ATB original.</x:v>
      </x:c>
      <x:c r="O28" s="7" t="str">
        <x:v>https://masseffect.fandom.com/wiki/Squad</x:v>
      </x:c>
      <x:c r="P28" s="7" t="str">
        <x:v>Production ME1</x:v>
      </x:c>
      <x:c r="Q28" s="7" t="str">
        <x:v>Valeurs et cadence ATB à équilibrer ; aucune promesse de reproduction des dégâts en temps réel.</x:v>
      </x:c>
    </x:row>
    <x:row r="29" ht="36" customHeight="1">
      <x:c r="A29" s="13" t="str">
        <x:v>MOV-garrus-vakarian-rafale-d-assaut</x:v>
      </x:c>
      <x:c r="B29" s="14" t="str">
        <x:v>Garrus Vakarian — Rafale d’assaut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Tir soutenu depuis le couvert</x:v>
      </x:c>
      <x:c r="I29" s="14" t="str">
        <x:v>Personnage éligible, cible valide, coût, délai, animation et effets contrôlés.</x:v>
      </x:c>
      <x:c r="J29" s="14" t="str">
        <x:v>CHR-garrus-vakarian</x:v>
      </x:c>
      <x:c r="K29" s="14" t="str">
        <x:v>content/ally_moves/MOV-garrus-vakarian-rafale-d-assaut.json</x:v>
      </x:c>
      <x:c r="L29" s="14" t="str"/>
      <x:c r="M29" s="14" t="str"/>
      <x:c r="N29" s="14" t="str">
        <x:v>Arbre de talents de ce personnage à contrôler dans ME1 ; timing ATB original.</x:v>
      </x:c>
      <x:c r="O29" s="14" t="str">
        <x:v>https://masseffect.fandom.com/wiki/Squad</x:v>
      </x:c>
      <x:c r="P29" s="14" t="str">
        <x:v>Production ME1</x:v>
      </x:c>
      <x:c r="Q29" s="14" t="str">
        <x:v>Valeurs et cadence ATB à équilibrer ; aucune promesse de reproduction des dégâts en temps réel.</x:v>
      </x:c>
    </x:row>
    <x:row r="30" ht="36" customHeight="1">
      <x:c r="A30" s="12" t="str">
        <x:v>MOV-garrus-vakarian-tir-de-precision</x:v>
      </x:c>
      <x:c r="B30" s="7" t="str">
        <x:v>Garrus Vakarian — Tir de précision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Priorité aux cibles exposées</x:v>
      </x:c>
      <x:c r="I30" s="7" t="str">
        <x:v>Personnage éligible, cible valide, coût, délai, animation et effets contrôlés.</x:v>
      </x:c>
      <x:c r="J30" s="7" t="str">
        <x:v>CHR-garrus-vakarian</x:v>
      </x:c>
      <x:c r="K30" s="7" t="str">
        <x:v>content/ally_moves/MOV-garrus-vakarian-tir-de-precision.json</x:v>
      </x:c>
      <x:c r="L30" s="7" t="str"/>
      <x:c r="M30" s="7" t="str"/>
      <x:c r="N30" s="7" t="str">
        <x:v>Arbre de talents de ce personnage à contrôler dans ME1 ; timing ATB original.</x:v>
      </x:c>
      <x:c r="O30" s="7" t="str">
        <x:v>https://masseffect.fandom.com/wiki/Squad</x:v>
      </x:c>
      <x:c r="P30" s="7" t="str">
        <x:v>Production ME1</x:v>
      </x:c>
      <x:c r="Q30" s="7" t="str">
        <x:v>Valeurs et cadence ATB à équilibrer ; aucune promesse de reproduction des dégâts en temps réel.</x:v>
      </x:c>
    </x:row>
    <x:row r="31" ht="36" customHeight="1">
      <x:c r="A31" s="13" t="str">
        <x:v>MOV-garrus-vakarian-surcharge</x:v>
      </x:c>
      <x:c r="B31" s="14" t="str">
        <x:v>Garrus Vakarian — Surcharge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Attaque des protections</x:v>
      </x:c>
      <x:c r="I31" s="14" t="str">
        <x:v>Personnage éligible, cible valide, coût, délai, animation et effets contrôlés.</x:v>
      </x:c>
      <x:c r="J31" s="14" t="str">
        <x:v>CHR-garrus-vakarian</x:v>
      </x:c>
      <x:c r="K31" s="14" t="str">
        <x:v>content/ally_moves/MOV-garrus-vakarian-surcharge.json</x:v>
      </x:c>
      <x:c r="L31" s="14" t="str"/>
      <x:c r="M31" s="14" t="str"/>
      <x:c r="N31" s="14" t="str">
        <x:v>Arbre de talents de ce personnage à contrôler dans ME1 ; timing ATB original.</x:v>
      </x:c>
      <x:c r="O31" s="14" t="str">
        <x:v>https://masseffect.fandom.com/wiki/Squad</x:v>
      </x:c>
      <x:c r="P31" s="14" t="str">
        <x:v>Production ME1</x:v>
      </x:c>
      <x:c r="Q31" s="14" t="str">
        <x:v>Valeurs et cadence ATB à équilibrer ; aucune promesse de reproduction des dégâts en temps réel.</x:v>
      </x:c>
    </x:row>
    <x:row r="32" ht="36" customHeight="1">
      <x:c r="A32" s="12" t="str">
        <x:v>MOV-garrus-vakarian-sabotage</x:v>
      </x:c>
      <x:c r="B32" s="7" t="str">
        <x:v>Garrus Vakarian — Sabotage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Perturbation d’armement</x:v>
      </x:c>
      <x:c r="I32" s="7" t="str">
        <x:v>Personnage éligible, cible valide, coût, délai, animation et effets contrôlés.</x:v>
      </x:c>
      <x:c r="J32" s="7" t="str">
        <x:v>CHR-garrus-vakarian</x:v>
      </x:c>
      <x:c r="K32" s="7" t="str">
        <x:v>content/ally_moves/MOV-garrus-vakarian-sabotage.json</x:v>
      </x:c>
      <x:c r="L32" s="7" t="str"/>
      <x:c r="M32" s="7" t="str"/>
      <x:c r="N32" s="7" t="str">
        <x:v>Arbre de talents de ce personnage à contrôler dans ME1 ; timing ATB original.</x:v>
      </x:c>
      <x:c r="O32" s="7" t="str">
        <x:v>https://masseffect.fandom.com/wiki/Squad</x:v>
      </x:c>
      <x:c r="P32" s="7" t="str">
        <x:v>Production ME1</x:v>
      </x:c>
      <x:c r="Q32" s="7" t="str">
        <x:v>Valeurs et cadence ATB à équilibrer ; aucune promesse de reproduction des dégâts en temps réel.</x:v>
      </x:c>
    </x:row>
    <x:row r="33" ht="36" customHeight="1">
      <x:c r="A33" s="13" t="str">
        <x:v>MOV-garrus-vakarian-premiers-secours</x:v>
      </x:c>
      <x:c r="B33" s="14" t="str">
        <x:v>Garrus Vakarian — Premiers secours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Soutien conditionné au talent</x:v>
      </x:c>
      <x:c r="I33" s="14" t="str">
        <x:v>Personnage éligible, cible valide, coût, délai, animation et effets contrôlés.</x:v>
      </x:c>
      <x:c r="J33" s="14" t="str">
        <x:v>CHR-garrus-vakarian</x:v>
      </x:c>
      <x:c r="K33" s="14" t="str">
        <x:v>content/ally_moves/MOV-garrus-vakarian-premiers-secours.json</x:v>
      </x:c>
      <x:c r="L33" s="14" t="str"/>
      <x:c r="M33" s="14" t="str"/>
      <x:c r="N33" s="14" t="str">
        <x:v>Arbre de talents de ce personnage à contrôler dans ME1 ; timing ATB original.</x:v>
      </x:c>
      <x:c r="O33" s="14" t="str">
        <x:v>https://masseffect.fandom.com/wiki/Squad</x:v>
      </x:c>
      <x:c r="P33" s="14" t="str">
        <x:v>Production ME1</x:v>
      </x:c>
      <x:c r="Q33" s="14" t="str">
        <x:v>Valeurs et cadence ATB à équilibrer ; aucune promesse de reproduction des dégâts en temps réel.</x:v>
      </x:c>
    </x:row>
    <x:row r="34" ht="36" customHeight="1">
      <x:c r="A34" s="12" t="str">
        <x:v>MOV-garrus-vakarian-changement-de-ligne</x:v>
      </x:c>
      <x:c r="B34" s="7" t="str">
        <x:v>Garrus Vakarian — Changement de ligne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Repositionnement ATB</x:v>
      </x:c>
      <x:c r="I34" s="7" t="str">
        <x:v>Personnage éligible, cible valide, coût, délai, animation et effets contrôlés.</x:v>
      </x:c>
      <x:c r="J34" s="7" t="str">
        <x:v>CHR-garrus-vakarian</x:v>
      </x:c>
      <x:c r="K34" s="7" t="str">
        <x:v>content/ally_moves/MOV-garrus-vakarian-changement-de-ligne.json</x:v>
      </x:c>
      <x:c r="L34" s="7" t="str"/>
      <x:c r="M34" s="7" t="str"/>
      <x:c r="N34" s="7" t="str">
        <x:v>Arbre de talents de ce personnage à contrôler dans ME1 ; timing ATB original.</x:v>
      </x:c>
      <x:c r="O34" s="7" t="str">
        <x:v>https://masseffect.fandom.com/wiki/Squad</x:v>
      </x:c>
      <x:c r="P34" s="7" t="str">
        <x:v>Production ME1</x:v>
      </x:c>
      <x:c r="Q34" s="7" t="str">
        <x:v>Valeurs et cadence ATB à équilibrer ; aucune promesse de reproduction des dégâts en temps réel.</x:v>
      </x:c>
    </x:row>
    <x:row r="35" ht="36" customHeight="1">
      <x:c r="A35" s="13" t="str">
        <x:v>MOV-urdnot-wrex-decharge-de-pompe</x:v>
      </x:c>
      <x:c r="B35" s="14" t="str">
        <x:v>Urdnot Wrex — Décharge de pompe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Pression de proximité</x:v>
      </x:c>
      <x:c r="I35" s="14" t="str">
        <x:v>Personnage éligible, cible valide, coût, délai, animation et effets contrôlés.</x:v>
      </x:c>
      <x:c r="J35" s="14" t="str">
        <x:v>CHR-urdnot-wrex</x:v>
      </x:c>
      <x:c r="K35" s="14" t="str">
        <x:v>content/ally_moves/MOV-urdnot-wrex-decharge-de-pompe.json</x:v>
      </x:c>
      <x:c r="L35" s="14" t="str"/>
      <x:c r="M35" s="14" t="str"/>
      <x:c r="N35" s="14" t="str">
        <x:v>Arbre de talents de ce personnage à contrôler dans ME1 ; timing ATB original.</x:v>
      </x:c>
      <x:c r="O35" s="14" t="str">
        <x:v>https://masseffect.fandom.com/wiki/Squad</x:v>
      </x:c>
      <x:c r="P35" s="14" t="str">
        <x:v>Production ME1</x:v>
      </x:c>
      <x:c r="Q35" s="14" t="str">
        <x:v>Valeurs et cadence ATB à équilibrer ; aucune promesse de reproduction des dégâts en temps réel.</x:v>
      </x:c>
    </x:row>
    <x:row r="36" ht="36" customHeight="1">
      <x:c r="A36" s="12" t="str">
        <x:v>MOV-urdnot-wrex-rafale-d-assaut</x:v>
      </x:c>
      <x:c r="B36" s="7" t="str">
        <x:v>Urdnot Wrex — Rafale d’assaut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Couverture à moyenne portée</x:v>
      </x:c>
      <x:c r="I36" s="7" t="str">
        <x:v>Personnage éligible, cible valide, coût, délai, animation et effets contrôlés.</x:v>
      </x:c>
      <x:c r="J36" s="7" t="str">
        <x:v>CHR-urdnot-wrex</x:v>
      </x:c>
      <x:c r="K36" s="7" t="str">
        <x:v>content/ally_moves/MOV-urdnot-wrex-rafale-d-assaut.json</x:v>
      </x:c>
      <x:c r="L36" s="7" t="str"/>
      <x:c r="M36" s="7" t="str"/>
      <x:c r="N36" s="7" t="str">
        <x:v>Arbre de talents de ce personnage à contrôler dans ME1 ; timing ATB original.</x:v>
      </x:c>
      <x:c r="O36" s="7" t="str">
        <x:v>https://masseffect.fandom.com/wiki/Squad</x:v>
      </x:c>
      <x:c r="P36" s="7" t="str">
        <x:v>Production ME1</x:v>
      </x:c>
      <x:c r="Q36" s="7" t="str">
        <x:v>Valeurs et cadence ATB à équilibrer ; aucune promesse de reproduction des dégâts en temps réel.</x:v>
      </x:c>
    </x:row>
    <x:row r="37" ht="36" customHeight="1">
      <x:c r="A37" s="13" t="str">
        <x:v>MOV-urdnot-wrex-projection</x:v>
      </x:c>
      <x:c r="B37" s="14" t="str">
        <x:v>Urdnot Wrex — Projection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Pouvoir biotique à relever</x:v>
      </x:c>
      <x:c r="I37" s="14" t="str">
        <x:v>Personnage éligible, cible valide, coût, délai, animation et effets contrôlés.</x:v>
      </x:c>
      <x:c r="J37" s="14" t="str">
        <x:v>CHR-urdnot-wrex</x:v>
      </x:c>
      <x:c r="K37" s="14" t="str">
        <x:v>content/ally_moves/MOV-urdnot-wrex-projection.json</x:v>
      </x:c>
      <x:c r="L37" s="14" t="str"/>
      <x:c r="M37" s="14" t="str"/>
      <x:c r="N37" s="14" t="str">
        <x:v>Arbre de talents de ce personnage à contrôler dans ME1 ; timing ATB original.</x:v>
      </x:c>
      <x:c r="O37" s="14" t="str">
        <x:v>https://masseffect.fandom.com/wiki/Squad</x:v>
      </x:c>
      <x:c r="P37" s="14" t="str">
        <x:v>Production ME1</x:v>
      </x:c>
      <x:c r="Q37" s="14" t="str">
        <x:v>Valeurs et cadence ATB à équilibrer ; aucune promesse de reproduction des dégâts en temps réel.</x:v>
      </x:c>
    </x:row>
    <x:row r="38" ht="36" customHeight="1">
      <x:c r="A38" s="12" t="str">
        <x:v>MOV-urdnot-wrex-dechirure</x:v>
      </x:c>
      <x:c r="B38" s="7" t="str">
        <x:v>Urdnot Wrex — Déchirure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Affaiblissement biotique</x:v>
      </x:c>
      <x:c r="I38" s="7" t="str">
        <x:v>Personnage éligible, cible valide, coût, délai, animation et effets contrôlés.</x:v>
      </x:c>
      <x:c r="J38" s="7" t="str">
        <x:v>CHR-urdnot-wrex</x:v>
      </x:c>
      <x:c r="K38" s="7" t="str">
        <x:v>content/ally_moves/MOV-urdnot-wrex-dechirure.json</x:v>
      </x:c>
      <x:c r="L38" s="7" t="str"/>
      <x:c r="M38" s="7" t="str"/>
      <x:c r="N38" s="7" t="str">
        <x:v>Arbre de talents de ce personnage à contrôler dans ME1 ; timing ATB original.</x:v>
      </x:c>
      <x:c r="O38" s="7" t="str">
        <x:v>https://masseffect.fandom.com/wiki/Squad</x:v>
      </x:c>
      <x:c r="P38" s="7" t="str">
        <x:v>Production ME1</x:v>
      </x:c>
      <x:c r="Q38" s="7" t="str">
        <x:v>Valeurs et cadence ATB à équilibrer ; aucune promesse de reproduction des dégâts en temps réel.</x:v>
      </x:c>
    </x:row>
    <x:row r="39" ht="36" customHeight="1">
      <x:c r="A39" s="13" t="str">
        <x:v>MOV-urdnot-wrex-barriere</x:v>
      </x:c>
      <x:c r="B39" s="14" t="str">
        <x:v>Urdnot Wrex — Barrière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Résistance biotique</x:v>
      </x:c>
      <x:c r="I39" s="14" t="str">
        <x:v>Personnage éligible, cible valide, coût, délai, animation et effets contrôlés.</x:v>
      </x:c>
      <x:c r="J39" s="14" t="str">
        <x:v>CHR-urdnot-wrex</x:v>
      </x:c>
      <x:c r="K39" s="14" t="str">
        <x:v>content/ally_moves/MOV-urdnot-wrex-barriere.json</x:v>
      </x:c>
      <x:c r="L39" s="14" t="str"/>
      <x:c r="M39" s="14" t="str"/>
      <x:c r="N39" s="14" t="str">
        <x:v>Arbre de talents de ce personnage à contrôler dans ME1 ; timing ATB original.</x:v>
      </x:c>
      <x:c r="O39" s="14" t="str">
        <x:v>https://masseffect.fandom.com/wiki/Squad</x:v>
      </x:c>
      <x:c r="P39" s="14" t="str">
        <x:v>Production ME1</x:v>
      </x:c>
      <x:c r="Q39" s="14" t="str">
        <x:v>Valeurs et cadence ATB à équilibrer ; aucune promesse de reproduction des dégâts en temps réel.</x:v>
      </x:c>
    </x:row>
    <x:row r="40" ht="36" customHeight="1">
      <x:c r="A40" s="12" t="str">
        <x:v>MOV-urdnot-wrex-stase</x:v>
      </x:c>
      <x:c r="B40" s="7" t="str">
        <x:v>Urdnot Wrex — Stase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Contrôle avec restrictions ME1</x:v>
      </x:c>
      <x:c r="I40" s="7" t="str">
        <x:v>Personnage éligible, cible valide, coût, délai, animation et effets contrôlés.</x:v>
      </x:c>
      <x:c r="J40" s="7" t="str">
        <x:v>CHR-urdnot-wrex</x:v>
      </x:c>
      <x:c r="K40" s="7" t="str">
        <x:v>content/ally_moves/MOV-urdnot-wrex-stase.json</x:v>
      </x:c>
      <x:c r="L40" s="7" t="str"/>
      <x:c r="M40" s="7" t="str"/>
      <x:c r="N40" s="7" t="str">
        <x:v>Arbre de talents de ce personnage à contrôler dans ME1 ; timing ATB original.</x:v>
      </x:c>
      <x:c r="O40" s="7" t="str">
        <x:v>https://masseffect.fandom.com/wiki/Squad</x:v>
      </x:c>
      <x:c r="P40" s="7" t="str">
        <x:v>Production ME1</x:v>
      </x:c>
      <x:c r="Q40" s="7" t="str">
        <x:v>Valeurs et cadence ATB à équilibrer ; aucune promesse de reproduction des dégâts en temps réel.</x:v>
      </x:c>
    </x:row>
    <x:row r="41" ht="36" customHeight="1">
      <x:c r="A41" s="13" t="str">
        <x:v>MOV-urdnot-wrex-coup-physique</x:v>
      </x:c>
      <x:c r="B41" s="14" t="str">
        <x:v>Urdnot Wrex — Coup physique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Animation tenant compte de la masse krogan</x:v>
      </x:c>
      <x:c r="I41" s="14" t="str">
        <x:v>Personnage éligible, cible valide, coût, délai, animation et effets contrôlés.</x:v>
      </x:c>
      <x:c r="J41" s="14" t="str">
        <x:v>CHR-urdnot-wrex</x:v>
      </x:c>
      <x:c r="K41" s="14" t="str">
        <x:v>content/ally_moves/MOV-urdnot-wrex-coup-physique.json</x:v>
      </x:c>
      <x:c r="L41" s="14" t="str"/>
      <x:c r="M41" s="14" t="str"/>
      <x:c r="N41" s="14" t="str">
        <x:v>Arbre de talents de ce personnage à contrôler dans ME1 ; timing ATB original.</x:v>
      </x:c>
      <x:c r="O41" s="14" t="str">
        <x:v>https://masseffect.fandom.com/wiki/Squad</x:v>
      </x:c>
      <x:c r="P41" s="14" t="str">
        <x:v>Production ME1</x:v>
      </x:c>
      <x:c r="Q41" s="14" t="str">
        <x:v>Valeurs et cadence ATB à équilibrer ; aucune promesse de reproduction des dégâts en temps réel.</x:v>
      </x:c>
    </x:row>
    <x:row r="42" ht="36" customHeight="1">
      <x:c r="A42" s="12" t="str">
        <x:v>MOV-tali-zorah-nar-rayya-tir-de-pistolet</x:v>
      </x:c>
      <x:c r="B42" s="7" t="str">
        <x:v>Tali'Zorah nar Rayya — Tir de pistolet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Feu mesuré</x:v>
      </x:c>
      <x:c r="I42" s="7" t="str">
        <x:v>Personnage éligible, cible valide, coût, délai, animation et effets contrôlés.</x:v>
      </x:c>
      <x:c r="J42" s="7" t="str">
        <x:v>CHR-tali-zorah-nar-rayya</x:v>
      </x:c>
      <x:c r="K42" s="7" t="str">
        <x:v>content/ally_moves/MOV-tali-zorah-nar-rayya-tir-de-pistolet.json</x:v>
      </x:c>
      <x:c r="L42" s="7" t="str"/>
      <x:c r="M42" s="7" t="str"/>
      <x:c r="N42" s="7" t="str">
        <x:v>Arbre de talents de ce personnage à contrôler dans ME1 ; timing ATB original.</x:v>
      </x:c>
      <x:c r="O42" s="7" t="str">
        <x:v>https://masseffect.fandom.com/wiki/Squad</x:v>
      </x:c>
      <x:c r="P42" s="7" t="str">
        <x:v>Production ME1</x:v>
      </x:c>
      <x:c r="Q42" s="7" t="str">
        <x:v>Valeurs et cadence ATB à équilibrer ; aucune promesse de reproduction des dégâts en temps réel.</x:v>
      </x:c>
    </x:row>
    <x:row r="43" ht="36" customHeight="1">
      <x:c r="A43" s="13" t="str">
        <x:v>MOV-tali-zorah-nar-rayya-fusil-a-pompe</x:v>
      </x:c>
      <x:c r="B43" s="14" t="str">
        <x:v>Tali'Zorah nar Rayya — Fusil à pompe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Réponse de proximité</x:v>
      </x:c>
      <x:c r="I43" s="14" t="str">
        <x:v>Personnage éligible, cible valide, coût, délai, animation et effets contrôlés.</x:v>
      </x:c>
      <x:c r="J43" s="14" t="str">
        <x:v>CHR-tali-zorah-nar-rayya</x:v>
      </x:c>
      <x:c r="K43" s="14" t="str">
        <x:v>content/ally_moves/MOV-tali-zorah-nar-rayya-fusil-a-pompe.json</x:v>
      </x:c>
      <x:c r="L43" s="14" t="str"/>
      <x:c r="M43" s="14" t="str"/>
      <x:c r="N43" s="14" t="str">
        <x:v>Arbre de talents de ce personnage à contrôler dans ME1 ; timing ATB original.</x:v>
      </x:c>
      <x:c r="O43" s="14" t="str">
        <x:v>https://masseffect.fandom.com/wiki/Squad</x:v>
      </x:c>
      <x:c r="P43" s="14" t="str">
        <x:v>Production ME1</x:v>
      </x:c>
      <x:c r="Q43" s="14" t="str">
        <x:v>Valeurs et cadence ATB à équilibrer ; aucune promesse de reproduction des dégâts en temps réel.</x:v>
      </x:c>
    </x:row>
    <x:row r="44" ht="36" customHeight="1">
      <x:c r="A44" s="12" t="str">
        <x:v>MOV-tali-zorah-nar-rayya-piratage-d-ia</x:v>
      </x:c>
      <x:c r="B44" s="7" t="str">
        <x:v>Tali'Zorah nar Rayya — Piratage d’IA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Cible synthétique compatible</x:v>
      </x:c>
      <x:c r="I44" s="7" t="str">
        <x:v>Personnage éligible, cible valide, coût, délai, animation et effets contrôlés.</x:v>
      </x:c>
      <x:c r="J44" s="7" t="str">
        <x:v>CHR-tali-zorah-nar-rayya</x:v>
      </x:c>
      <x:c r="K44" s="7" t="str">
        <x:v>content/ally_moves/MOV-tali-zorah-nar-rayya-piratage-d-ia.json</x:v>
      </x:c>
      <x:c r="L44" s="7" t="str"/>
      <x:c r="M44" s="7" t="str"/>
      <x:c r="N44" s="7" t="str">
        <x:v>Arbre de talents de ce personnage à contrôler dans ME1 ; timing ATB original.</x:v>
      </x:c>
      <x:c r="O44" s="7" t="str">
        <x:v>https://masseffect.fandom.com/wiki/Squad</x:v>
      </x:c>
      <x:c r="P44" s="7" t="str">
        <x:v>Production ME1</x:v>
      </x:c>
      <x:c r="Q44" s="7" t="str">
        <x:v>Valeurs et cadence ATB à équilibrer ; aucune promesse de reproduction des dégâts en temps réel.</x:v>
      </x:c>
    </x:row>
    <x:row r="45" ht="36" customHeight="1">
      <x:c r="A45" s="13" t="str">
        <x:v>MOV-tali-zorah-nar-rayya-surcharge</x:v>
      </x:c>
      <x:c r="B45" s="14" t="str">
        <x:v>Tali'Zorah nar Rayya — Surcharge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Action technologique</x:v>
      </x:c>
      <x:c r="I45" s="14" t="str">
        <x:v>Personnage éligible, cible valide, coût, délai, animation et effets contrôlés.</x:v>
      </x:c>
      <x:c r="J45" s="14" t="str">
        <x:v>CHR-tali-zorah-nar-rayya</x:v>
      </x:c>
      <x:c r="K45" s="14" t="str">
        <x:v>content/ally_moves/MOV-tali-zorah-nar-rayya-surcharge.json</x:v>
      </x:c>
      <x:c r="L45" s="14" t="str"/>
      <x:c r="M45" s="14" t="str"/>
      <x:c r="N45" s="14" t="str">
        <x:v>Arbre de talents de ce personnage à contrôler dans ME1 ; timing ATB original.</x:v>
      </x:c>
      <x:c r="O45" s="14" t="str">
        <x:v>https://masseffect.fandom.com/wiki/Squad</x:v>
      </x:c>
      <x:c r="P45" s="14" t="str">
        <x:v>Production ME1</x:v>
      </x:c>
      <x:c r="Q45" s="14" t="str">
        <x:v>Valeurs et cadence ATB à équilibrer ; aucune promesse de reproduction des dégâts en temps réel.</x:v>
      </x:c>
    </x:row>
    <x:row r="46" ht="36" customHeight="1">
      <x:c r="A46" s="12" t="str">
        <x:v>MOV-tali-zorah-nar-rayya-sabotage</x:v>
      </x:c>
      <x:c r="B46" s="7" t="str">
        <x:v>Tali'Zorah nar Rayya — Sabotage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Arme ennemie perturbée</x:v>
      </x:c>
      <x:c r="I46" s="7" t="str">
        <x:v>Personnage éligible, cible valide, coût, délai, animation et effets contrôlés.</x:v>
      </x:c>
      <x:c r="J46" s="7" t="str">
        <x:v>CHR-tali-zorah-nar-rayya</x:v>
      </x:c>
      <x:c r="K46" s="7" t="str">
        <x:v>content/ally_moves/MOV-tali-zorah-nar-rayya-sabotage.json</x:v>
      </x:c>
      <x:c r="L46" s="7" t="str"/>
      <x:c r="M46" s="7" t="str"/>
      <x:c r="N46" s="7" t="str">
        <x:v>Arbre de talents de ce personnage à contrôler dans ME1 ; timing ATB original.</x:v>
      </x:c>
      <x:c r="O46" s="7" t="str">
        <x:v>https://masseffect.fandom.com/wiki/Squad</x:v>
      </x:c>
      <x:c r="P46" s="7" t="str">
        <x:v>Production ME1</x:v>
      </x:c>
      <x:c r="Q46" s="7" t="str">
        <x:v>Valeurs et cadence ATB à équilibrer ; aucune promesse de reproduction des dégâts en temps réel.</x:v>
      </x:c>
    </x:row>
    <x:row r="47" ht="36" customHeight="1">
      <x:c r="A47" s="13" t="str">
        <x:v>MOV-tali-zorah-nar-rayya-amortissement</x:v>
      </x:c>
      <x:c r="B47" s="14" t="str">
        <x:v>Tali'Zorah nar Rayya — Amortissement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Pouvoirs ennemis perturbés</x:v>
      </x:c>
      <x:c r="I47" s="14" t="str">
        <x:v>Personnage éligible, cible valide, coût, délai, animation et effets contrôlés.</x:v>
      </x:c>
      <x:c r="J47" s="14" t="str">
        <x:v>CHR-tali-zorah-nar-rayya</x:v>
      </x:c>
      <x:c r="K47" s="14" t="str">
        <x:v>content/ally_moves/MOV-tali-zorah-nar-rayya-amortissement.json</x:v>
      </x:c>
      <x:c r="L47" s="14" t="str"/>
      <x:c r="M47" s="14" t="str"/>
      <x:c r="N47" s="14" t="str">
        <x:v>Arbre de talents de ce personnage à contrôler dans ME1 ; timing ATB original.</x:v>
      </x:c>
      <x:c r="O47" s="14" t="str">
        <x:v>https://masseffect.fandom.com/wiki/Squad</x:v>
      </x:c>
      <x:c r="P47" s="14" t="str">
        <x:v>Production ME1</x:v>
      </x:c>
      <x:c r="Q47" s="14" t="str">
        <x:v>Valeurs et cadence ATB à équilibrer ; aucune promesse de reproduction des dégâts en temps réel.</x:v>
      </x:c>
    </x:row>
    <x:row r="48" ht="36" customHeight="1">
      <x:c r="A48" s="12" t="str">
        <x:v>MOV-tali-zorah-nar-rayya-premiers-secours</x:v>
      </x:c>
      <x:c r="B48" s="7" t="str">
        <x:v>Tali'Zorah nar Rayya — Premiers secours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Soutien médical selon talent</x:v>
      </x:c>
      <x:c r="I48" s="7" t="str">
        <x:v>Personnage éligible, cible valide, coût, délai, animation et effets contrôlés.</x:v>
      </x:c>
      <x:c r="J48" s="7" t="str">
        <x:v>CHR-tali-zorah-nar-rayya</x:v>
      </x:c>
      <x:c r="K48" s="7" t="str">
        <x:v>content/ally_moves/MOV-tali-zorah-nar-rayya-premiers-secours.json</x:v>
      </x:c>
      <x:c r="L48" s="7" t="str"/>
      <x:c r="M48" s="7" t="str"/>
      <x:c r="N48" s="7" t="str">
        <x:v>Arbre de talents de ce personnage à contrôler dans ME1 ; timing ATB original.</x:v>
      </x:c>
      <x:c r="O48" s="7" t="str">
        <x:v>https://masseffect.fandom.com/wiki/Squad</x:v>
      </x:c>
      <x:c r="P48" s="7" t="str">
        <x:v>Production ME1</x:v>
      </x:c>
      <x:c r="Q48" s="7" t="str">
        <x:v>Valeurs et cadence ATB à équilibrer ; aucune promesse de reproduction des dégâts en temps réel.</x:v>
      </x:c>
    </x:row>
    <x:row r="49" ht="36" customHeight="1">
      <x:c r="A49" s="13" t="str">
        <x:v>MOV-liara-t-soni-tir-de-pistolet</x:v>
      </x:c>
      <x:c r="B49" s="14" t="str">
        <x:v>Liara T'Soni — Tir de pistolet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Arme de soutien sans classe militaire inventée</x:v>
      </x:c>
      <x:c r="I49" s="14" t="str">
        <x:v>Personnage éligible, cible valide, coût, délai, animation et effets contrôlés.</x:v>
      </x:c>
      <x:c r="J49" s="14" t="str">
        <x:v>CHR-liara-t-soni</x:v>
      </x:c>
      <x:c r="K49" s="14" t="str">
        <x:v>content/ally_moves/MOV-liara-t-soni-tir-de-pistolet.json</x:v>
      </x:c>
      <x:c r="L49" s="14" t="str"/>
      <x:c r="M49" s="14" t="str"/>
      <x:c r="N49" s="14" t="str">
        <x:v>Arbre de talents de ce personnage à contrôler dans ME1 ; timing ATB original.</x:v>
      </x:c>
      <x:c r="O49" s="14" t="str">
        <x:v>https://masseffect.fandom.com/wiki/Squad</x:v>
      </x:c>
      <x:c r="P49" s="14" t="str">
        <x:v>Production ME1</x:v>
      </x:c>
      <x:c r="Q49" s="14" t="str">
        <x:v>Valeurs et cadence ATB à équilibrer ; aucune promesse de reproduction des dégâts en temps réel.</x:v>
      </x:c>
    </x:row>
    <x:row r="50" ht="36" customHeight="1">
      <x:c r="A50" s="12" t="str">
        <x:v>MOV-liara-t-soni-singularite</x:v>
      </x:c>
      <x:c r="B50" s="7" t="str">
        <x:v>Liara T'Soni — Singularité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Contrôle de groupe</x:v>
      </x:c>
      <x:c r="I50" s="7" t="str">
        <x:v>Personnage éligible, cible valide, coût, délai, animation et effets contrôlés.</x:v>
      </x:c>
      <x:c r="J50" s="7" t="str">
        <x:v>CHR-liara-t-soni</x:v>
      </x:c>
      <x:c r="K50" s="7" t="str">
        <x:v>content/ally_moves/MOV-liara-t-soni-singularite.json</x:v>
      </x:c>
      <x:c r="L50" s="7" t="str"/>
      <x:c r="M50" s="7" t="str"/>
      <x:c r="N50" s="7" t="str">
        <x:v>Arbre de talents de ce personnage à contrôler dans ME1 ; timing ATB original.</x:v>
      </x:c>
      <x:c r="O50" s="7" t="str">
        <x:v>https://masseffect.fandom.com/wiki/Squad</x:v>
      </x:c>
      <x:c r="P50" s="7" t="str">
        <x:v>Production ME1</x:v>
      </x:c>
      <x:c r="Q50" s="7" t="str">
        <x:v>Valeurs et cadence ATB à équilibrer ; aucune promesse de reproduction des dégâts en temps réel.</x:v>
      </x:c>
    </x:row>
    <x:row r="51" ht="36" customHeight="1">
      <x:c r="A51" s="13" t="str">
        <x:v>MOV-liara-t-soni-levitation</x:v>
      </x:c>
      <x:c r="B51" s="14" t="str">
        <x:v>Liara T'Soni — Lévitation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Exposition de cibles</x:v>
      </x:c>
      <x:c r="I51" s="14" t="str">
        <x:v>Personnage éligible, cible valide, coût, délai, animation et effets contrôlés.</x:v>
      </x:c>
      <x:c r="J51" s="14" t="str">
        <x:v>CHR-liara-t-soni</x:v>
      </x:c>
      <x:c r="K51" s="14" t="str">
        <x:v>content/ally_moves/MOV-liara-t-soni-levitation.json</x:v>
      </x:c>
      <x:c r="L51" s="14" t="str"/>
      <x:c r="M51" s="14" t="str"/>
      <x:c r="N51" s="14" t="str">
        <x:v>Arbre de talents de ce personnage à contrôler dans ME1 ; timing ATB original.</x:v>
      </x:c>
      <x:c r="O51" s="14" t="str">
        <x:v>https://masseffect.fandom.com/wiki/Squad</x:v>
      </x:c>
      <x:c r="P51" s="14" t="str">
        <x:v>Production ME1</x:v>
      </x:c>
      <x:c r="Q51" s="14" t="str">
        <x:v>Valeurs et cadence ATB à équilibrer ; aucune promesse de reproduction des dégâts en temps réel.</x:v>
      </x:c>
    </x:row>
    <x:row r="52" ht="36" customHeight="1">
      <x:c r="A52" s="12" t="str">
        <x:v>MOV-liara-t-soni-projection</x:v>
      </x:c>
      <x:c r="B52" s="7" t="str">
        <x:v>Liara T'Soni — Projection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Déplacement biotique</x:v>
      </x:c>
      <x:c r="I52" s="7" t="str">
        <x:v>Personnage éligible, cible valide, coût, délai, animation et effets contrôlés.</x:v>
      </x:c>
      <x:c r="J52" s="7" t="str">
        <x:v>CHR-liara-t-soni</x:v>
      </x:c>
      <x:c r="K52" s="7" t="str">
        <x:v>content/ally_moves/MOV-liara-t-soni-projection.json</x:v>
      </x:c>
      <x:c r="L52" s="7" t="str"/>
      <x:c r="M52" s="7" t="str"/>
      <x:c r="N52" s="7" t="str">
        <x:v>Arbre de talents de ce personnage à contrôler dans ME1 ; timing ATB original.</x:v>
      </x:c>
      <x:c r="O52" s="7" t="str">
        <x:v>https://masseffect.fandom.com/wiki/Squad</x:v>
      </x:c>
      <x:c r="P52" s="7" t="str">
        <x:v>Production ME1</x:v>
      </x:c>
      <x:c r="Q52" s="7" t="str">
        <x:v>Valeurs et cadence ATB à équilibrer ; aucune promesse de reproduction des dégâts en temps réel.</x:v>
      </x:c>
    </x:row>
    <x:row r="53" ht="36" customHeight="1">
      <x:c r="A53" s="13" t="str">
        <x:v>MOV-liara-t-soni-dechirure</x:v>
      </x:c>
      <x:c r="B53" s="14" t="str">
        <x:v>Liara T'Soni — Déchirure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Dégâts et affaiblissement</x:v>
      </x:c>
      <x:c r="I53" s="14" t="str">
        <x:v>Personnage éligible, cible valide, coût, délai, animation et effets contrôlés.</x:v>
      </x:c>
      <x:c r="J53" s="14" t="str">
        <x:v>CHR-liara-t-soni</x:v>
      </x:c>
      <x:c r="K53" s="14" t="str">
        <x:v>content/ally_moves/MOV-liara-t-soni-dechirure.json</x:v>
      </x:c>
      <x:c r="L53" s="14" t="str"/>
      <x:c r="M53" s="14" t="str"/>
      <x:c r="N53" s="14" t="str">
        <x:v>Arbre de talents de ce personnage à contrôler dans ME1 ; timing ATB original.</x:v>
      </x:c>
      <x:c r="O53" s="14" t="str">
        <x:v>https://masseffect.fandom.com/wiki/Squad</x:v>
      </x:c>
      <x:c r="P53" s="14" t="str">
        <x:v>Production ME1</x:v>
      </x:c>
      <x:c r="Q53" s="14" t="str">
        <x:v>Valeurs et cadence ATB à équilibrer ; aucune promesse de reproduction des dégâts en temps réel.</x:v>
      </x:c>
    </x:row>
    <x:row r="54" ht="36" customHeight="1">
      <x:c r="A54" s="12" t="str">
        <x:v>MOV-liara-t-soni-barriere</x:v>
      </x:c>
      <x:c r="B54" s="7" t="str">
        <x:v>Liara T'Soni — Barrière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Protection personnelle</x:v>
      </x:c>
      <x:c r="I54" s="7" t="str">
        <x:v>Personnage éligible, cible valide, coût, délai, animation et effets contrôlés.</x:v>
      </x:c>
      <x:c r="J54" s="7" t="str">
        <x:v>CHR-liara-t-soni</x:v>
      </x:c>
      <x:c r="K54" s="7" t="str">
        <x:v>content/ally_moves/MOV-liara-t-soni-barriere.json</x:v>
      </x:c>
      <x:c r="L54" s="7" t="str"/>
      <x:c r="M54" s="7" t="str"/>
      <x:c r="N54" s="7" t="str">
        <x:v>Arbre de talents de ce personnage à contrôler dans ME1 ; timing ATB original.</x:v>
      </x:c>
      <x:c r="O54" s="7" t="str">
        <x:v>https://masseffect.fandom.com/wiki/Squad</x:v>
      </x:c>
      <x:c r="P54" s="7" t="str">
        <x:v>Production ME1</x:v>
      </x:c>
      <x:c r="Q54" s="7" t="str">
        <x:v>Valeurs et cadence ATB à équilibrer ; aucune promesse de reproduction des dégâts en temps réel.</x:v>
      </x:c>
    </x:row>
    <x:row r="55" ht="36" customHeight="1">
      <x:c r="A55" s="13" t="str">
        <x:v>MOV-liara-t-soni-stase</x:v>
      </x:c>
      <x:c r="B55" s="14" t="str">
        <x:v>Liara T'Soni — Stase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Isolation contrôlée</x:v>
      </x:c>
      <x:c r="I55" s="14" t="str">
        <x:v>Personnage éligible, cible valide, coût, délai, animation et effets contrôlés.</x:v>
      </x:c>
      <x:c r="J55" s="14" t="str">
        <x:v>CHR-liara-t-soni</x:v>
      </x:c>
      <x:c r="K55" s="14" t="str">
        <x:v>content/ally_moves/MOV-liara-t-soni-stase.json</x:v>
      </x:c>
      <x:c r="L55" s="14" t="str"/>
      <x:c r="M55" s="14" t="str"/>
      <x:c r="N55" s="14" t="str">
        <x:v>Arbre de talents de ce personnage à contrôler dans ME1 ; timing ATB original.</x:v>
      </x:c>
      <x:c r="O55" s="14" t="str">
        <x:v>https://masseffect.fandom.com/wiki/Squad</x:v>
      </x:c>
      <x:c r="P55" s="14" t="str">
        <x:v>Production ME1</x:v>
      </x:c>
      <x:c r="Q55" s="14" t="str">
        <x:v>Valeurs et cadence ATB à équilibrer ; aucune promesse de reproduction des dégâts en temps réel.</x:v>
      </x:c>
    </x:row>
    <x:row r="56" ht="36" customHeight="1">
      <x:c r="A56" s="12" t="str">
        <x:v>MOV-liara-t-soni-premiers-secours</x:v>
      </x:c>
      <x:c r="B56" s="7" t="str">
        <x:v>Liara T'Soni — Premiers secours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Soutien selon le talent disponible</x:v>
      </x:c>
      <x:c r="I56" s="7" t="str">
        <x:v>Personnage éligible, cible valide, coût, délai, animation et effets contrôlés.</x:v>
      </x:c>
      <x:c r="J56" s="7" t="str">
        <x:v>CHR-liara-t-soni</x:v>
      </x:c>
      <x:c r="K56" s="7" t="str">
        <x:v>content/ally_moves/MOV-liara-t-soni-premiers-secours.json</x:v>
      </x:c>
      <x:c r="L56" s="7" t="str"/>
      <x:c r="M56" s="7" t="str"/>
      <x:c r="N56" s="7" t="str">
        <x:v>Arbre de talents de ce personnage à contrôler dans ME1 ; timing ATB original.</x:v>
      </x:c>
      <x:c r="O56" s="7" t="str">
        <x:v>https://masseffect.fandom.com/wiki/Squad</x:v>
      </x:c>
      <x:c r="P56" s="7" t="str">
        <x:v>Production ME1</x:v>
      </x:c>
      <x:c r="Q56" s="7" t="str">
        <x:v>Valeurs et cadence ATB à équilibrer ; aucune promesse de reproduction des dégâts en temps réel.</x:v>
      </x:c>
    </x:row>
  </x:sheetData>
  <x:conditionalFormatting sqref="C7:C56">
    <x:cfRule type="cellIs" dxfId="85" priority="1" operator="equal">
      <x:formula>"Prototype"</x:formula>
    </x:cfRule>
    <x:cfRule type="cellIs" dxfId="86" priority="2" operator="equal">
      <x:formula>"Intégré"</x:formula>
    </x:cfRule>
    <x:cfRule type="cellIs" dxfId="87" priority="3" operator="equal">
      <x:formula>"Validé"</x:formula>
    </x:cfRule>
  </x:conditionalFormatting>
  <x:conditionalFormatting sqref="G7:G56">
    <x:cfRule type="cellIs" dxfId="88" priority="4" operator="equal">
      <x:formula>"Référence à vérifier"</x:formula>
    </x:cfRule>
  </x:conditionalFormatting>
  <x:conditionalFormatting sqref="E7:E56">
    <x:cfRule type="cellIs" dxfId="89" priority="5" operator="equal">
      <x:formula>"P0"</x:formula>
    </x:cfRule>
  </x:conditionalFormatting>
  <x:dataValidations count="5">
    <x:dataValidation type="list" sqref="C7:C56">
      <x:formula1>"Défini,Prototype,Intégré,Validé"</x:formula1>
    </x:dataValidation>
    <x:dataValidation type="list" sqref="D7:D56">
      <x:formula1>"À produire,Prototype,Disponible,Validé,Sans objet,Non planifié"</x:formula1>
    </x:dataValidation>
    <x:dataValidation type="list" sqref="E7:E56">
      <x:formula1>"P0,P1,P2"</x:formula1>
    </x:dataValidation>
    <x:dataValidation type="list" sqref="F7:F56">
      <x:formula1>"ME1,ME2,ME3"</x:formula1>
    </x:dataValidation>
    <x:dataValidation type="list" sqref="G7:G5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0f977c85b0423c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EMV-drone-de-reconnaissance-geth-survol</x:v>
      </x:c>
      <x:c r="B7" s="14" t="str">
        <x:v>Drone de reconnaissance geth — Survol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Vol latéral court avant tir</x:v>
      </x:c>
      <x:c r="I7" s="14" t="str">
        <x:v>Télégraphe, cible, contre-mesure, résolution et retour à l’attente testés.</x:v>
      </x:c>
      <x:c r="J7" s="14" t="str">
        <x:v>ENM-drone-de-reconnaissance-geth</x:v>
      </x:c>
      <x:c r="K7" s="14" t="str">
        <x:v>content/enemy_moves/EMV-drone-de-reconnaissance-geth-survol.json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Interprétation ATB à confronter aux animations et comportements de ME1.</x:v>
      </x:c>
    </x:row>
    <x:row r="8" ht="36" customHeight="1">
      <x:c r="A8" s="12" t="str">
        <x:v>EMV-drone-de-reconnaissance-geth-tir-leger</x:v>
      </x:c>
      <x:c r="B8" s="7" t="str">
        <x:v>Drone de reconnaissance geth — Tir léger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Projectile vers une cible exposée</x:v>
      </x:c>
      <x:c r="I8" s="7" t="str">
        <x:v>Télégraphe, cible, contre-mesure, résolution et retour à l’attente testés.</x:v>
      </x:c>
      <x:c r="J8" s="7" t="str">
        <x:v>ENM-drone-de-reconnaissance-geth</x:v>
      </x:c>
      <x:c r="K8" s="7" t="str">
        <x:v>content/enemy_moves/EMV-drone-de-reconnaissance-geth-tir-leger.json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Interprétation ATB à confronter aux animations et comportements de ME1.</x:v>
      </x:c>
    </x:row>
    <x:row r="9" ht="36" customHeight="1">
      <x:c r="A9" s="13" t="str">
        <x:v>EMV-drone-d-assaut-geth-rafale-aerienne</x:v>
      </x:c>
      <x:c r="B9" s="14" t="str">
        <x:v>Drone d’assaut geth — Rafale aérienne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Maintien de pression depuis une hauteur</x:v>
      </x:c>
      <x:c r="I9" s="14" t="str">
        <x:v>Télégraphe, cible, contre-mesure, résolution et retour à l’attente testés.</x:v>
      </x:c>
      <x:c r="J9" s="14" t="str">
        <x:v>ENM-drone-d-assaut-geth</x:v>
      </x:c>
      <x:c r="K9" s="14" t="str">
        <x:v>content/enemy_moves/EMV-drone-d-assaut-geth-rafale-aerienne.json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Interprétation ATB à confronter aux animations et comportements de ME1.</x:v>
      </x:c>
    </x:row>
    <x:row r="10" ht="36" customHeight="1">
      <x:c r="A10" s="12" t="str">
        <x:v>EMV-drone-d-assaut-geth-repositionnement</x:v>
      </x:c>
      <x:c r="B10" s="7" t="str">
        <x:v>Drone d’assaut geth — Repositionnement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Déplacement vers un angle différent</x:v>
      </x:c>
      <x:c r="I10" s="7" t="str">
        <x:v>Télégraphe, cible, contre-mesure, résolution et retour à l’attente testés.</x:v>
      </x:c>
      <x:c r="J10" s="7" t="str">
        <x:v>ENM-drone-d-assaut-geth</x:v>
      </x:c>
      <x:c r="K10" s="7" t="str">
        <x:v>content/enemy_moves/EMV-drone-d-assaut-geth-repositionnement.json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Interprétation ATB à confronter aux animations et comportements de ME1.</x:v>
      </x:c>
    </x:row>
    <x:row r="11" ht="36" customHeight="1">
      <x:c r="A11" s="13" t="str">
        <x:v>EMV-drone-lance-roquettes-verrouillage</x:v>
      </x:c>
      <x:c r="B11" s="14" t="str">
        <x:v>Drone lance-roquettes — Verrouillage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Annonce de la zone visée</x:v>
      </x:c>
      <x:c r="I11" s="14" t="str">
        <x:v>Télégraphe, cible, contre-mesure, résolution et retour à l’attente testés.</x:v>
      </x:c>
      <x:c r="J11" s="14" t="str">
        <x:v>ENM-drone-lance-roquettes</x:v>
      </x:c>
      <x:c r="K11" s="14" t="str">
        <x:v>content/enemy_moves/EMV-drone-lance-roquettes-verrouillage.json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Interprétation ATB à confronter aux animations et comportements de ME1.</x:v>
      </x:c>
    </x:row>
    <x:row r="12" ht="36" customHeight="1">
      <x:c r="A12" s="12" t="str">
        <x:v>EMV-drone-lance-roquettes-roquette</x:v>
      </x:c>
      <x:c r="B12" s="7" t="str">
        <x:v>Drone lance-roquettes — Roquette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Résolution de l’attaque de zone</x:v>
      </x:c>
      <x:c r="I12" s="7" t="str">
        <x:v>Télégraphe, cible, contre-mesure, résolution et retour à l’attente testés.</x:v>
      </x:c>
      <x:c r="J12" s="7" t="str">
        <x:v>ENM-drone-lance-roquettes</x:v>
      </x:c>
      <x:c r="K12" s="7" t="str">
        <x:v>content/enemy_moves/EMV-drone-lance-roquettes-roquette.json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Interprétation ATB à confronter aux animations et comportements de ME1.</x:v>
      </x:c>
    </x:row>
    <x:row r="13" ht="36" customHeight="1">
      <x:c r="A13" s="13" t="str">
        <x:v>EMV-soldat-geth-rafale</x:v>
      </x:c>
      <x:c r="B13" s="14" t="str">
        <x:v>Soldat geth — Rafale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Tir standard avec récupération</x:v>
      </x:c>
      <x:c r="I13" s="14" t="str">
        <x:v>Télégraphe, cible, contre-mesure, résolution et retour à l’attente testés.</x:v>
      </x:c>
      <x:c r="J13" s="14" t="str">
        <x:v>ENM-soldat-geth</x:v>
      </x:c>
      <x:c r="K13" s="14" t="str">
        <x:v>content/enemy_moves/EMV-soldat-geth-rafale.json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Interprétation ATB à confronter aux animations et comportements de ME1.</x:v>
      </x:c>
    </x:row>
    <x:row r="14" ht="36" customHeight="1">
      <x:c r="A14" s="12" t="str">
        <x:v>EMV-soldat-geth-couvert</x:v>
      </x:c>
      <x:c r="B14" s="7" t="str">
        <x:v>Soldat geth — Couvert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Réduit son exposition</x:v>
      </x:c>
      <x:c r="I14" s="7" t="str">
        <x:v>Télégraphe, cible, contre-mesure, résolution et retour à l’attente testés.</x:v>
      </x:c>
      <x:c r="J14" s="7" t="str">
        <x:v>ENM-soldat-geth</x:v>
      </x:c>
      <x:c r="K14" s="7" t="str">
        <x:v>content/enemy_moves/EMV-soldat-geth-couvert.json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Interprétation ATB à confronter aux animations et comportements de ME1.</x:v>
      </x:c>
    </x:row>
    <x:row r="15" ht="36" customHeight="1">
      <x:c r="A15" s="13" t="str">
        <x:v>EMV-sniper-geth-visee</x:v>
      </x:c>
      <x:c r="B15" s="14" t="str">
        <x:v>Sniper geth — Visée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Ligne de tir annoncée</x:v>
      </x:c>
      <x:c r="I15" s="14" t="str">
        <x:v>Télégraphe, cible, contre-mesure, résolution et retour à l’attente testés.</x:v>
      </x:c>
      <x:c r="J15" s="14" t="str">
        <x:v>ENM-sniper-geth</x:v>
      </x:c>
      <x:c r="K15" s="14" t="str">
        <x:v>content/enemy_moves/EMV-sniper-geth-visee.json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Interprétation ATB à confronter aux animations et comportements de ME1.</x:v>
      </x:c>
    </x:row>
    <x:row r="16" ht="36" customHeight="1">
      <x:c r="A16" s="12" t="str">
        <x:v>EMV-sniper-geth-tir-precis</x:v>
      </x:c>
      <x:c r="B16" s="7" t="str">
        <x:v>Sniper geth — Tir précis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Attaque lente à forte menace</x:v>
      </x:c>
      <x:c r="I16" s="7" t="str">
        <x:v>Télégraphe, cible, contre-mesure, résolution et retour à l’attente testés.</x:v>
      </x:c>
      <x:c r="J16" s="7" t="str">
        <x:v>ENM-sniper-geth</x:v>
      </x:c>
      <x:c r="K16" s="7" t="str">
        <x:v>content/enemy_moves/EMV-sniper-geth-tir-precis.json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Interprétation ATB à confronter aux animations et comportements de ME1.</x:v>
      </x:c>
    </x:row>
    <x:row r="17" ht="36" customHeight="1">
      <x:c r="A17" s="13" t="str">
        <x:v>EMV-lance-roquettes-geth-preparation</x:v>
      </x:c>
      <x:c r="B17" s="14" t="str">
        <x:v>Lance-roquettes geth — Préparation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Pose de tir lisible</x:v>
      </x:c>
      <x:c r="I17" s="14" t="str">
        <x:v>Télégraphe, cible, contre-mesure, résolution et retour à l’attente testés.</x:v>
      </x:c>
      <x:c r="J17" s="14" t="str">
        <x:v>ENM-lance-roquettes-geth</x:v>
      </x:c>
      <x:c r="K17" s="14" t="str">
        <x:v>content/enemy_moves/EMV-lance-roquettes-geth-preparation.json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Interprétation ATB à confronter aux animations et comportements de ME1.</x:v>
      </x:c>
    </x:row>
    <x:row r="18" ht="36" customHeight="1">
      <x:c r="A18" s="12" t="str">
        <x:v>EMV-lance-roquettes-geth-explosion</x:v>
      </x:c>
      <x:c r="B18" s="7" t="str">
        <x:v>Lance-roquettes geth — Explosion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Dégâts dans la zone ciblée</x:v>
      </x:c>
      <x:c r="I18" s="7" t="str">
        <x:v>Télégraphe, cible, contre-mesure, résolution et retour à l’attente testés.</x:v>
      </x:c>
      <x:c r="J18" s="7" t="str">
        <x:v>ENM-lance-roquettes-geth</x:v>
      </x:c>
      <x:c r="K18" s="7" t="str">
        <x:v>content/enemy_moves/EMV-lance-roquettes-geth-explosion.json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Interprétation ATB à confronter aux animations et comportements de ME1.</x:v>
      </x:c>
    </x:row>
    <x:row r="19" ht="36" customHeight="1">
      <x:c r="A19" s="13" t="str">
        <x:v>EMV-soldat-de-choc-geth-feu-soutenu</x:v>
      </x:c>
      <x:c r="B19" s="14" t="str">
        <x:v>Soldat de choc geth — Feu soutenu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Attaque renforcée</x:v>
      </x:c>
      <x:c r="I19" s="14" t="str">
        <x:v>Télégraphe, cible, contre-mesure, résolution et retour à l’attente testés.</x:v>
      </x:c>
      <x:c r="J19" s="14" t="str">
        <x:v>ENM-soldat-de-choc-geth</x:v>
      </x:c>
      <x:c r="K19" s="14" t="str">
        <x:v>content/enemy_moves/EMV-soldat-de-choc-geth-feu-soutenu.json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Interprétation ATB à confronter aux animations et comportements de ME1.</x:v>
      </x:c>
    </x:row>
    <x:row r="20" ht="36" customHeight="1">
      <x:c r="A20" s="12" t="str">
        <x:v>EMV-soldat-de-choc-geth-maintien-de-position</x:v>
      </x:c>
      <x:c r="B20" s="7" t="str">
        <x:v>Soldat de choc geth — Maintien de position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Protection accrue</x:v>
      </x:c>
      <x:c r="I20" s="7" t="str">
        <x:v>Télégraphe, cible, contre-mesure, résolution et retour à l’attente testés.</x:v>
      </x:c>
      <x:c r="J20" s="7" t="str">
        <x:v>ENM-soldat-de-choc-geth</x:v>
      </x:c>
      <x:c r="K20" s="7" t="str">
        <x:v>content/enemy_moves/EMV-soldat-de-choc-geth-maintien-de-position.json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Interprétation ATB à confronter aux animations et comportements de ME1.</x:v>
      </x:c>
    </x:row>
    <x:row r="21" ht="36" customHeight="1">
      <x:c r="A21" s="13" t="str">
        <x:v>EMV-destructeur-geth-avance</x:v>
      </x:c>
      <x:c r="B21" s="14" t="str">
        <x:v>Destructeur geth — Avance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Ferme la distance</x:v>
      </x:c>
      <x:c r="I21" s="14" t="str">
        <x:v>Télégraphe, cible, contre-mesure, résolution et retour à l’attente testés.</x:v>
      </x:c>
      <x:c r="J21" s="14" t="str">
        <x:v>ENM-destructeur-geth</x:v>
      </x:c>
      <x:c r="K21" s="14" t="str">
        <x:v>content/enemy_moves/EMV-destructeur-geth-avance.json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Interprétation ATB à confronter aux animations et comportements de ME1.</x:v>
      </x:c>
    </x:row>
    <x:row r="22" ht="36" customHeight="1">
      <x:c r="A22" s="12" t="str">
        <x:v>EMV-destructeur-geth-attaque-lourde</x:v>
      </x:c>
      <x:c r="B22" s="7" t="str">
        <x:v>Destructeur geth — Attaque lourde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Punition à courte portée</x:v>
      </x:c>
      <x:c r="I22" s="7" t="str">
        <x:v>Télégraphe, cible, contre-mesure, résolution et retour à l’attente testés.</x:v>
      </x:c>
      <x:c r="J22" s="7" t="str">
        <x:v>ENM-destructeur-geth</x:v>
      </x:c>
      <x:c r="K22" s="7" t="str">
        <x:v>content/enemy_moves/EMV-destructeur-geth-attaque-lourde.json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Interprétation ATB à confronter aux animations et comportements de ME1.</x:v>
      </x:c>
    </x:row>
    <x:row r="23" ht="36" customHeight="1">
      <x:c r="A23" s="13" t="str">
        <x:v>EMV-juggernaut-geth-tir-lourd</x:v>
      </x:c>
      <x:c r="B23" s="14" t="str">
        <x:v>Juggernaut geth — Tir lourd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Pression à distance</x:v>
      </x:c>
      <x:c r="I23" s="14" t="str">
        <x:v>Télégraphe, cible, contre-mesure, résolution et retour à l’attente testés.</x:v>
      </x:c>
      <x:c r="J23" s="14" t="str">
        <x:v>ENM-juggernaut-geth</x:v>
      </x:c>
      <x:c r="K23" s="14" t="str">
        <x:v>content/enemy_moves/EMV-juggernaut-geth-tir-lourd.json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Interprétation ATB à confronter aux animations et comportements de ME1.</x:v>
      </x:c>
    </x:row>
    <x:row r="24" ht="36" customHeight="1">
      <x:c r="A24" s="12" t="str">
        <x:v>EMV-juggernaut-geth-resistance</x:v>
      </x:c>
      <x:c r="B24" s="7" t="str">
        <x:v>Juggernaut geth — Résistance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Réduit les contrôles faibles</x:v>
      </x:c>
      <x:c r="I24" s="7" t="str">
        <x:v>Télégraphe, cible, contre-mesure, résolution et retour à l’attente testés.</x:v>
      </x:c>
      <x:c r="J24" s="7" t="str">
        <x:v>ENM-juggernaut-geth</x:v>
      </x:c>
      <x:c r="K24" s="7" t="str">
        <x:v>content/enemy_moves/EMV-juggernaut-geth-resistance.json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Interprétation ATB à confronter aux animations et comportements de ME1.</x:v>
      </x:c>
    </x:row>
    <x:row r="25" ht="36" customHeight="1">
      <x:c r="A25" s="13" t="str">
        <x:v>EMV-traqueur-geth-bond-mural</x:v>
      </x:c>
      <x:c r="B25" s="14" t="str">
        <x:v>Traqueur geth — Bond mural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Change de surface d’ancrage</x:v>
      </x:c>
      <x:c r="I25" s="14" t="str">
        <x:v>Télégraphe, cible, contre-mesure, résolution et retour à l’attente testés.</x:v>
      </x:c>
      <x:c r="J25" s="14" t="str">
        <x:v>ENM-traqueur-geth</x:v>
      </x:c>
      <x:c r="K25" s="14" t="str">
        <x:v>content/enemy_moves/EMV-traqueur-geth-bond-mural.json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Interprétation ATB à confronter aux animations et comportements de ME1.</x:v>
      </x:c>
    </x:row>
    <x:row r="26" ht="36" customHeight="1">
      <x:c r="A26" s="12" t="str">
        <x:v>EMV-traqueur-geth-tir-incline</x:v>
      </x:c>
      <x:c r="B26" s="7" t="str">
        <x:v>Traqueur geth — Tir incliné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Attaque depuis un appui vertical</x:v>
      </x:c>
      <x:c r="I26" s="7" t="str">
        <x:v>Télégraphe, cible, contre-mesure, résolution et retour à l’attente testés.</x:v>
      </x:c>
      <x:c r="J26" s="7" t="str">
        <x:v>ENM-traqueur-geth</x:v>
      </x:c>
      <x:c r="K26" s="7" t="str">
        <x:v>content/enemy_moves/EMV-traqueur-geth-tir-incline.json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Interprétation ATB à confronter aux animations et comportements de ME1.</x:v>
      </x:c>
    </x:row>
    <x:row r="27" ht="36" customHeight="1">
      <x:c r="A27" s="13" t="str">
        <x:v>EMV-sapeur-geth-sabotage</x:v>
      </x:c>
      <x:c r="B27" s="14" t="str">
        <x:v>Sapeur geth — Sabotage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Perturbe une arme</x:v>
      </x:c>
      <x:c r="I27" s="14" t="str">
        <x:v>Télégraphe, cible, contre-mesure, résolution et retour à l’attente testés.</x:v>
      </x:c>
      <x:c r="J27" s="14" t="str">
        <x:v>ENM-sapeur-geth</x:v>
      </x:c>
      <x:c r="K27" s="14" t="str">
        <x:v>content/enemy_moves/EMV-sapeur-geth-sabotage.json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Interprétation ATB à confronter aux animations et comportements de ME1.</x:v>
      </x:c>
    </x:row>
    <x:row r="28" ht="36" customHeight="1">
      <x:c r="A28" s="12" t="str">
        <x:v>EMV-sapeur-geth-repli-bondissant</x:v>
      </x:c>
      <x:c r="B28" s="7" t="str">
        <x:v>Sapeur geth — Repli bondissant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Réduit la possibilité de riposte</x:v>
      </x:c>
      <x:c r="I28" s="7" t="str">
        <x:v>Télégraphe, cible, contre-mesure, résolution et retour à l’attente testés.</x:v>
      </x:c>
      <x:c r="J28" s="7" t="str">
        <x:v>ENM-sapeur-geth</x:v>
      </x:c>
      <x:c r="K28" s="7" t="str">
        <x:v>content/enemy_moves/EMV-sapeur-geth-repli-bondissant.json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Interprétation ATB à confronter aux animations et comportements de ME1.</x:v>
      </x:c>
    </x:row>
    <x:row r="29" ht="36" customHeight="1">
      <x:c r="A29" s="13" t="str">
        <x:v>EMV-fantome-geth-bond</x:v>
      </x:c>
      <x:c r="B29" s="14" t="str">
        <x:v>Fantôme geth — Bond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Déplacement rapide de couverture</x:v>
      </x:c>
      <x:c r="I29" s="14" t="str">
        <x:v>Télégraphe, cible, contre-mesure, résolution et retour à l’attente testés.</x:v>
      </x:c>
      <x:c r="J29" s="14" t="str">
        <x:v>ENM-fantome-geth</x:v>
      </x:c>
      <x:c r="K29" s="14" t="str">
        <x:v>content/enemy_moves/EMV-fantome-geth-bond.json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Interprétation ATB à confronter aux animations et comportements de ME1.</x:v>
      </x:c>
    </x:row>
    <x:row r="30" ht="36" customHeight="1">
      <x:c r="A30" s="12" t="str">
        <x:v>EMV-fantome-geth-attaque-a-verifier</x:v>
      </x:c>
      <x:c r="B30" s="7" t="str">
        <x:v>Fantôme geth — Attaque à vérifier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Comportement exact à relever avant codage</x:v>
      </x:c>
      <x:c r="I30" s="7" t="str">
        <x:v>Télégraphe, cible, contre-mesure, résolution et retour à l’attente testés.</x:v>
      </x:c>
      <x:c r="J30" s="7" t="str">
        <x:v>ENM-fantome-geth</x:v>
      </x:c>
      <x:c r="K30" s="7" t="str">
        <x:v>content/enemy_moves/EMV-fantome-geth-attaque-a-verifier.json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Interprétation ATB à confronter aux animations et comportements de ME1.</x:v>
      </x:c>
    </x:row>
    <x:row r="31" ht="36" customHeight="1">
      <x:c r="A31" s="13" t="str">
        <x:v>EMV-armature-geth-charge-du-canon</x:v>
      </x:c>
      <x:c r="B31" s="14" t="str">
        <x:v>Armature geth — Charge du canon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Télégraphe de rayon</x:v>
      </x:c>
      <x:c r="I31" s="14" t="str">
        <x:v>Télégraphe, cible, contre-mesure, résolution et retour à l’attente testés.</x:v>
      </x:c>
      <x:c r="J31" s="14" t="str">
        <x:v>ENM-armature-geth</x:v>
      </x:c>
      <x:c r="K31" s="14" t="str">
        <x:v>content/enemy_moves/EMV-armature-geth-charge-du-canon.json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Interprétation ATB à confronter aux animations et comportements de ME1.</x:v>
      </x:c>
    </x:row>
    <x:row r="32" ht="36" customHeight="1">
      <x:c r="A32" s="12" t="str">
        <x:v>EMV-armature-geth-decharge-lourde</x:v>
      </x:c>
      <x:c r="B32" s="7" t="str">
        <x:v>Armature geth — Décharge lourde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Tir nécessitant couverture ou déplacement</x:v>
      </x:c>
      <x:c r="I32" s="7" t="str">
        <x:v>Télégraphe, cible, contre-mesure, résolution et retour à l’attente testés.</x:v>
      </x:c>
      <x:c r="J32" s="7" t="str">
        <x:v>ENM-armature-geth</x:v>
      </x:c>
      <x:c r="K32" s="7" t="str">
        <x:v>content/enemy_moves/EMV-armature-geth-decharge-lourde.json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Interprétation ATB à confronter aux animations et comportements de ME1.</x:v>
      </x:c>
    </x:row>
    <x:row r="33" ht="36" customHeight="1">
      <x:c r="A33" s="13" t="str">
        <x:v>EMV-colosse-geth-canon-principal</x:v>
      </x:c>
      <x:c r="B33" s="14" t="str">
        <x:v>Colosse geth — Canon principal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Forte menace dans son axe</x:v>
      </x:c>
      <x:c r="I33" s="14" t="str">
        <x:v>Télégraphe, cible, contre-mesure, résolution et retour à l’attente testés.</x:v>
      </x:c>
      <x:c r="J33" s="14" t="str">
        <x:v>ENM-colosse-geth</x:v>
      </x:c>
      <x:c r="K33" s="14" t="str">
        <x:v>content/enemy_moves/EMV-colosse-geth-canon-principal.json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Interprétation ATB à confronter aux animations et comportements de ME1.</x:v>
      </x:c>
    </x:row>
    <x:row r="34" ht="36" customHeight="1">
      <x:c r="A34" s="12" t="str">
        <x:v>EMV-colosse-geth-reorientation</x:v>
      </x:c>
      <x:c r="B34" s="7" t="str">
        <x:v>Colosse geth — Réorientation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Prépare une nouvelle ligne de tir</x:v>
      </x:c>
      <x:c r="I34" s="7" t="str">
        <x:v>Télégraphe, cible, contre-mesure, résolution et retour à l’attente testés.</x:v>
      </x:c>
      <x:c r="J34" s="7" t="str">
        <x:v>ENM-colosse-geth</x:v>
      </x:c>
      <x:c r="K34" s="7" t="str">
        <x:v>content/enemy_moves/EMV-colosse-geth-reorientation.json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>
        <x:v>Interprétation ATB à confronter aux animations et comportements de ME1.</x:v>
      </x:c>
    </x:row>
    <x:row r="35" ht="36" customHeight="1">
      <x:c r="A35" s="13" t="str">
        <x:v>EMV-husk-ruee</x:v>
      </x:c>
      <x:c r="B35" s="14" t="str">
        <x:v>Husk — Ruée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Approche nerveuse</x:v>
      </x:c>
      <x:c r="I35" s="14" t="str">
        <x:v>Télégraphe, cible, contre-mesure, résolution et retour à l’attente testés.</x:v>
      </x:c>
      <x:c r="J35" s="14" t="str">
        <x:v>ENM-husk</x:v>
      </x:c>
      <x:c r="K35" s="14" t="str">
        <x:v>content/enemy_moves/EMV-husk-ruee.json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Interprétation ATB à confronter aux animations et comportements de ME1.</x:v>
      </x:c>
    </x:row>
    <x:row r="36" ht="36" customHeight="1">
      <x:c r="A36" s="12" t="str">
        <x:v>EMV-husk-decharge</x:v>
      </x:c>
      <x:c r="B36" s="7" t="str">
        <x:v>Husk — Décharge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Attaque de proximité à référencer</x:v>
      </x:c>
      <x:c r="I36" s="7" t="str">
        <x:v>Télégraphe, cible, contre-mesure, résolution et retour à l’attente testés.</x:v>
      </x:c>
      <x:c r="J36" s="7" t="str">
        <x:v>ENM-husk</x:v>
      </x:c>
      <x:c r="K36" s="7" t="str">
        <x:v>content/enemy_moves/EMV-husk-decharge.json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Interprétation ATB à confronter aux animations et comportements de ME1.</x:v>
      </x:c>
    </x:row>
    <x:row r="37" ht="36" customHeight="1">
      <x:c r="A37" s="13" t="str">
        <x:v>EMV-creeper-du-thorian-approche-rampante</x:v>
      </x:c>
      <x:c r="B37" s="14" t="str">
        <x:v>Creeper du Thorian — Approche rampante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Progression depuis le sol</x:v>
      </x:c>
      <x:c r="I37" s="14" t="str">
        <x:v>Télégraphe, cible, contre-mesure, résolution et retour à l’attente testés.</x:v>
      </x:c>
      <x:c r="J37" s="14" t="str">
        <x:v>ENM-creeper-du-thorian</x:v>
      </x:c>
      <x:c r="K37" s="14" t="str">
        <x:v>content/enemy_moves/EMV-creeper-du-thorian-approche-rampante.json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>
        <x:v>Interprétation ATB à confronter aux animations et comportements de ME1.</x:v>
      </x:c>
    </x:row>
    <x:row r="38" ht="36" customHeight="1">
      <x:c r="A38" s="12" t="str">
        <x:v>EMV-creeper-du-thorian-assaut-organique</x:v>
      </x:c>
      <x:c r="B38" s="7" t="str">
        <x:v>Creeper du Thorian — Assaut organique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Attaque à courte distance</x:v>
      </x:c>
      <x:c r="I38" s="7" t="str">
        <x:v>Télégraphe, cible, contre-mesure, résolution et retour à l’attente testés.</x:v>
      </x:c>
      <x:c r="J38" s="7" t="str">
        <x:v>ENM-creeper-du-thorian</x:v>
      </x:c>
      <x:c r="K38" s="7" t="str">
        <x:v>content/enemy_moves/EMV-creeper-du-thorian-assaut-organique.json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Interprétation ATB à confronter aux animations et comportements de ME1.</x:v>
      </x:c>
    </x:row>
    <x:row r="39" ht="36" customHeight="1">
      <x:c r="A39" s="13" t="str">
        <x:v>EMV-clone-asari-du-thorian-apparition</x:v>
      </x:c>
      <x:c r="B39" s="14" t="str">
        <x:v>Clone asari du Thorian — Apparition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Entrée liée au nœud actif</x:v>
      </x:c>
      <x:c r="I39" s="14" t="str">
        <x:v>Télégraphe, cible, contre-mesure, résolution et retour à l’attente testés.</x:v>
      </x:c>
      <x:c r="J39" s="14" t="str">
        <x:v>ENM-clone-asari-du-thorian</x:v>
      </x:c>
      <x:c r="K39" s="14" t="str">
        <x:v>content/enemy_moves/EMV-clone-asari-du-thorian-apparition.json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Interprétation ATB à confronter aux animations et comportements de ME1.</x:v>
      </x:c>
    </x:row>
    <x:row r="40" ht="36" customHeight="1">
      <x:c r="A40" s="12" t="str">
        <x:v>EMV-clone-asari-du-thorian-controle-biotique</x:v>
      </x:c>
      <x:c r="B40" s="7" t="str">
        <x:v>Clone asari du Thorian — Contrôle biotique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Pouvoir à relever sur référence</x:v>
      </x:c>
      <x:c r="I40" s="7" t="str">
        <x:v>Télégraphe, cible, contre-mesure, résolution et retour à l’attente testés.</x:v>
      </x:c>
      <x:c r="J40" s="7" t="str">
        <x:v>ENM-clone-asari-du-thorian</x:v>
      </x:c>
      <x:c r="K40" s="7" t="str">
        <x:v>content/enemy_moves/EMV-clone-asari-du-thorian-controle-biotique.json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Interprétation ATB à confronter aux animations et comportements de ME1.</x:v>
      </x:c>
    </x:row>
    <x:row r="41" ht="36" customHeight="1">
      <x:c r="A41" s="13" t="str">
        <x:v>EMV-rachni-ouvrier-approche-rapide</x:v>
      </x:c>
      <x:c r="B41" s="14" t="str">
        <x:v>Rachni ouvrier — Approche rapide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Petite silhouette en groupe</x:v>
      </x:c>
      <x:c r="I41" s="14" t="str">
        <x:v>Télégraphe, cible, contre-mesure, résolution et retour à l’attente testés.</x:v>
      </x:c>
      <x:c r="J41" s="14" t="str">
        <x:v>ENM-rachni-ouvrier</x:v>
      </x:c>
      <x:c r="K41" s="14" t="str">
        <x:v>content/enemy_moves/EMV-rachni-ouvrier-approche-rapide.json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>
        <x:v>Interprétation ATB à confronter aux animations et comportements de ME1.</x:v>
      </x:c>
    </x:row>
    <x:row r="42" ht="36" customHeight="1">
      <x:c r="A42" s="12" t="str">
        <x:v>EMV-rachni-ouvrier-attaque-de-contact</x:v>
      </x:c>
      <x:c r="B42" s="7" t="str">
        <x:v>Rachni ouvrier — Attaque de contact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Risque proche à documenter</x:v>
      </x:c>
      <x:c r="I42" s="7" t="str">
        <x:v>Télégraphe, cible, contre-mesure, résolution et retour à l’attente testés.</x:v>
      </x:c>
      <x:c r="J42" s="7" t="str">
        <x:v>ENM-rachni-ouvrier</x:v>
      </x:c>
      <x:c r="K42" s="7" t="str">
        <x:v>content/enemy_moves/EMV-rachni-ouvrier-attaque-de-contact.json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Interprétation ATB à confronter aux animations et comportements de ME1.</x:v>
      </x:c>
    </x:row>
    <x:row r="43" ht="36" customHeight="1">
      <x:c r="A43" s="13" t="str">
        <x:v>EMV-rachni-soldat-projection-acide</x:v>
      </x:c>
      <x:c r="B43" s="14" t="str">
        <x:v>Rachni soldat — Projection acide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Attaque à distance avec télégraphe</x:v>
      </x:c>
      <x:c r="I43" s="14" t="str">
        <x:v>Télégraphe, cible, contre-mesure, résolution et retour à l’attente testés.</x:v>
      </x:c>
      <x:c r="J43" s="14" t="str">
        <x:v>ENM-rachni-soldat</x:v>
      </x:c>
      <x:c r="K43" s="14" t="str">
        <x:v>content/enemy_moves/EMV-rachni-soldat-projection-acide.json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Interprétation ATB à confronter aux animations et comportements de ME1.</x:v>
      </x:c>
    </x:row>
    <x:row r="44" ht="36" customHeight="1">
      <x:c r="A44" s="12" t="str">
        <x:v>EMV-rachni-soldat-frappe-de-pattes</x:v>
      </x:c>
      <x:c r="B44" s="7" t="str">
        <x:v>Rachni soldat — Frappe de pattes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Réponse de proximité</x:v>
      </x:c>
      <x:c r="I44" s="7" t="str">
        <x:v>Télégraphe, cible, contre-mesure, résolution et retour à l’attente testés.</x:v>
      </x:c>
      <x:c r="J44" s="7" t="str">
        <x:v>ENM-rachni-soldat</x:v>
      </x:c>
      <x:c r="K44" s="7" t="str">
        <x:v>content/enemy_moves/EMV-rachni-soldat-frappe-de-pattes.json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Interprétation ATB à confronter aux animations et comportements de ME1.</x:v>
      </x:c>
    </x:row>
    <x:row r="45" ht="36" customHeight="1">
      <x:c r="A45" s="13" t="str">
        <x:v>EMV-guerrier-krogan-avance-armee</x:v>
      </x:c>
      <x:c r="B45" s="14" t="str">
        <x:v>Guerrier krogan — Avance armée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Tir pendant la progression</x:v>
      </x:c>
      <x:c r="I45" s="14" t="str">
        <x:v>Télégraphe, cible, contre-mesure, résolution et retour à l’attente testés.</x:v>
      </x:c>
      <x:c r="J45" s="14" t="str">
        <x:v>ENM-guerrier-krogan</x:v>
      </x:c>
      <x:c r="K45" s="14" t="str">
        <x:v>content/enemy_moves/EMV-guerrier-krogan-avance-armee.json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>
        <x:v>Interprétation ATB à confronter aux animations et comportements de ME1.</x:v>
      </x:c>
    </x:row>
    <x:row r="46" ht="36" customHeight="1">
      <x:c r="A46" s="12" t="str">
        <x:v>EMV-guerrier-krogan-frappe-lourde</x:v>
      </x:c>
      <x:c r="B46" s="7" t="str">
        <x:v>Guerrier krogan — Frappe lourde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Punition d’une cible proche</x:v>
      </x:c>
      <x:c r="I46" s="7" t="str">
        <x:v>Télégraphe, cible, contre-mesure, résolution et retour à l’attente testés.</x:v>
      </x:c>
      <x:c r="J46" s="7" t="str">
        <x:v>ENM-guerrier-krogan</x:v>
      </x:c>
      <x:c r="K46" s="7" t="str">
        <x:v>content/enemy_moves/EMV-guerrier-krogan-frappe-lourde.json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>
        <x:v>Interprétation ATB à confronter aux animations et comportements de ME1.</x:v>
      </x:c>
    </x:row>
    <x:row r="47" ht="36" customHeight="1">
      <x:c r="A47" s="13" t="str">
        <x:v>EMV-maitre-de-guerre-krogan-barriere</x:v>
      </x:c>
      <x:c r="B47" s="14" t="str">
        <x:v>Maître de guerre krogan — Barrière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Défense avant assaut</x:v>
      </x:c>
      <x:c r="I47" s="14" t="str">
        <x:v>Télégraphe, cible, contre-mesure, résolution et retour à l’attente testés.</x:v>
      </x:c>
      <x:c r="J47" s="14" t="str">
        <x:v>ENM-maitre-de-guerre-krogan</x:v>
      </x:c>
      <x:c r="K47" s="14" t="str">
        <x:v>content/enemy_moves/EMV-maitre-de-guerre-krogan-barriere.json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>
        <x:v>Interprétation ATB à confronter aux animations et comportements de ME1.</x:v>
      </x:c>
    </x:row>
    <x:row r="48" ht="36" customHeight="1">
      <x:c r="A48" s="12" t="str">
        <x:v>EMV-maitre-de-guerre-krogan-controle-biotique</x:v>
      </x:c>
      <x:c r="B48" s="7" t="str">
        <x:v>Maître de guerre krogan — Contrôle biotique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Interruption à contre-mesure</x:v>
      </x:c>
      <x:c r="I48" s="7" t="str">
        <x:v>Télégraphe, cible, contre-mesure, résolution et retour à l’attente testés.</x:v>
      </x:c>
      <x:c r="J48" s="7" t="str">
        <x:v>ENM-maitre-de-guerre-krogan</x:v>
      </x:c>
      <x:c r="K48" s="7" t="str">
        <x:v>content/enemy_moves/EMV-maitre-de-guerre-krogan-controle-biotique.json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>
        <x:v>Interprétation ATB à confronter aux animations et comportements de ME1.</x:v>
      </x:c>
    </x:row>
    <x:row r="49" ht="36" customHeight="1">
      <x:c r="A49" s="13" t="str">
        <x:v>EMV-mercenaire-humain-tir-depuis-couvert</x:v>
      </x:c>
      <x:c r="B49" s="14" t="str">
        <x:v>Mercenaire humain — Tir depuis couvert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Infanterie standard</x:v>
      </x:c>
      <x:c r="I49" s="14" t="str">
        <x:v>Télégraphe, cible, contre-mesure, résolution et retour à l’attente testés.</x:v>
      </x:c>
      <x:c r="J49" s="14" t="str">
        <x:v>ENM-mercenaire-humain</x:v>
      </x:c>
      <x:c r="K49" s="14" t="str">
        <x:v>content/enemy_moves/EMV-mercenaire-humain-tir-depuis-couvert.json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>
        <x:v>Interprétation ATB à confronter aux animations et comportements de ME1.</x:v>
      </x:c>
    </x:row>
    <x:row r="50" ht="36" customHeight="1">
      <x:c r="A50" s="12" t="str">
        <x:v>EMV-mercenaire-humain-grenade-eventuelle</x:v>
      </x:c>
      <x:c r="B50" s="7" t="str">
        <x:v>Mercenaire humain — Grenade éventuelle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Arsenal à vérifier par rencontre</x:v>
      </x:c>
      <x:c r="I50" s="7" t="str">
        <x:v>Télégraphe, cible, contre-mesure, résolution et retour à l’attente testés.</x:v>
      </x:c>
      <x:c r="J50" s="7" t="str">
        <x:v>ENM-mercenaire-humain</x:v>
      </x:c>
      <x:c r="K50" s="7" t="str">
        <x:v>content/enemy_moves/EMV-mercenaire-humain-grenade-eventuelle.json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>
        <x:v>Interprétation ATB à confronter aux animations et comportements de ME1.</x:v>
      </x:c>
    </x:row>
    <x:row r="51" ht="36" customHeight="1">
      <x:c r="A51" s="13" t="str">
        <x:v>EMV-mercenaire-turien-tir-precis</x:v>
      </x:c>
      <x:c r="B51" s="14" t="str">
        <x:v>Mercenaire turien — Tir précis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Arme de la rencontre</x:v>
      </x:c>
      <x:c r="I51" s="14" t="str">
        <x:v>Télégraphe, cible, contre-mesure, résolution et retour à l’attente testés.</x:v>
      </x:c>
      <x:c r="J51" s="14" t="str">
        <x:v>ENM-mercenaire-turien</x:v>
      </x:c>
      <x:c r="K51" s="14" t="str">
        <x:v>content/enemy_moves/EMV-mercenaire-turien-tir-precis.json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>
        <x:v>Interprétation ATB à confronter aux animations et comportements de ME1.</x:v>
      </x:c>
    </x:row>
    <x:row r="52" ht="36" customHeight="1">
      <x:c r="A52" s="12" t="str">
        <x:v>EMV-mercenaire-turien-flanc</x:v>
      </x:c>
      <x:c r="B52" s="7" t="str">
        <x:v>Mercenaire turien — Flanc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Repositionnement de l’adaptation</x:v>
      </x:c>
      <x:c r="I52" s="7" t="str">
        <x:v>Télégraphe, cible, contre-mesure, résolution et retour à l’attente testés.</x:v>
      </x:c>
      <x:c r="J52" s="7" t="str">
        <x:v>ENM-mercenaire-turien</x:v>
      </x:c>
      <x:c r="K52" s="7" t="str">
        <x:v>content/enemy_moves/EMV-mercenaire-turien-flanc.json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>
        <x:v>Interprétation ATB à confronter aux animations et comportements de ME1.</x:v>
      </x:c>
    </x:row>
    <x:row r="53" ht="36" customHeight="1">
      <x:c r="A53" s="13" t="str">
        <x:v>EMV-mercenaire-galarien-attaque-technique</x:v>
      </x:c>
      <x:c r="B53" s="14" t="str">
        <x:v>Mercenaire galarien — Attaque technique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Pouvoir à vérifier</x:v>
      </x:c>
      <x:c r="I53" s="14" t="str">
        <x:v>Télégraphe, cible, contre-mesure, résolution et retour à l’attente testés.</x:v>
      </x:c>
      <x:c r="J53" s="14" t="str">
        <x:v>ENM-mercenaire-galarien</x:v>
      </x:c>
      <x:c r="K53" s="14" t="str">
        <x:v>content/enemy_moves/EMV-mercenaire-galarien-attaque-technique.json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>
        <x:v>Interprétation ATB à confronter aux animations et comportements de ME1.</x:v>
      </x:c>
    </x:row>
    <x:row r="54" ht="36" customHeight="1">
      <x:c r="A54" s="12" t="str">
        <x:v>EMV-mercenaire-galarien-repli</x:v>
      </x:c>
      <x:c r="B54" s="7" t="str">
        <x:v>Mercenaire galarien — Repli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Protection de sa position</x:v>
      </x:c>
      <x:c r="I54" s="7" t="str">
        <x:v>Télégraphe, cible, contre-mesure, résolution et retour à l’attente testés.</x:v>
      </x:c>
      <x:c r="J54" s="7" t="str">
        <x:v>ENM-mercenaire-galarien</x:v>
      </x:c>
      <x:c r="K54" s="7" t="str">
        <x:v>content/enemy_moves/EMV-mercenaire-galarien-repli.json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>
        <x:v>Interprétation ATB à confronter aux animations et comportements de ME1.</x:v>
      </x:c>
    </x:row>
    <x:row r="55" ht="36" customHeight="1">
      <x:c r="A55" s="13" t="str">
        <x:v>EMV-commando-asari-controle-biotique</x:v>
      </x:c>
      <x:c r="B55" s="14" t="str">
        <x:v>Commando asari — Contrôle biotique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Immobilisation ou déplacement</x:v>
      </x:c>
      <x:c r="I55" s="14" t="str">
        <x:v>Télégraphe, cible, contre-mesure, résolution et retour à l’attente testés.</x:v>
      </x:c>
      <x:c r="J55" s="14" t="str">
        <x:v>ENM-commando-asari</x:v>
      </x:c>
      <x:c r="K55" s="14" t="str">
        <x:v>content/enemy_moves/EMV-commando-asari-controle-biotique.json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>
        <x:v>Interprétation ATB à confronter aux animations et comportements de ME1.</x:v>
      </x:c>
    </x:row>
    <x:row r="56" ht="36" customHeight="1">
      <x:c r="A56" s="12" t="str">
        <x:v>EMV-commando-asari-barriere</x:v>
      </x:c>
      <x:c r="B56" s="7" t="str">
        <x:v>Commando asari — Barrière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Défense temporaire</x:v>
      </x:c>
      <x:c r="I56" s="7" t="str">
        <x:v>Télégraphe, cible, contre-mesure, résolution et retour à l’attente testés.</x:v>
      </x:c>
      <x:c r="J56" s="7" t="str">
        <x:v>ENM-commando-asari</x:v>
      </x:c>
      <x:c r="K56" s="7" t="str">
        <x:v>content/enemy_moves/EMV-commando-asari-barriere.json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>
        <x:v>Interprétation ATB à confronter aux animations et comportements de ME1.</x:v>
      </x:c>
    </x:row>
    <x:row r="57" ht="36" customHeight="1">
      <x:c r="A57" s="13" t="str">
        <x:v>EMV-fanatique-biotique-projection</x:v>
      </x:c>
      <x:c r="B57" s="14" t="str">
        <x:v>Fanatique biotique — Projection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Repousse une cible</x:v>
      </x:c>
      <x:c r="I57" s="14" t="str">
        <x:v>Télégraphe, cible, contre-mesure, résolution et retour à l’attente testés.</x:v>
      </x:c>
      <x:c r="J57" s="14" t="str">
        <x:v>ENM-fanatique-biotique</x:v>
      </x:c>
      <x:c r="K57" s="14" t="str">
        <x:v>content/enemy_moves/EMV-fanatique-biotique-projection.json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>
        <x:v>Interprétation ATB à confronter aux animations et comportements de ME1.</x:v>
      </x:c>
    </x:row>
    <x:row r="58" ht="36" customHeight="1">
      <x:c r="A58" s="12" t="str">
        <x:v>EMV-fanatique-biotique-levitation</x:v>
      </x:c>
      <x:c r="B58" s="7" t="str">
        <x:v>Fanatique biotique — Lévitation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Expose une cible</x:v>
      </x:c>
      <x:c r="I58" s="7" t="str">
        <x:v>Télégraphe, cible, contre-mesure, résolution et retour à l’attente testés.</x:v>
      </x:c>
      <x:c r="J58" s="7" t="str">
        <x:v>ENM-fanatique-biotique</x:v>
      </x:c>
      <x:c r="K58" s="7" t="str">
        <x:v>content/enemy_moves/EMV-fanatique-biotique-levitation.json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>
        <x:v>Interprétation ATB à confronter aux animations et comportements de ME1.</x:v>
      </x:c>
    </x:row>
    <x:row r="59" ht="36" customHeight="1">
      <x:c r="A59" s="13" t="str">
        <x:v>EMV-varren-course</x:v>
      </x:c>
      <x:c r="B59" s="14" t="str">
        <x:v>Varren — Course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Adaptation</x:v>
      </x:c>
      <x:c r="H59" s="14" t="str">
        <x:v>Ferme rapidement la distance</x:v>
      </x:c>
      <x:c r="I59" s="14" t="str">
        <x:v>Télégraphe, cible, contre-mesure, résolution et retour à l’attente testés.</x:v>
      </x:c>
      <x:c r="J59" s="14" t="str">
        <x:v>ENM-varren</x:v>
      </x:c>
      <x:c r="K59" s="14" t="str">
        <x:v>content/enemy_moves/EMV-varren-course.json</x:v>
      </x:c>
      <x:c r="L59" s="14" t="str"/>
      <x:c r="M59" s="14" t="str"/>
      <x:c r="N59" s="14" t="str">
        <x:v>Décisions du fan game ; aucune prétention de canon officiel</x:v>
      </x:c>
      <x:c r="O59" s="14" t="str"/>
      <x:c r="P59" s="14" t="str">
        <x:v>Production ME1</x:v>
      </x:c>
      <x:c r="Q59" s="14" t="str">
        <x:v>Interprétation ATB à confronter aux animations et comportements de ME1.</x:v>
      </x:c>
    </x:row>
    <x:row r="60" ht="36" customHeight="1">
      <x:c r="A60" s="12" t="str">
        <x:v>EMV-varren-morsure</x:v>
      </x:c>
      <x:c r="B60" s="7" t="str">
        <x:v>Varren — Morsure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Adaptation</x:v>
      </x:c>
      <x:c r="H60" s="7" t="str">
        <x:v>Attaque physique de proximité</x:v>
      </x:c>
      <x:c r="I60" s="7" t="str">
        <x:v>Télégraphe, cible, contre-mesure, résolution et retour à l’attente testés.</x:v>
      </x:c>
      <x:c r="J60" s="7" t="str">
        <x:v>ENM-varren</x:v>
      </x:c>
      <x:c r="K60" s="7" t="str">
        <x:v>content/enemy_moves/EMV-varren-morsure.json</x:v>
      </x:c>
      <x:c r="L60" s="7" t="str"/>
      <x:c r="M60" s="7" t="str"/>
      <x:c r="N60" s="7" t="str">
        <x:v>Décisions du fan game ; aucune prétention de canon officiel</x:v>
      </x:c>
      <x:c r="O60" s="7" t="str"/>
      <x:c r="P60" s="7" t="str">
        <x:v>Production ME1</x:v>
      </x:c>
      <x:c r="Q60" s="7" t="str">
        <x:v>Interprétation ATB à confronter aux animations et comportements de ME1.</x:v>
      </x:c>
    </x:row>
    <x:row r="61" ht="36" customHeight="1">
      <x:c r="A61" s="13" t="str">
        <x:v>EMV-devoreur-emergence</x:v>
      </x:c>
      <x:c r="B61" s="14" t="str">
        <x:v>Dévoreur — Émergence</x:v>
      </x:c>
      <x:c r="C61" s="10" t="str">
        <x:v>Défini</x:v>
      </x:c>
      <x:c r="D61" s="11" t="str">
        <x:v>À produire</x:v>
      </x:c>
      <x:c r="E61" s="15" t="str">
        <x:v>P1</x:v>
      </x:c>
      <x:c r="F61" s="15" t="str">
        <x:v>ME1</x:v>
      </x:c>
      <x:c r="G61" s="15" t="str">
        <x:v>Adaptation</x:v>
      </x:c>
      <x:c r="H61" s="14" t="str">
        <x:v>Annonce de la sortie du sol</x:v>
      </x:c>
      <x:c r="I61" s="14" t="str">
        <x:v>Télégraphe, cible, contre-mesure, résolution et retour à l’attente testés.</x:v>
      </x:c>
      <x:c r="J61" s="14" t="str">
        <x:v>ENM-devoreur</x:v>
      </x:c>
      <x:c r="K61" s="14" t="str">
        <x:v>content/enemy_moves/EMV-devoreur-emergence.json</x:v>
      </x:c>
      <x:c r="L61" s="14" t="str"/>
      <x:c r="M61" s="14" t="str"/>
      <x:c r="N61" s="14" t="str">
        <x:v>Décisions du fan game ; aucune prétention de canon officiel</x:v>
      </x:c>
      <x:c r="O61" s="14" t="str"/>
      <x:c r="P61" s="14" t="str">
        <x:v>Production ME1</x:v>
      </x:c>
      <x:c r="Q61" s="14" t="str">
        <x:v>Interprétation ATB à confronter aux animations et comportements de ME1.</x:v>
      </x:c>
    </x:row>
    <x:row r="62" ht="36" customHeight="1">
      <x:c r="A62" s="12" t="str">
        <x:v>EMV-devoreur-acide</x:v>
      </x:c>
      <x:c r="B62" s="7" t="str">
        <x:v>Dévoreur — Acide</x:v>
      </x:c>
      <x:c r="C62" s="10" t="str">
        <x:v>Défini</x:v>
      </x:c>
      <x:c r="D62" s="11" t="str">
        <x:v>À produire</x:v>
      </x:c>
      <x:c r="E62" s="9" t="str">
        <x:v>P1</x:v>
      </x:c>
      <x:c r="F62" s="9" t="str">
        <x:v>ME1</x:v>
      </x:c>
      <x:c r="G62" s="9" t="str">
        <x:v>Adaptation</x:v>
      </x:c>
      <x:c r="H62" s="7" t="str">
        <x:v>Zone de danger au sol</x:v>
      </x:c>
      <x:c r="I62" s="7" t="str">
        <x:v>Télégraphe, cible, contre-mesure, résolution et retour à l’attente testés.</x:v>
      </x:c>
      <x:c r="J62" s="7" t="str">
        <x:v>ENM-devoreur</x:v>
      </x:c>
      <x:c r="K62" s="7" t="str">
        <x:v>content/enemy_moves/EMV-devoreur-acide.json</x:v>
      </x:c>
      <x:c r="L62" s="7" t="str"/>
      <x:c r="M62" s="7" t="str"/>
      <x:c r="N62" s="7" t="str">
        <x:v>Décisions du fan game ; aucune prétention de canon officiel</x:v>
      </x:c>
      <x:c r="O62" s="7" t="str"/>
      <x:c r="P62" s="7" t="str">
        <x:v>Production ME1</x:v>
      </x:c>
      <x:c r="Q62" s="7" t="str">
        <x:v>Interprétation ATB à confronter aux animations et comportements de ME1.</x:v>
      </x:c>
    </x:row>
    <x:row r="63" ht="36" customHeight="1">
      <x:c r="A63" s="13" t="str">
        <x:v>EMV-devoreur-enfouissement</x:v>
      </x:c>
      <x:c r="B63" s="14" t="str">
        <x:v>Dévoreur — Enfouissement</x:v>
      </x:c>
      <x:c r="C63" s="10" t="str">
        <x:v>Défini</x:v>
      </x:c>
      <x:c r="D63" s="11" t="str">
        <x:v>À produire</x:v>
      </x:c>
      <x:c r="E63" s="15" t="str">
        <x:v>P1</x:v>
      </x:c>
      <x:c r="F63" s="15" t="str">
        <x:v>ME1</x:v>
      </x:c>
      <x:c r="G63" s="15" t="str">
        <x:v>Adaptation</x:v>
      </x:c>
      <x:c r="H63" s="14" t="str">
        <x:v>Changement de position</x:v>
      </x:c>
      <x:c r="I63" s="14" t="str">
        <x:v>Télégraphe, cible, contre-mesure, résolution et retour à l’attente testés.</x:v>
      </x:c>
      <x:c r="J63" s="14" t="str">
        <x:v>ENM-devoreur</x:v>
      </x:c>
      <x:c r="K63" s="14" t="str">
        <x:v>content/enemy_moves/EMV-devoreur-enfouissement.json</x:v>
      </x:c>
      <x:c r="L63" s="14" t="str"/>
      <x:c r="M63" s="14" t="str"/>
      <x:c r="N63" s="14" t="str">
        <x:v>Décisions du fan game ; aucune prétention de canon officiel</x:v>
      </x:c>
      <x:c r="O63" s="14" t="str"/>
      <x:c r="P63" s="14" t="str">
        <x:v>Production ME1</x:v>
      </x:c>
      <x:c r="Q63" s="14" t="str">
        <x:v>Interprétation ATB à confronter aux animations et comportements de ME1.</x:v>
      </x:c>
    </x:row>
    <x:row r="64" ht="36" customHeight="1">
      <x:c r="A64" s="12" t="str">
        <x:v>EMV-tourelle-automatisee-balayage</x:v>
      </x:c>
      <x:c r="B64" s="7" t="str">
        <x:v>Tourelle automatisée — Balayage</x:v>
      </x:c>
      <x:c r="C64" s="10" t="str">
        <x:v>Défini</x:v>
      </x:c>
      <x:c r="D64" s="11" t="str">
        <x:v>À produire</x:v>
      </x:c>
      <x:c r="E64" s="9" t="str">
        <x:v>P1</x:v>
      </x:c>
      <x:c r="F64" s="9" t="str">
        <x:v>ME1</x:v>
      </x:c>
      <x:c r="G64" s="9" t="str">
        <x:v>Adaptation</x:v>
      </x:c>
      <x:c r="H64" s="7" t="str">
        <x:v>Rotation dans son arc</x:v>
      </x:c>
      <x:c r="I64" s="7" t="str">
        <x:v>Télégraphe, cible, contre-mesure, résolution et retour à l’attente testés.</x:v>
      </x:c>
      <x:c r="J64" s="7" t="str">
        <x:v>ENM-tourelle-automatisee</x:v>
      </x:c>
      <x:c r="K64" s="7" t="str">
        <x:v>content/enemy_moves/EMV-tourelle-automatisee-balayage.json</x:v>
      </x:c>
      <x:c r="L64" s="7" t="str"/>
      <x:c r="M64" s="7" t="str"/>
      <x:c r="N64" s="7" t="str">
        <x:v>Décisions du fan game ; aucune prétention de canon officiel</x:v>
      </x:c>
      <x:c r="O64" s="7" t="str"/>
      <x:c r="P64" s="7" t="str">
        <x:v>Production ME1</x:v>
      </x:c>
      <x:c r="Q64" s="7" t="str">
        <x:v>Interprétation ATB à confronter aux animations et comportements de ME1.</x:v>
      </x:c>
    </x:row>
    <x:row r="65" ht="36" customHeight="1">
      <x:c r="A65" s="13" t="str">
        <x:v>EMV-tourelle-automatisee-rafale-fixe</x:v>
      </x:c>
      <x:c r="B65" s="14" t="str">
        <x:v>Tourelle automatisée — Rafale fixe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Adaptation</x:v>
      </x:c>
      <x:c r="H65" s="14" t="str">
        <x:v>Tir depuis un point immobile</x:v>
      </x:c>
      <x:c r="I65" s="14" t="str">
        <x:v>Télégraphe, cible, contre-mesure, résolution et retour à l’attente testés.</x:v>
      </x:c>
      <x:c r="J65" s="14" t="str">
        <x:v>ENM-tourelle-automatisee</x:v>
      </x:c>
      <x:c r="K65" s="14" t="str">
        <x:v>content/enemy_moves/EMV-tourelle-automatisee-rafale-fixe.json</x:v>
      </x:c>
      <x:c r="L65" s="14" t="str"/>
      <x:c r="M65" s="14" t="str"/>
      <x:c r="N65" s="14" t="str">
        <x:v>Décisions du fan game ; aucune prétention de canon officiel</x:v>
      </x:c>
      <x:c r="O65" s="14" t="str"/>
      <x:c r="P65" s="14" t="str">
        <x:v>Production ME1</x:v>
      </x:c>
      <x:c r="Q65" s="14" t="str">
        <x:v>Interprétation ATB à confronter aux animations et comportements de ME1.</x:v>
      </x:c>
    </x:row>
    <x:row r="66" ht="36" customHeight="1">
      <x:c r="A66" s="12" t="str">
        <x:v>EMV-fist-tir-de-defense</x:v>
      </x:c>
      <x:c r="B66" s="7" t="str">
        <x:v>Fist — Tir de défense</x:v>
      </x:c>
      <x:c r="C66" s="10" t="str">
        <x:v>Défini</x:v>
      </x:c>
      <x:c r="D66" s="11" t="str">
        <x:v>À produire</x:v>
      </x:c>
      <x:c r="E66" s="9" t="str">
        <x:v>P1</x:v>
      </x:c>
      <x:c r="F66" s="9" t="str">
        <x:v>ME1</x:v>
      </x:c>
      <x:c r="G66" s="9" t="str">
        <x:v>Adaptation</x:v>
      </x:c>
      <x:c r="H66" s="7" t="str">
        <x:v>Arme de la rencontre</x:v>
      </x:c>
      <x:c r="I66" s="7" t="str">
        <x:v>Télégraphe, cible, contre-mesure, résolution et retour à l’attente testés.</x:v>
      </x:c>
      <x:c r="J66" s="7" t="str">
        <x:v>ENM-fist</x:v>
      </x:c>
      <x:c r="K66" s="7" t="str">
        <x:v>content/enemy_moves/EMV-fist-tir-de-defense.json</x:v>
      </x:c>
      <x:c r="L66" s="7" t="str"/>
      <x:c r="M66" s="7" t="str"/>
      <x:c r="N66" s="7" t="str">
        <x:v>Décisions du fan game ; aucune prétention de canon officiel</x:v>
      </x:c>
      <x:c r="O66" s="7" t="str"/>
      <x:c r="P66" s="7" t="str">
        <x:v>Production ME1</x:v>
      </x:c>
      <x:c r="Q66" s="7" t="str">
        <x:v>Interprétation ATB à confronter aux animations et comportements de ME1.</x:v>
      </x:c>
    </x:row>
    <x:row r="67" ht="36" customHeight="1">
      <x:c r="A67" s="13" t="str">
        <x:v>EMV-fist-appel-aux-defenses</x:v>
      </x:c>
      <x:c r="B67" s="14" t="str">
        <x:v>Fist — Appel aux défenses</x:v>
      </x:c>
      <x:c r="C67" s="10" t="str">
        <x:v>Défini</x:v>
      </x:c>
      <x:c r="D67" s="11" t="str">
        <x:v>À produire</x:v>
      </x:c>
      <x:c r="E67" s="15" t="str">
        <x:v>P1</x:v>
      </x:c>
      <x:c r="F67" s="15" t="str">
        <x:v>ME1</x:v>
      </x:c>
      <x:c r="G67" s="15" t="str">
        <x:v>Adaptation</x:v>
      </x:c>
      <x:c r="H67" s="14" t="str">
        <x:v>Interaction avec la salle à vérifier</x:v>
      </x:c>
      <x:c r="I67" s="14" t="str">
        <x:v>Télégraphe, cible, contre-mesure, résolution et retour à l’attente testés.</x:v>
      </x:c>
      <x:c r="J67" s="14" t="str">
        <x:v>ENM-fist</x:v>
      </x:c>
      <x:c r="K67" s="14" t="str">
        <x:v>content/enemy_moves/EMV-fist-appel-aux-defenses.json</x:v>
      </x:c>
      <x:c r="L67" s="14" t="str"/>
      <x:c r="M67" s="14" t="str"/>
      <x:c r="N67" s="14" t="str">
        <x:v>Décisions du fan game ; aucune prétention de canon officiel</x:v>
      </x:c>
      <x:c r="O67" s="14" t="str"/>
      <x:c r="P67" s="14" t="str">
        <x:v>Production ME1</x:v>
      </x:c>
      <x:c r="Q67" s="14" t="str">
        <x:v>Interprétation ATB à confronter aux animations et comportements de ME1.</x:v>
      </x:c>
    </x:row>
    <x:row r="68" ht="36" customHeight="1">
      <x:c r="A68" s="12" t="str">
        <x:v>EMV-matriarche-benezia-vague-de-soutien</x:v>
      </x:c>
      <x:c r="B68" s="7" t="str">
        <x:v>Matriarche Benezia — Vague de soutien</x:v>
      </x:c>
      <x:c r="C68" s="10" t="str">
        <x:v>Défini</x:v>
      </x:c>
      <x:c r="D68" s="11" t="str">
        <x:v>À produire</x:v>
      </x:c>
      <x:c r="E68" s="9" t="str">
        <x:v>P1</x:v>
      </x:c>
      <x:c r="F68" s="9" t="str">
        <x:v>ME1</x:v>
      </x:c>
      <x:c r="G68" s="9" t="str">
        <x:v>Adaptation</x:v>
      </x:c>
      <x:c r="H68" s="7" t="str">
        <x:v>Renforts selon la phase</x:v>
      </x:c>
      <x:c r="I68" s="7" t="str">
        <x:v>Télégraphe, cible, contre-mesure, résolution et retour à l’attente testés.</x:v>
      </x:c>
      <x:c r="J68" s="7" t="str">
        <x:v>ENM-matriarche-benezia</x:v>
      </x:c>
      <x:c r="K68" s="7" t="str">
        <x:v>content/enemy_moves/EMV-matriarche-benezia-vague-de-soutien.json</x:v>
      </x:c>
      <x:c r="L68" s="7" t="str"/>
      <x:c r="M68" s="7" t="str"/>
      <x:c r="N68" s="7" t="str">
        <x:v>Décisions du fan game ; aucune prétention de canon officiel</x:v>
      </x:c>
      <x:c r="O68" s="7" t="str"/>
      <x:c r="P68" s="7" t="str">
        <x:v>Production ME1</x:v>
      </x:c>
      <x:c r="Q68" s="7" t="str">
        <x:v>Interprétation ATB à confronter aux animations et comportements de ME1.</x:v>
      </x:c>
    </x:row>
    <x:row r="69" ht="36" customHeight="1">
      <x:c r="A69" s="13" t="str">
        <x:v>EMV-matriarche-benezia-pouvoir-biotique</x:v>
      </x:c>
      <x:c r="B69" s="14" t="str">
        <x:v>Matriarche Benezia — Pouvoir biotique</x:v>
      </x:c>
      <x:c r="C69" s="10" t="str">
        <x:v>Défini</x:v>
      </x:c>
      <x:c r="D69" s="11" t="str">
        <x:v>À produire</x:v>
      </x:c>
      <x:c r="E69" s="15" t="str">
        <x:v>P1</x:v>
      </x:c>
      <x:c r="F69" s="15" t="str">
        <x:v>ME1</x:v>
      </x:c>
      <x:c r="G69" s="15" t="str">
        <x:v>Adaptation</x:v>
      </x:c>
      <x:c r="H69" s="14" t="str">
        <x:v>Cible et effet à relever</x:v>
      </x:c>
      <x:c r="I69" s="14" t="str">
        <x:v>Télégraphe, cible, contre-mesure, résolution et retour à l’attente testés.</x:v>
      </x:c>
      <x:c r="J69" s="14" t="str">
        <x:v>ENM-matriarche-benezia</x:v>
      </x:c>
      <x:c r="K69" s="14" t="str">
        <x:v>content/enemy_moves/EMV-matriarche-benezia-pouvoir-biotique.json</x:v>
      </x:c>
      <x:c r="L69" s="14" t="str"/>
      <x:c r="M69" s="14" t="str"/>
      <x:c r="N69" s="14" t="str">
        <x:v>Décisions du fan game ; aucune prétention de canon officiel</x:v>
      </x:c>
      <x:c r="O69" s="14" t="str"/>
      <x:c r="P69" s="14" t="str">
        <x:v>Production ME1</x:v>
      </x:c>
      <x:c r="Q69" s="14" t="str">
        <x:v>Interprétation ATB à confronter aux animations et comportements de ME1.</x:v>
      </x:c>
    </x:row>
    <x:row r="70" ht="36" customHeight="1">
      <x:c r="A70" s="12" t="str">
        <x:v>EMV-matriarche-benezia-phase-de-dialogue</x:v>
      </x:c>
      <x:c r="B70" s="7" t="str">
        <x:v>Matriarche Benezia — Phase de dialogue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Adaptation</x:v>
      </x:c>
      <x:c r="H70" s="7" t="str">
        <x:v>Transition narrative après seuil</x:v>
      </x:c>
      <x:c r="I70" s="7" t="str">
        <x:v>Télégraphe, cible, contre-mesure, résolution et retour à l’attente testés.</x:v>
      </x:c>
      <x:c r="J70" s="7" t="str">
        <x:v>ENM-matriarche-benezia</x:v>
      </x:c>
      <x:c r="K70" s="7" t="str">
        <x:v>content/enemy_moves/EMV-matriarche-benezia-phase-de-dialogue.json</x:v>
      </x:c>
      <x:c r="L70" s="7" t="str"/>
      <x:c r="M70" s="7" t="str"/>
      <x:c r="N70" s="7" t="str">
        <x:v>Décisions du fan game ; aucune prétention de canon officiel</x:v>
      </x:c>
      <x:c r="O70" s="7" t="str"/>
      <x:c r="P70" s="7" t="str">
        <x:v>Production ME1</x:v>
      </x:c>
      <x:c r="Q70" s="7" t="str">
        <x:v>Interprétation ATB à confronter aux animations et comportements de ME1.</x:v>
      </x:c>
    </x:row>
    <x:row r="71" ht="36" customHeight="1">
      <x:c r="A71" s="13" t="str">
        <x:v>EMV-thorian-n-ud-expose</x:v>
      </x:c>
      <x:c r="B71" s="14" t="str">
        <x:v>Thorian — Nœud exposé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Adaptation</x:v>
      </x:c>
      <x:c r="H71" s="14" t="str">
        <x:v>Objectif destructible de phase</x:v>
      </x:c>
      <x:c r="I71" s="14" t="str">
        <x:v>Télégraphe, cible, contre-mesure, résolution et retour à l’attente testés.</x:v>
      </x:c>
      <x:c r="J71" s="14" t="str">
        <x:v>ENM-thorian</x:v>
      </x:c>
      <x:c r="K71" s="14" t="str">
        <x:v>content/enemy_moves/EMV-thorian-n-ud-expose.json</x:v>
      </x:c>
      <x:c r="L71" s="14" t="str"/>
      <x:c r="M71" s="14" t="str"/>
      <x:c r="N71" s="14" t="str">
        <x:v>Décisions du fan game ; aucune prétention de canon officiel</x:v>
      </x:c>
      <x:c r="O71" s="14" t="str"/>
      <x:c r="P71" s="14" t="str">
        <x:v>Production ME1</x:v>
      </x:c>
      <x:c r="Q71" s="14" t="str">
        <x:v>Interprétation ATB à confronter aux animations et comportements de ME1.</x:v>
      </x:c>
    </x:row>
    <x:row r="72" ht="36" customHeight="1">
      <x:c r="A72" s="12" t="str">
        <x:v>EMV-thorian-appel-de-creatures</x:v>
      </x:c>
      <x:c r="B72" s="7" t="str">
        <x:v>Thorian — Appel de créatures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Adaptation</x:v>
      </x:c>
      <x:c r="H72" s="7" t="str">
        <x:v>Renforts organiques</x:v>
      </x:c>
      <x:c r="I72" s="7" t="str">
        <x:v>Télégraphe, cible, contre-mesure, résolution et retour à l’attente testés.</x:v>
      </x:c>
      <x:c r="J72" s="7" t="str">
        <x:v>ENM-thorian</x:v>
      </x:c>
      <x:c r="K72" s="7" t="str">
        <x:v>content/enemy_moves/EMV-thorian-appel-de-creatures.json</x:v>
      </x:c>
      <x:c r="L72" s="7" t="str"/>
      <x:c r="M72" s="7" t="str"/>
      <x:c r="N72" s="7" t="str">
        <x:v>Décisions du fan game ; aucune prétention de canon officiel</x:v>
      </x:c>
      <x:c r="O72" s="7" t="str"/>
      <x:c r="P72" s="7" t="str">
        <x:v>Production ME1</x:v>
      </x:c>
      <x:c r="Q72" s="7" t="str">
        <x:v>Interprétation ATB à confronter aux animations et comportements de ME1.</x:v>
      </x:c>
    </x:row>
    <x:row r="73" ht="36" customHeight="1">
      <x:c r="A73" s="13" t="str">
        <x:v>EMV-thorian-clone-asari</x:v>
      </x:c>
      <x:c r="B73" s="14" t="str">
        <x:v>Thorian — Clone asari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Adaptation</x:v>
      </x:c>
      <x:c r="H73" s="14" t="str">
        <x:v>Rencontre liée à la progression</x:v>
      </x:c>
      <x:c r="I73" s="14" t="str">
        <x:v>Télégraphe, cible, contre-mesure, résolution et retour à l’attente testés.</x:v>
      </x:c>
      <x:c r="J73" s="14" t="str">
        <x:v>ENM-thorian</x:v>
      </x:c>
      <x:c r="K73" s="14" t="str">
        <x:v>content/enemy_moves/EMV-thorian-clone-asari.json</x:v>
      </x:c>
      <x:c r="L73" s="14" t="str"/>
      <x:c r="M73" s="14" t="str"/>
      <x:c r="N73" s="14" t="str">
        <x:v>Décisions du fan game ; aucune prétention de canon officiel</x:v>
      </x:c>
      <x:c r="O73" s="14" t="str"/>
      <x:c r="P73" s="14" t="str">
        <x:v>Production ME1</x:v>
      </x:c>
      <x:c r="Q73" s="14" t="str">
        <x:v>Interprétation ATB à confronter aux animations et comportements de ME1.</x:v>
      </x:c>
    </x:row>
    <x:row r="74" ht="36" customHeight="1">
      <x:c r="A74" s="12" t="str">
        <x:v>EMV-saren-sur-virmire-mobilite-aerienne</x:v>
      </x:c>
      <x:c r="B74" s="7" t="str">
        <x:v>Saren sur Virmire — Mobilité aérienne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Adaptation</x:v>
      </x:c>
      <x:c r="H74" s="7" t="str">
        <x:v>Changement de position scénarisé</x:v>
      </x:c>
      <x:c r="I74" s="7" t="str">
        <x:v>Télégraphe, cible, contre-mesure, résolution et retour à l’attente testés.</x:v>
      </x:c>
      <x:c r="J74" s="7" t="str">
        <x:v>ENM-saren-sur-virmire</x:v>
      </x:c>
      <x:c r="K74" s="7" t="str">
        <x:v>content/enemy_moves/EMV-saren-sur-virmire-mobilite-aerienne.json</x:v>
      </x:c>
      <x:c r="L74" s="7" t="str"/>
      <x:c r="M74" s="7" t="str"/>
      <x:c r="N74" s="7" t="str">
        <x:v>Décisions du fan game ; aucune prétention de canon officiel</x:v>
      </x:c>
      <x:c r="O74" s="7" t="str"/>
      <x:c r="P74" s="7" t="str">
        <x:v>Production ME1</x:v>
      </x:c>
      <x:c r="Q74" s="7" t="str">
        <x:v>Interprétation ATB à confronter aux animations et comportements de ME1.</x:v>
      </x:c>
    </x:row>
    <x:row r="75" ht="36" customHeight="1">
      <x:c r="A75" s="13" t="str">
        <x:v>EMV-saren-sur-virmire-attaque-armee</x:v>
      </x:c>
      <x:c r="B75" s="14" t="str">
        <x:v>Saren sur Virmire — Attaque armée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Adaptation</x:v>
      </x:c>
      <x:c r="H75" s="14" t="str">
        <x:v>Pression à distance</x:v>
      </x:c>
      <x:c r="I75" s="14" t="str">
        <x:v>Télégraphe, cible, contre-mesure, résolution et retour à l’attente testés.</x:v>
      </x:c>
      <x:c r="J75" s="14" t="str">
        <x:v>ENM-saren-sur-virmire</x:v>
      </x:c>
      <x:c r="K75" s="14" t="str">
        <x:v>content/enemy_moves/EMV-saren-sur-virmire-attaque-armee.json</x:v>
      </x:c>
      <x:c r="L75" s="14" t="str"/>
      <x:c r="M75" s="14" t="str"/>
      <x:c r="N75" s="14" t="str">
        <x:v>Décisions du fan game ; aucune prétention de canon officiel</x:v>
      </x:c>
      <x:c r="O75" s="14" t="str"/>
      <x:c r="P75" s="14" t="str">
        <x:v>Production ME1</x:v>
      </x:c>
      <x:c r="Q75" s="14" t="str">
        <x:v>Interprétation ATB à confronter aux animations et comportements de ME1.</x:v>
      </x:c>
    </x:row>
    <x:row r="76" ht="36" customHeight="1">
      <x:c r="A76" s="12" t="str">
        <x:v>EMV-saren-sur-virmire-fin-de-confrontation</x:v>
      </x:c>
      <x:c r="B76" s="7" t="str">
        <x:v>Saren sur Virmire — Fin de confrontation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Adaptation</x:v>
      </x:c>
      <x:c r="H76" s="7" t="str">
        <x:v>Sortie narrative sans mort prématurée</x:v>
      </x:c>
      <x:c r="I76" s="7" t="str">
        <x:v>Télégraphe, cible, contre-mesure, résolution et retour à l’attente testés.</x:v>
      </x:c>
      <x:c r="J76" s="7" t="str">
        <x:v>ENM-saren-sur-virmire</x:v>
      </x:c>
      <x:c r="K76" s="7" t="str">
        <x:v>content/enemy_moves/EMV-saren-sur-virmire-fin-de-confrontation.json</x:v>
      </x:c>
      <x:c r="L76" s="7" t="str"/>
      <x:c r="M76" s="7" t="str"/>
      <x:c r="N76" s="7" t="str">
        <x:v>Décisions du fan game ; aucune prétention de canon officiel</x:v>
      </x:c>
      <x:c r="O76" s="7" t="str"/>
      <x:c r="P76" s="7" t="str">
        <x:v>Production ME1</x:v>
      </x:c>
      <x:c r="Q76" s="7" t="str">
        <x:v>Interprétation ATB à confronter aux animations et comportements de ME1.</x:v>
      </x:c>
    </x:row>
    <x:row r="77" ht="36" customHeight="1">
      <x:c r="A77" s="13" t="str">
        <x:v>EMV-saren-a-la-citadelle-confrontation-verbale</x:v>
      </x:c>
      <x:c r="B77" s="14" t="str">
        <x:v>Saren à la Citadelle — Confrontation verbale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Adaptation</x:v>
      </x:c>
      <x:c r="H77" s="14" t="str">
        <x:v>Possibilité de persuasion</x:v>
      </x:c>
      <x:c r="I77" s="14" t="str">
        <x:v>Télégraphe, cible, contre-mesure, résolution et retour à l’attente testés.</x:v>
      </x:c>
      <x:c r="J77" s="14" t="str">
        <x:v>ENM-saren-a-la-citadelle</x:v>
      </x:c>
      <x:c r="K77" s="14" t="str">
        <x:v>content/enemy_moves/EMV-saren-a-la-citadelle-confrontation-verbale.json</x:v>
      </x:c>
      <x:c r="L77" s="14" t="str"/>
      <x:c r="M77" s="14" t="str"/>
      <x:c r="N77" s="14" t="str">
        <x:v>Décisions du fan game ; aucune prétention de canon officiel</x:v>
      </x:c>
      <x:c r="O77" s="14" t="str"/>
      <x:c r="P77" s="14" t="str">
        <x:v>Production ME1</x:v>
      </x:c>
      <x:c r="Q77" s="14" t="str">
        <x:v>Interprétation ATB à confronter aux animations et comportements de ME1.</x:v>
      </x:c>
    </x:row>
    <x:row r="78" ht="36" customHeight="1">
      <x:c r="A78" s="12" t="str">
        <x:v>EMV-saren-a-la-citadelle-phase-de-combat</x:v>
      </x:c>
      <x:c r="B78" s="7" t="str">
        <x:v>Saren à la Citadelle — Phase de combat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Adaptation</x:v>
      </x:c>
      <x:c r="H78" s="7" t="str">
        <x:v>Arsenal exact à relever</x:v>
      </x:c>
      <x:c r="I78" s="7" t="str">
        <x:v>Télégraphe, cible, contre-mesure, résolution et retour à l’attente testés.</x:v>
      </x:c>
      <x:c r="J78" s="7" t="str">
        <x:v>ENM-saren-a-la-citadelle</x:v>
      </x:c>
      <x:c r="K78" s="7" t="str">
        <x:v>content/enemy_moves/EMV-saren-a-la-citadelle-phase-de-combat.json</x:v>
      </x:c>
      <x:c r="L78" s="7" t="str"/>
      <x:c r="M78" s="7" t="str"/>
      <x:c r="N78" s="7" t="str">
        <x:v>Décisions du fan game ; aucune prétention de canon officiel</x:v>
      </x:c>
      <x:c r="O78" s="7" t="str"/>
      <x:c r="P78" s="7" t="str">
        <x:v>Production ME1</x:v>
      </x:c>
      <x:c r="Q78" s="7" t="str">
        <x:v>Interprétation ATB à confronter aux animations et comportements de ME1.</x:v>
      </x:c>
    </x:row>
    <x:row r="79" ht="36" customHeight="1">
      <x:c r="A79" s="13" t="str">
        <x:v>EMV-saren-a-la-citadelle-phase-terminale</x:v>
      </x:c>
      <x:c r="B79" s="14" t="str">
        <x:v>Saren à la Citadelle — Phase terminale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Adaptation</x:v>
      </x:c>
      <x:c r="H79" s="14" t="str">
        <x:v>Transformation et mouvements à référencer</x:v>
      </x:c>
      <x:c r="I79" s="14" t="str">
        <x:v>Télégraphe, cible, contre-mesure, résolution et retour à l’attente testés.</x:v>
      </x:c>
      <x:c r="J79" s="14" t="str">
        <x:v>ENM-saren-a-la-citadelle</x:v>
      </x:c>
      <x:c r="K79" s="14" t="str">
        <x:v>content/enemy_moves/EMV-saren-a-la-citadelle-phase-terminale.json</x:v>
      </x:c>
      <x:c r="L79" s="14" t="str"/>
      <x:c r="M79" s="14" t="str"/>
      <x:c r="N79" s="14" t="str">
        <x:v>Décisions du fan game ; aucune prétention de canon officiel</x:v>
      </x:c>
      <x:c r="O79" s="14" t="str"/>
      <x:c r="P79" s="14" t="str">
        <x:v>Production ME1</x:v>
      </x:c>
      <x:c r="Q79" s="14" t="str">
        <x:v>Interprétation ATB à confronter aux animations et comportements de ME1.</x:v>
      </x:c>
    </x:row>
    <x:row r="80" ht="36" customHeight="1">
      <x:c r="A80" s="12" t="str">
        <x:v>EMV-balak-combat-rapproche</x:v>
      </x:c>
      <x:c r="B80" s="7" t="str">
        <x:v>Balak — Combat rapproché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Adaptation</x:v>
      </x:c>
      <x:c r="H80" s="7" t="str">
        <x:v>Menace en espace industriel</x:v>
      </x:c>
      <x:c r="I80" s="7" t="str">
        <x:v>Télégraphe, cible, contre-mesure, résolution et retour à l’attente testés.</x:v>
      </x:c>
      <x:c r="J80" s="7" t="str">
        <x:v>ENM-balak</x:v>
      </x:c>
      <x:c r="K80" s="7" t="str">
        <x:v>content/enemy_moves/EMV-balak-combat-rapproche.json</x:v>
      </x:c>
      <x:c r="L80" s="7" t="str"/>
      <x:c r="M80" s="7" t="str"/>
      <x:c r="N80" s="7" t="str">
        <x:v>Décisions du fan game ; aucune prétention de canon officiel</x:v>
      </x:c>
      <x:c r="O80" s="7" t="str"/>
      <x:c r="P80" s="7" t="str">
        <x:v>Production ME1</x:v>
      </x:c>
      <x:c r="Q80" s="7" t="str">
        <x:v>Interprétation ATB à confronter aux animations et comportements de ME1.</x:v>
      </x:c>
    </x:row>
    <x:row r="81" ht="36" customHeight="1">
      <x:c r="A81" s="13" t="str">
        <x:v>EMV-balak-decision-finale</x:v>
      </x:c>
      <x:c r="B81" s="14" t="str">
        <x:v>Balak — Décision finale</x:v>
      </x:c>
      <x:c r="C81" s="10" t="str">
        <x:v>Défini</x:v>
      </x:c>
      <x:c r="D81" s="11" t="str">
        <x:v>À produire</x:v>
      </x:c>
      <x:c r="E81" s="15" t="str">
        <x:v>P1</x:v>
      </x:c>
      <x:c r="F81" s="15" t="str">
        <x:v>ME1</x:v>
      </x:c>
      <x:c r="G81" s="15" t="str">
        <x:v>Adaptation</x:v>
      </x:c>
      <x:c r="H81" s="14" t="str">
        <x:v>Sépare poursuite et sauvetage</x:v>
      </x:c>
      <x:c r="I81" s="14" t="str">
        <x:v>Télégraphe, cible, contre-mesure, résolution et retour à l’attente testés.</x:v>
      </x:c>
      <x:c r="J81" s="14" t="str">
        <x:v>ENM-balak</x:v>
      </x:c>
      <x:c r="K81" s="14" t="str">
        <x:v>content/enemy_moves/EMV-balak-decision-finale.json</x:v>
      </x:c>
      <x:c r="L81" s="14" t="str"/>
      <x:c r="M81" s="14" t="str"/>
      <x:c r="N81" s="14" t="str">
        <x:v>Décisions du fan game ; aucune prétention de canon officiel</x:v>
      </x:c>
      <x:c r="O81" s="14" t="str"/>
      <x:c r="P81" s="14" t="str">
        <x:v>Production ME1</x:v>
      </x:c>
      <x:c r="Q81" s="14" t="str">
        <x:v>Interprétation ATB à confronter aux animations et comportements de ME1.</x:v>
      </x:c>
    </x:row>
  </x:sheetData>
  <x:conditionalFormatting sqref="C7:C81">
    <x:cfRule type="cellIs" dxfId="90" priority="1" operator="equal">
      <x:formula>"Prototype"</x:formula>
    </x:cfRule>
    <x:cfRule type="cellIs" dxfId="91" priority="2" operator="equal">
      <x:formula>"Intégré"</x:formula>
    </x:cfRule>
    <x:cfRule type="cellIs" dxfId="92" priority="3" operator="equal">
      <x:formula>"Validé"</x:formula>
    </x:cfRule>
  </x:conditionalFormatting>
  <x:conditionalFormatting sqref="G7:G81">
    <x:cfRule type="cellIs" dxfId="93" priority="4" operator="equal">
      <x:formula>"Référence à vérifier"</x:formula>
    </x:cfRule>
  </x:conditionalFormatting>
  <x:conditionalFormatting sqref="E7:E81">
    <x:cfRule type="cellIs" dxfId="94" priority="5" operator="equal">
      <x:formula>"P0"</x:formula>
    </x:cfRule>
  </x:conditionalFormatting>
  <x:dataValidations count="5">
    <x:dataValidation type="list" sqref="C7:C81">
      <x:formula1>"Défini,Prototype,Intégré,Validé"</x:formula1>
    </x:dataValidation>
    <x:dataValidation type="list" sqref="D7:D81">
      <x:formula1>"À produire,Prototype,Disponible,Validé,Sans objet,Non planifié"</x:formula1>
    </x:dataValidation>
    <x:dataValidation type="list" sqref="E7:E81">
      <x:formula1>"P0,P1,P2"</x:formula1>
    </x:dataValidation>
    <x:dataValidation type="list" sqref="F7:F81">
      <x:formula1>"ME1,ME2,ME3"</x:formula1>
    </x:dataValidation>
    <x:dataValidation type="list" sqref="G7:G81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ca5d5f4bb94d74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ANI-repos-humain-arme</x:v>
      </x:c>
      <x:c r="B7" s="14" t="str">
        <x:v>Repos humain armé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Respiration et poids du corps avec arme basse.</x:v>
      </x:c>
      <x:c r="I7" s="14" t="str">
        <x:v>Boucle sans saut de pied ni changement de taille.</x:v>
      </x:c>
      <x:c r="J7" s="14" t="str"/>
      <x:c r="K7" s="14" t="str">
        <x:v>assets/animations/ANI-repos-humain-arme.json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ANI-repos-humain-civil</x:v>
      </x:c>
      <x:c r="B8" s="7" t="str">
        <x:v>Repos humain civil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Posture relâchée et mouvement discret.</x:v>
      </x:c>
      <x:c r="I8" s="7" t="str">
        <x:v>Gestuelle adaptée au rôle social.</x:v>
      </x:c>
      <x:c r="J8" s="7" t="str"/>
      <x:c r="K8" s="7" t="str">
        <x:v>assets/animations/ANI-repos-humain-civil.json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88" customHeight="1">
      <x:c r="A9" s="13" t="str">
        <x:v>ANI-marche-humaine</x:v>
      </x:c>
      <x:c r="B9" s="14" t="str">
        <x:v>Marche humaine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Cycle de déplacement en huit directions.</x:v>
      </x:c>
      <x:c r="I9" s="14" t="str">
        <x:v>Vitesse des pieds raccordée à la vitesse dans le monde.</x:v>
      </x:c>
      <x:c r="J9" s="14" t="str"/>
      <x:c r="K9" s="14" t="str">
        <x:v>assets/animations/ANI-marche-humaine.json</x:v>
      </x:c>
      <x:c r="L9" s="14" t="str">
        <x:v>public/assets/shepard-walk-atlas.png</x:v>
      </x:c>
      <x:c r="M9" s="14" t="str">
        <x:v>enableWalkAtlas</x:v>
      </x:c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Shepard uniquement : 16 images pour 4 directions. Face et dos en trois-quarts, droite et gauche de profil. Mapping UV spécifique prévu dans src/world.js ; activation du prototype en cours. Cycle à nettoyer, huit directions et fidélité 1:1 non validées. Les autres humains et les autres actions ne sont pas couverts par cette planche.</x:v>
      </x:c>
    </x:row>
    <x:row r="10" ht="36" customHeight="1">
      <x:c r="A10" s="12" t="str">
        <x:v>ANI-course-humaine</x:v>
      </x:c>
      <x:c r="B10" s="7" t="str">
        <x:v>Course humaine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Cycle rapide avec tenue d’arme.</x:v>
      </x:c>
      <x:c r="I10" s="7" t="str">
        <x:v>Aucune glissade ni chevauchement de l’arme.</x:v>
      </x:c>
      <x:c r="J10" s="7" t="str"/>
      <x:c r="K10" s="7" t="str">
        <x:v>assets/animations/ANI-course-humaine.json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ANI-pivot-sur-place</x:v>
      </x:c>
      <x:c r="B11" s="14" t="str">
        <x:v>Pivot sur place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Orientation sans déplacement.</x:v>
      </x:c>
      <x:c r="I11" s="14" t="str">
        <x:v>Transitions entre directions lisibles.</x:v>
      </x:c>
      <x:c r="J11" s="14" t="str"/>
      <x:c r="K11" s="14" t="str">
        <x:v>assets/animations/ANI-pivot-sur-place.json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ANI-arret-de-course</x:v>
      </x:c>
      <x:c r="B12" s="7" t="str">
        <x:v>Arrêt de course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Ralentissement et pose finale.</x:v>
      </x:c>
      <x:c r="I12" s="7" t="str">
        <x:v>Durée de freinage cohérente avec collision.</x:v>
      </x:c>
      <x:c r="J12" s="7" t="str"/>
      <x:c r="K12" s="7" t="str">
        <x:v>assets/animations/ANI-arret-de-course.json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ANI-accroupissement</x:v>
      </x:c>
      <x:c r="B13" s="14" t="str">
        <x:v>Accroupissement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Passage debout vers couvert bas.</x:v>
      </x:c>
      <x:c r="I13" s="14" t="str">
        <x:v>Hauteur du sprite et collision synchronisées.</x:v>
      </x:c>
      <x:c r="J13" s="14" t="str"/>
      <x:c r="K13" s="14" t="str">
        <x:v>assets/animations/ANI-accroupissement.json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ANI-entree-en-couvert</x:v>
      </x:c>
      <x:c r="B14" s="7" t="str">
        <x:v>Entrée en couvert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Déplacement vers le point de protection.</x:v>
      </x:c>
      <x:c r="I14" s="7" t="str">
        <x:v>Position finale ancrée au décor.</x:v>
      </x:c>
      <x:c r="J14" s="7" t="str"/>
      <x:c r="K14" s="7" t="str">
        <x:v>assets/animations/ANI-entree-en-couvert.json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ANI-sortie-de-couvert</x:v>
      </x:c>
      <x:c r="B15" s="14" t="str">
        <x:v>Sortie de couvert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Retour à une posture de tir.</x:v>
      </x:c>
      <x:c r="I15" s="14" t="str">
        <x:v>Pas de téléportation latérale.</x:v>
      </x:c>
      <x:c r="J15" s="14" t="str"/>
      <x:c r="K15" s="14" t="str">
        <x:v>assets/animations/ANI-sortie-de-couvert.json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ANI-tir-pistolet</x:v>
      </x:c>
      <x:c r="B16" s="7" t="str">
        <x:v>Tir pistolet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Visée, recul et retour.</x:v>
      </x:c>
      <x:c r="I16" s="7" t="str">
        <x:v>Origine du flash alignée sur le canon.</x:v>
      </x:c>
      <x:c r="J16" s="7" t="str"/>
      <x:c r="K16" s="7" t="str">
        <x:v>assets/animations/ANI-tir-pistolet.json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ANI-tir-fusil-d-assaut</x:v>
      </x:c>
      <x:c r="B17" s="14" t="str">
        <x:v>Tir fusil d’assaut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Rafale et contrôle du recul.</x:v>
      </x:c>
      <x:c r="I17" s="14" t="str">
        <x:v>Pas de rechargement thermique emprunté aux suites.</x:v>
      </x:c>
      <x:c r="J17" s="14" t="str"/>
      <x:c r="K17" s="14" t="str">
        <x:v>assets/animations/ANI-tir-fusil-d-assaut.json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ANI-tir-fusil-a-pompe</x:v>
      </x:c>
      <x:c r="B18" s="7" t="str">
        <x:v>Tir fusil à pompe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Décharge et remise en position.</x:v>
      </x:c>
      <x:c r="I18" s="7" t="str">
        <x:v>Distance des mains cohérente avec le modèle.</x:v>
      </x:c>
      <x:c r="J18" s="7" t="str"/>
      <x:c r="K18" s="7" t="str">
        <x:v>assets/animations/ANI-tir-fusil-a-pompe.json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ANI-tir-de-precision</x:v>
      </x:c>
      <x:c r="B19" s="14" t="str">
        <x:v>Tir de précision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Visée posée et recul unique.</x:v>
      </x:c>
      <x:c r="I19" s="14" t="str">
        <x:v>Point d’impact synchronisé avec le départ du coup.</x:v>
      </x:c>
      <x:c r="J19" s="14" t="str"/>
      <x:c r="K19" s="14" t="str">
        <x:v>assets/animations/ANI-tir-de-precision.json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ANI-arme-surchauffee</x:v>
      </x:c>
      <x:c r="B20" s="7" t="str">
        <x:v>Arme surchauffée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Réaction à la chaleur et attente.</x:v>
      </x:c>
      <x:c r="I20" s="7" t="str">
        <x:v>Jauge et effet visuel entrent ensemble en surchauffe.</x:v>
      </x:c>
      <x:c r="J20" s="7" t="str"/>
      <x:c r="K20" s="7" t="str">
        <x:v>assets/animations/ANI-arme-surchauffee.json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ANI-lancer-de-grenade</x:v>
      </x:c>
      <x:c r="B21" s="14" t="str">
        <x:v>Lancer de grenade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Armement, lancer et suivi du geste.</x:v>
      </x:c>
      <x:c r="I21" s="14" t="str">
        <x:v>Projectile créé à la main au bon frame.</x:v>
      </x:c>
      <x:c r="J21" s="14" t="str"/>
      <x:c r="K21" s="14" t="str">
        <x:v>assets/animations/ANI-lancer-de-grenade.json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ANI-frappe-de-crosse</x:v>
      </x:c>
      <x:c r="B22" s="7" t="str">
        <x:v>Frappe de crosse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Action physique courte.</x:v>
      </x:c>
      <x:c r="I22" s="7" t="str">
        <x:v>Zone d’impact présente uniquement pendant la frappe.</x:v>
      </x:c>
      <x:c r="J22" s="7" t="str"/>
      <x:c r="K22" s="7" t="str">
        <x:v>assets/animations/ANI-frappe-de-crosse.json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ANI-activation-omni-outil</x:v>
      </x:c>
      <x:c r="B23" s="14" t="str">
        <x:v>Activation omni-outil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Bras levé et interface holographique.</x:v>
      </x:c>
      <x:c r="I23" s="14" t="str">
        <x:v>Interface suit l’avant-bras à toutes les directions.</x:v>
      </x:c>
      <x:c r="J23" s="14" t="str"/>
      <x:c r="K23" s="14" t="str">
        <x:v>assets/animations/ANI-activation-omni-outil.json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ANI-projection-biotique</x:v>
      </x:c>
      <x:c r="B24" s="7" t="str">
        <x:v>Projection biotique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Préparation, impulsion et récupération.</x:v>
      </x:c>
      <x:c r="I24" s="7" t="str">
        <x:v>Main et onde synchronisées.</x:v>
      </x:c>
      <x:c r="J24" s="7" t="str"/>
      <x:c r="K24" s="7" t="str">
        <x:v>assets/animations/ANI-projection-biotique.json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ANI-levitation-biotique</x:v>
      </x:c>
      <x:c r="B25" s="14" t="str">
        <x:v>Lévitation biotique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Geste soutenu vers une cible.</x:v>
      </x:c>
      <x:c r="I25" s="14" t="str">
        <x:v>Cible, VFX et durée d’action concordants.</x:v>
      </x:c>
      <x:c r="J25" s="14" t="str"/>
      <x:c r="K25" s="14" t="str">
        <x:v>assets/animations/ANI-levitation-biotique.json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ANI-singularite-biotique</x:v>
      </x:c>
      <x:c r="B26" s="7" t="str">
        <x:v>Singularité biotique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Concentration et libération du champ.</x:v>
      </x:c>
      <x:c r="I26" s="7" t="str">
        <x:v>Origine et destination de l’effet cohérentes.</x:v>
      </x:c>
      <x:c r="J26" s="7" t="str"/>
      <x:c r="K26" s="7" t="str">
        <x:v>assets/animations/ANI-singularite-biotique.json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ANI-barriere-biotique</x:v>
      </x:c>
      <x:c r="B27" s="14" t="str">
        <x:v>Barrière biotique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Pose de protection.</x:v>
      </x:c>
      <x:c r="I27" s="14" t="str">
        <x:v>Effet n’occulte pas les silhouettes alliées.</x:v>
      </x:c>
      <x:c r="J27" s="14" t="str"/>
      <x:c r="K27" s="14" t="str">
        <x:v>assets/animations/ANI-barriere-biotique.json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ANI-utilisation-de-medi-gel</x:v>
      </x:c>
      <x:c r="B28" s="7" t="str">
        <x:v>Utilisation de médi-gel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Application et réponse de soin.</x:v>
      </x:c>
      <x:c r="I28" s="7" t="str">
        <x:v>Quantité et santé changent à la résolution.</x:v>
      </x:c>
      <x:c r="J28" s="7" t="str"/>
      <x:c r="K28" s="7" t="str">
        <x:v>assets/animations/ANI-utilisation-de-medi-gel.json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ANI-blessure-legere</x:v>
      </x:c>
      <x:c r="B29" s="14" t="str">
        <x:v>Blessure légère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Réaction rapide sans perdre l’ancrage.</x:v>
      </x:c>
      <x:c r="I29" s="14" t="str">
        <x:v>Interruption seulement quand la règle l’autorise.</x:v>
      </x:c>
      <x:c r="J29" s="14" t="str"/>
      <x:c r="K29" s="14" t="str">
        <x:v>assets/animations/ANI-blessure-legere.json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ANI-chute-au-sol</x:v>
      </x:c>
      <x:c r="B30" s="7" t="str">
        <x:v>Chute au sol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Perte d’équilibre jusqu’à la pose KO.</x:v>
      </x:c>
      <x:c r="I30" s="7" t="str">
        <x:v>Collision et ombre restent cohérentes.</x:v>
      </x:c>
      <x:c r="J30" s="7" t="str"/>
      <x:c r="K30" s="7" t="str">
        <x:v>assets/animations/ANI-chute-au-sol.json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ANI-relevement</x:v>
      </x:c>
      <x:c r="B31" s="14" t="str">
        <x:v>Relèvement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Retour au combat après Unité.</x:v>
      </x:c>
      <x:c r="I31" s="14" t="str">
        <x:v>Aucun déplacement à travers une couverture.</x:v>
      </x:c>
      <x:c r="J31" s="14" t="str"/>
      <x:c r="K31" s="14" t="str">
        <x:v>assets/animations/ANI-relevement.json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ANI-mort-narrative</x:v>
      </x:c>
      <x:c r="B32" s="7" t="str">
        <x:v>Mort narrative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Pose scénarisée spécifique.</x:v>
      </x:c>
      <x:c r="I32" s="7" t="str">
        <x:v>Aucune boucle de réanimation après l’événement.</x:v>
      </x:c>
      <x:c r="J32" s="7" t="str"/>
      <x:c r="K32" s="7" t="str">
        <x:v>assets/animations/ANI-mort-narrative.json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ANI-dialogue-neutre</x:v>
      </x:c>
      <x:c r="B33" s="14" t="str">
        <x:v>Dialogue neutre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Mouvements du buste et des mains.</x:v>
      </x:c>
      <x:c r="I33" s="14" t="str">
        <x:v>Bouche et portrait n’affichent pas d’émotion contradictoire.</x:v>
      </x:c>
      <x:c r="J33" s="14" t="str"/>
      <x:c r="K33" s="14" t="str">
        <x:v>assets/animations/ANI-dialogue-neutre.json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ANI-dialogue-tendu</x:v>
      </x:c>
      <x:c r="B34" s="7" t="str">
        <x:v>Dialogue tendu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Geste contrôlé et posture défensive.</x:v>
      </x:c>
      <x:c r="I34" s="7" t="str">
        <x:v>Utilisé selon le sens de la réplique.</x:v>
      </x:c>
      <x:c r="J34" s="7" t="str"/>
      <x:c r="K34" s="7" t="str">
        <x:v>assets/animations/ANI-dialogue-tendu.json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ANI-interaction-console</x:v>
      </x:c>
      <x:c r="B35" s="14" t="str">
        <x:v>Interaction console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Saisie ou omni-outil face au terminal.</x:v>
      </x:c>
      <x:c r="I35" s="14" t="str">
        <x:v>Distance et orientation vérifiées.</x:v>
      </x:c>
      <x:c r="J35" s="14" t="str"/>
      <x:c r="K35" s="14" t="str">
        <x:v>assets/animations/ANI-interaction-console.json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ANI-ouverture-de-casier</x:v>
      </x:c>
      <x:c r="B36" s="7" t="str">
        <x:v>Ouverture de casier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Interaction puis retour au contrôle.</x:v>
      </x:c>
      <x:c r="I36" s="7" t="str">
        <x:v>État ouvert persistent.</x:v>
      </x:c>
      <x:c r="J36" s="7" t="str"/>
      <x:c r="K36" s="7" t="str">
        <x:v>assets/animations/ANI-ouverture-de-casier.json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  <x:row r="37" ht="36" customHeight="1">
      <x:c r="A37" s="13" t="str">
        <x:v>ANI-assise</x:v>
      </x:c>
      <x:c r="B37" s="14" t="str">
        <x:v>Assise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Entrée, boucle et sortie d’un siège.</x:v>
      </x:c>
      <x:c r="I37" s="14" t="str">
        <x:v>Position raccordée au mobilier.</x:v>
      </x:c>
      <x:c r="J37" s="14" t="str"/>
      <x:c r="K37" s="14" t="str">
        <x:v>assets/animations/ANI-assise.json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36" customHeight="1">
      <x:c r="A38" s="12" t="str">
        <x:v>ANI-marche-turienne</x:v>
      </x:c>
      <x:c r="B38" s="7" t="str">
        <x:v>Marche turienne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Cycle respectant les proportions turiennes.</x:v>
      </x:c>
      <x:c r="I38" s="7" t="str">
        <x:v>Pieds, genoux et centre de masse distincts du modèle humain.</x:v>
      </x:c>
      <x:c r="J38" s="7" t="str"/>
      <x:c r="K38" s="7" t="str">
        <x:v>assets/animations/ANI-marche-turienne.json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/>
    </x:row>
    <x:row r="39" ht="36" customHeight="1">
      <x:c r="A39" s="13" t="str">
        <x:v>ANI-marche-krogan</x:v>
      </x:c>
      <x:c r="B39" s="14" t="str">
        <x:v>Marche krogan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Cycle lourd adapté au volume.</x:v>
      </x:c>
      <x:c r="I39" s="14" t="str">
        <x:v>Pas de simple étirement d’un humain.</x:v>
      </x:c>
      <x:c r="J39" s="14" t="str"/>
      <x:c r="K39" s="14" t="str">
        <x:v>assets/animations/ANI-marche-krogan.json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/>
    </x:row>
    <x:row r="40" ht="36" customHeight="1">
      <x:c r="A40" s="12" t="str">
        <x:v>ANI-marche-quarienne</x:v>
      </x:c>
      <x:c r="B40" s="7" t="str">
        <x:v>Marche quarienne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Cycle adapté aux jambes et à la combinaison.</x:v>
      </x:c>
      <x:c r="I40" s="7" t="str">
        <x:v>Tissus et tuyaux ne flottent pas hors silhouette.</x:v>
      </x:c>
      <x:c r="J40" s="7" t="str"/>
      <x:c r="K40" s="7" t="str">
        <x:v>assets/animations/ANI-marche-quarienne.json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/>
    </x:row>
    <x:row r="41" ht="36" customHeight="1">
      <x:c r="A41" s="13" t="str">
        <x:v>ANI-marche-galarienne</x:v>
      </x:c>
      <x:c r="B41" s="14" t="str">
        <x:v>Marche galarienne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Cycle fin et rapide.</x:v>
      </x:c>
      <x:c r="I41" s="14" t="str">
        <x:v>Taille et longueur des membres conservées.</x:v>
      </x:c>
      <x:c r="J41" s="14" t="str"/>
      <x:c r="K41" s="14" t="str">
        <x:v>assets/animations/ANI-marche-galarienne.json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36" customHeight="1">
      <x:c r="A42" s="12" t="str">
        <x:v>ANI-deplacement-elcor</x:v>
      </x:c>
      <x:c r="B42" s="7" t="str">
        <x:v>Déplacement elcor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Cycle quadrupède lourd.</x:v>
      </x:c>
      <x:c r="I42" s="7" t="str">
        <x:v>Les quatre appuis sont contrôlés.</x:v>
      </x:c>
      <x:c r="J42" s="7" t="str"/>
      <x:c r="K42" s="7" t="str">
        <x:v>assets/animations/ANI-deplacement-elcor.json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/>
    </x:row>
    <x:row r="43" ht="36" customHeight="1">
      <x:c r="A43" s="13" t="str">
        <x:v>ANI-deplacement-hanari</x:v>
      </x:c>
      <x:c r="B43" s="14" t="str">
        <x:v>Déplacement hanari</x:v>
      </x:c>
      <x:c r="C43" s="10" t="str">
        <x:v>Défini</x:v>
      </x:c>
      <x:c r="D43" s="11" t="str">
        <x:v>À produire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Flottement et ondulation des tentacules.</x:v>
      </x:c>
      <x:c r="I43" s="14" t="str">
        <x:v>Absence de marche ou de pied humain.</x:v>
      </x:c>
      <x:c r="J43" s="14" t="str"/>
      <x:c r="K43" s="14" t="str">
        <x:v>assets/animations/ANI-deplacement-hanari.json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/>
    </x:row>
    <x:row r="44" ht="36" customHeight="1">
      <x:c r="A44" s="12" t="str">
        <x:v>ANI-bond-geth-mobile</x:v>
      </x:c>
      <x:c r="B44" s="7" t="str">
        <x:v>Bond geth mobile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Transition mur-sol-plafond.</x:v>
      </x:c>
      <x:c r="I44" s="7" t="str">
        <x:v>Points d’ancrage et orientation compatibles avec la géométrie.</x:v>
      </x:c>
      <x:c r="J44" s="7" t="str"/>
      <x:c r="K44" s="7" t="str">
        <x:v>assets/animations/ANI-bond-geth-mobile.json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/>
    </x:row>
    <x:row r="45" ht="36" customHeight="1">
      <x:c r="A45" s="13" t="str">
        <x:v>ANI-marche-geth-lourd</x:v>
      </x:c>
      <x:c r="B45" s="14" t="str">
        <x:v>Marche geth lourd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Cycle mécanique d’armature.</x:v>
      </x:c>
      <x:c r="I45" s="14" t="str">
        <x:v>Pattes et masse répondent au terrain.</x:v>
      </x:c>
      <x:c r="J45" s="14" t="str"/>
      <x:c r="K45" s="14" t="str">
        <x:v>assets/animations/ANI-marche-geth-lourd.json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ANI-course-varren</x:v>
      </x:c>
      <x:c r="B46" s="7" t="str">
        <x:v>Course varren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Cycle quadrupède agressif.</x:v>
      </x:c>
      <x:c r="I46" s="7" t="str">
        <x:v>Vitesse et distance de morsure cohérentes.</x:v>
      </x:c>
      <x:c r="J46" s="7" t="str"/>
      <x:c r="K46" s="7" t="str">
        <x:v>assets/animations/ANI-course-varren.json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</x:sheetData>
  <x:conditionalFormatting sqref="C7:C46">
    <x:cfRule type="cellIs" dxfId="95" priority="1" operator="equal">
      <x:formula>"Prototype"</x:formula>
    </x:cfRule>
    <x:cfRule type="cellIs" dxfId="96" priority="2" operator="equal">
      <x:formula>"Intégré"</x:formula>
    </x:cfRule>
    <x:cfRule type="cellIs" dxfId="97" priority="3" operator="equal">
      <x:formula>"Validé"</x:formula>
    </x:cfRule>
  </x:conditionalFormatting>
  <x:conditionalFormatting sqref="G7:G46">
    <x:cfRule type="cellIs" dxfId="98" priority="4" operator="equal">
      <x:formula>"Référence à vérifier"</x:formula>
    </x:cfRule>
  </x:conditionalFormatting>
  <x:conditionalFormatting sqref="E7:E46">
    <x:cfRule type="cellIs" dxfId="99" priority="5" operator="equal">
      <x:formula>"P0"</x:formula>
    </x:cfRule>
  </x:conditionalFormatting>
  <x:dataValidations count="5">
    <x:dataValidation type="list" sqref="C7:C46">
      <x:formula1>"Défini,Prototype,Intégré,Validé"</x:formula1>
    </x:dataValidation>
    <x:dataValidation type="list" sqref="D7:D46">
      <x:formula1>"À produire,Prototype,Disponible,Validé,Sans objet,Non planifié"</x:formula1>
    </x:dataValidation>
    <x:dataValidation type="list" sqref="E7:E46">
      <x:formula1>"P0,P1,P2"</x:formula1>
    </x:dataValidation>
    <x:dataValidation type="list" sqref="F7:F46">
      <x:formula1>"ME1,ME2,ME3"</x:formula1>
    </x:dataValidation>
    <x:dataValidation type="list" sqref="G7:G4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1decb4c7ce4ea0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75" customHeight="1">
      <x:c r="A7" s="13" t="str">
        <x:v>SPR-shepard-terrain</x:v>
      </x:c>
      <x:c r="B7" s="14" t="str">
        <x:v>Shepard — terrain</x:v>
      </x:c>
      <x:c r="C7" s="10" t="str">
        <x:v>Prototype</x:v>
      </x:c>
      <x:c r="D7" s="11" t="str">
        <x:v>Prototype</x:v>
      </x:c>
      <x:c r="E7" s="15" t="str">
        <x:v>P0</x:v>
      </x:c>
      <x:c r="F7" s="15" t="str">
        <x:v>ME1</x:v>
      </x:c>
      <x:c r="G7" s="15" t="str">
        <x:v>Adaptation</x:v>
      </x:c>
      <x:c r="H7" s="14" t="str">
        <x:v>Sprite d’exploration de Shepard, identité ME1 et silhouettes cohérentes.</x:v>
      </x:c>
      <x:c r="I7" s="14" t="str">
        <x:v>Huit directions, hauteur constante, pieds ancrés et comparaison aux références de l’épisode.</x:v>
      </x:c>
      <x:c r="J7" s="14" t="str">
        <x:v>CHR-shepard</x:v>
      </x:c>
      <x:c r="K7" s="14" t="str">
        <x:v>assets/sprites/characters/shepard/field.png</x:v>
      </x:c>
      <x:c r="L7" s="14" t="str">
        <x:v>public/assets/shepard-walk-atlas.png</x:v>
      </x:c>
      <x:c r="M7" s="14" t="str">
        <x:v>enableWalkAtlas</x:v>
      </x:c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Planche de marche Shepard de 16 images / 4 directions ; face et dos en trois-quarts, profils latéraux. Pose statique de repli dans crew-atlas.png. Découpage UV spécifique et cycle à nettoyer ; huit directions et fidélité 1:1 non validées.</x:v>
      </x:c>
    </x:row>
    <x:row r="8" ht="49" customHeight="1">
      <x:c r="A8" s="12" t="str">
        <x:v>SPR-shepard-combat</x:v>
      </x:c>
      <x:c r="B8" s="7" t="str">
        <x:v>Shepard — combat</x:v>
      </x:c>
      <x:c r="C8" s="10" t="str">
        <x:v>Prototype</x:v>
      </x:c>
      <x:c r="D8" s="11" t="str">
        <x:v>Prototype</x:v>
      </x:c>
      <x:c r="E8" s="9" t="str">
        <x:v>P0</x:v>
      </x:c>
      <x:c r="F8" s="9" t="str">
        <x:v>ME1</x:v>
      </x:c>
      <x:c r="G8" s="9" t="str">
        <x:v>Adaptation</x:v>
      </x:c>
      <x:c r="H8" s="7" t="str">
        <x:v>Planche de combat dédiée aux actions réellement disponibles pour Shepard.</x:v>
      </x:c>
      <x:c r="I8" s="7" t="str">
        <x:v>Attente, action, impact, KO et récupération sans cadre coupé.</x:v>
      </x:c>
      <x:c r="J8" s="7" t="str">
        <x:v>CHR-shepard</x:v>
      </x:c>
      <x:c r="K8" s="7" t="str">
        <x:v>assets/sprites/characters/shepard/battle.png</x:v>
      </x:c>
      <x:c r="L8" s="7" t="str">
        <x:v>public/assets/crew-atlas.png</x:v>
      </x:c>
      <x:c r="M8" s="7" t="str">
        <x:v>shepard</x:v>
      </x:c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Atlas de poses uniques utilisé par le prototype. Les angles, mouvements, expressions et costumes complets ne sont pas produits.</x:v>
      </x:c>
    </x:row>
    <x:row r="9" ht="49" customHeight="1">
      <x:c r="A9" s="13" t="str">
        <x:v>SPR-shepard-portrait</x:v>
      </x:c>
      <x:c r="B9" s="14" t="str">
        <x:v>Shepard — portrait</x:v>
      </x:c>
      <x:c r="C9" s="10" t="str">
        <x:v>Prototype</x:v>
      </x:c>
      <x:c r="D9" s="11" t="str">
        <x:v>Prototype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Portrait de dialogue en cohérence avec la tenue et l’identité terrain.</x:v>
      </x:c>
      <x:c r="I9" s="14" t="str">
        <x:v>Expressions neutre, déterminée, inquiète et blessée selon besoins narratifs.</x:v>
      </x:c>
      <x:c r="J9" s="14" t="str">
        <x:v>CHR-shepard</x:v>
      </x:c>
      <x:c r="K9" s="14" t="str">
        <x:v>assets/portraits/shepard.png</x:v>
      </x:c>
      <x:c r="L9" s="14" t="str">
        <x:v>public/assets/crew-atlas.png</x:v>
      </x:c>
      <x:c r="M9" s="14" t="str">
        <x:v>shepard</x:v>
      </x:c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Atlas de poses uniques utilisé par le prototype. Les angles, mouvements, expressions et costumes complets ne sont pas produits.</x:v>
      </x:c>
    </x:row>
    <x:row r="10" ht="49" customHeight="1">
      <x:c r="A10" s="12" t="str">
        <x:v>SPR-ashley-williams-terrain</x:v>
      </x:c>
      <x:c r="B10" s="7" t="str">
        <x:v>Ashley Williams — terrain</x:v>
      </x:c>
      <x:c r="C10" s="10" t="str">
        <x:v>Prototype</x:v>
      </x:c>
      <x:c r="D10" s="11" t="str">
        <x:v>Prototype</x:v>
      </x:c>
      <x:c r="E10" s="9" t="str">
        <x:v>P0</x:v>
      </x:c>
      <x:c r="F10" s="9" t="str">
        <x:v>ME1</x:v>
      </x:c>
      <x:c r="G10" s="9" t="str">
        <x:v>Adaptation</x:v>
      </x:c>
      <x:c r="H10" s="7" t="str">
        <x:v>Sprite d’exploration de Ashley Williams, identité ME1 et silhouettes cohérentes.</x:v>
      </x:c>
      <x:c r="I10" s="7" t="str">
        <x:v>Huit directions, hauteur constante, pieds ancrés et comparaison aux références de l’épisode.</x:v>
      </x:c>
      <x:c r="J10" s="7" t="str">
        <x:v>CHR-ashley-williams</x:v>
      </x:c>
      <x:c r="K10" s="7" t="str">
        <x:v>assets/sprites/characters/ashley-williams/field.png</x:v>
      </x:c>
      <x:c r="L10" s="7" t="str">
        <x:v>public/assets/crew-atlas.png</x:v>
      </x:c>
      <x:c r="M10" s="7" t="str">
        <x:v>ashley</x:v>
      </x:c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Atlas de poses uniques utilisé par le prototype. Les angles, mouvements, expressions et costumes complets ne sont pas produits.</x:v>
      </x:c>
    </x:row>
    <x:row r="11" ht="49" customHeight="1">
      <x:c r="A11" s="13" t="str">
        <x:v>SPR-ashley-williams-combat</x:v>
      </x:c>
      <x:c r="B11" s="14" t="str">
        <x:v>Ashley Williams — combat</x:v>
      </x:c>
      <x:c r="C11" s="10" t="str">
        <x:v>Prototype</x:v>
      </x:c>
      <x:c r="D11" s="11" t="str">
        <x:v>Prototype</x:v>
      </x:c>
      <x:c r="E11" s="15" t="str">
        <x:v>P0</x:v>
      </x:c>
      <x:c r="F11" s="15" t="str">
        <x:v>ME1</x:v>
      </x:c>
      <x:c r="G11" s="15" t="str">
        <x:v>Adaptation</x:v>
      </x:c>
      <x:c r="H11" s="14" t="str">
        <x:v>Planche de combat dédiée aux actions réellement disponibles pour Ashley Williams.</x:v>
      </x:c>
      <x:c r="I11" s="14" t="str">
        <x:v>Attente, action, impact, KO et récupération sans cadre coupé.</x:v>
      </x:c>
      <x:c r="J11" s="14" t="str">
        <x:v>CHR-ashley-williams</x:v>
      </x:c>
      <x:c r="K11" s="14" t="str">
        <x:v>assets/sprites/characters/ashley-williams/battle.png</x:v>
      </x:c>
      <x:c r="L11" s="14" t="str">
        <x:v>public/assets/crew-atlas.png</x:v>
      </x:c>
      <x:c r="M11" s="14" t="str">
        <x:v>ashley</x:v>
      </x:c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Atlas de poses uniques utilisé par le prototype. Les angles, mouvements, expressions et costumes complets ne sont pas produits.</x:v>
      </x:c>
    </x:row>
    <x:row r="12" ht="49" customHeight="1">
      <x:c r="A12" s="12" t="str">
        <x:v>SPR-ashley-williams-portrait</x:v>
      </x:c>
      <x:c r="B12" s="7" t="str">
        <x:v>Ashley Williams — portrait</x:v>
      </x:c>
      <x:c r="C12" s="10" t="str">
        <x:v>Prototype</x:v>
      </x:c>
      <x:c r="D12" s="11" t="str">
        <x:v>Prototype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Portrait de dialogue en cohérence avec la tenue et l’identité terrain.</x:v>
      </x:c>
      <x:c r="I12" s="7" t="str">
        <x:v>Expressions neutre, déterminée, inquiète et blessée selon besoins narratifs.</x:v>
      </x:c>
      <x:c r="J12" s="7" t="str">
        <x:v>CHR-ashley-williams</x:v>
      </x:c>
      <x:c r="K12" s="7" t="str">
        <x:v>assets/portraits/ashley-williams.png</x:v>
      </x:c>
      <x:c r="L12" s="7" t="str">
        <x:v>public/assets/crew-atlas.png</x:v>
      </x:c>
      <x:c r="M12" s="7" t="str">
        <x:v>ashley</x:v>
      </x:c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Atlas de poses uniques utilisé par le prototype. Les angles, mouvements, expressions et costumes complets ne sont pas produits.</x:v>
      </x:c>
    </x:row>
    <x:row r="13" ht="49" customHeight="1">
      <x:c r="A13" s="13" t="str">
        <x:v>SPR-kaidan-alenko-terrain</x:v>
      </x:c>
      <x:c r="B13" s="14" t="str">
        <x:v>Kaidan Alenko — terrain</x:v>
      </x:c>
      <x:c r="C13" s="10" t="str">
        <x:v>Prototype</x:v>
      </x:c>
      <x:c r="D13" s="11" t="str">
        <x:v>Prototype</x:v>
      </x:c>
      <x:c r="E13" s="15" t="str">
        <x:v>P0</x:v>
      </x:c>
      <x:c r="F13" s="15" t="str">
        <x:v>ME1</x:v>
      </x:c>
      <x:c r="G13" s="15" t="str">
        <x:v>Adaptation</x:v>
      </x:c>
      <x:c r="H13" s="14" t="str">
        <x:v>Sprite d’exploration de Kaidan Alenko, identité ME1 et silhouettes cohérentes.</x:v>
      </x:c>
      <x:c r="I13" s="14" t="str">
        <x:v>Huit directions, hauteur constante, pieds ancrés et comparaison aux références de l’épisode.</x:v>
      </x:c>
      <x:c r="J13" s="14" t="str">
        <x:v>CHR-kaidan-alenko</x:v>
      </x:c>
      <x:c r="K13" s="14" t="str">
        <x:v>assets/sprites/characters/kaidan-alenko/field.png</x:v>
      </x:c>
      <x:c r="L13" s="14" t="str">
        <x:v>public/assets/crew-atlas.png</x:v>
      </x:c>
      <x:c r="M13" s="14" t="str">
        <x:v>kaidan</x:v>
      </x:c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Atlas de poses uniques utilisé par le prototype. Les angles, mouvements, expressions et costumes complets ne sont pas produits.</x:v>
      </x:c>
    </x:row>
    <x:row r="14" ht="49" customHeight="1">
      <x:c r="A14" s="12" t="str">
        <x:v>SPR-kaidan-alenko-combat</x:v>
      </x:c>
      <x:c r="B14" s="7" t="str">
        <x:v>Kaidan Alenko — combat</x:v>
      </x:c>
      <x:c r="C14" s="10" t="str">
        <x:v>Prototype</x:v>
      </x:c>
      <x:c r="D14" s="11" t="str">
        <x:v>Prototype</x:v>
      </x:c>
      <x:c r="E14" s="9" t="str">
        <x:v>P0</x:v>
      </x:c>
      <x:c r="F14" s="9" t="str">
        <x:v>ME1</x:v>
      </x:c>
      <x:c r="G14" s="9" t="str">
        <x:v>Adaptation</x:v>
      </x:c>
      <x:c r="H14" s="7" t="str">
        <x:v>Planche de combat dédiée aux actions réellement disponibles pour Kaidan Alenko.</x:v>
      </x:c>
      <x:c r="I14" s="7" t="str">
        <x:v>Attente, action, impact, KO et récupération sans cadre coupé.</x:v>
      </x:c>
      <x:c r="J14" s="7" t="str">
        <x:v>CHR-kaidan-alenko</x:v>
      </x:c>
      <x:c r="K14" s="7" t="str">
        <x:v>assets/sprites/characters/kaidan-alenko/battle.png</x:v>
      </x:c>
      <x:c r="L14" s="7" t="str">
        <x:v>public/assets/crew-atlas.png</x:v>
      </x:c>
      <x:c r="M14" s="7" t="str">
        <x:v>kaidan</x:v>
      </x:c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Atlas de poses uniques utilisé par le prototype. Les angles, mouvements, expressions et costumes complets ne sont pas produits.</x:v>
      </x:c>
    </x:row>
    <x:row r="15" ht="49" customHeight="1">
      <x:c r="A15" s="13" t="str">
        <x:v>SPR-kaidan-alenko-portrait</x:v>
      </x:c>
      <x:c r="B15" s="14" t="str">
        <x:v>Kaidan Alenko — portrait</x:v>
      </x:c>
      <x:c r="C15" s="10" t="str">
        <x:v>Prototype</x:v>
      </x:c>
      <x:c r="D15" s="11" t="str">
        <x:v>Prototype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Portrait de dialogue en cohérence avec la tenue et l’identité terrain.</x:v>
      </x:c>
      <x:c r="I15" s="14" t="str">
        <x:v>Expressions neutre, déterminée, inquiète et blessée selon besoins narratifs.</x:v>
      </x:c>
      <x:c r="J15" s="14" t="str">
        <x:v>CHR-kaidan-alenko</x:v>
      </x:c>
      <x:c r="K15" s="14" t="str">
        <x:v>assets/portraits/kaidan-alenko.png</x:v>
      </x:c>
      <x:c r="L15" s="14" t="str">
        <x:v>public/assets/crew-atlas.png</x:v>
      </x:c>
      <x:c r="M15" s="14" t="str">
        <x:v>kaidan</x:v>
      </x:c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Atlas de poses uniques utilisé par le prototype. Les angles, mouvements, expressions et costumes complets ne sont pas produits.</x:v>
      </x:c>
    </x:row>
    <x:row r="16" ht="49" customHeight="1">
      <x:c r="A16" s="12" t="str">
        <x:v>SPR-garrus-vakarian-terrain</x:v>
      </x:c>
      <x:c r="B16" s="7" t="str">
        <x:v>Garrus Vakarian — terrain</x:v>
      </x:c>
      <x:c r="C16" s="10" t="str">
        <x:v>Prototype</x:v>
      </x:c>
      <x:c r="D16" s="11" t="str">
        <x:v>Prototype</x:v>
      </x:c>
      <x:c r="E16" s="9" t="str">
        <x:v>P0</x:v>
      </x:c>
      <x:c r="F16" s="9" t="str">
        <x:v>ME1</x:v>
      </x:c>
      <x:c r="G16" s="9" t="str">
        <x:v>Adaptation</x:v>
      </x:c>
      <x:c r="H16" s="7" t="str">
        <x:v>Sprite d’exploration de Garrus Vakarian, identité ME1 et silhouettes cohérentes.</x:v>
      </x:c>
      <x:c r="I16" s="7" t="str">
        <x:v>Huit directions, hauteur constante, pieds ancrés et comparaison aux références de l’épisode.</x:v>
      </x:c>
      <x:c r="J16" s="7" t="str">
        <x:v>CHR-garrus-vakarian</x:v>
      </x:c>
      <x:c r="K16" s="7" t="str">
        <x:v>assets/sprites/characters/garrus-vakarian/field.png</x:v>
      </x:c>
      <x:c r="L16" s="7" t="str">
        <x:v>public/assets/crew-atlas.png</x:v>
      </x:c>
      <x:c r="M16" s="7" t="str">
        <x:v>garrus</x:v>
      </x:c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Atlas de poses uniques utilisé par le prototype. Les angles, mouvements, expressions et costumes complets ne sont pas produits.</x:v>
      </x:c>
    </x:row>
    <x:row r="17" ht="49" customHeight="1">
      <x:c r="A17" s="13" t="str">
        <x:v>SPR-garrus-vakarian-combat</x:v>
      </x:c>
      <x:c r="B17" s="14" t="str">
        <x:v>Garrus Vakarian — combat</x:v>
      </x:c>
      <x:c r="C17" s="10" t="str">
        <x:v>Prototype</x:v>
      </x:c>
      <x:c r="D17" s="11" t="str">
        <x:v>Prototype</x:v>
      </x:c>
      <x:c r="E17" s="15" t="str">
        <x:v>P0</x:v>
      </x:c>
      <x:c r="F17" s="15" t="str">
        <x:v>ME1</x:v>
      </x:c>
      <x:c r="G17" s="15" t="str">
        <x:v>Adaptation</x:v>
      </x:c>
      <x:c r="H17" s="14" t="str">
        <x:v>Planche de combat dédiée aux actions réellement disponibles pour Garrus Vakarian.</x:v>
      </x:c>
      <x:c r="I17" s="14" t="str">
        <x:v>Attente, action, impact, KO et récupération sans cadre coupé.</x:v>
      </x:c>
      <x:c r="J17" s="14" t="str">
        <x:v>CHR-garrus-vakarian</x:v>
      </x:c>
      <x:c r="K17" s="14" t="str">
        <x:v>assets/sprites/characters/garrus-vakarian/battle.png</x:v>
      </x:c>
      <x:c r="L17" s="14" t="str">
        <x:v>public/assets/crew-atlas.png</x:v>
      </x:c>
      <x:c r="M17" s="14" t="str">
        <x:v>garrus</x:v>
      </x:c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Atlas de poses uniques utilisé par le prototype. Les angles, mouvements, expressions et costumes complets ne sont pas produits.</x:v>
      </x:c>
    </x:row>
    <x:row r="18" ht="49" customHeight="1">
      <x:c r="A18" s="12" t="str">
        <x:v>SPR-garrus-vakarian-portrait</x:v>
      </x:c>
      <x:c r="B18" s="7" t="str">
        <x:v>Garrus Vakarian — portrait</x:v>
      </x:c>
      <x:c r="C18" s="10" t="str">
        <x:v>Prototype</x:v>
      </x:c>
      <x:c r="D18" s="11" t="str">
        <x:v>Prototype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Portrait de dialogue en cohérence avec la tenue et l’identité terrain.</x:v>
      </x:c>
      <x:c r="I18" s="7" t="str">
        <x:v>Expressions neutre, déterminée, inquiète et blessée selon besoins narratifs.</x:v>
      </x:c>
      <x:c r="J18" s="7" t="str">
        <x:v>CHR-garrus-vakarian</x:v>
      </x:c>
      <x:c r="K18" s="7" t="str">
        <x:v>assets/portraits/garrus-vakarian.png</x:v>
      </x:c>
      <x:c r="L18" s="7" t="str">
        <x:v>public/assets/crew-atlas.png</x:v>
      </x:c>
      <x:c r="M18" s="7" t="str">
        <x:v>garrus</x:v>
      </x:c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Atlas de poses uniques utilisé par le prototype. Les angles, mouvements, expressions et costumes complets ne sont pas produits.</x:v>
      </x:c>
    </x:row>
    <x:row r="19" ht="49" customHeight="1">
      <x:c r="A19" s="13" t="str">
        <x:v>SPR-urdnot-wrex-terrain</x:v>
      </x:c>
      <x:c r="B19" s="14" t="str">
        <x:v>Urdnot Wrex — terrain</x:v>
      </x:c>
      <x:c r="C19" s="10" t="str">
        <x:v>Prototype</x:v>
      </x:c>
      <x:c r="D19" s="11" t="str">
        <x:v>Prototype</x:v>
      </x:c>
      <x:c r="E19" s="15" t="str">
        <x:v>P0</x:v>
      </x:c>
      <x:c r="F19" s="15" t="str">
        <x:v>ME1</x:v>
      </x:c>
      <x:c r="G19" s="15" t="str">
        <x:v>Adaptation</x:v>
      </x:c>
      <x:c r="H19" s="14" t="str">
        <x:v>Sprite d’exploration de Urdnot Wrex, identité ME1 et silhouettes cohérentes.</x:v>
      </x:c>
      <x:c r="I19" s="14" t="str">
        <x:v>Huit directions, hauteur constante, pieds ancrés et comparaison aux références de l’épisode.</x:v>
      </x:c>
      <x:c r="J19" s="14" t="str">
        <x:v>CHR-urdnot-wrex</x:v>
      </x:c>
      <x:c r="K19" s="14" t="str">
        <x:v>assets/sprites/characters/urdnot-wrex/field.png</x:v>
      </x:c>
      <x:c r="L19" s="14" t="str">
        <x:v>public/assets/crew-atlas.png</x:v>
      </x:c>
      <x:c r="M19" s="14" t="str">
        <x:v>wrex</x:v>
      </x:c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Atlas de poses uniques utilisé par le prototype. Les angles, mouvements, expressions et costumes complets ne sont pas produits.</x:v>
      </x:c>
    </x:row>
    <x:row r="20" ht="49" customHeight="1">
      <x:c r="A20" s="12" t="str">
        <x:v>SPR-urdnot-wrex-combat</x:v>
      </x:c>
      <x:c r="B20" s="7" t="str">
        <x:v>Urdnot Wrex — combat</x:v>
      </x:c>
      <x:c r="C20" s="10" t="str">
        <x:v>Prototype</x:v>
      </x:c>
      <x:c r="D20" s="11" t="str">
        <x:v>Prototype</x:v>
      </x:c>
      <x:c r="E20" s="9" t="str">
        <x:v>P0</x:v>
      </x:c>
      <x:c r="F20" s="9" t="str">
        <x:v>ME1</x:v>
      </x:c>
      <x:c r="G20" s="9" t="str">
        <x:v>Adaptation</x:v>
      </x:c>
      <x:c r="H20" s="7" t="str">
        <x:v>Planche de combat dédiée aux actions réellement disponibles pour Urdnot Wrex.</x:v>
      </x:c>
      <x:c r="I20" s="7" t="str">
        <x:v>Attente, action, impact, KO et récupération sans cadre coupé.</x:v>
      </x:c>
      <x:c r="J20" s="7" t="str">
        <x:v>CHR-urdnot-wrex</x:v>
      </x:c>
      <x:c r="K20" s="7" t="str">
        <x:v>assets/sprites/characters/urdnot-wrex/battle.png</x:v>
      </x:c>
      <x:c r="L20" s="7" t="str">
        <x:v>public/assets/crew-atlas.png</x:v>
      </x:c>
      <x:c r="M20" s="7" t="str">
        <x:v>wrex</x:v>
      </x:c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Atlas de poses uniques utilisé par le prototype. Les angles, mouvements, expressions et costumes complets ne sont pas produits.</x:v>
      </x:c>
    </x:row>
    <x:row r="21" ht="49" customHeight="1">
      <x:c r="A21" s="13" t="str">
        <x:v>SPR-urdnot-wrex-portrait</x:v>
      </x:c>
      <x:c r="B21" s="14" t="str">
        <x:v>Urdnot Wrex — portrait</x:v>
      </x:c>
      <x:c r="C21" s="10" t="str">
        <x:v>Prototype</x:v>
      </x:c>
      <x:c r="D21" s="11" t="str">
        <x:v>Prototype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Portrait de dialogue en cohérence avec la tenue et l’identité terrain.</x:v>
      </x:c>
      <x:c r="I21" s="14" t="str">
        <x:v>Expressions neutre, déterminée, inquiète et blessée selon besoins narratifs.</x:v>
      </x:c>
      <x:c r="J21" s="14" t="str">
        <x:v>CHR-urdnot-wrex</x:v>
      </x:c>
      <x:c r="K21" s="14" t="str">
        <x:v>assets/portraits/urdnot-wrex.png</x:v>
      </x:c>
      <x:c r="L21" s="14" t="str">
        <x:v>public/assets/crew-atlas.png</x:v>
      </x:c>
      <x:c r="M21" s="14" t="str">
        <x:v>wrex</x:v>
      </x:c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Atlas de poses uniques utilisé par le prototype. Les angles, mouvements, expressions et costumes complets ne sont pas produits.</x:v>
      </x:c>
    </x:row>
    <x:row r="22" ht="49" customHeight="1">
      <x:c r="A22" s="12" t="str">
        <x:v>SPR-tali-zorah-nar-rayya-terrain</x:v>
      </x:c>
      <x:c r="B22" s="7" t="str">
        <x:v>Tali'Zorah nar Rayya — terrain</x:v>
      </x:c>
      <x:c r="C22" s="10" t="str">
        <x:v>Prototype</x:v>
      </x:c>
      <x:c r="D22" s="11" t="str">
        <x:v>Prototype</x:v>
      </x:c>
      <x:c r="E22" s="9" t="str">
        <x:v>P0</x:v>
      </x:c>
      <x:c r="F22" s="9" t="str">
        <x:v>ME1</x:v>
      </x:c>
      <x:c r="G22" s="9" t="str">
        <x:v>Adaptation</x:v>
      </x:c>
      <x:c r="H22" s="7" t="str">
        <x:v>Sprite d’exploration de Tali'Zorah nar Rayya, identité ME1 et silhouettes cohérentes.</x:v>
      </x:c>
      <x:c r="I22" s="7" t="str">
        <x:v>Huit directions, hauteur constante, pieds ancrés et comparaison aux références de l’épisode.</x:v>
      </x:c>
      <x:c r="J22" s="7" t="str">
        <x:v>CHR-tali-zorah-nar-rayya</x:v>
      </x:c>
      <x:c r="K22" s="7" t="str">
        <x:v>assets/sprites/characters/tali-zorah-nar-rayya/field.png</x:v>
      </x:c>
      <x:c r="L22" s="7" t="str">
        <x:v>public/assets/crew-atlas.png</x:v>
      </x:c>
      <x:c r="M22" s="7" t="str">
        <x:v>tali</x:v>
      </x:c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Atlas de poses uniques utilisé par le prototype. Les angles, mouvements, expressions et costumes complets ne sont pas produits.</x:v>
      </x:c>
    </x:row>
    <x:row r="23" ht="49" customHeight="1">
      <x:c r="A23" s="13" t="str">
        <x:v>SPR-tali-zorah-nar-rayya-combat</x:v>
      </x:c>
      <x:c r="B23" s="14" t="str">
        <x:v>Tali'Zorah nar Rayya — combat</x:v>
      </x:c>
      <x:c r="C23" s="10" t="str">
        <x:v>Prototype</x:v>
      </x:c>
      <x:c r="D23" s="11" t="str">
        <x:v>Prototype</x:v>
      </x:c>
      <x:c r="E23" s="15" t="str">
        <x:v>P0</x:v>
      </x:c>
      <x:c r="F23" s="15" t="str">
        <x:v>ME1</x:v>
      </x:c>
      <x:c r="G23" s="15" t="str">
        <x:v>Adaptation</x:v>
      </x:c>
      <x:c r="H23" s="14" t="str">
        <x:v>Planche de combat dédiée aux actions réellement disponibles pour Tali'Zorah nar Rayya.</x:v>
      </x:c>
      <x:c r="I23" s="14" t="str">
        <x:v>Attente, action, impact, KO et récupération sans cadre coupé.</x:v>
      </x:c>
      <x:c r="J23" s="14" t="str">
        <x:v>CHR-tali-zorah-nar-rayya</x:v>
      </x:c>
      <x:c r="K23" s="14" t="str">
        <x:v>assets/sprites/characters/tali-zorah-nar-rayya/battle.png</x:v>
      </x:c>
      <x:c r="L23" s="14" t="str">
        <x:v>public/assets/crew-atlas.png</x:v>
      </x:c>
      <x:c r="M23" s="14" t="str">
        <x:v>tali</x:v>
      </x:c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Atlas de poses uniques utilisé par le prototype. Les angles, mouvements, expressions et costumes complets ne sont pas produits.</x:v>
      </x:c>
    </x:row>
    <x:row r="24" ht="49" customHeight="1">
      <x:c r="A24" s="12" t="str">
        <x:v>SPR-tali-zorah-nar-rayya-portrait</x:v>
      </x:c>
      <x:c r="B24" s="7" t="str">
        <x:v>Tali'Zorah nar Rayya — portrait</x:v>
      </x:c>
      <x:c r="C24" s="10" t="str">
        <x:v>Prototype</x:v>
      </x:c>
      <x:c r="D24" s="11" t="str">
        <x:v>Prototype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Portrait de dialogue en cohérence avec la tenue et l’identité terrain.</x:v>
      </x:c>
      <x:c r="I24" s="7" t="str">
        <x:v>Expressions neutre, déterminée, inquiète et blessée selon besoins narratifs.</x:v>
      </x:c>
      <x:c r="J24" s="7" t="str">
        <x:v>CHR-tali-zorah-nar-rayya</x:v>
      </x:c>
      <x:c r="K24" s="7" t="str">
        <x:v>assets/portraits/tali-zorah-nar-rayya.png</x:v>
      </x:c>
      <x:c r="L24" s="7" t="str">
        <x:v>public/assets/crew-atlas.png</x:v>
      </x:c>
      <x:c r="M24" s="7" t="str">
        <x:v>tali</x:v>
      </x:c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Atlas de poses uniques utilisé par le prototype. Les angles, mouvements, expressions et costumes complets ne sont pas produits.</x:v>
      </x:c>
    </x:row>
    <x:row r="25" ht="49" customHeight="1">
      <x:c r="A25" s="13" t="str">
        <x:v>SPR-liara-t-soni-terrain</x:v>
      </x:c>
      <x:c r="B25" s="14" t="str">
        <x:v>Liara T'Soni — terrain</x:v>
      </x:c>
      <x:c r="C25" s="10" t="str">
        <x:v>Prototype</x:v>
      </x:c>
      <x:c r="D25" s="11" t="str">
        <x:v>Prototype</x:v>
      </x:c>
      <x:c r="E25" s="15" t="str">
        <x:v>P0</x:v>
      </x:c>
      <x:c r="F25" s="15" t="str">
        <x:v>ME1</x:v>
      </x:c>
      <x:c r="G25" s="15" t="str">
        <x:v>Adaptation</x:v>
      </x:c>
      <x:c r="H25" s="14" t="str">
        <x:v>Sprite d’exploration de Liara T'Soni, identité ME1 et silhouettes cohérentes.</x:v>
      </x:c>
      <x:c r="I25" s="14" t="str">
        <x:v>Huit directions, hauteur constante, pieds ancrés et comparaison aux références de l’épisode.</x:v>
      </x:c>
      <x:c r="J25" s="14" t="str">
        <x:v>CHR-liara-t-soni</x:v>
      </x:c>
      <x:c r="K25" s="14" t="str">
        <x:v>assets/sprites/characters/liara-t-soni/field.png</x:v>
      </x:c>
      <x:c r="L25" s="14" t="str">
        <x:v>public/assets/crew-atlas.png</x:v>
      </x:c>
      <x:c r="M25" s="14" t="str">
        <x:v>liara</x:v>
      </x:c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Atlas de poses uniques utilisé par le prototype. Les angles, mouvements, expressions et costumes complets ne sont pas produits.</x:v>
      </x:c>
    </x:row>
    <x:row r="26" ht="49" customHeight="1">
      <x:c r="A26" s="12" t="str">
        <x:v>SPR-liara-t-soni-combat</x:v>
      </x:c>
      <x:c r="B26" s="7" t="str">
        <x:v>Liara T'Soni — combat</x:v>
      </x:c>
      <x:c r="C26" s="10" t="str">
        <x:v>Prototype</x:v>
      </x:c>
      <x:c r="D26" s="11" t="str">
        <x:v>Prototype</x:v>
      </x:c>
      <x:c r="E26" s="9" t="str">
        <x:v>P0</x:v>
      </x:c>
      <x:c r="F26" s="9" t="str">
        <x:v>ME1</x:v>
      </x:c>
      <x:c r="G26" s="9" t="str">
        <x:v>Adaptation</x:v>
      </x:c>
      <x:c r="H26" s="7" t="str">
        <x:v>Planche de combat dédiée aux actions réellement disponibles pour Liara T'Soni.</x:v>
      </x:c>
      <x:c r="I26" s="7" t="str">
        <x:v>Attente, action, impact, KO et récupération sans cadre coupé.</x:v>
      </x:c>
      <x:c r="J26" s="7" t="str">
        <x:v>CHR-liara-t-soni</x:v>
      </x:c>
      <x:c r="K26" s="7" t="str">
        <x:v>assets/sprites/characters/liara-t-soni/battle.png</x:v>
      </x:c>
      <x:c r="L26" s="7" t="str">
        <x:v>public/assets/crew-atlas.png</x:v>
      </x:c>
      <x:c r="M26" s="7" t="str">
        <x:v>liara</x:v>
      </x:c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Atlas de poses uniques utilisé par le prototype. Les angles, mouvements, expressions et costumes complets ne sont pas produits.</x:v>
      </x:c>
    </x:row>
    <x:row r="27" ht="49" customHeight="1">
      <x:c r="A27" s="13" t="str">
        <x:v>SPR-liara-t-soni-portrait</x:v>
      </x:c>
      <x:c r="B27" s="14" t="str">
        <x:v>Liara T'Soni — portrait</x:v>
      </x:c>
      <x:c r="C27" s="10" t="str">
        <x:v>Prototype</x:v>
      </x:c>
      <x:c r="D27" s="11" t="str">
        <x:v>Prototype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Portrait de dialogue en cohérence avec la tenue et l’identité terrain.</x:v>
      </x:c>
      <x:c r="I27" s="14" t="str">
        <x:v>Expressions neutre, déterminée, inquiète et blessée selon besoins narratifs.</x:v>
      </x:c>
      <x:c r="J27" s="14" t="str">
        <x:v>CHR-liara-t-soni</x:v>
      </x:c>
      <x:c r="K27" s="14" t="str">
        <x:v>assets/portraits/liara-t-soni.png</x:v>
      </x:c>
      <x:c r="L27" s="14" t="str">
        <x:v>public/assets/crew-atlas.png</x:v>
      </x:c>
      <x:c r="M27" s="14" t="str">
        <x:v>liara</x:v>
      </x:c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Atlas de poses uniques utilisé par le prototype. Les angles, mouvements, expressions et costumes complets ne sont pas produits.</x:v>
      </x:c>
    </x:row>
    <x:row r="28" ht="49" customHeight="1">
      <x:c r="A28" s="12" t="str">
        <x:v>SPR-jenkins-terrain</x:v>
      </x:c>
      <x:c r="B28" s="7" t="str">
        <x:v>Jenkins — terrain</x:v>
      </x:c>
      <x:c r="C28" s="10" t="str">
        <x:v>Prototype</x:v>
      </x:c>
      <x:c r="D28" s="11" t="str">
        <x:v>Prototype</x:v>
      </x:c>
      <x:c r="E28" s="9" t="str">
        <x:v>P0</x:v>
      </x:c>
      <x:c r="F28" s="9" t="str">
        <x:v>ME1</x:v>
      </x:c>
      <x:c r="G28" s="9" t="str">
        <x:v>Adaptation</x:v>
      </x:c>
      <x:c r="H28" s="7" t="str">
        <x:v>Sprite d’exploration de Jenkins, identité ME1 et silhouettes cohérentes.</x:v>
      </x:c>
      <x:c r="I28" s="7" t="str">
        <x:v>Huit directions, hauteur constante, pieds ancrés et comparaison aux références de l’épisode.</x:v>
      </x:c>
      <x:c r="J28" s="7" t="str">
        <x:v>CHR-jenkins</x:v>
      </x:c>
      <x:c r="K28" s="7" t="str">
        <x:v>assets/sprites/characters/jenkins/field.png</x:v>
      </x:c>
      <x:c r="L28" s="7" t="str">
        <x:v>public/assets/crew-atlas.png</x:v>
      </x:c>
      <x:c r="M28" s="7" t="str">
        <x:v>jenkins</x:v>
      </x:c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Atlas de poses uniques utilisé par le prototype. Les angles, mouvements, expressions et costumes complets ne sont pas produits.</x:v>
      </x:c>
    </x:row>
    <x:row r="29" ht="49" customHeight="1">
      <x:c r="A29" s="13" t="str">
        <x:v>SPR-jenkins-combat</x:v>
      </x:c>
      <x:c r="B29" s="14" t="str">
        <x:v>Jenkins — combat</x:v>
      </x:c>
      <x:c r="C29" s="10" t="str">
        <x:v>Prototype</x:v>
      </x:c>
      <x:c r="D29" s="11" t="str">
        <x:v>Prototype</x:v>
      </x:c>
      <x:c r="E29" s="15" t="str">
        <x:v>P0</x:v>
      </x:c>
      <x:c r="F29" s="15" t="str">
        <x:v>ME1</x:v>
      </x:c>
      <x:c r="G29" s="15" t="str">
        <x:v>Adaptation</x:v>
      </x:c>
      <x:c r="H29" s="14" t="str">
        <x:v>Planche de combat dédiée aux actions réellement disponibles pour Jenkins.</x:v>
      </x:c>
      <x:c r="I29" s="14" t="str">
        <x:v>Attente, action, impact, KO et récupération sans cadre coupé.</x:v>
      </x:c>
      <x:c r="J29" s="14" t="str">
        <x:v>CHR-jenkins</x:v>
      </x:c>
      <x:c r="K29" s="14" t="str">
        <x:v>assets/sprites/characters/jenkins/battle.png</x:v>
      </x:c>
      <x:c r="L29" s="14" t="str">
        <x:v>public/assets/crew-atlas.png</x:v>
      </x:c>
      <x:c r="M29" s="14" t="str">
        <x:v>jenkins</x:v>
      </x:c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Atlas de poses uniques utilisé par le prototype. Les angles, mouvements, expressions et costumes complets ne sont pas produits.</x:v>
      </x:c>
    </x:row>
    <x:row r="30" ht="49" customHeight="1">
      <x:c r="A30" s="12" t="str">
        <x:v>SPR-jenkins-portrait</x:v>
      </x:c>
      <x:c r="B30" s="7" t="str">
        <x:v>Jenkins — portrait</x:v>
      </x:c>
      <x:c r="C30" s="10" t="str">
        <x:v>Prototype</x:v>
      </x:c>
      <x:c r="D30" s="11" t="str">
        <x:v>Prototype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Portrait de dialogue en cohérence avec la tenue et l’identité terrain.</x:v>
      </x:c>
      <x:c r="I30" s="7" t="str">
        <x:v>Expressions neutre, déterminée, inquiète et blessée selon besoins narratifs.</x:v>
      </x:c>
      <x:c r="J30" s="7" t="str">
        <x:v>CHR-jenkins</x:v>
      </x:c>
      <x:c r="K30" s="7" t="str">
        <x:v>assets/portraits/jenkins.png</x:v>
      </x:c>
      <x:c r="L30" s="7" t="str">
        <x:v>public/assets/crew-atlas.png</x:v>
      </x:c>
      <x:c r="M30" s="7" t="str">
        <x:v>jenkins</x:v>
      </x:c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Atlas de poses uniques utilisé par le prototype. Les angles, mouvements, expressions et costumes complets ne sont pas produits.</x:v>
      </x:c>
    </x:row>
    <x:row r="31" ht="36" customHeight="1">
      <x:c r="A31" s="13" t="str">
        <x:v>SPR-drone-de-reconnaissance-geth-ennemi</x:v>
      </x:c>
      <x:c r="B31" s="14" t="str">
        <x:v>Drone de reconnaissance geth — planche ennemie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Silhouette et actions principales de Drone de reconnaissance geth.</x:v>
      </x:c>
      <x:c r="I31" s="14" t="str">
        <x:v>Silhouette référencée, attaques lisibles, transparence propre et échelle relative contrôlée.</x:v>
      </x:c>
      <x:c r="J31" s="14" t="str">
        <x:v>ENM-drone-de-reconnaissance-geth</x:v>
      </x:c>
      <x:c r="K31" s="14" t="str">
        <x:v>assets/sprites/enemies/drone-de-reconnaissance-geth.png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SPR-drone-d-assaut-geth-ennemi</x:v>
      </x:c>
      <x:c r="B32" s="7" t="str">
        <x:v>Drone d’assaut geth — planche ennemie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Silhouette et actions principales de Drone d’assaut geth.</x:v>
      </x:c>
      <x:c r="I32" s="7" t="str">
        <x:v>Silhouette référencée, attaques lisibles, transparence propre et échelle relative contrôlée.</x:v>
      </x:c>
      <x:c r="J32" s="7" t="str">
        <x:v>ENM-drone-d-assaut-geth</x:v>
      </x:c>
      <x:c r="K32" s="7" t="str">
        <x:v>assets/sprites/enemies/drone-d-assaut-geth.png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SPR-drone-lance-roquettes-ennemi</x:v>
      </x:c>
      <x:c r="B33" s="14" t="str">
        <x:v>Drone lance-roquettes — planche ennemie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Silhouette et actions principales de Drone lance-roquettes.</x:v>
      </x:c>
      <x:c r="I33" s="14" t="str">
        <x:v>Silhouette référencée, attaques lisibles, transparence propre et échelle relative contrôlée.</x:v>
      </x:c>
      <x:c r="J33" s="14" t="str">
        <x:v>ENM-drone-lance-roquettes</x:v>
      </x:c>
      <x:c r="K33" s="14" t="str">
        <x:v>assets/sprites/enemies/drone-lance-roquettes.png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SPR-soldat-geth-ennemi</x:v>
      </x:c>
      <x:c r="B34" s="7" t="str">
        <x:v>Soldat geth — planche ennemie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Silhouette et actions principales de Soldat geth.</x:v>
      </x:c>
      <x:c r="I34" s="7" t="str">
        <x:v>Silhouette référencée, attaques lisibles, transparence propre et échelle relative contrôlée.</x:v>
      </x:c>
      <x:c r="J34" s="7" t="str">
        <x:v>ENM-soldat-geth</x:v>
      </x:c>
      <x:c r="K34" s="7" t="str">
        <x:v>assets/sprites/enemies/soldat-geth.png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SPR-sniper-geth-ennemi</x:v>
      </x:c>
      <x:c r="B35" s="14" t="str">
        <x:v>Sniper geth — planche ennemie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Silhouette et actions principales de Sniper geth.</x:v>
      </x:c>
      <x:c r="I35" s="14" t="str">
        <x:v>Silhouette référencée, attaques lisibles, transparence propre et échelle relative contrôlée.</x:v>
      </x:c>
      <x:c r="J35" s="14" t="str">
        <x:v>ENM-sniper-geth</x:v>
      </x:c>
      <x:c r="K35" s="14" t="str">
        <x:v>assets/sprites/enemies/sniper-geth.png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SPR-lance-roquettes-geth-ennemi</x:v>
      </x:c>
      <x:c r="B36" s="7" t="str">
        <x:v>Lance-roquettes geth — planche ennemie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Silhouette et actions principales de Lance-roquettes geth.</x:v>
      </x:c>
      <x:c r="I36" s="7" t="str">
        <x:v>Silhouette référencée, attaques lisibles, transparence propre et échelle relative contrôlée.</x:v>
      </x:c>
      <x:c r="J36" s="7" t="str">
        <x:v>ENM-lance-roquettes-geth</x:v>
      </x:c>
      <x:c r="K36" s="7" t="str">
        <x:v>assets/sprites/enemies/lance-roquettes-geth.png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  <x:row r="37" ht="36" customHeight="1">
      <x:c r="A37" s="13" t="str">
        <x:v>SPR-soldat-de-choc-geth-ennemi</x:v>
      </x:c>
      <x:c r="B37" s="14" t="str">
        <x:v>Soldat de choc geth — planche ennemie</x:v>
      </x:c>
      <x:c r="C37" s="10" t="str">
        <x:v>Défini</x:v>
      </x:c>
      <x:c r="D37" s="11" t="str">
        <x:v>À produire</x:v>
      </x:c>
      <x:c r="E37" s="15" t="str">
        <x:v>P1</x:v>
      </x:c>
      <x:c r="F37" s="15" t="str">
        <x:v>ME1</x:v>
      </x:c>
      <x:c r="G37" s="15" t="str">
        <x:v>Adaptation</x:v>
      </x:c>
      <x:c r="H37" s="14" t="str">
        <x:v>Silhouette et actions principales de Soldat de choc geth.</x:v>
      </x:c>
      <x:c r="I37" s="14" t="str">
        <x:v>Silhouette référencée, attaques lisibles, transparence propre et échelle relative contrôlée.</x:v>
      </x:c>
      <x:c r="J37" s="14" t="str">
        <x:v>ENM-soldat-de-choc-geth</x:v>
      </x:c>
      <x:c r="K37" s="14" t="str">
        <x:v>assets/sprites/enemies/soldat-de-choc-geth.png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36" customHeight="1">
      <x:c r="A38" s="12" t="str">
        <x:v>SPR-destructeur-geth-ennemi</x:v>
      </x:c>
      <x:c r="B38" s="7" t="str">
        <x:v>Destructeur geth — planche ennemie</x:v>
      </x:c>
      <x:c r="C38" s="10" t="str">
        <x:v>Défini</x:v>
      </x:c>
      <x:c r="D38" s="11" t="str">
        <x:v>À produire</x:v>
      </x:c>
      <x:c r="E38" s="9" t="str">
        <x:v>P1</x:v>
      </x:c>
      <x:c r="F38" s="9" t="str">
        <x:v>ME1</x:v>
      </x:c>
      <x:c r="G38" s="9" t="str">
        <x:v>Adaptation</x:v>
      </x:c>
      <x:c r="H38" s="7" t="str">
        <x:v>Silhouette et actions principales de Destructeur geth.</x:v>
      </x:c>
      <x:c r="I38" s="7" t="str">
        <x:v>Silhouette référencée, attaques lisibles, transparence propre et échelle relative contrôlée.</x:v>
      </x:c>
      <x:c r="J38" s="7" t="str">
        <x:v>ENM-destructeur-geth</x:v>
      </x:c>
      <x:c r="K38" s="7" t="str">
        <x:v>assets/sprites/enemies/destructeur-geth.png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/>
    </x:row>
    <x:row r="39" ht="36" customHeight="1">
      <x:c r="A39" s="13" t="str">
        <x:v>SPR-juggernaut-geth-ennemi</x:v>
      </x:c>
      <x:c r="B39" s="14" t="str">
        <x:v>Juggernaut geth — planche ennemie</x:v>
      </x:c>
      <x:c r="C39" s="10" t="str">
        <x:v>Défini</x:v>
      </x:c>
      <x:c r="D39" s="11" t="str">
        <x:v>À produire</x:v>
      </x:c>
      <x:c r="E39" s="15" t="str">
        <x:v>P1</x:v>
      </x:c>
      <x:c r="F39" s="15" t="str">
        <x:v>ME1</x:v>
      </x:c>
      <x:c r="G39" s="15" t="str">
        <x:v>Adaptation</x:v>
      </x:c>
      <x:c r="H39" s="14" t="str">
        <x:v>Silhouette et actions principales de Juggernaut geth.</x:v>
      </x:c>
      <x:c r="I39" s="14" t="str">
        <x:v>Silhouette référencée, attaques lisibles, transparence propre et échelle relative contrôlée.</x:v>
      </x:c>
      <x:c r="J39" s="14" t="str">
        <x:v>ENM-juggernaut-geth</x:v>
      </x:c>
      <x:c r="K39" s="14" t="str">
        <x:v>assets/sprites/enemies/juggernaut-geth.png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/>
    </x:row>
    <x:row r="40" ht="36" customHeight="1">
      <x:c r="A40" s="12" t="str">
        <x:v>SPR-traqueur-geth-ennemi</x:v>
      </x:c>
      <x:c r="B40" s="7" t="str">
        <x:v>Traqueur geth — planche ennemie</x:v>
      </x:c>
      <x:c r="C40" s="10" t="str">
        <x:v>Défini</x:v>
      </x:c>
      <x:c r="D40" s="11" t="str">
        <x:v>À produire</x:v>
      </x:c>
      <x:c r="E40" s="9" t="str">
        <x:v>P1</x:v>
      </x:c>
      <x:c r="F40" s="9" t="str">
        <x:v>ME1</x:v>
      </x:c>
      <x:c r="G40" s="9" t="str">
        <x:v>Adaptation</x:v>
      </x:c>
      <x:c r="H40" s="7" t="str">
        <x:v>Silhouette et actions principales de Traqueur geth.</x:v>
      </x:c>
      <x:c r="I40" s="7" t="str">
        <x:v>Silhouette référencée, attaques lisibles, transparence propre et échelle relative contrôlée.</x:v>
      </x:c>
      <x:c r="J40" s="7" t="str">
        <x:v>ENM-traqueur-geth</x:v>
      </x:c>
      <x:c r="K40" s="7" t="str">
        <x:v>assets/sprites/enemies/traqueur-geth.png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/>
    </x:row>
    <x:row r="41" ht="36" customHeight="1">
      <x:c r="A41" s="13" t="str">
        <x:v>SPR-sapeur-geth-ennemi</x:v>
      </x:c>
      <x:c r="B41" s="14" t="str">
        <x:v>Sapeur geth — planche ennemie</x:v>
      </x:c>
      <x:c r="C41" s="10" t="str">
        <x:v>Défini</x:v>
      </x:c>
      <x:c r="D41" s="11" t="str">
        <x:v>À produire</x:v>
      </x:c>
      <x:c r="E41" s="15" t="str">
        <x:v>P1</x:v>
      </x:c>
      <x:c r="F41" s="15" t="str">
        <x:v>ME1</x:v>
      </x:c>
      <x:c r="G41" s="15" t="str">
        <x:v>Adaptation</x:v>
      </x:c>
      <x:c r="H41" s="14" t="str">
        <x:v>Silhouette et actions principales de Sapeur geth.</x:v>
      </x:c>
      <x:c r="I41" s="14" t="str">
        <x:v>Silhouette référencée, attaques lisibles, transparence propre et échelle relative contrôlée.</x:v>
      </x:c>
      <x:c r="J41" s="14" t="str">
        <x:v>ENM-sapeur-geth</x:v>
      </x:c>
      <x:c r="K41" s="14" t="str">
        <x:v>assets/sprites/enemies/sapeur-geth.png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36" customHeight="1">
      <x:c r="A42" s="12" t="str">
        <x:v>SPR-fantome-geth-ennemi</x:v>
      </x:c>
      <x:c r="B42" s="7" t="str">
        <x:v>Fantôme geth — planche ennemie</x:v>
      </x:c>
      <x:c r="C42" s="10" t="str">
        <x:v>Défini</x:v>
      </x:c>
      <x:c r="D42" s="11" t="str">
        <x:v>À produire</x:v>
      </x:c>
      <x:c r="E42" s="9" t="str">
        <x:v>P1</x:v>
      </x:c>
      <x:c r="F42" s="9" t="str">
        <x:v>ME1</x:v>
      </x:c>
      <x:c r="G42" s="9" t="str">
        <x:v>Adaptation</x:v>
      </x:c>
      <x:c r="H42" s="7" t="str">
        <x:v>Silhouette et actions principales de Fantôme geth.</x:v>
      </x:c>
      <x:c r="I42" s="7" t="str">
        <x:v>Silhouette référencée, attaques lisibles, transparence propre et échelle relative contrôlée.</x:v>
      </x:c>
      <x:c r="J42" s="7" t="str">
        <x:v>ENM-fantome-geth</x:v>
      </x:c>
      <x:c r="K42" s="7" t="str">
        <x:v>assets/sprites/enemies/fantome-geth.png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/>
    </x:row>
    <x:row r="43" ht="49" customHeight="1">
      <x:c r="A43" s="13" t="str">
        <x:v>SPR-armature-geth-ennemi</x:v>
      </x:c>
      <x:c r="B43" s="14" t="str">
        <x:v>Armature geth — planche ennemie</x:v>
      </x:c>
      <x:c r="C43" s="10" t="str">
        <x:v>Prototype</x:v>
      </x:c>
      <x:c r="D43" s="11" t="str">
        <x:v>Prototype</x:v>
      </x:c>
      <x:c r="E43" s="15" t="str">
        <x:v>P1</x:v>
      </x:c>
      <x:c r="F43" s="15" t="str">
        <x:v>ME1</x:v>
      </x:c>
      <x:c r="G43" s="15" t="str">
        <x:v>Adaptation</x:v>
      </x:c>
      <x:c r="H43" s="14" t="str">
        <x:v>Silhouette et actions principales de Armature geth.</x:v>
      </x:c>
      <x:c r="I43" s="14" t="str">
        <x:v>Silhouette référencée, attaques lisibles, transparence propre et échelle relative contrôlée.</x:v>
      </x:c>
      <x:c r="J43" s="14" t="str">
        <x:v>ENM-armature-geth</x:v>
      </x:c>
      <x:c r="K43" s="14" t="str">
        <x:v>assets/sprites/enemies/armature-geth.png</x:v>
      </x:c>
      <x:c r="L43" s="14" t="str">
        <x:v>public/assets/vehicle-atlas.png</x:v>
      </x:c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Illustration statique dans le quadrant inférieur gauche, non placée par le renderer actuel. Détourage, proportions et planches animées à reprendre.</x:v>
      </x:c>
    </x:row>
    <x:row r="44" ht="36" customHeight="1">
      <x:c r="A44" s="12" t="str">
        <x:v>SPR-colosse-geth-ennemi</x:v>
      </x:c>
      <x:c r="B44" s="7" t="str">
        <x:v>Colosse geth — planche ennemie</x:v>
      </x:c>
      <x:c r="C44" s="10" t="str">
        <x:v>Défini</x:v>
      </x:c>
      <x:c r="D44" s="11" t="str">
        <x:v>À produire</x:v>
      </x:c>
      <x:c r="E44" s="9" t="str">
        <x:v>P1</x:v>
      </x:c>
      <x:c r="F44" s="9" t="str">
        <x:v>ME1</x:v>
      </x:c>
      <x:c r="G44" s="9" t="str">
        <x:v>Adaptation</x:v>
      </x:c>
      <x:c r="H44" s="7" t="str">
        <x:v>Silhouette et actions principales de Colosse geth.</x:v>
      </x:c>
      <x:c r="I44" s="7" t="str">
        <x:v>Silhouette référencée, attaques lisibles, transparence propre et échelle relative contrôlée.</x:v>
      </x:c>
      <x:c r="J44" s="7" t="str">
        <x:v>ENM-colosse-geth</x:v>
      </x:c>
      <x:c r="K44" s="7" t="str">
        <x:v>assets/sprites/enemies/colosse-geth.png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/>
    </x:row>
    <x:row r="45" ht="36" customHeight="1">
      <x:c r="A45" s="13" t="str">
        <x:v>SPR-husk-ennemi</x:v>
      </x:c>
      <x:c r="B45" s="14" t="str">
        <x:v>Husk — planche ennemie</x:v>
      </x:c>
      <x:c r="C45" s="10" t="str">
        <x:v>Défini</x:v>
      </x:c>
      <x:c r="D45" s="11" t="str">
        <x:v>À produire</x:v>
      </x:c>
      <x:c r="E45" s="15" t="str">
        <x:v>P1</x:v>
      </x:c>
      <x:c r="F45" s="15" t="str">
        <x:v>ME1</x:v>
      </x:c>
      <x:c r="G45" s="15" t="str">
        <x:v>Adaptation</x:v>
      </x:c>
      <x:c r="H45" s="14" t="str">
        <x:v>Silhouette et actions principales de Husk.</x:v>
      </x:c>
      <x:c r="I45" s="14" t="str">
        <x:v>Silhouette référencée, attaques lisibles, transparence propre et échelle relative contrôlée.</x:v>
      </x:c>
      <x:c r="J45" s="14" t="str">
        <x:v>ENM-husk</x:v>
      </x:c>
      <x:c r="K45" s="14" t="str">
        <x:v>assets/sprites/enemies/husk.png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SPR-creeper-du-thorian-ennemi</x:v>
      </x:c>
      <x:c r="B46" s="7" t="str">
        <x:v>Creeper du Thorian — planche ennemie</x:v>
      </x:c>
      <x:c r="C46" s="10" t="str">
        <x:v>Défini</x:v>
      </x:c>
      <x:c r="D46" s="11" t="str">
        <x:v>À produire</x:v>
      </x:c>
      <x:c r="E46" s="9" t="str">
        <x:v>P1</x:v>
      </x:c>
      <x:c r="F46" s="9" t="str">
        <x:v>ME1</x:v>
      </x:c>
      <x:c r="G46" s="9" t="str">
        <x:v>Adaptation</x:v>
      </x:c>
      <x:c r="H46" s="7" t="str">
        <x:v>Silhouette et actions principales de Creeper du Thorian.</x:v>
      </x:c>
      <x:c r="I46" s="7" t="str">
        <x:v>Silhouette référencée, attaques lisibles, transparence propre et échelle relative contrôlée.</x:v>
      </x:c>
      <x:c r="J46" s="7" t="str">
        <x:v>ENM-creeper-du-thorian</x:v>
      </x:c>
      <x:c r="K46" s="7" t="str">
        <x:v>assets/sprites/enemies/creeper-du-thorian.png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  <x:row r="47" ht="36" customHeight="1">
      <x:c r="A47" s="13" t="str">
        <x:v>SPR-clone-asari-du-thorian-ennemi</x:v>
      </x:c>
      <x:c r="B47" s="14" t="str">
        <x:v>Clone asari du Thorian — planche ennemie</x:v>
      </x:c>
      <x:c r="C47" s="10" t="str">
        <x:v>Défini</x:v>
      </x:c>
      <x:c r="D47" s="11" t="str">
        <x:v>À produire</x:v>
      </x:c>
      <x:c r="E47" s="15" t="str">
        <x:v>P1</x:v>
      </x:c>
      <x:c r="F47" s="15" t="str">
        <x:v>ME1</x:v>
      </x:c>
      <x:c r="G47" s="15" t="str">
        <x:v>Adaptation</x:v>
      </x:c>
      <x:c r="H47" s="14" t="str">
        <x:v>Silhouette et actions principales de Clone asari du Thorian.</x:v>
      </x:c>
      <x:c r="I47" s="14" t="str">
        <x:v>Silhouette référencée, attaques lisibles, transparence propre et échelle relative contrôlée.</x:v>
      </x:c>
      <x:c r="J47" s="14" t="str">
        <x:v>ENM-clone-asari-du-thorian</x:v>
      </x:c>
      <x:c r="K47" s="14" t="str">
        <x:v>assets/sprites/enemies/clone-asari-du-thorian.png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/>
    </x:row>
    <x:row r="48" ht="36" customHeight="1">
      <x:c r="A48" s="12" t="str">
        <x:v>SPR-rachni-ouvrier-ennemi</x:v>
      </x:c>
      <x:c r="B48" s="7" t="str">
        <x:v>Rachni ouvrier — planche ennemie</x:v>
      </x:c>
      <x:c r="C48" s="10" t="str">
        <x:v>Défini</x:v>
      </x:c>
      <x:c r="D48" s="11" t="str">
        <x:v>À produire</x:v>
      </x:c>
      <x:c r="E48" s="9" t="str">
        <x:v>P1</x:v>
      </x:c>
      <x:c r="F48" s="9" t="str">
        <x:v>ME1</x:v>
      </x:c>
      <x:c r="G48" s="9" t="str">
        <x:v>Adaptation</x:v>
      </x:c>
      <x:c r="H48" s="7" t="str">
        <x:v>Silhouette et actions principales de Rachni ouvrier.</x:v>
      </x:c>
      <x:c r="I48" s="7" t="str">
        <x:v>Silhouette référencée, attaques lisibles, transparence propre et échelle relative contrôlée.</x:v>
      </x:c>
      <x:c r="J48" s="7" t="str">
        <x:v>ENM-rachni-ouvrier</x:v>
      </x:c>
      <x:c r="K48" s="7" t="str">
        <x:v>assets/sprites/enemies/rachni-ouvrier.png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/>
    </x:row>
    <x:row r="49" ht="36" customHeight="1">
      <x:c r="A49" s="13" t="str">
        <x:v>SPR-rachni-soldat-ennemi</x:v>
      </x:c>
      <x:c r="B49" s="14" t="str">
        <x:v>Rachni soldat — planche ennemie</x:v>
      </x:c>
      <x:c r="C49" s="10" t="str">
        <x:v>Défini</x:v>
      </x:c>
      <x:c r="D49" s="11" t="str">
        <x:v>À produire</x:v>
      </x:c>
      <x:c r="E49" s="15" t="str">
        <x:v>P1</x:v>
      </x:c>
      <x:c r="F49" s="15" t="str">
        <x:v>ME1</x:v>
      </x:c>
      <x:c r="G49" s="15" t="str">
        <x:v>Adaptation</x:v>
      </x:c>
      <x:c r="H49" s="14" t="str">
        <x:v>Silhouette et actions principales de Rachni soldat.</x:v>
      </x:c>
      <x:c r="I49" s="14" t="str">
        <x:v>Silhouette référencée, attaques lisibles, transparence propre et échelle relative contrôlée.</x:v>
      </x:c>
      <x:c r="J49" s="14" t="str">
        <x:v>ENM-rachni-soldat</x:v>
      </x:c>
      <x:c r="K49" s="14" t="str">
        <x:v>assets/sprites/enemies/rachni-soldat.png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/>
    </x:row>
    <x:row r="50" ht="36" customHeight="1">
      <x:c r="A50" s="12" t="str">
        <x:v>SPR-guerrier-krogan-ennemi</x:v>
      </x:c>
      <x:c r="B50" s="7" t="str">
        <x:v>Guerrier krogan — planche ennemie</x:v>
      </x:c>
      <x:c r="C50" s="10" t="str">
        <x:v>Défini</x:v>
      </x:c>
      <x:c r="D50" s="11" t="str">
        <x:v>À produire</x:v>
      </x:c>
      <x:c r="E50" s="9" t="str">
        <x:v>P1</x:v>
      </x:c>
      <x:c r="F50" s="9" t="str">
        <x:v>ME1</x:v>
      </x:c>
      <x:c r="G50" s="9" t="str">
        <x:v>Adaptation</x:v>
      </x:c>
      <x:c r="H50" s="7" t="str">
        <x:v>Silhouette et actions principales de Guerrier krogan.</x:v>
      </x:c>
      <x:c r="I50" s="7" t="str">
        <x:v>Silhouette référencée, attaques lisibles, transparence propre et échelle relative contrôlée.</x:v>
      </x:c>
      <x:c r="J50" s="7" t="str">
        <x:v>ENM-guerrier-krogan</x:v>
      </x:c>
      <x:c r="K50" s="7" t="str">
        <x:v>assets/sprites/enemies/guerrier-krogan.png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/>
    </x:row>
    <x:row r="51" ht="36" customHeight="1">
      <x:c r="A51" s="13" t="str">
        <x:v>SPR-maitre-de-guerre-krogan-ennemi</x:v>
      </x:c>
      <x:c r="B51" s="14" t="str">
        <x:v>Maître de guerre krogan — planche ennemie</x:v>
      </x:c>
      <x:c r="C51" s="10" t="str">
        <x:v>Défini</x:v>
      </x:c>
      <x:c r="D51" s="11" t="str">
        <x:v>À produire</x:v>
      </x:c>
      <x:c r="E51" s="15" t="str">
        <x:v>P1</x:v>
      </x:c>
      <x:c r="F51" s="15" t="str">
        <x:v>ME1</x:v>
      </x:c>
      <x:c r="G51" s="15" t="str">
        <x:v>Adaptation</x:v>
      </x:c>
      <x:c r="H51" s="14" t="str">
        <x:v>Silhouette et actions principales de Maître de guerre krogan.</x:v>
      </x:c>
      <x:c r="I51" s="14" t="str">
        <x:v>Silhouette référencée, attaques lisibles, transparence propre et échelle relative contrôlée.</x:v>
      </x:c>
      <x:c r="J51" s="14" t="str">
        <x:v>ENM-maitre-de-guerre-krogan</x:v>
      </x:c>
      <x:c r="K51" s="14" t="str">
        <x:v>assets/sprites/enemies/maitre-de-guerre-krogan.png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/>
    </x:row>
    <x:row r="52" ht="36" customHeight="1">
      <x:c r="A52" s="12" t="str">
        <x:v>SPR-mercenaire-humain-ennemi</x:v>
      </x:c>
      <x:c r="B52" s="7" t="str">
        <x:v>Mercenaire humain — planche ennemie</x:v>
      </x:c>
      <x:c r="C52" s="10" t="str">
        <x:v>Défini</x:v>
      </x:c>
      <x:c r="D52" s="11" t="str">
        <x:v>À produire</x:v>
      </x:c>
      <x:c r="E52" s="9" t="str">
        <x:v>P1</x:v>
      </x:c>
      <x:c r="F52" s="9" t="str">
        <x:v>ME1</x:v>
      </x:c>
      <x:c r="G52" s="9" t="str">
        <x:v>Adaptation</x:v>
      </x:c>
      <x:c r="H52" s="7" t="str">
        <x:v>Silhouette et actions principales de Mercenaire humain.</x:v>
      </x:c>
      <x:c r="I52" s="7" t="str">
        <x:v>Silhouette référencée, attaques lisibles, transparence propre et échelle relative contrôlée.</x:v>
      </x:c>
      <x:c r="J52" s="7" t="str">
        <x:v>ENM-mercenaire-humain</x:v>
      </x:c>
      <x:c r="K52" s="7" t="str">
        <x:v>assets/sprites/enemies/mercenaire-humain.png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/>
    </x:row>
    <x:row r="53" ht="36" customHeight="1">
      <x:c r="A53" s="13" t="str">
        <x:v>SPR-mercenaire-turien-ennemi</x:v>
      </x:c>
      <x:c r="B53" s="14" t="str">
        <x:v>Mercenaire turien — planche ennemie</x:v>
      </x:c>
      <x:c r="C53" s="10" t="str">
        <x:v>Défini</x:v>
      </x:c>
      <x:c r="D53" s="11" t="str">
        <x:v>À produire</x:v>
      </x:c>
      <x:c r="E53" s="15" t="str">
        <x:v>P1</x:v>
      </x:c>
      <x:c r="F53" s="15" t="str">
        <x:v>ME1</x:v>
      </x:c>
      <x:c r="G53" s="15" t="str">
        <x:v>Adaptation</x:v>
      </x:c>
      <x:c r="H53" s="14" t="str">
        <x:v>Silhouette et actions principales de Mercenaire turien.</x:v>
      </x:c>
      <x:c r="I53" s="14" t="str">
        <x:v>Silhouette référencée, attaques lisibles, transparence propre et échelle relative contrôlée.</x:v>
      </x:c>
      <x:c r="J53" s="14" t="str">
        <x:v>ENM-mercenaire-turien</x:v>
      </x:c>
      <x:c r="K53" s="14" t="str">
        <x:v>assets/sprites/enemies/mercenaire-turien.png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/>
    </x:row>
    <x:row r="54" ht="36" customHeight="1">
      <x:c r="A54" s="12" t="str">
        <x:v>SPR-mercenaire-galarien-ennemi</x:v>
      </x:c>
      <x:c r="B54" s="7" t="str">
        <x:v>Mercenaire galarien — planche ennemie</x:v>
      </x:c>
      <x:c r="C54" s="10" t="str">
        <x:v>Défini</x:v>
      </x:c>
      <x:c r="D54" s="11" t="str">
        <x:v>À produire</x:v>
      </x:c>
      <x:c r="E54" s="9" t="str">
        <x:v>P1</x:v>
      </x:c>
      <x:c r="F54" s="9" t="str">
        <x:v>ME1</x:v>
      </x:c>
      <x:c r="G54" s="9" t="str">
        <x:v>Adaptation</x:v>
      </x:c>
      <x:c r="H54" s="7" t="str">
        <x:v>Silhouette et actions principales de Mercenaire galarien.</x:v>
      </x:c>
      <x:c r="I54" s="7" t="str">
        <x:v>Silhouette référencée, attaques lisibles, transparence propre et échelle relative contrôlée.</x:v>
      </x:c>
      <x:c r="J54" s="7" t="str">
        <x:v>ENM-mercenaire-galarien</x:v>
      </x:c>
      <x:c r="K54" s="7" t="str">
        <x:v>assets/sprites/enemies/mercenaire-galarien.png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/>
    </x:row>
    <x:row r="55" ht="36" customHeight="1">
      <x:c r="A55" s="13" t="str">
        <x:v>SPR-commando-asari-ennemi</x:v>
      </x:c>
      <x:c r="B55" s="14" t="str">
        <x:v>Commando asari — planche ennemie</x:v>
      </x:c>
      <x:c r="C55" s="10" t="str">
        <x:v>Défini</x:v>
      </x:c>
      <x:c r="D55" s="11" t="str">
        <x:v>À produire</x:v>
      </x:c>
      <x:c r="E55" s="15" t="str">
        <x:v>P1</x:v>
      </x:c>
      <x:c r="F55" s="15" t="str">
        <x:v>ME1</x:v>
      </x:c>
      <x:c r="G55" s="15" t="str">
        <x:v>Adaptation</x:v>
      </x:c>
      <x:c r="H55" s="14" t="str">
        <x:v>Silhouette et actions principales de Commando asari.</x:v>
      </x:c>
      <x:c r="I55" s="14" t="str">
        <x:v>Silhouette référencée, attaques lisibles, transparence propre et échelle relative contrôlée.</x:v>
      </x:c>
      <x:c r="J55" s="14" t="str">
        <x:v>ENM-commando-asari</x:v>
      </x:c>
      <x:c r="K55" s="14" t="str">
        <x:v>assets/sprites/enemies/commando-asari.png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/>
    </x:row>
    <x:row r="56" ht="36" customHeight="1">
      <x:c r="A56" s="12" t="str">
        <x:v>SPR-fanatique-biotique-ennemi</x:v>
      </x:c>
      <x:c r="B56" s="7" t="str">
        <x:v>Fanatique biotique — planche ennemie</x:v>
      </x:c>
      <x:c r="C56" s="10" t="str">
        <x:v>Défini</x:v>
      </x:c>
      <x:c r="D56" s="11" t="str">
        <x:v>À produire</x:v>
      </x:c>
      <x:c r="E56" s="9" t="str">
        <x:v>P1</x:v>
      </x:c>
      <x:c r="F56" s="9" t="str">
        <x:v>ME1</x:v>
      </x:c>
      <x:c r="G56" s="9" t="str">
        <x:v>Adaptation</x:v>
      </x:c>
      <x:c r="H56" s="7" t="str">
        <x:v>Silhouette et actions principales de Fanatique biotique.</x:v>
      </x:c>
      <x:c r="I56" s="7" t="str">
        <x:v>Silhouette référencée, attaques lisibles, transparence propre et échelle relative contrôlée.</x:v>
      </x:c>
      <x:c r="J56" s="7" t="str">
        <x:v>ENM-fanatique-biotique</x:v>
      </x:c>
      <x:c r="K56" s="7" t="str">
        <x:v>assets/sprites/enemies/fanatique-biotique.png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/>
    </x:row>
    <x:row r="57" ht="36" customHeight="1">
      <x:c r="A57" s="13" t="str">
        <x:v>SPR-varren-ennemi</x:v>
      </x:c>
      <x:c r="B57" s="14" t="str">
        <x:v>Varren — planche ennemie</x:v>
      </x:c>
      <x:c r="C57" s="10" t="str">
        <x:v>Défini</x:v>
      </x:c>
      <x:c r="D57" s="11" t="str">
        <x:v>À produire</x:v>
      </x:c>
      <x:c r="E57" s="15" t="str">
        <x:v>P1</x:v>
      </x:c>
      <x:c r="F57" s="15" t="str">
        <x:v>ME1</x:v>
      </x:c>
      <x:c r="G57" s="15" t="str">
        <x:v>Adaptation</x:v>
      </x:c>
      <x:c r="H57" s="14" t="str">
        <x:v>Silhouette et actions principales de Varren.</x:v>
      </x:c>
      <x:c r="I57" s="14" t="str">
        <x:v>Silhouette référencée, attaques lisibles, transparence propre et échelle relative contrôlée.</x:v>
      </x:c>
      <x:c r="J57" s="14" t="str">
        <x:v>ENM-varren</x:v>
      </x:c>
      <x:c r="K57" s="14" t="str">
        <x:v>assets/sprites/enemies/varren.png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/>
    </x:row>
    <x:row r="58" ht="36" customHeight="1">
      <x:c r="A58" s="12" t="str">
        <x:v>SPR-devoreur-ennemi</x:v>
      </x:c>
      <x:c r="B58" s="7" t="str">
        <x:v>Dévoreur — planche ennemie</x:v>
      </x:c>
      <x:c r="C58" s="10" t="str">
        <x:v>Défini</x:v>
      </x:c>
      <x:c r="D58" s="11" t="str">
        <x:v>À produire</x:v>
      </x:c>
      <x:c r="E58" s="9" t="str">
        <x:v>P1</x:v>
      </x:c>
      <x:c r="F58" s="9" t="str">
        <x:v>ME1</x:v>
      </x:c>
      <x:c r="G58" s="9" t="str">
        <x:v>Adaptation</x:v>
      </x:c>
      <x:c r="H58" s="7" t="str">
        <x:v>Silhouette et actions principales de Dévoreur.</x:v>
      </x:c>
      <x:c r="I58" s="7" t="str">
        <x:v>Silhouette référencée, attaques lisibles, transparence propre et échelle relative contrôlée.</x:v>
      </x:c>
      <x:c r="J58" s="7" t="str">
        <x:v>ENM-devoreur</x:v>
      </x:c>
      <x:c r="K58" s="7" t="str">
        <x:v>assets/sprites/enemies/devoreur.png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/>
    </x:row>
    <x:row r="59" ht="36" customHeight="1">
      <x:c r="A59" s="13" t="str">
        <x:v>SPR-tourelle-automatisee-ennemi</x:v>
      </x:c>
      <x:c r="B59" s="14" t="str">
        <x:v>Tourelle automatisée — planche ennemie</x:v>
      </x:c>
      <x:c r="C59" s="10" t="str">
        <x:v>Défini</x:v>
      </x:c>
      <x:c r="D59" s="11" t="str">
        <x:v>À produire</x:v>
      </x:c>
      <x:c r="E59" s="15" t="str">
        <x:v>P1</x:v>
      </x:c>
      <x:c r="F59" s="15" t="str">
        <x:v>ME1</x:v>
      </x:c>
      <x:c r="G59" s="15" t="str">
        <x:v>Adaptation</x:v>
      </x:c>
      <x:c r="H59" s="14" t="str">
        <x:v>Silhouette et actions principales de Tourelle automatisée.</x:v>
      </x:c>
      <x:c r="I59" s="14" t="str">
        <x:v>Silhouette référencée, attaques lisibles, transparence propre et échelle relative contrôlée.</x:v>
      </x:c>
      <x:c r="J59" s="14" t="str">
        <x:v>ENM-tourelle-automatisee</x:v>
      </x:c>
      <x:c r="K59" s="14" t="str">
        <x:v>assets/sprites/enemies/tourelle-automatisee.png</x:v>
      </x:c>
      <x:c r="L59" s="14" t="str"/>
      <x:c r="M59" s="14" t="str"/>
      <x:c r="N59" s="14" t="str">
        <x:v>Décisions du fan game ; aucune prétention de canon officiel</x:v>
      </x:c>
      <x:c r="O59" s="14" t="str"/>
      <x:c r="P59" s="14" t="str">
        <x:v>Production ME1</x:v>
      </x:c>
      <x:c r="Q59" s="14" t="str"/>
    </x:row>
    <x:row r="60" ht="36" customHeight="1">
      <x:c r="A60" s="12" t="str">
        <x:v>SPR-fist-ennemi</x:v>
      </x:c>
      <x:c r="B60" s="7" t="str">
        <x:v>Fist — planche ennemie</x:v>
      </x:c>
      <x:c r="C60" s="10" t="str">
        <x:v>Défini</x:v>
      </x:c>
      <x:c r="D60" s="11" t="str">
        <x:v>À produire</x:v>
      </x:c>
      <x:c r="E60" s="9" t="str">
        <x:v>P1</x:v>
      </x:c>
      <x:c r="F60" s="9" t="str">
        <x:v>ME1</x:v>
      </x:c>
      <x:c r="G60" s="9" t="str">
        <x:v>Adaptation</x:v>
      </x:c>
      <x:c r="H60" s="7" t="str">
        <x:v>Silhouette et actions principales de Fist.</x:v>
      </x:c>
      <x:c r="I60" s="7" t="str">
        <x:v>Silhouette référencée, attaques lisibles, transparence propre et échelle relative contrôlée.</x:v>
      </x:c>
      <x:c r="J60" s="7" t="str">
        <x:v>ENM-fist</x:v>
      </x:c>
      <x:c r="K60" s="7" t="str">
        <x:v>assets/sprites/enemies/fist.png</x:v>
      </x:c>
      <x:c r="L60" s="7" t="str"/>
      <x:c r="M60" s="7" t="str"/>
      <x:c r="N60" s="7" t="str">
        <x:v>Décisions du fan game ; aucune prétention de canon officiel</x:v>
      </x:c>
      <x:c r="O60" s="7" t="str"/>
      <x:c r="P60" s="7" t="str">
        <x:v>Production ME1</x:v>
      </x:c>
      <x:c r="Q60" s="7" t="str"/>
    </x:row>
    <x:row r="61" ht="62" customHeight="1">
      <x:c r="A61" s="13" t="str">
        <x:v>SPR-matriarche-benezia-ennemi</x:v>
      </x:c>
      <x:c r="B61" s="14" t="str">
        <x:v>Matriarche Benezia — planche ennemie</x:v>
      </x:c>
      <x:c r="C61" s="10" t="str">
        <x:v>Prototype</x:v>
      </x:c>
      <x:c r="D61" s="11" t="str">
        <x:v>Prototype</x:v>
      </x:c>
      <x:c r="E61" s="15" t="str">
        <x:v>P1</x:v>
      </x:c>
      <x:c r="F61" s="15" t="str">
        <x:v>ME1</x:v>
      </x:c>
      <x:c r="G61" s="15" t="str">
        <x:v>Adaptation</x:v>
      </x:c>
      <x:c r="H61" s="14" t="str">
        <x:v>Silhouette et actions principales de Matriarche Benezia.</x:v>
      </x:c>
      <x:c r="I61" s="14" t="str">
        <x:v>Silhouette référencée, attaques lisibles, transparence propre et échelle relative contrôlée.</x:v>
      </x:c>
      <x:c r="J61" s="14" t="str">
        <x:v>ENM-matriarche-benezia</x:v>
      </x:c>
      <x:c r="K61" s="14" t="str">
        <x:v>assets/sprites/enemies/matriarche-benezia.png</x:v>
      </x:c>
      <x:c r="L61" s="14" t="str">
        <x:v>public/assets/boss-atlas.png</x:v>
      </x:c>
      <x:c r="M61" s="14" t="str">
        <x:v>BOSS_KEYS.benezia</x:v>
      </x:c>
      <x:c r="N61" s="14" t="str">
        <x:v>Décisions du fan game ; aucune prétention de canon officiel</x:v>
      </x:c>
      <x:c r="O61" s="14" t="str"/>
      <x:c r="P61" s="14" t="str">
        <x:v>Production ME1</x:v>
      </x:c>
      <x:c r="Q61" s="14" t="str">
        <x:v>Atlas 2 × 2, case haut droite. Pose statique employée par src/world.js et rencontre condensée dans src/game-data.js. Apparence et actions à recouper avec ME1 ; aucune animation complète ni fidélité 1:1 validée.</x:v>
      </x:c>
    </x:row>
    <x:row r="62" ht="62" customHeight="1">
      <x:c r="A62" s="12" t="str">
        <x:v>SPR-thorian-ennemi</x:v>
      </x:c>
      <x:c r="B62" s="7" t="str">
        <x:v>Thorian — planche ennemie</x:v>
      </x:c>
      <x:c r="C62" s="10" t="str">
        <x:v>Prototype</x:v>
      </x:c>
      <x:c r="D62" s="11" t="str">
        <x:v>Prototype</x:v>
      </x:c>
      <x:c r="E62" s="9" t="str">
        <x:v>P1</x:v>
      </x:c>
      <x:c r="F62" s="9" t="str">
        <x:v>ME1</x:v>
      </x:c>
      <x:c r="G62" s="9" t="str">
        <x:v>Adaptation</x:v>
      </x:c>
      <x:c r="H62" s="7" t="str">
        <x:v>Silhouette et actions principales de Thorian.</x:v>
      </x:c>
      <x:c r="I62" s="7" t="str">
        <x:v>Silhouette référencée, attaques lisibles, transparence propre et échelle relative contrôlée.</x:v>
      </x:c>
      <x:c r="J62" s="7" t="str">
        <x:v>ENM-thorian</x:v>
      </x:c>
      <x:c r="K62" s="7" t="str">
        <x:v>assets/sprites/enemies/thorian.png</x:v>
      </x:c>
      <x:c r="L62" s="7" t="str">
        <x:v>public/assets/boss-atlas.png</x:v>
      </x:c>
      <x:c r="M62" s="7" t="str">
        <x:v>BOSS_KEYS.thorian</x:v>
      </x:c>
      <x:c r="N62" s="7" t="str">
        <x:v>Décisions du fan game ; aucune prétention de canon officiel</x:v>
      </x:c>
      <x:c r="O62" s="7" t="str"/>
      <x:c r="P62" s="7" t="str">
        <x:v>Production ME1</x:v>
      </x:c>
      <x:c r="Q62" s="7" t="str">
        <x:v>Atlas 2 × 2, case bas gauche. Pose statique employée par src/world.js et rencontre condensée dans src/game-data.js. Apparence et actions à recouper avec ME1 ; aucune animation complète ni fidélité 1:1 validée.</x:v>
      </x:c>
    </x:row>
    <x:row r="63" ht="62" customHeight="1">
      <x:c r="A63" s="13" t="str">
        <x:v>SPR-saren-sur-virmire-ennemi</x:v>
      </x:c>
      <x:c r="B63" s="14" t="str">
        <x:v>Saren sur Virmire — planche ennemie</x:v>
      </x:c>
      <x:c r="C63" s="10" t="str">
        <x:v>Prototype</x:v>
      </x:c>
      <x:c r="D63" s="11" t="str">
        <x:v>Prototype</x:v>
      </x:c>
      <x:c r="E63" s="15" t="str">
        <x:v>P1</x:v>
      </x:c>
      <x:c r="F63" s="15" t="str">
        <x:v>ME1</x:v>
      </x:c>
      <x:c r="G63" s="15" t="str">
        <x:v>Adaptation</x:v>
      </x:c>
      <x:c r="H63" s="14" t="str">
        <x:v>Silhouette et actions principales de Saren sur Virmire.</x:v>
      </x:c>
      <x:c r="I63" s="14" t="str">
        <x:v>Silhouette référencée, attaques lisibles, transparence propre et échelle relative contrôlée.</x:v>
      </x:c>
      <x:c r="J63" s="14" t="str">
        <x:v>ENM-saren-sur-virmire</x:v>
      </x:c>
      <x:c r="K63" s="14" t="str">
        <x:v>assets/sprites/enemies/saren-sur-virmire.png</x:v>
      </x:c>
      <x:c r="L63" s="14" t="str">
        <x:v>public/assets/boss-atlas.png</x:v>
      </x:c>
      <x:c r="M63" s="14" t="str">
        <x:v>BOSS_KEYS.saren</x:v>
      </x:c>
      <x:c r="N63" s="14" t="str">
        <x:v>Décisions du fan game ; aucune prétention de canon officiel</x:v>
      </x:c>
      <x:c r="O63" s="14" t="str"/>
      <x:c r="P63" s="14" t="str">
        <x:v>Production ME1</x:v>
      </x:c>
      <x:c r="Q63" s="14" t="str">
        <x:v>Atlas 2 × 2, case haut gauche. Pose statique employée par src/world.js et rencontre condensée dans src/game-data.js. Apparence et actions à recouper avec ME1 ; aucune animation complète ni fidélité 1:1 validée.</x:v>
      </x:c>
    </x:row>
    <x:row r="64" ht="62" customHeight="1">
      <x:c r="A64" s="12" t="str">
        <x:v>SPR-saren-a-la-citadelle-ennemi</x:v>
      </x:c>
      <x:c r="B64" s="7" t="str">
        <x:v>Saren à la Citadelle — planche ennemie</x:v>
      </x:c>
      <x:c r="C64" s="10" t="str">
        <x:v>Prototype</x:v>
      </x:c>
      <x:c r="D64" s="11" t="str">
        <x:v>Prototype</x:v>
      </x:c>
      <x:c r="E64" s="9" t="str">
        <x:v>P1</x:v>
      </x:c>
      <x:c r="F64" s="9" t="str">
        <x:v>ME1</x:v>
      </x:c>
      <x:c r="G64" s="9" t="str">
        <x:v>Adaptation</x:v>
      </x:c>
      <x:c r="H64" s="7" t="str">
        <x:v>Silhouette et actions principales de Saren à la Citadelle.</x:v>
      </x:c>
      <x:c r="I64" s="7" t="str">
        <x:v>Silhouette référencée, attaques lisibles, transparence propre et échelle relative contrôlée.</x:v>
      </x:c>
      <x:c r="J64" s="7" t="str">
        <x:v>ENM-saren-a-la-citadelle</x:v>
      </x:c>
      <x:c r="K64" s="7" t="str">
        <x:v>assets/sprites/enemies/saren-a-la-citadelle.png</x:v>
      </x:c>
      <x:c r="L64" s="7" t="str">
        <x:v>public/assets/boss-atlas.png</x:v>
      </x:c>
      <x:c r="M64" s="7" t="str">
        <x:v>BOSS_KEYS.saren-final</x:v>
      </x:c>
      <x:c r="N64" s="7" t="str">
        <x:v>Décisions du fan game ; aucune prétention de canon officiel</x:v>
      </x:c>
      <x:c r="O64" s="7" t="str"/>
      <x:c r="P64" s="7" t="str">
        <x:v>Production ME1</x:v>
      </x:c>
      <x:c r="Q64" s="7" t="str">
        <x:v>Atlas 2 × 2, case bas droite. Pose statique employée par src/world.js et rencontre condensée dans src/game-data.js. Apparence et actions à recouper avec ME1 ; aucune animation complète ni fidélité 1:1 validée.</x:v>
      </x:c>
    </x:row>
    <x:row r="65" ht="36" customHeight="1">
      <x:c r="A65" s="13" t="str">
        <x:v>SPR-balak-ennemi</x:v>
      </x:c>
      <x:c r="B65" s="14" t="str">
        <x:v>Balak — planche ennemie</x:v>
      </x:c>
      <x:c r="C65" s="10" t="str">
        <x:v>Défini</x:v>
      </x:c>
      <x:c r="D65" s="11" t="str">
        <x:v>À produire</x:v>
      </x:c>
      <x:c r="E65" s="15" t="str">
        <x:v>P1</x:v>
      </x:c>
      <x:c r="F65" s="15" t="str">
        <x:v>ME1</x:v>
      </x:c>
      <x:c r="G65" s="15" t="str">
        <x:v>Adaptation</x:v>
      </x:c>
      <x:c r="H65" s="14" t="str">
        <x:v>Silhouette et actions principales de Balak.</x:v>
      </x:c>
      <x:c r="I65" s="14" t="str">
        <x:v>Silhouette référencée, attaques lisibles, transparence propre et échelle relative contrôlée.</x:v>
      </x:c>
      <x:c r="J65" s="14" t="str">
        <x:v>ENM-balak</x:v>
      </x:c>
      <x:c r="K65" s="14" t="str">
        <x:v>assets/sprites/enemies/balak.png</x:v>
      </x:c>
      <x:c r="L65" s="14" t="str"/>
      <x:c r="M65" s="14" t="str"/>
      <x:c r="N65" s="14" t="str">
        <x:v>Décisions du fan game ; aucune prétention de canon officiel</x:v>
      </x:c>
      <x:c r="O65" s="14" t="str"/>
      <x:c r="P65" s="14" t="str">
        <x:v>Production ME1</x:v>
      </x:c>
      <x:c r="Q65" s="14" t="str"/>
    </x:row>
    <x:row r="66" ht="49" customHeight="1">
      <x:c r="A66" s="12" t="str">
        <x:v>SPR-NPC-joker-assis</x:v>
      </x:c>
      <x:c r="B66" s="7" t="str">
        <x:v>Joker assis</x:v>
      </x:c>
      <x:c r="C66" s="10" t="str">
        <x:v>Défini</x:v>
      </x:c>
      <x:c r="D66" s="11" t="str">
        <x:v>Prototype</x:v>
      </x:c>
      <x:c r="E66" s="9" t="str">
        <x:v>P1</x:v>
      </x:c>
      <x:c r="F66" s="9" t="str">
        <x:v>ME1</x:v>
      </x:c>
      <x:c r="G66" s="9" t="str">
        <x:v>Adaptation</x:v>
      </x:c>
      <x:c r="H66" s="7" t="str">
        <x:v>Planche spécifique au poste de pilotage.</x:v>
      </x:c>
      <x:c r="I66" s="7" t="str">
        <x:v>Pose et mouvement adaptés au personnage.</x:v>
      </x:c>
      <x:c r="J66" s="7" t="str"/>
      <x:c r="K66" s="7" t="str">
        <x:v>assets/sprites/npcs/manifest.json</x:v>
      </x:c>
      <x:c r="L66" s="7" t="str">
        <x:v>public/assets/npc-atlas.png</x:v>
      </x:c>
      <x:c r="M66" s="7" t="str">
        <x:v>NPC_KEYS.joker</x:v>
      </x:c>
      <x:c r="N66" s="7" t="str">
        <x:v>Décisions du fan game ; aucune prétention de canon officiel</x:v>
      </x:c>
      <x:c r="O66" s="7" t="str"/>
      <x:c r="P66" s="7" t="str">
        <x:v>Production ME1</x:v>
      </x:c>
      <x:c r="Q66" s="7" t="str">
        <x:v>La case ligne 1, colonne 3 est debout. Elle sert de remplacement provisoire ; la pose assise au poste de pilotage reste à produire.</x:v>
      </x:c>
    </x:row>
    <x:row r="67" ht="36" customHeight="1">
      <x:c r="A67" s="13" t="str">
        <x:v>SPR-NPC-anderson-uniforme</x:v>
      </x:c>
      <x:c r="B67" s="14" t="str">
        <x:v>Anderson uniforme</x:v>
      </x:c>
      <x:c r="C67" s="10" t="str">
        <x:v>Prototype</x:v>
      </x:c>
      <x:c r="D67" s="11" t="str">
        <x:v>Prototype</x:v>
      </x:c>
      <x:c r="E67" s="15" t="str">
        <x:v>P1</x:v>
      </x:c>
      <x:c r="F67" s="15" t="str">
        <x:v>ME1</x:v>
      </x:c>
      <x:c r="G67" s="15" t="str">
        <x:v>Adaptation</x:v>
      </x:c>
      <x:c r="H67" s="14" t="str">
        <x:v>Portrait et silhouette du capitaine au début du récit.</x:v>
      </x:c>
      <x:c r="I67" s="14" t="str">
        <x:v>Rang et uniforme de ME1.</x:v>
      </x:c>
      <x:c r="J67" s="14" t="str"/>
      <x:c r="K67" s="14" t="str">
        <x:v>assets/sprites/npcs/manifest.json</x:v>
      </x:c>
      <x:c r="L67" s="14" t="str">
        <x:v>public/assets/npc-atlas.png</x:v>
      </x:c>
      <x:c r="M67" s="14" t="str">
        <x:v>NPC_KEYS.anderson</x:v>
      </x:c>
      <x:c r="N67" s="14" t="str">
        <x:v>Décisions du fan game ; aucune prétention de canon officiel</x:v>
      </x:c>
      <x:c r="O67" s="14" t="str"/>
      <x:c r="P67" s="14" t="str">
        <x:v>Production ME1</x:v>
      </x:c>
      <x:c r="Q67" s="14" t="str">
        <x:v>Atlas 4 × 2, ligne 1, colonne 2. Pose unique provisoire ; planche d’animation complète à produire.</x:v>
      </x:c>
    </x:row>
    <x:row r="68" ht="36" customHeight="1">
      <x:c r="A68" s="12" t="str">
        <x:v>SPR-NPC-chakwas-medicale</x:v>
      </x:c>
      <x:c r="B68" s="7" t="str">
        <x:v>Chakwas médicale</x:v>
      </x:c>
      <x:c r="C68" s="10" t="str">
        <x:v>Prototype</x:v>
      </x:c>
      <x:c r="D68" s="11" t="str">
        <x:v>Prototype</x:v>
      </x:c>
      <x:c r="E68" s="9" t="str">
        <x:v>P1</x:v>
      </x:c>
      <x:c r="F68" s="9" t="str">
        <x:v>ME1</x:v>
      </x:c>
      <x:c r="G68" s="9" t="str">
        <x:v>Adaptation</x:v>
      </x:c>
      <x:c r="H68" s="7" t="str">
        <x:v>Silhouette et portrait de la médecin.</x:v>
      </x:c>
      <x:c r="I68" s="7" t="str">
        <x:v>Référence d’âge et tenue cohérente.</x:v>
      </x:c>
      <x:c r="J68" s="7" t="str"/>
      <x:c r="K68" s="7" t="str">
        <x:v>assets/sprites/npcs/manifest.json</x:v>
      </x:c>
      <x:c r="L68" s="7" t="str">
        <x:v>public/assets/npc-atlas.png</x:v>
      </x:c>
      <x:c r="M68" s="7" t="str">
        <x:v>NPC_KEYS.chakwas</x:v>
      </x:c>
      <x:c r="N68" s="7" t="str">
        <x:v>Décisions du fan game ; aucune prétention de canon officiel</x:v>
      </x:c>
      <x:c r="O68" s="7" t="str"/>
      <x:c r="P68" s="7" t="str">
        <x:v>Production ME1</x:v>
      </x:c>
      <x:c r="Q68" s="7" t="str">
        <x:v>Atlas 4 × 2, ligne 1, colonne 4. Pose unique provisoire ; planche d’animation complète à produire.</x:v>
      </x:c>
    </x:row>
    <x:row r="69" ht="36" customHeight="1">
      <x:c r="A69" s="13" t="str">
        <x:v>SPR-NPC-udina-diplomate</x:v>
      </x:c>
      <x:c r="B69" s="14" t="str">
        <x:v>Udina diplomate</x:v>
      </x:c>
      <x:c r="C69" s="10" t="str">
        <x:v>Prototype</x:v>
      </x:c>
      <x:c r="D69" s="11" t="str">
        <x:v>Prototype</x:v>
      </x:c>
      <x:c r="E69" s="15" t="str">
        <x:v>P1</x:v>
      </x:c>
      <x:c r="F69" s="15" t="str">
        <x:v>ME1</x:v>
      </x:c>
      <x:c r="G69" s="15" t="str">
        <x:v>Adaptation</x:v>
      </x:c>
      <x:c r="H69" s="14" t="str">
        <x:v>Portrait et silhouette civile.</x:v>
      </x:c>
      <x:c r="I69" s="14" t="str">
        <x:v>Costume et posture de la période.</x:v>
      </x:c>
      <x:c r="J69" s="14" t="str"/>
      <x:c r="K69" s="14" t="str">
        <x:v>assets/sprites/npcs/manifest.json</x:v>
      </x:c>
      <x:c r="L69" s="14" t="str">
        <x:v>public/assets/npc-atlas.png</x:v>
      </x:c>
      <x:c r="M69" s="14" t="str">
        <x:v>NPC_KEYS.udina</x:v>
      </x:c>
      <x:c r="N69" s="14" t="str">
        <x:v>Décisions du fan game ; aucune prétention de canon officiel</x:v>
      </x:c>
      <x:c r="O69" s="14" t="str"/>
      <x:c r="P69" s="14" t="str">
        <x:v>Production ME1</x:v>
      </x:c>
      <x:c r="Q69" s="14" t="str">
        <x:v>Atlas 4 × 2, ligne 2, colonne 2. Pose unique provisoire ; planche d’animation complète à produire.</x:v>
      </x:c>
    </x:row>
    <x:row r="70" ht="36" customHeight="1">
      <x:c r="A70" s="12" t="str">
        <x:v>SPR-NPC-conseil-trio</x:v>
      </x:c>
      <x:c r="B70" s="7" t="str">
        <x:v>Conseil trio</x:v>
      </x:c>
      <x:c r="C70" s="10" t="str">
        <x:v>Défini</x:v>
      </x:c>
      <x:c r="D70" s="11" t="str">
        <x:v>À produire</x:v>
      </x:c>
      <x:c r="E70" s="9" t="str">
        <x:v>P1</x:v>
      </x:c>
      <x:c r="F70" s="9" t="str">
        <x:v>ME1</x:v>
      </x:c>
      <x:c r="G70" s="9" t="str">
        <x:v>Adaptation</x:v>
      </x:c>
      <x:c r="H70" s="7" t="str">
        <x:v>Trois silhouettes diplomatiques séparées.</x:v>
      </x:c>
      <x:c r="I70" s="7" t="str">
        <x:v>Aucun doublon générique entre espèces.</x:v>
      </x:c>
      <x:c r="J70" s="7" t="str"/>
      <x:c r="K70" s="7" t="str">
        <x:v>assets/sprites/npcs/manifest.json</x:v>
      </x:c>
      <x:c r="L70" s="7" t="str"/>
      <x:c r="M70" s="7" t="str"/>
      <x:c r="N70" s="7" t="str">
        <x:v>Décisions du fan game ; aucune prétention de canon officiel</x:v>
      </x:c>
      <x:c r="O70" s="7" t="str"/>
      <x:c r="P70" s="7" t="str">
        <x:v>Production ME1</x:v>
      </x:c>
      <x:c r="Q70" s="7" t="str"/>
    </x:row>
    <x:row r="71" ht="36" customHeight="1">
      <x:c r="A71" s="13" t="str">
        <x:v>SPR-NPC-veilleur-technique</x:v>
      </x:c>
      <x:c r="B71" s="14" t="str">
        <x:v>Veilleur technique</x:v>
      </x:c>
      <x:c r="C71" s="10" t="str">
        <x:v>Défini</x:v>
      </x:c>
      <x:c r="D71" s="11" t="str">
        <x:v>À produire</x:v>
      </x:c>
      <x:c r="E71" s="15" t="str">
        <x:v>P1</x:v>
      </x:c>
      <x:c r="F71" s="15" t="str">
        <x:v>ME1</x:v>
      </x:c>
      <x:c r="G71" s="15" t="str">
        <x:v>Adaptation</x:v>
      </x:c>
      <x:c r="H71" s="14" t="str">
        <x:v>Planche de maintenance non combattante.</x:v>
      </x:c>
      <x:c r="I71" s="14" t="str">
        <x:v>Pattes et outils propres à la créature.</x:v>
      </x:c>
      <x:c r="J71" s="14" t="str"/>
      <x:c r="K71" s="14" t="str">
        <x:v>assets/sprites/npcs/manifest.json</x:v>
      </x:c>
      <x:c r="L71" s="14" t="str"/>
      <x:c r="M71" s="14" t="str"/>
      <x:c r="N71" s="14" t="str">
        <x:v>Décisions du fan game ; aucune prétention de canon officiel</x:v>
      </x:c>
      <x:c r="O71" s="14" t="str"/>
      <x:c r="P71" s="14" t="str">
        <x:v>Production ME1</x:v>
      </x:c>
      <x:c r="Q71" s="14" t="str"/>
    </x:row>
    <x:row r="72" ht="36" customHeight="1">
      <x:c r="A72" s="12" t="str">
        <x:v>SPR-NPC-marchand-volus</x:v>
      </x:c>
      <x:c r="B72" s="7" t="str">
        <x:v>Marchand volus</x:v>
      </x:c>
      <x:c r="C72" s="10" t="str">
        <x:v>Défini</x:v>
      </x:c>
      <x:c r="D72" s="11" t="str">
        <x:v>À produire</x:v>
      </x:c>
      <x:c r="E72" s="9" t="str">
        <x:v>P1</x:v>
      </x:c>
      <x:c r="F72" s="9" t="str">
        <x:v>ME1</x:v>
      </x:c>
      <x:c r="G72" s="9" t="str">
        <x:v>Adaptation</x:v>
      </x:c>
      <x:c r="H72" s="7" t="str">
        <x:v>Silhouette de commerce avec équipement pressurisé.</x:v>
      </x:c>
      <x:c r="I72" s="7" t="str">
        <x:v>Respiration et gestes courts.</x:v>
      </x:c>
      <x:c r="J72" s="7" t="str"/>
      <x:c r="K72" s="7" t="str">
        <x:v>assets/sprites/npcs/manifest.json</x:v>
      </x:c>
      <x:c r="L72" s="7" t="str"/>
      <x:c r="M72" s="7" t="str"/>
      <x:c r="N72" s="7" t="str">
        <x:v>Décisions du fan game ; aucune prétention de canon officiel</x:v>
      </x:c>
      <x:c r="O72" s="7" t="str"/>
      <x:c r="P72" s="7" t="str">
        <x:v>Production ME1</x:v>
      </x:c>
      <x:c r="Q72" s="7" t="str"/>
    </x:row>
    <x:row r="73" ht="36" customHeight="1">
      <x:c r="A73" s="13" t="str">
        <x:v>SPR-NPC-diplomate-elcor</x:v>
      </x:c>
      <x:c r="B73" s="14" t="str">
        <x:v>Diplomate elcor</x:v>
      </x:c>
      <x:c r="C73" s="10" t="str">
        <x:v>Défini</x:v>
      </x:c>
      <x:c r="D73" s="11" t="str">
        <x:v>À produire</x:v>
      </x:c>
      <x:c r="E73" s="15" t="str">
        <x:v>P1</x:v>
      </x:c>
      <x:c r="F73" s="15" t="str">
        <x:v>ME1</x:v>
      </x:c>
      <x:c r="G73" s="15" t="str">
        <x:v>Adaptation</x:v>
      </x:c>
      <x:c r="H73" s="14" t="str">
        <x:v>Silhouette quadrupède et portrait adapté.</x:v>
      </x:c>
      <x:c r="I73" s="14" t="str">
        <x:v>Cadrage n’impose pas de buste humain.</x:v>
      </x:c>
      <x:c r="J73" s="14" t="str"/>
      <x:c r="K73" s="14" t="str">
        <x:v>assets/sprites/npcs/manifest.json</x:v>
      </x:c>
      <x:c r="L73" s="14" t="str"/>
      <x:c r="M73" s="14" t="str"/>
      <x:c r="N73" s="14" t="str">
        <x:v>Décisions du fan game ; aucune prétention de canon officiel</x:v>
      </x:c>
      <x:c r="O73" s="14" t="str"/>
      <x:c r="P73" s="14" t="str">
        <x:v>Production ME1</x:v>
      </x:c>
      <x:c r="Q73" s="14" t="str"/>
    </x:row>
    <x:row r="74" ht="36" customHeight="1">
      <x:c r="A74" s="12" t="str">
        <x:v>SPR-NPC-marchand-hanari</x:v>
      </x:c>
      <x:c r="B74" s="7" t="str">
        <x:v>Marchand hanari</x:v>
      </x:c>
      <x:c r="C74" s="10" t="str">
        <x:v>Défini</x:v>
      </x:c>
      <x:c r="D74" s="11" t="str">
        <x:v>À produire</x:v>
      </x:c>
      <x:c r="E74" s="9" t="str">
        <x:v>P1</x:v>
      </x:c>
      <x:c r="F74" s="9" t="str">
        <x:v>ME1</x:v>
      </x:c>
      <x:c r="G74" s="9" t="str">
        <x:v>Adaptation</x:v>
      </x:c>
      <x:c r="H74" s="7" t="str">
        <x:v>Silhouette flottante.</x:v>
      </x:c>
      <x:c r="I74" s="7" t="str">
        <x:v>Tentacules et support cohérents.</x:v>
      </x:c>
      <x:c r="J74" s="7" t="str"/>
      <x:c r="K74" s="7" t="str">
        <x:v>assets/sprites/npcs/manifest.json</x:v>
      </x:c>
      <x:c r="L74" s="7" t="str"/>
      <x:c r="M74" s="7" t="str"/>
      <x:c r="N74" s="7" t="str">
        <x:v>Décisions du fan game ; aucune prétention de canon officiel</x:v>
      </x:c>
      <x:c r="O74" s="7" t="str"/>
      <x:c r="P74" s="7" t="str">
        <x:v>Production ME1</x:v>
      </x:c>
      <x:c r="Q74" s="7" t="str"/>
    </x:row>
    <x:row r="75" ht="36" customHeight="1">
      <x:c r="A75" s="13" t="str">
        <x:v>SPR-NPC-civil-humain</x:v>
      </x:c>
      <x:c r="B75" s="14" t="str">
        <x:v>Civil humain</x:v>
      </x:c>
      <x:c r="C75" s="10" t="str">
        <x:v>Défini</x:v>
      </x:c>
      <x:c r="D75" s="11" t="str">
        <x:v>À produire</x:v>
      </x:c>
      <x:c r="E75" s="15" t="str">
        <x:v>P1</x:v>
      </x:c>
      <x:c r="F75" s="15" t="str">
        <x:v>ME1</x:v>
      </x:c>
      <x:c r="G75" s="15" t="str">
        <x:v>Adaptation</x:v>
      </x:c>
      <x:c r="H75" s="14" t="str">
        <x:v>Base de PNJ à variantes vestimentaires documentées.</x:v>
      </x:c>
      <x:c r="I75" s="14" t="str">
        <x:v>Variantes utiles liées au lieu et à la fonction.</x:v>
      </x:c>
      <x:c r="J75" s="14" t="str"/>
      <x:c r="K75" s="14" t="str">
        <x:v>assets/sprites/npcs/manifest.json</x:v>
      </x:c>
      <x:c r="L75" s="14" t="str"/>
      <x:c r="M75" s="14" t="str"/>
      <x:c r="N75" s="14" t="str">
        <x:v>Décisions du fan game ; aucune prétention de canon officiel</x:v>
      </x:c>
      <x:c r="O75" s="14" t="str"/>
      <x:c r="P75" s="14" t="str">
        <x:v>Production ME1</x:v>
      </x:c>
      <x:c r="Q75" s="14" t="str"/>
    </x:row>
    <x:row r="76" ht="36" customHeight="1">
      <x:c r="A76" s="12" t="str">
        <x:v>SPR-NPC-civil-turien</x:v>
      </x:c>
      <x:c r="B76" s="7" t="str">
        <x:v>Civil turien</x:v>
      </x:c>
      <x:c r="C76" s="10" t="str">
        <x:v>Défini</x:v>
      </x:c>
      <x:c r="D76" s="11" t="str">
        <x:v>À produire</x:v>
      </x:c>
      <x:c r="E76" s="9" t="str">
        <x:v>P1</x:v>
      </x:c>
      <x:c r="F76" s="9" t="str">
        <x:v>ME1</x:v>
      </x:c>
      <x:c r="G76" s="9" t="str">
        <x:v>Adaptation</x:v>
      </x:c>
      <x:c r="H76" s="7" t="str">
        <x:v>Base de PNJ hors combat.</x:v>
      </x:c>
      <x:c r="I76" s="7" t="str">
        <x:v>Taille et posture propre à l’espèce.</x:v>
      </x:c>
      <x:c r="J76" s="7" t="str"/>
      <x:c r="K76" s="7" t="str">
        <x:v>assets/sprites/npcs/manifest.json</x:v>
      </x:c>
      <x:c r="L76" s="7" t="str"/>
      <x:c r="M76" s="7" t="str"/>
      <x:c r="N76" s="7" t="str">
        <x:v>Décisions du fan game ; aucune prétention de canon officiel</x:v>
      </x:c>
      <x:c r="O76" s="7" t="str"/>
      <x:c r="P76" s="7" t="str">
        <x:v>Production ME1</x:v>
      </x:c>
      <x:c r="Q76" s="7" t="str"/>
    </x:row>
    <x:row r="77" ht="36" customHeight="1">
      <x:c r="A77" s="13" t="str">
        <x:v>SPR-NPC-scientifique-asari</x:v>
      </x:c>
      <x:c r="B77" s="14" t="str">
        <x:v>Scientifique asari</x:v>
      </x:c>
      <x:c r="C77" s="10" t="str">
        <x:v>Défini</x:v>
      </x:c>
      <x:c r="D77" s="11" t="str">
        <x:v>À produire</x:v>
      </x:c>
      <x:c r="E77" s="15" t="str">
        <x:v>P1</x:v>
      </x:c>
      <x:c r="F77" s="15" t="str">
        <x:v>ME1</x:v>
      </x:c>
      <x:c r="G77" s="15" t="str">
        <x:v>Adaptation</x:v>
      </x:c>
      <x:c r="H77" s="14" t="str">
        <x:v>Silhouette de laboratoire.</x:v>
      </x:c>
      <x:c r="I77" s="14" t="str">
        <x:v>Tenue correspondant à l’établissement.</x:v>
      </x:c>
      <x:c r="J77" s="14" t="str"/>
      <x:c r="K77" s="14" t="str">
        <x:v>assets/sprites/npcs/manifest.json</x:v>
      </x:c>
      <x:c r="L77" s="14" t="str"/>
      <x:c r="M77" s="14" t="str"/>
      <x:c r="N77" s="14" t="str">
        <x:v>Décisions du fan game ; aucune prétention de canon officiel</x:v>
      </x:c>
      <x:c r="O77" s="14" t="str"/>
      <x:c r="P77" s="14" t="str">
        <x:v>Production ME1</x:v>
      </x:c>
      <x:c r="Q77" s="14" t="str"/>
    </x:row>
    <x:row r="78" ht="36" customHeight="1">
      <x:c r="A78" s="12" t="str">
        <x:v>SPR-NPC-agent-du-ssc</x:v>
      </x:c>
      <x:c r="B78" s="7" t="str">
        <x:v>Agent du SSC</x:v>
      </x:c>
      <x:c r="C78" s="10" t="str">
        <x:v>Défini</x:v>
      </x:c>
      <x:c r="D78" s="11" t="str">
        <x:v>À produire</x:v>
      </x:c>
      <x:c r="E78" s="9" t="str">
        <x:v>P1</x:v>
      </x:c>
      <x:c r="F78" s="9" t="str">
        <x:v>ME1</x:v>
      </x:c>
      <x:c r="G78" s="9" t="str">
        <x:v>Adaptation</x:v>
      </x:c>
      <x:c r="H78" s="7" t="str">
        <x:v>Uniforme et équipement de sécurité.</x:v>
      </x:c>
      <x:c r="I78" s="7" t="str">
        <x:v>Insigne et rang cohérents.</x:v>
      </x:c>
      <x:c r="J78" s="7" t="str"/>
      <x:c r="K78" s="7" t="str">
        <x:v>assets/sprites/npcs/manifest.json</x:v>
      </x:c>
      <x:c r="L78" s="7" t="str"/>
      <x:c r="M78" s="7" t="str"/>
      <x:c r="N78" s="7" t="str">
        <x:v>Décisions du fan game ; aucune prétention de canon officiel</x:v>
      </x:c>
      <x:c r="O78" s="7" t="str"/>
      <x:c r="P78" s="7" t="str">
        <x:v>Production ME1</x:v>
      </x:c>
      <x:c r="Q78" s="7" t="str"/>
    </x:row>
    <x:row r="79" ht="36" customHeight="1">
      <x:c r="A79" s="13" t="str">
        <x:v>SPR-NPC-soldat-galarien-stg</x:v>
      </x:c>
      <x:c r="B79" s="14" t="str">
        <x:v>Soldat galarien STG</x:v>
      </x:c>
      <x:c r="C79" s="10" t="str">
        <x:v>Défini</x:v>
      </x:c>
      <x:c r="D79" s="11" t="str">
        <x:v>À produire</x:v>
      </x:c>
      <x:c r="E79" s="15" t="str">
        <x:v>P1</x:v>
      </x:c>
      <x:c r="F79" s="15" t="str">
        <x:v>ME1</x:v>
      </x:c>
      <x:c r="G79" s="15" t="str">
        <x:v>Adaptation</x:v>
      </x:c>
      <x:c r="H79" s="14" t="str">
        <x:v>Silhouette des partenaires de Virmire.</x:v>
      </x:c>
      <x:c r="I79" s="14" t="str">
        <x:v>Arme, armure et proportions vérifiées.</x:v>
      </x:c>
      <x:c r="J79" s="14" t="str"/>
      <x:c r="K79" s="14" t="str">
        <x:v>assets/sprites/npcs/manifest.json</x:v>
      </x:c>
      <x:c r="L79" s="14" t="str"/>
      <x:c r="M79" s="14" t="str"/>
      <x:c r="N79" s="14" t="str">
        <x:v>Décisions du fan game ; aucune prétention de canon officiel</x:v>
      </x:c>
      <x:c r="O79" s="14" t="str"/>
      <x:c r="P79" s="14" t="str">
        <x:v>Production ME1</x:v>
      </x:c>
      <x:c r="Q79" s="14" t="str"/>
    </x:row>
    <x:row r="80" ht="36" customHeight="1">
      <x:c r="A80" s="12" t="str">
        <x:v>SPR-NPC-hologramme-vigil</x:v>
      </x:c>
      <x:c r="B80" s="7" t="str">
        <x:v>Hologramme Vigil</x:v>
      </x:c>
      <x:c r="C80" s="10" t="str">
        <x:v>Défini</x:v>
      </x:c>
      <x:c r="D80" s="11" t="str">
        <x:v>À produire</x:v>
      </x:c>
      <x:c r="E80" s="9" t="str">
        <x:v>P1</x:v>
      </x:c>
      <x:c r="F80" s="9" t="str">
        <x:v>ME1</x:v>
      </x:c>
      <x:c r="G80" s="9" t="str">
        <x:v>Adaptation</x:v>
      </x:c>
      <x:c r="H80" s="7" t="str">
        <x:v>Texture animée de l’IV.</x:v>
      </x:c>
      <x:c r="I80" s="7" t="str">
        <x:v>Contours et émission compatibles avec l’arrière-plan.</x:v>
      </x:c>
      <x:c r="J80" s="7" t="str"/>
      <x:c r="K80" s="7" t="str">
        <x:v>assets/sprites/npcs/manifest.json</x:v>
      </x:c>
      <x:c r="L80" s="7" t="str"/>
      <x:c r="M80" s="7" t="str"/>
      <x:c r="N80" s="7" t="str">
        <x:v>Décisions du fan game ; aucune prétention de canon officiel</x:v>
      </x:c>
      <x:c r="O80" s="7" t="str"/>
      <x:c r="P80" s="7" t="str">
        <x:v>Production ME1</x:v>
      </x:c>
      <x:c r="Q80" s="7" t="str"/>
    </x:row>
    <x:row r="81" ht="49" customHeight="1">
      <x:c r="A81" s="13" t="str">
        <x:v>SPR-VEH-mako</x:v>
      </x:c>
      <x:c r="B81" s="14" t="str">
        <x:v>Mako — silhouette décorative</x:v>
      </x:c>
      <x:c r="C81" s="10" t="str">
        <x:v>Prototype</x:v>
      </x:c>
      <x:c r="D81" s="11" t="str">
        <x:v>Prototype</x:v>
      </x:c>
      <x:c r="E81" s="15" t="str">
        <x:v>P1</x:v>
      </x:c>
      <x:c r="F81" s="15" t="str">
        <x:v>ME1</x:v>
      </x:c>
      <x:c r="G81" s="15" t="str">
        <x:v>Adaptation</x:v>
      </x:c>
      <x:c r="H81" s="14" t="str">
        <x:v>Véhicule terrestre illustré, posé dans les scènes condensées de Thérum et Ilos.</x:v>
      </x:c>
      <x:c r="I81" s="14" t="str">
        <x:v>Silhouette, six roues, canon et échelle contrôlés sur références ME1 ; interaction de conduite suivie séparément.</x:v>
      </x:c>
      <x:c r="J81" s="14" t="str">
        <x:v>SYS-mako</x:v>
      </x:c>
      <x:c r="K81" s="14" t="str">
        <x:v>assets/sprites/vehicles/mako.png</x:v>
      </x:c>
      <x:c r="L81" s="14" t="str">
        <x:v>public/assets/vehicle-atlas.png</x:v>
      </x:c>
      <x:c r="M81" s="14" t="str">
        <x:v>vehicles:mako</x:v>
      </x:c>
      <x:c r="N81" s="14" t="str">
        <x:v>Illustration de prototype originale ; silhouette exacte et découpage à vérifier dans les captures du jeu source.</x:v>
      </x:c>
      <x:c r="O81" s="14" t="str">
        <x:v>https://eaassets-a.akamaihd.net/eahelp/manuals/mass-effect-manuals_PC_fr.pdf</x:v>
      </x:c>
      <x:c r="P81" s="14" t="str">
        <x:v>Prototype visuel ME1</x:v>
      </x:c>
      <x:c r="Q81" s="14" t="str">
        <x:v>Rectangle source du renderer : x 650, y 90, largeur 662, hauteur 400. Collision décorative ; aucune conduite, aucun saut ni tir de véhicule. Aucune fidélité 1:1 validée.</x:v>
      </x:c>
    </x:row>
    <x:row r="82" ht="49" customHeight="1">
      <x:c r="A82" s="12" t="str">
        <x:v>SPR-VEH-normandy-sr-1</x:v>
      </x:c>
      <x:c r="B82" s="7" t="str">
        <x:v>Normandy SR-1 — silhouette extérieure</x:v>
      </x:c>
      <x:c r="C82" s="10" t="str">
        <x:v>Prototype</x:v>
      </x:c>
      <x:c r="D82" s="11" t="str">
        <x:v>Prototype</x:v>
      </x:c>
      <x:c r="E82" s="9" t="str">
        <x:v>P1</x:v>
      </x:c>
      <x:c r="F82" s="9" t="str">
        <x:v>ME1</x:v>
      </x:c>
      <x:c r="G82" s="9" t="str">
        <x:v>Adaptation</x:v>
      </x:c>
      <x:c r="H82" s="7" t="str">
        <x:v>Illustration extérieure provisoire du vaisseau de ME1, distincte du décor intérieur jouable.</x:v>
      </x:c>
      <x:c r="I82" s="7" t="str">
        <x:v>Nacelles, proportions et marquages SR-1 recoupés ; ne pas substituer un SR-2.</x:v>
      </x:c>
      <x:c r="J82" s="7" t="str">
        <x:v>WRL-normandy-sr-1, SCN-normandy-coque-sr-1</x:v>
      </x:c>
      <x:c r="K82" s="7" t="str">
        <x:v>assets/sprites/vehicles/normandy-sr-1.png</x:v>
      </x:c>
      <x:c r="L82" s="7" t="str">
        <x:v>public/assets/vehicle-atlas.png</x:v>
      </x:c>
      <x:c r="M82" s="7" t="str"/>
      <x:c r="N82" s="7" t="str">
        <x:v>Illustration de prototype originale ; silhouette exacte et découpage à vérifier dans les captures du jeu source.</x:v>
      </x:c>
      <x:c r="O82" s="7" t="str">
        <x:v>https://gear.bioware.com/products/mass-effect-normandy-sr-1-pin-set</x:v>
      </x:c>
      <x:c r="P82" s="7" t="str">
        <x:v>Prototype visuel ME1</x:v>
      </x:c>
      <x:c r="Q82" s="7" t="str">
        <x:v>Quadrant supérieur gauche de l’atlas. Image existante, sans placement extérieur contrôlé dans le renderer actuel ; aucun pilotage. Aucune fidélité 1:1 validée.</x:v>
      </x:c>
    </x:row>
    <x:row r="83" ht="49" customHeight="1">
      <x:c r="A83" s="13" t="str">
        <x:v>SPR-VEH-sovereign</x:v>
      </x:c>
      <x:c r="B83" s="14" t="str">
        <x:v>Sovereign — silhouette monumentale</x:v>
      </x:c>
      <x:c r="C83" s="10" t="str">
        <x:v>Prototype</x:v>
      </x:c>
      <x:c r="D83" s="11" t="str">
        <x:v>Prototype</x:v>
      </x:c>
      <x:c r="E83" s="15" t="str">
        <x:v>P1</x:v>
      </x:c>
      <x:c r="F83" s="15" t="str">
        <x:v>ME1</x:v>
      </x:c>
      <x:c r="G83" s="15" t="str">
        <x:v>Adaptation</x:v>
      </x:c>
      <x:c r="H83" s="14" t="str">
        <x:v>Vaisseau menaçant illustré pour le fond de la Citadelle assiégée.</x:v>
      </x:c>
      <x:c r="I83" s="14" t="str">
        <x:v>Échelle et silhouette contrôlées sur captures ME1, découpage sans contamination du Mako ; aucun combat au sol contre un vaisseau réduit.</x:v>
      </x:c>
      <x:c r="J83" s="14" t="str">
        <x:v>CIN-silhouette-de-sovereign</x:v>
      </x:c>
      <x:c r="K83" s="14" t="str">
        <x:v>assets/sprites/vehicles/sovereign.png</x:v>
      </x:c>
      <x:c r="L83" s="14" t="str">
        <x:v>public/assets/vehicle-atlas.png</x:v>
      </x:c>
      <x:c r="M83" s="14" t="str">
        <x:v>vehicles:sovereign</x:v>
      </x:c>
      <x:c r="N83" s="14" t="str">
        <x:v>Illustration de prototype originale ; silhouette exacte et découpage à vérifier dans les captures du jeu source.</x:v>
      </x:c>
      <x:c r="O83" s="14" t="str">
        <x:v>https://na.llnet.bioware.cdn.ea.com/u/f/eagames/bioware/masseffect/prima/prima_guide_me_pc.pdf</x:v>
      </x:c>
      <x:c r="P83" s="14" t="str">
        <x:v>Prototype visuel ME1</x:v>
      </x:c>
      <x:c r="Q83" s="14" t="str">
        <x:v>Rectangle source du renderer : x 650, y 480, largeur 662, hauteur 719. Décor statique monumental ; aucun pilotage ni combat spatial. Aucune fidélité 1:1 validée.</x:v>
      </x:c>
    </x:row>
  </x:sheetData>
  <x:conditionalFormatting sqref="C7:C83">
    <x:cfRule type="cellIs" dxfId="100" priority="1" operator="equal">
      <x:formula>"Prototype"</x:formula>
    </x:cfRule>
    <x:cfRule type="cellIs" dxfId="101" priority="2" operator="equal">
      <x:formula>"Intégré"</x:formula>
    </x:cfRule>
    <x:cfRule type="cellIs" dxfId="102" priority="3" operator="equal">
      <x:formula>"Validé"</x:formula>
    </x:cfRule>
  </x:conditionalFormatting>
  <x:conditionalFormatting sqref="G7:G83">
    <x:cfRule type="cellIs" dxfId="103" priority="4" operator="equal">
      <x:formula>"Référence à vérifier"</x:formula>
    </x:cfRule>
  </x:conditionalFormatting>
  <x:conditionalFormatting sqref="E7:E83">
    <x:cfRule type="cellIs" dxfId="104" priority="5" operator="equal">
      <x:formula>"P0"</x:formula>
    </x:cfRule>
  </x:conditionalFormatting>
  <x:dataValidations count="5">
    <x:dataValidation type="list" sqref="C7:C83">
      <x:formula1>"Défini,Prototype,Intégré,Validé"</x:formula1>
    </x:dataValidation>
    <x:dataValidation type="list" sqref="D7:D83">
      <x:formula1>"À produire,Prototype,Disponible,Validé,Sans objet,Non planifié"</x:formula1>
    </x:dataValidation>
    <x:dataValidation type="list" sqref="E7:E83">
      <x:formula1>"P0,P1,P2"</x:formula1>
    </x:dataValidation>
    <x:dataValidation type="list" sqref="F7:F83">
      <x:formula1>"ME1,ME2,ME3"</x:formula1>
    </x:dataValidation>
    <x:dataValidation type="list" sqref="G7:G83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3ae0a8dba84352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VFX-flash-pistolet</x:v>
      </x:c>
      <x:c r="B7" s="14" t="str">
        <x:v>Flash pistolet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Départ de coup compact et orienté.</x:v>
      </x:c>
      <x:c r="I7" s="14" t="str">
        <x:v>Attaché au canon avec variante miroir contrôlée.</x:v>
      </x:c>
      <x:c r="J7" s="14" t="str"/>
      <x:c r="K7" s="14" t="str">
        <x:v>assets/vfx/VFX-flash-pistolet.json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VFX-flash-fusil-d-assaut</x:v>
      </x:c>
      <x:c r="B8" s="7" t="str">
        <x:v>Flash fusil d’assaut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Pulsations pendant la rafale.</x:v>
      </x:c>
      <x:c r="I8" s="7" t="str">
        <x:v>Cadence synchronisée avec les impacts.</x:v>
      </x:c>
      <x:c r="J8" s="7" t="str"/>
      <x:c r="K8" s="7" t="str">
        <x:v>assets/vfx/VFX-flash-fusil-d-assaut.json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36" customHeight="1">
      <x:c r="A9" s="13" t="str">
        <x:v>VFX-flash-pompe</x:v>
      </x:c>
      <x:c r="B9" s="14" t="str">
        <x:v>Flash pompe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Départ de coup bref et ample.</x:v>
      </x:c>
      <x:c r="I9" s="14" t="str">
        <x:v>Pas de lumière saturant tout l’écran.</x:v>
      </x:c>
      <x:c r="J9" s="14" t="str"/>
      <x:c r="K9" s="14" t="str">
        <x:v>assets/vfx/VFX-flash-pompe.json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/>
    </x:row>
    <x:row r="10" ht="36" customHeight="1">
      <x:c r="A10" s="12" t="str">
        <x:v>VFX-flash-precision</x:v>
      </x:c>
      <x:c r="B10" s="7" t="str">
        <x:v>Flash précision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Départ unique et traînée discrète.</x:v>
      </x:c>
      <x:c r="I10" s="7" t="str">
        <x:v>Ligne de tir correcte en profondeur.</x:v>
      </x:c>
      <x:c r="J10" s="7" t="str"/>
      <x:c r="K10" s="7" t="str">
        <x:v>assets/vfx/VFX-flash-precision.json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VFX-impact-metal</x:v>
      </x:c>
      <x:c r="B11" s="14" t="str">
        <x:v>Impact métal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Étincelles sur surface solide.</x:v>
      </x:c>
      <x:c r="I11" s="14" t="str">
        <x:v>Normale de la surface et point d’impact cohérents.</x:v>
      </x:c>
      <x:c r="J11" s="14" t="str"/>
      <x:c r="K11" s="14" t="str">
        <x:v>assets/vfx/VFX-impact-metal.json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VFX-impact-organique</x:v>
      </x:c>
      <x:c r="B12" s="7" t="str">
        <x:v>Impact organique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Réaction sobre selon classification de cible.</x:v>
      </x:c>
      <x:c r="I12" s="7" t="str">
        <x:v>Aucune étincelle métallique sur chair par défaut.</x:v>
      </x:c>
      <x:c r="J12" s="7" t="str"/>
      <x:c r="K12" s="7" t="str">
        <x:v>assets/vfx/VFX-impact-organique.json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VFX-impact-bouclier</x:v>
      </x:c>
      <x:c r="B13" s="14" t="str">
        <x:v>Impact bouclier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Ondulation protectrice autour de la cible.</x:v>
      </x:c>
      <x:c r="I13" s="14" t="str">
        <x:v>Distinction claire avec dégâts de santé.</x:v>
      </x:c>
      <x:c r="J13" s="14" t="str"/>
      <x:c r="K13" s="14" t="str">
        <x:v>assets/vfx/VFX-impact-bouclier.json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VFX-rupture-de-bouclier</x:v>
      </x:c>
      <x:c r="B14" s="7" t="str">
        <x:v>Rupture de bouclier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Effet court signalant la vulnérabilité.</x:v>
      </x:c>
      <x:c r="I14" s="7" t="str">
        <x:v>Jauge et effet synchronisés.</x:v>
      </x:c>
      <x:c r="J14" s="7" t="str"/>
      <x:c r="K14" s="7" t="str">
        <x:v>assets/vfx/VFX-rupture-de-bouclier.json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VFX-chauffe-d-arme</x:v>
      </x:c>
      <x:c r="B15" s="14" t="str">
        <x:v>Chauffe d’arme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Lueur ou vapeur légère en surchauffe.</x:v>
      </x:c>
      <x:c r="I15" s="14" t="str">
        <x:v>Visible sans confondre avec un rechargement.</x:v>
      </x:c>
      <x:c r="J15" s="14" t="str"/>
      <x:c r="K15" s="14" t="str">
        <x:v>assets/vfx/VFX-chauffe-d-arme.json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VFX-grenade</x:v>
      </x:c>
      <x:c r="B16" s="7" t="str">
        <x:v>Grenade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Trajectoire, lueur et explosion.</x:v>
      </x:c>
      <x:c r="I16" s="7" t="str">
        <x:v>Zone effective identique à la zone annoncée.</x:v>
      </x:c>
      <x:c r="J16" s="7" t="str"/>
      <x:c r="K16" s="7" t="str">
        <x:v>assets/vfx/VFX-grenade.json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VFX-surcharge</x:v>
      </x:c>
      <x:c r="B17" s="14" t="str">
        <x:v>Surcharge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Arc technologique bleu.</x:v>
      </x:c>
      <x:c r="I17" s="14" t="str">
        <x:v>Liens spatiaux propres et durée courte.</x:v>
      </x:c>
      <x:c r="J17" s="14" t="str"/>
      <x:c r="K17" s="14" t="str">
        <x:v>assets/vfx/VFX-surcharge.json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VFX-sabotage</x:v>
      </x:c>
      <x:c r="B18" s="7" t="str">
        <x:v>Sabotage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Perturbation d’arme et signaux d’erreur.</x:v>
      </x:c>
      <x:c r="I18" s="7" t="str">
        <x:v>Cible et état de silence correctement associés.</x:v>
      </x:c>
      <x:c r="J18" s="7" t="str"/>
      <x:c r="K18" s="7" t="str">
        <x:v>assets/vfx/VFX-sabotage.json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VFX-piratage</x:v>
      </x:c>
      <x:c r="B19" s="14" t="str">
        <x:v>Piratage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Surbrillance temporaire d’un synthétique.</x:v>
      </x:c>
      <x:c r="I19" s="14" t="str">
        <x:v>Camp temporaire lisible sans recoloration définitive.</x:v>
      </x:c>
      <x:c r="J19" s="14" t="str"/>
      <x:c r="K19" s="14" t="str">
        <x:v>assets/vfx/VFX-piratage.json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VFX-projection</x:v>
      </x:c>
      <x:c r="B20" s="7" t="str">
        <x:v>Projection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Onde biotique et impulsion.</x:v>
      </x:c>
      <x:c r="I20" s="7" t="str">
        <x:v>Objet déplacé suit la même direction.</x:v>
      </x:c>
      <x:c r="J20" s="7" t="str"/>
      <x:c r="K20" s="7" t="str">
        <x:v>assets/vfx/VFX-projection.json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VFX-levitation</x:v>
      </x:c>
      <x:c r="B21" s="14" t="str">
        <x:v>Lévitation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Aura et particules sous la cible.</x:v>
      </x:c>
      <x:c r="I21" s="14" t="str">
        <x:v>Ombre reste au sol pendant l’élévation.</x:v>
      </x:c>
      <x:c r="J21" s="14" t="str"/>
      <x:c r="K21" s="14" t="str">
        <x:v>assets/vfx/VFX-levitation.json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VFX-dechirure</x:v>
      </x:c>
      <x:c r="B22" s="7" t="str">
        <x:v>Déchirure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Champ biotique persistant.</x:v>
      </x:c>
      <x:c r="I22" s="7" t="str">
        <x:v>Dégâts périodiques et durée concordants.</x:v>
      </x:c>
      <x:c r="J22" s="7" t="str"/>
      <x:c r="K22" s="7" t="str">
        <x:v>assets/vfx/VFX-dechirure.json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VFX-singularite</x:v>
      </x:c>
      <x:c r="B23" s="14" t="str">
        <x:v>Singularité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Noyau, distorsion et orbites.</x:v>
      </x:c>
      <x:c r="I23" s="14" t="str">
        <x:v>Champ reste lisible sans cacher les commandes.</x:v>
      </x:c>
      <x:c r="J23" s="14" t="str"/>
      <x:c r="K23" s="14" t="str">
        <x:v>assets/vfx/VFX-singularite.json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VFX-barriere</x:v>
      </x:c>
      <x:c r="B24" s="7" t="str">
        <x:v>Barrière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Protection violette autour du personnage.</x:v>
      </x:c>
      <x:c r="I24" s="7" t="str">
        <x:v>Priorité visuelle distincte du bouclier technologique.</x:v>
      </x:c>
      <x:c r="J24" s="7" t="str"/>
      <x:c r="K24" s="7" t="str">
        <x:v>assets/vfx/VFX-barriere.json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VFX-stase</x:v>
      </x:c>
      <x:c r="B25" s="14" t="str">
        <x:v>Stase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Immobilisation lumineuse.</x:v>
      </x:c>
      <x:c r="I25" s="14" t="str">
        <x:v>Communiquer aussi l’immunité aux dégâts applicable.</x:v>
      </x:c>
      <x:c r="J25" s="14" t="str"/>
      <x:c r="K25" s="14" t="str">
        <x:v>assets/vfx/VFX-stase.json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VFX-medi-gel</x:v>
      </x:c>
      <x:c r="B26" s="7" t="str">
        <x:v>Médi-gel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Effet de soin discret.</x:v>
      </x:c>
      <x:c r="I26" s="7" t="str">
        <x:v>Aucun effet de résurrection narrative.</x:v>
      </x:c>
      <x:c r="J26" s="7" t="str"/>
      <x:c r="K26" s="7" t="str">
        <x:v>assets/vfx/VFX-medi-gel.json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VFX-hologramme</x:v>
      </x:c>
      <x:c r="B27" s="14" t="str">
        <x:v>Hologramme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Balayage et émission de console.</x:v>
      </x:c>
      <x:c r="I27" s="14" t="str">
        <x:v>Intensité adaptée au décor.</x:v>
      </x:c>
      <x:c r="J27" s="14" t="str"/>
      <x:c r="K27" s="14" t="str">
        <x:v>assets/vfx/VFX-hologramme.json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VFX-balise-protheenne</x:v>
      </x:c>
      <x:c r="B28" s="7" t="str">
        <x:v>Balise prothéenne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Énergie et vision du prologue.</x:v>
      </x:c>
      <x:c r="I28" s="7" t="str">
        <x:v>Option de réduire les flashs.</x:v>
      </x:c>
      <x:c r="J28" s="7" t="str"/>
      <x:c r="K28" s="7" t="str">
        <x:v>assets/vfx/VFX-balise-protheenne.json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VFX-tempete-noveria</x:v>
      </x:c>
      <x:c r="B29" s="14" t="str">
        <x:v>Tempête Noveria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Neige, vent et voile de distance.</x:v>
      </x:c>
      <x:c r="I29" s="14" t="str">
        <x:v>Silhouettes et sorties restent visibles.</x:v>
      </x:c>
      <x:c r="J29" s="14" t="str"/>
      <x:c r="K29" s="14" t="str">
        <x:v>assets/vfx/VFX-tempete-noveria.json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VFX-fumee-eden-prime</x:v>
      </x:c>
      <x:c r="B30" s="7" t="str">
        <x:v>Fumée Eden Prime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Particules volumétriques de bataille.</x:v>
      </x:c>
      <x:c r="I30" s="7" t="str">
        <x:v>Chemins et ennemis ne disparaissent pas derrière un mur opaque.</x:v>
      </x:c>
      <x:c r="J30" s="7" t="str"/>
      <x:c r="K30" s="7" t="str">
        <x:v>assets/vfx/VFX-fumee-eden-prime.json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VFX-lave-therum</x:v>
      </x:c>
      <x:c r="B31" s="14" t="str">
        <x:v>Lave Therum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Émission et convection.</x:v>
      </x:c>
      <x:c r="I31" s="14" t="str">
        <x:v>Risque spatial stable, pas de flicker.</x:v>
      </x:c>
      <x:c r="J31" s="14" t="str"/>
      <x:c r="K31" s="14" t="str">
        <x:v>assets/vfx/VFX-lave-therum.json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VFX-conduit</x:v>
      </x:c>
      <x:c r="B32" s="7" t="str">
        <x:v>Conduit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Distorsion de passage à grande échelle.</x:v>
      </x:c>
      <x:c r="I32" s="7" t="str">
        <x:v>Transition visuelle sans frames de vide.</x:v>
      </x:c>
      <x:c r="J32" s="7" t="str"/>
      <x:c r="K32" s="7" t="str">
        <x:v>assets/vfx/VFX-conduit.json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</x:sheetData>
  <x:conditionalFormatting sqref="C7:C32">
    <x:cfRule type="cellIs" dxfId="105" priority="1" operator="equal">
      <x:formula>"Prototype"</x:formula>
    </x:cfRule>
    <x:cfRule type="cellIs" dxfId="106" priority="2" operator="equal">
      <x:formula>"Intégré"</x:formula>
    </x:cfRule>
    <x:cfRule type="cellIs" dxfId="107" priority="3" operator="equal">
      <x:formula>"Validé"</x:formula>
    </x:cfRule>
  </x:conditionalFormatting>
  <x:conditionalFormatting sqref="G7:G32">
    <x:cfRule type="cellIs" dxfId="108" priority="4" operator="equal">
      <x:formula>"Référence à vérifier"</x:formula>
    </x:cfRule>
  </x:conditionalFormatting>
  <x:conditionalFormatting sqref="E7:E32">
    <x:cfRule type="cellIs" dxfId="109" priority="5" operator="equal">
      <x:formula>"P0"</x:formula>
    </x:cfRule>
  </x:conditionalFormatting>
  <x:dataValidations count="5">
    <x:dataValidation type="list" sqref="C7:C32">
      <x:formula1>"Défini,Prototype,Intégré,Validé"</x:formula1>
    </x:dataValidation>
    <x:dataValidation type="list" sqref="D7:D32">
      <x:formula1>"À produire,Prototype,Disponible,Validé,Sans objet,Non planifié"</x:formula1>
    </x:dataValidation>
    <x:dataValidation type="list" sqref="E7:E32">
      <x:formula1>"P0,P1,P2"</x:formula1>
    </x:dataValidation>
    <x:dataValidation type="list" sqref="F7:F32">
      <x:formula1>"ME1,ME2,ME3"</x:formula1>
    </x:dataValidation>
    <x:dataValidation type="list" sqref="G7:G32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b72298aad74db2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AUD-ambiance-normandy</x:v>
      </x:c>
      <x:c r="B7" s="14" t="str">
        <x:v>Ambiance Normandy</x:v>
      </x:c>
      <x:c r="C7" s="10" t="str">
        <x:v>Défini</x:v>
      </x:c>
      <x:c r="D7" s="11" t="str">
        <x:v>À produire</x:v>
      </x:c>
      <x:c r="E7" s="15" t="str">
        <x:v>P1</x:v>
      </x:c>
      <x:c r="F7" s="15" t="str">
        <x:v>ME1</x:v>
      </x:c>
      <x:c r="G7" s="15" t="str">
        <x:v>Adaptation</x:v>
      </x:c>
      <x:c r="H7" s="14" t="str">
        <x:v>Ventilation, propulsion et électronique discrète.</x:v>
      </x:c>
      <x:c r="I7" s="14" t="str">
        <x:v>Boucles sans coupure et mix adapté au dialogue.</x:v>
      </x:c>
      <x:c r="J7" s="14" t="str"/>
      <x:c r="K7" s="14" t="str">
        <x:v>assets/audio/AUD-ambiance-normandy.ogg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/>
    </x:row>
    <x:row r="8" ht="36" customHeight="1">
      <x:c r="A8" s="12" t="str">
        <x:v>AUD-ambiance-cockpit</x:v>
      </x:c>
      <x:c r="B8" s="7" t="str">
        <x:v>Ambiance cockpit</x:v>
      </x:c>
      <x:c r="C8" s="10" t="str">
        <x:v>Défini</x:v>
      </x:c>
      <x:c r="D8" s="11" t="str">
        <x:v>À produire</x:v>
      </x:c>
      <x:c r="E8" s="9" t="str">
        <x:v>P1</x:v>
      </x:c>
      <x:c r="F8" s="9" t="str">
        <x:v>ME1</x:v>
      </x:c>
      <x:c r="G8" s="9" t="str">
        <x:v>Adaptation</x:v>
      </x:c>
      <x:c r="H8" s="7" t="str">
        <x:v>Signaux de navigation et fond spatial.</x:v>
      </x:c>
      <x:c r="I8" s="7" t="str">
        <x:v>Pas d’alarme de combat permanente.</x:v>
      </x:c>
      <x:c r="J8" s="7" t="str"/>
      <x:c r="K8" s="7" t="str">
        <x:v>assets/audio/AUD-ambiance-cockpit.ogg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/>
    </x:row>
    <x:row r="9" ht="36" customHeight="1">
      <x:c r="A9" s="13" t="str">
        <x:v>AUD-ambiance-soute</x:v>
      </x:c>
      <x:c r="B9" s="14" t="str">
        <x:v>Ambiance soute</x:v>
      </x:c>
      <x:c r="C9" s="10" t="str">
        <x:v>Défini</x:v>
      </x:c>
      <x:c r="D9" s="11" t="str">
        <x:v>À produire</x:v>
      </x:c>
      <x:c r="E9" s="15" t="str">
        <x:v>P1</x:v>
      </x:c>
      <x:c r="F9" s="15" t="str">
        <x:v>ME1</x:v>
      </x:c>
      <x:c r="G9" s="15" t="str">
        <x:v>Adaptation</x:v>
      </x:c>
      <x:c r="H9" s="14" t="str">
        <x:v>Machines et entretien.</x:v>
      </x:c>
      <x:c r="I9" s="14" t="str">
        <x:v>Positionnement sonore selon les volumes.</x:v>
      </x:c>
      <x:c r="J9" s="14" t="str"/>
      <x:c r="K9" s="14" t="str">
        <x:v>assets/audio/AUD-ambiance-soute.ogg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/>
    </x:row>
    <x:row r="10" ht="36" customHeight="1">
      <x:c r="A10" s="12" t="str">
        <x:v>AUD-ambiance-presidium</x:v>
      </x:c>
      <x:c r="B10" s="7" t="str">
        <x:v>Ambiance Présidium</x:v>
      </x:c>
      <x:c r="C10" s="10" t="str">
        <x:v>Défini</x:v>
      </x:c>
      <x:c r="D10" s="11" t="str">
        <x:v>À produire</x:v>
      </x:c>
      <x:c r="E10" s="9" t="str">
        <x:v>P1</x:v>
      </x:c>
      <x:c r="F10" s="9" t="str">
        <x:v>ME1</x:v>
      </x:c>
      <x:c r="G10" s="9" t="str">
        <x:v>Adaptation</x:v>
      </x:c>
      <x:c r="H10" s="7" t="str">
        <x:v>Eau, foule calme et environnement ouvert.</x:v>
      </x:c>
      <x:c r="I10" s="7" t="str">
        <x:v>Boucle sans paroles officielles réutilisées.</x:v>
      </x:c>
      <x:c r="J10" s="7" t="str"/>
      <x:c r="K10" s="7" t="str">
        <x:v>assets/audio/AUD-ambiance-presidium.ogg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/>
    </x:row>
    <x:row r="11" ht="36" customHeight="1">
      <x:c r="A11" s="13" t="str">
        <x:v>AUD-ambiance-secteurs</x:v>
      </x:c>
      <x:c r="B11" s="14" t="str">
        <x:v>Ambiance Secteurs</x:v>
      </x:c>
      <x:c r="C11" s="10" t="str">
        <x:v>Défini</x:v>
      </x:c>
      <x:c r="D11" s="11" t="str">
        <x:v>À produire</x:v>
      </x:c>
      <x:c r="E11" s="15" t="str">
        <x:v>P1</x:v>
      </x:c>
      <x:c r="F11" s="15" t="str">
        <x:v>ME1</x:v>
      </x:c>
      <x:c r="G11" s="15" t="str">
        <x:v>Adaptation</x:v>
      </x:c>
      <x:c r="H11" s="14" t="str">
        <x:v>Foule, transports et publicité originale.</x:v>
      </x:c>
      <x:c r="I11" s="14" t="str">
        <x:v>Densité adaptée à la distance de caméra.</x:v>
      </x:c>
      <x:c r="J11" s="14" t="str"/>
      <x:c r="K11" s="14" t="str">
        <x:v>assets/audio/AUD-ambiance-secteurs.ogg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/>
    </x:row>
    <x:row r="12" ht="36" customHeight="1">
      <x:c r="A12" s="12" t="str">
        <x:v>AUD-ambiance-chora-s-den</x:v>
      </x:c>
      <x:c r="B12" s="7" t="str">
        <x:v>Ambiance Chora’s Den</x:v>
      </x:c>
      <x:c r="C12" s="10" t="str">
        <x:v>Défini</x:v>
      </x:c>
      <x:c r="D12" s="11" t="str">
        <x:v>À produire</x:v>
      </x:c>
      <x:c r="E12" s="9" t="str">
        <x:v>P1</x:v>
      </x:c>
      <x:c r="F12" s="9" t="str">
        <x:v>ME1</x:v>
      </x:c>
      <x:c r="G12" s="9" t="str">
        <x:v>Adaptation</x:v>
      </x:c>
      <x:c r="H12" s="7" t="str">
        <x:v>Musique de club originale et conversations indistinctes.</x:v>
      </x:c>
      <x:c r="I12" s="7" t="str">
        <x:v>Baisse automatique durant les dialogues.</x:v>
      </x:c>
      <x:c r="J12" s="7" t="str"/>
      <x:c r="K12" s="7" t="str">
        <x:v>assets/audio/AUD-ambiance-chora-s-den.ogg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/>
    </x:row>
    <x:row r="13" ht="36" customHeight="1">
      <x:c r="A13" s="13" t="str">
        <x:v>AUD-ambiance-flux</x:v>
      </x:c>
      <x:c r="B13" s="14" t="str">
        <x:v>Ambiance Flux</x:v>
      </x:c>
      <x:c r="C13" s="10" t="str">
        <x:v>Défini</x:v>
      </x:c>
      <x:c r="D13" s="11" t="str">
        <x:v>À produire</x:v>
      </x:c>
      <x:c r="E13" s="15" t="str">
        <x:v>P1</x:v>
      </x:c>
      <x:c r="F13" s="15" t="str">
        <x:v>ME1</x:v>
      </x:c>
      <x:c r="G13" s="15" t="str">
        <x:v>Adaptation</x:v>
      </x:c>
      <x:c r="H13" s="14" t="str">
        <x:v>Musique originale au caractère distinct.</x:v>
      </x:c>
      <x:c r="I13" s="14" t="str">
        <x:v>Même identité sonore aux retours successifs.</x:v>
      </x:c>
      <x:c r="J13" s="14" t="str"/>
      <x:c r="K13" s="14" t="str">
        <x:v>assets/audio/AUD-ambiance-flux.ogg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/>
    </x:row>
    <x:row r="14" ht="36" customHeight="1">
      <x:c r="A14" s="12" t="str">
        <x:v>AUD-ambiance-eden-prime</x:v>
      </x:c>
      <x:c r="B14" s="7" t="str">
        <x:v>Ambiance Eden Prime</x:v>
      </x:c>
      <x:c r="C14" s="10" t="str">
        <x:v>Défini</x:v>
      </x:c>
      <x:c r="D14" s="11" t="str">
        <x:v>À produire</x:v>
      </x:c>
      <x:c r="E14" s="9" t="str">
        <x:v>P1</x:v>
      </x:c>
      <x:c r="F14" s="9" t="str">
        <x:v>ME1</x:v>
      </x:c>
      <x:c r="G14" s="9" t="str">
        <x:v>Adaptation</x:v>
      </x:c>
      <x:c r="H14" s="7" t="str">
        <x:v>Vent, incendies et bataille lointaine.</x:v>
      </x:c>
      <x:c r="I14" s="7" t="str">
        <x:v>Danger local séparé du décor sonore.</x:v>
      </x:c>
      <x:c r="J14" s="7" t="str"/>
      <x:c r="K14" s="7" t="str">
        <x:v>assets/audio/AUD-ambiance-eden-prime.ogg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/>
    </x:row>
    <x:row r="15" ht="36" customHeight="1">
      <x:c r="A15" s="13" t="str">
        <x:v>AUD-ambiance-therum</x:v>
      </x:c>
      <x:c r="B15" s="14" t="str">
        <x:v>Ambiance Therum</x:v>
      </x:c>
      <x:c r="C15" s="10" t="str">
        <x:v>Défini</x:v>
      </x:c>
      <x:c r="D15" s="11" t="str">
        <x:v>À produire</x:v>
      </x:c>
      <x:c r="E15" s="15" t="str">
        <x:v>P1</x:v>
      </x:c>
      <x:c r="F15" s="15" t="str">
        <x:v>ME1</x:v>
      </x:c>
      <x:c r="G15" s="15" t="str">
        <x:v>Adaptation</x:v>
      </x:c>
      <x:c r="H15" s="14" t="str">
        <x:v>Roche, lave et équipements de mine.</x:v>
      </x:c>
      <x:c r="I15" s="14" t="str">
        <x:v>Graves limités pour la lisibilité des alertes.</x:v>
      </x:c>
      <x:c r="J15" s="14" t="str"/>
      <x:c r="K15" s="14" t="str">
        <x:v>assets/audio/AUD-ambiance-therum.ogg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/>
    </x:row>
    <x:row r="16" ht="36" customHeight="1">
      <x:c r="A16" s="12" t="str">
        <x:v>AUD-ambiance-feros</x:v>
      </x:c>
      <x:c r="B16" s="7" t="str">
        <x:v>Ambiance Feros</x:v>
      </x:c>
      <x:c r="C16" s="10" t="str">
        <x:v>Défini</x:v>
      </x:c>
      <x:c r="D16" s="11" t="str">
        <x:v>À produire</x:v>
      </x:c>
      <x:c r="E16" s="9" t="str">
        <x:v>P1</x:v>
      </x:c>
      <x:c r="F16" s="9" t="str">
        <x:v>ME1</x:v>
      </x:c>
      <x:c r="G16" s="9" t="str">
        <x:v>Adaptation</x:v>
      </x:c>
      <x:c r="H16" s="7" t="str">
        <x:v>Vent dans les ruines et services défaillants.</x:v>
      </x:c>
      <x:c r="I16" s="7" t="str">
        <x:v>Transition progressive vers les zones organiques.</x:v>
      </x:c>
      <x:c r="J16" s="7" t="str"/>
      <x:c r="K16" s="7" t="str">
        <x:v>assets/audio/AUD-ambiance-feros.ogg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36" customHeight="1">
      <x:c r="A17" s="13" t="str">
        <x:v>AUD-ambiance-thorian</x:v>
      </x:c>
      <x:c r="B17" s="14" t="str">
        <x:v>Ambiance Thorian</x:v>
      </x:c>
      <x:c r="C17" s="10" t="str">
        <x:v>Défini</x:v>
      </x:c>
      <x:c r="D17" s="11" t="str">
        <x:v>À produire</x:v>
      </x:c>
      <x:c r="E17" s="15" t="str">
        <x:v>P1</x:v>
      </x:c>
      <x:c r="F17" s="15" t="str">
        <x:v>ME1</x:v>
      </x:c>
      <x:c r="G17" s="15" t="str">
        <x:v>Adaptation</x:v>
      </x:c>
      <x:c r="H17" s="14" t="str">
        <x:v>Textures organiques et tension.</x:v>
      </x:c>
      <x:c r="I17" s="14" t="str">
        <x:v>Aucun son comique ou excessivement répétitif.</x:v>
      </x:c>
      <x:c r="J17" s="14" t="str"/>
      <x:c r="K17" s="14" t="str">
        <x:v>assets/audio/AUD-ambiance-thorian.ogg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/>
    </x:row>
    <x:row r="18" ht="36" customHeight="1">
      <x:c r="A18" s="12" t="str">
        <x:v>AUD-ambiance-noveria</x:v>
      </x:c>
      <x:c r="B18" s="7" t="str">
        <x:v>Ambiance Noveria</x:v>
      </x:c>
      <x:c r="C18" s="10" t="str">
        <x:v>Défini</x:v>
      </x:c>
      <x:c r="D18" s="11" t="str">
        <x:v>À produire</x:v>
      </x:c>
      <x:c r="E18" s="9" t="str">
        <x:v>P1</x:v>
      </x:c>
      <x:c r="F18" s="9" t="str">
        <x:v>ME1</x:v>
      </x:c>
      <x:c r="G18" s="9" t="str">
        <x:v>Adaptation</x:v>
      </x:c>
      <x:c r="H18" s="7" t="str">
        <x:v>Vent extérieur et froid industriel.</x:v>
      </x:c>
      <x:c r="I18" s="7" t="str">
        <x:v>Isolation sonore crédible dans les intérieurs.</x:v>
      </x:c>
      <x:c r="J18" s="7" t="str"/>
      <x:c r="K18" s="7" t="str">
        <x:v>assets/audio/AUD-ambiance-noveria.ogg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36" customHeight="1">
      <x:c r="A19" s="13" t="str">
        <x:v>AUD-ambiance-peak-15</x:v>
      </x:c>
      <x:c r="B19" s="14" t="str">
        <x:v>Ambiance Peak 15</x:v>
      </x:c>
      <x:c r="C19" s="10" t="str">
        <x:v>Défini</x:v>
      </x:c>
      <x:c r="D19" s="11" t="str">
        <x:v>À produire</x:v>
      </x:c>
      <x:c r="E19" s="15" t="str">
        <x:v>P1</x:v>
      </x:c>
      <x:c r="F19" s="15" t="str">
        <x:v>ME1</x:v>
      </x:c>
      <x:c r="G19" s="15" t="str">
        <x:v>Adaptation</x:v>
      </x:c>
      <x:c r="H19" s="14" t="str">
        <x:v>Ventilation, pannes et confinement.</x:v>
      </x:c>
      <x:c r="I19" s="14" t="str">
        <x:v>Changement après réactivation de Mira.</x:v>
      </x:c>
      <x:c r="J19" s="14" t="str"/>
      <x:c r="K19" s="14" t="str">
        <x:v>assets/audio/AUD-ambiance-peak-15.ogg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/>
    </x:row>
    <x:row r="20" ht="36" customHeight="1">
      <x:c r="A20" s="12" t="str">
        <x:v>AUD-ambiance-virmire</x:v>
      </x:c>
      <x:c r="B20" s="7" t="str">
        <x:v>Ambiance Virmire</x:v>
      </x:c>
      <x:c r="C20" s="10" t="str">
        <x:v>Défini</x:v>
      </x:c>
      <x:c r="D20" s="11" t="str">
        <x:v>À produire</x:v>
      </x:c>
      <x:c r="E20" s="9" t="str">
        <x:v>P1</x:v>
      </x:c>
      <x:c r="F20" s="9" t="str">
        <x:v>ME1</x:v>
      </x:c>
      <x:c r="G20" s="9" t="str">
        <x:v>Adaptation</x:v>
      </x:c>
      <x:c r="H20" s="7" t="str">
        <x:v>Faune, eau et bataille distante.</x:v>
      </x:c>
      <x:c r="I20" s="7" t="str">
        <x:v>Base technique distincte du littoral.</x:v>
      </x:c>
      <x:c r="J20" s="7" t="str"/>
      <x:c r="K20" s="7" t="str">
        <x:v>assets/audio/AUD-ambiance-virmire.ogg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36" customHeight="1">
      <x:c r="A21" s="13" t="str">
        <x:v>AUD-ambiance-ilos</x:v>
      </x:c>
      <x:c r="B21" s="14" t="str">
        <x:v>Ambiance Ilos</x:v>
      </x:c>
      <x:c r="C21" s="10" t="str">
        <x:v>Défini</x:v>
      </x:c>
      <x:c r="D21" s="11" t="str">
        <x:v>À produire</x:v>
      </x:c>
      <x:c r="E21" s="15" t="str">
        <x:v>P1</x:v>
      </x:c>
      <x:c r="F21" s="15" t="str">
        <x:v>ME1</x:v>
      </x:c>
      <x:c r="G21" s="15" t="str">
        <x:v>Adaptation</x:v>
      </x:c>
      <x:c r="H21" s="14" t="str">
        <x:v>Ruines humides et machines anciennes.</x:v>
      </x:c>
      <x:c r="I21" s="14" t="str">
        <x:v>Silence conservé pendant les révélations.</x:v>
      </x:c>
      <x:c r="J21" s="14" t="str"/>
      <x:c r="K21" s="14" t="str">
        <x:v>assets/audio/AUD-ambiance-ilos.ogg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/>
    </x:row>
    <x:row r="22" ht="36" customHeight="1">
      <x:c r="A22" s="12" t="str">
        <x:v>AUD-tir-pistolet</x:v>
      </x:c>
      <x:c r="B22" s="7" t="str">
        <x:v>Tir pistolet</x:v>
      </x:c>
      <x:c r="C22" s="10" t="str">
        <x:v>Défini</x:v>
      </x:c>
      <x:c r="D22" s="11" t="str">
        <x:v>À produire</x:v>
      </x:c>
      <x:c r="E22" s="9" t="str">
        <x:v>P1</x:v>
      </x:c>
      <x:c r="F22" s="9" t="str">
        <x:v>ME1</x:v>
      </x:c>
      <x:c r="G22" s="9" t="str">
        <x:v>Adaptation</x:v>
      </x:c>
      <x:c r="H22" s="7" t="str">
        <x:v>Effet original inspiré du caractère de l’arme.</x:v>
      </x:c>
      <x:c r="I22" s="7" t="str">
        <x:v>Son synchronisé sur le frame de départ.</x:v>
      </x:c>
      <x:c r="J22" s="7" t="str"/>
      <x:c r="K22" s="7" t="str">
        <x:v>assets/audio/AUD-tir-pistolet.ogg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/>
    </x:row>
    <x:row r="23" ht="36" customHeight="1">
      <x:c r="A23" s="13" t="str">
        <x:v>AUD-tir-automatique</x:v>
      </x:c>
      <x:c r="B23" s="14" t="str">
        <x:v>Tir automatique</x:v>
      </x:c>
      <x:c r="C23" s="10" t="str">
        <x:v>Défini</x:v>
      </x:c>
      <x:c r="D23" s="11" t="str">
        <x:v>À produire</x:v>
      </x:c>
      <x:c r="E23" s="15" t="str">
        <x:v>P1</x:v>
      </x:c>
      <x:c r="F23" s="15" t="str">
        <x:v>ME1</x:v>
      </x:c>
      <x:c r="G23" s="15" t="str">
        <x:v>Adaptation</x:v>
      </x:c>
      <x:c r="H23" s="14" t="str">
        <x:v>Boucles courtes avec attaque et arrêt.</x:v>
      </x:c>
      <x:c r="I23" s="14" t="str">
        <x:v>Pas de clic de boucle audible.</x:v>
      </x:c>
      <x:c r="J23" s="14" t="str"/>
      <x:c r="K23" s="14" t="str">
        <x:v>assets/audio/AUD-tir-automatique.ogg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/>
    </x:row>
    <x:row r="24" ht="36" customHeight="1">
      <x:c r="A24" s="12" t="str">
        <x:v>AUD-tir-lourd</x:v>
      </x:c>
      <x:c r="B24" s="7" t="str">
        <x:v>Tir lourd</x:v>
      </x:c>
      <x:c r="C24" s="10" t="str">
        <x:v>Défini</x:v>
      </x:c>
      <x:c r="D24" s="11" t="str">
        <x:v>À produire</x:v>
      </x:c>
      <x:c r="E24" s="9" t="str">
        <x:v>P1</x:v>
      </x:c>
      <x:c r="F24" s="9" t="str">
        <x:v>ME1</x:v>
      </x:c>
      <x:c r="G24" s="9" t="str">
        <x:v>Adaptation</x:v>
      </x:c>
      <x:c r="H24" s="7" t="str">
        <x:v>Impact et recul du Mako.</x:v>
      </x:c>
      <x:c r="I24" s="7" t="str">
        <x:v>Différenciation nette avec l’armement individuel.</x:v>
      </x:c>
      <x:c r="J24" s="7" t="str"/>
      <x:c r="K24" s="7" t="str">
        <x:v>assets/audio/AUD-tir-lourd.ogg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36" customHeight="1">
      <x:c r="A25" s="13" t="str">
        <x:v>AUD-bouclier-touche</x:v>
      </x:c>
      <x:c r="B25" s="14" t="str">
        <x:v>Bouclier touché</x:v>
      </x:c>
      <x:c r="C25" s="10" t="str">
        <x:v>Défini</x:v>
      </x:c>
      <x:c r="D25" s="11" t="str">
        <x:v>À produire</x:v>
      </x:c>
      <x:c r="E25" s="15" t="str">
        <x:v>P1</x:v>
      </x:c>
      <x:c r="F25" s="15" t="str">
        <x:v>ME1</x:v>
      </x:c>
      <x:c r="G25" s="15" t="str">
        <x:v>Adaptation</x:v>
      </x:c>
      <x:c r="H25" s="14" t="str">
        <x:v>Signal bref de protection.</x:v>
      </x:c>
      <x:c r="I25" s="14" t="str">
        <x:v>Son distinct de la perte de santé.</x:v>
      </x:c>
      <x:c r="J25" s="14" t="str"/>
      <x:c r="K25" s="14" t="str">
        <x:v>assets/audio/AUD-bouclier-touche.ogg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/>
    </x:row>
    <x:row r="26" ht="36" customHeight="1">
      <x:c r="A26" s="12" t="str">
        <x:v>AUD-bouclier-brise</x:v>
      </x:c>
      <x:c r="B26" s="7" t="str">
        <x:v>Bouclier brisé</x:v>
      </x:c>
      <x:c r="C26" s="10" t="str">
        <x:v>Défini</x:v>
      </x:c>
      <x:c r="D26" s="11" t="str">
        <x:v>À produire</x:v>
      </x:c>
      <x:c r="E26" s="9" t="str">
        <x:v>P1</x:v>
      </x:c>
      <x:c r="F26" s="9" t="str">
        <x:v>ME1</x:v>
      </x:c>
      <x:c r="G26" s="9" t="str">
        <x:v>Adaptation</x:v>
      </x:c>
      <x:c r="H26" s="7" t="str">
        <x:v>Signal de vulnérabilité.</x:v>
      </x:c>
      <x:c r="I26" s="7" t="str">
        <x:v>Pas de répétition à chaque frame.</x:v>
      </x:c>
      <x:c r="J26" s="7" t="str"/>
      <x:c r="K26" s="7" t="str">
        <x:v>assets/audio/AUD-bouclier-brise.ogg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/>
    </x:row>
    <x:row r="27" ht="36" customHeight="1">
      <x:c r="A27" s="13" t="str">
        <x:v>AUD-biotique</x:v>
      </x:c>
      <x:c r="B27" s="14" t="str">
        <x:v>Biotique</x:v>
      </x:c>
      <x:c r="C27" s="10" t="str">
        <x:v>Défini</x:v>
      </x:c>
      <x:c r="D27" s="11" t="str">
        <x:v>À produire</x:v>
      </x:c>
      <x:c r="E27" s="15" t="str">
        <x:v>P1</x:v>
      </x:c>
      <x:c r="F27" s="15" t="str">
        <x:v>ME1</x:v>
      </x:c>
      <x:c r="G27" s="15" t="str">
        <x:v>Adaptation</x:v>
      </x:c>
      <x:c r="H27" s="14" t="str">
        <x:v>Textures originales de puissance et de mouvement.</x:v>
      </x:c>
      <x:c r="I27" s="14" t="str">
        <x:v>Signature cohérente entre capacités.</x:v>
      </x:c>
      <x:c r="J27" s="14" t="str"/>
      <x:c r="K27" s="14" t="str">
        <x:v>assets/audio/AUD-biotique.ogg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/>
    </x:row>
    <x:row r="28" ht="36" customHeight="1">
      <x:c r="A28" s="12" t="str">
        <x:v>AUD-omni-outil</x:v>
      </x:c>
      <x:c r="B28" s="7" t="str">
        <x:v>Omni-outil</x:v>
      </x:c>
      <x:c r="C28" s="10" t="str">
        <x:v>Défini</x:v>
      </x:c>
      <x:c r="D28" s="11" t="str">
        <x:v>À produire</x:v>
      </x:c>
      <x:c r="E28" s="9" t="str">
        <x:v>P1</x:v>
      </x:c>
      <x:c r="F28" s="9" t="str">
        <x:v>ME1</x:v>
      </x:c>
      <x:c r="G28" s="9" t="str">
        <x:v>Adaptation</x:v>
      </x:c>
      <x:c r="H28" s="7" t="str">
        <x:v>Activation et validation électronique.</x:v>
      </x:c>
      <x:c r="I28" s="7" t="str">
        <x:v>Retour clair en cas d’action impossible.</x:v>
      </x:c>
      <x:c r="J28" s="7" t="str"/>
      <x:c r="K28" s="7" t="str">
        <x:v>assets/audio/AUD-omni-outil.ogg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/>
    </x:row>
    <x:row r="29" ht="36" customHeight="1">
      <x:c r="A29" s="13" t="str">
        <x:v>AUD-interface</x:v>
      </x:c>
      <x:c r="B29" s="14" t="str">
        <x:v>Interface</x:v>
      </x:c>
      <x:c r="C29" s="10" t="str">
        <x:v>Défini</x:v>
      </x:c>
      <x:c r="D29" s="11" t="str">
        <x:v>À produire</x:v>
      </x:c>
      <x:c r="E29" s="15" t="str">
        <x:v>P1</x:v>
      </x:c>
      <x:c r="F29" s="15" t="str">
        <x:v>ME1</x:v>
      </x:c>
      <x:c r="G29" s="15" t="str">
        <x:v>Adaptation</x:v>
      </x:c>
      <x:c r="H29" s="14" t="str">
        <x:v>Navigation, choix, refus et confirmation.</x:v>
      </x:c>
      <x:c r="I29" s="14" t="str">
        <x:v>Niveau sonore réglable séparément.</x:v>
      </x:c>
      <x:c r="J29" s="14" t="str"/>
      <x:c r="K29" s="14" t="str">
        <x:v>assets/audio/AUD-interface.ogg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/>
    </x:row>
    <x:row r="30" ht="36" customHeight="1">
      <x:c r="A30" s="12" t="str">
        <x:v>AUD-musique-exploration</x:v>
      </x:c>
      <x:c r="B30" s="7" t="str">
        <x:v>Musique exploration</x:v>
      </x:c>
      <x:c r="C30" s="10" t="str">
        <x:v>Défini</x:v>
      </x:c>
      <x:c r="D30" s="11" t="str">
        <x:v>À produire</x:v>
      </x:c>
      <x:c r="E30" s="9" t="str">
        <x:v>P1</x:v>
      </x:c>
      <x:c r="F30" s="9" t="str">
        <x:v>ME1</x:v>
      </x:c>
      <x:c r="G30" s="9" t="str">
        <x:v>Adaptation</x:v>
      </x:c>
      <x:c r="H30" s="7" t="str">
        <x:v>Composition originale à synthétiseurs et espace.</x:v>
      </x:c>
      <x:c r="I30" s="7" t="str">
        <x:v>Boucle longue et transitions propres.</x:v>
      </x:c>
      <x:c r="J30" s="7" t="str"/>
      <x:c r="K30" s="7" t="str">
        <x:v>assets/audio/AUD-musique-exploration.ogg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36" customHeight="1">
      <x:c r="A31" s="13" t="str">
        <x:v>AUD-musique-combat</x:v>
      </x:c>
      <x:c r="B31" s="14" t="str">
        <x:v>Musique combat</x:v>
      </x:c>
      <x:c r="C31" s="10" t="str">
        <x:v>Défini</x:v>
      </x:c>
      <x:c r="D31" s="11" t="str">
        <x:v>À produire</x:v>
      </x:c>
      <x:c r="E31" s="15" t="str">
        <x:v>P1</x:v>
      </x:c>
      <x:c r="F31" s="15" t="str">
        <x:v>ME1</x:v>
      </x:c>
      <x:c r="G31" s="15" t="str">
        <x:v>Adaptation</x:v>
      </x:c>
      <x:c r="H31" s="14" t="str">
        <x:v>Composition rythmée pour l’ATB.</x:v>
      </x:c>
      <x:c r="I31" s="14" t="str">
        <x:v>Ne masque pas les alertes et sous-titres.</x:v>
      </x:c>
      <x:c r="J31" s="14" t="str"/>
      <x:c r="K31" s="14" t="str">
        <x:v>assets/audio/AUD-musique-combat.ogg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/>
    </x:row>
    <x:row r="32" ht="36" customHeight="1">
      <x:c r="A32" s="12" t="str">
        <x:v>AUD-musique-boss</x:v>
      </x:c>
      <x:c r="B32" s="7" t="str">
        <x:v>Musique boss</x:v>
      </x:c>
      <x:c r="C32" s="10" t="str">
        <x:v>Défini</x:v>
      </x:c>
      <x:c r="D32" s="11" t="str">
        <x:v>À produire</x:v>
      </x:c>
      <x:c r="E32" s="9" t="str">
        <x:v>P1</x:v>
      </x:c>
      <x:c r="F32" s="9" t="str">
        <x:v>ME1</x:v>
      </x:c>
      <x:c r="G32" s="9" t="str">
        <x:v>Adaptation</x:v>
      </x:c>
      <x:c r="H32" s="7" t="str">
        <x:v>Variation originale pour les enjeux majeurs.</x:v>
      </x:c>
      <x:c r="I32" s="7" t="str">
        <x:v>Phases musicales déclenchées sur événements.</x:v>
      </x:c>
      <x:c r="J32" s="7" t="str"/>
      <x:c r="K32" s="7" t="str">
        <x:v>assets/audio/AUD-musique-boss.ogg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/>
    </x:row>
    <x:row r="33" ht="36" customHeight="1">
      <x:c r="A33" s="13" t="str">
        <x:v>AUD-musique-epilogue</x:v>
      </x:c>
      <x:c r="B33" s="14" t="str">
        <x:v>Musique épilogue</x:v>
      </x:c>
      <x:c r="C33" s="10" t="str">
        <x:v>Défini</x:v>
      </x:c>
      <x:c r="D33" s="11" t="str">
        <x:v>À produire</x:v>
      </x:c>
      <x:c r="E33" s="15" t="str">
        <x:v>P1</x:v>
      </x:c>
      <x:c r="F33" s="15" t="str">
        <x:v>ME1</x:v>
      </x:c>
      <x:c r="G33" s="15" t="str">
        <x:v>Adaptation</x:v>
      </x:c>
      <x:c r="H33" s="14" t="str">
        <x:v>Conclusion originale sobre.</x:v>
      </x:c>
      <x:c r="I33" s="14" t="str">
        <x:v>Durée alignée avec la séquence.</x:v>
      </x:c>
      <x:c r="J33" s="14" t="str"/>
      <x:c r="K33" s="14" t="str">
        <x:v>assets/audio/AUD-musique-epilogue.ogg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/>
    </x:row>
    <x:row r="34" ht="36" customHeight="1">
      <x:c r="A34" s="12" t="str">
        <x:v>AUD-voix-de-remplacement</x:v>
      </x:c>
      <x:c r="B34" s="7" t="str">
        <x:v>Voix de remplacement</x:v>
      </x:c>
      <x:c r="C34" s="10" t="str">
        <x:v>Défini</x:v>
      </x:c>
      <x:c r="D34" s="11" t="str">
        <x:v>À produire</x:v>
      </x:c>
      <x:c r="E34" s="9" t="str">
        <x:v>P1</x:v>
      </x:c>
      <x:c r="F34" s="9" t="str">
        <x:v>ME1</x:v>
      </x:c>
      <x:c r="G34" s="9" t="str">
        <x:v>Adaptation</x:v>
      </x:c>
      <x:c r="H34" s="7" t="str">
        <x:v>Interprétation nouvelle éventuelle avec autorisation des intervenants.</x:v>
      </x:c>
      <x:c r="I34" s="7" t="str">
        <x:v>Pas de clonage des comédiens ni d’assets officiels annoncés comme inclus.</x:v>
      </x:c>
      <x:c r="J34" s="7" t="str"/>
      <x:c r="K34" s="7" t="str">
        <x:v>assets/audio/AUD-voix-de-remplacement.ogg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36" customHeight="1">
      <x:c r="A35" s="13" t="str">
        <x:v>AUD-sous-titres</x:v>
      </x:c>
      <x:c r="B35" s="14" t="str">
        <x:v>Sous-titres</x:v>
      </x:c>
      <x:c r="C35" s="10" t="str">
        <x:v>Défini</x:v>
      </x:c>
      <x:c r="D35" s="11" t="str">
        <x:v>À produire</x:v>
      </x:c>
      <x:c r="E35" s="15" t="str">
        <x:v>P1</x:v>
      </x:c>
      <x:c r="F35" s="15" t="str">
        <x:v>ME1</x:v>
      </x:c>
      <x:c r="G35" s="15" t="str">
        <x:v>Adaptation</x:v>
      </x:c>
      <x:c r="H35" s="14" t="str">
        <x:v>Texte et identification du locuteur.</x:v>
      </x:c>
      <x:c r="I35" s="14" t="str">
        <x:v>Tous les dialogues jouables restent compréhensibles sans audio.</x:v>
      </x:c>
      <x:c r="J35" s="14" t="str"/>
      <x:c r="K35" s="14" t="str">
        <x:v>assets/audio/AUD-sous-titres.ogg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/>
    </x:row>
    <x:row r="36" ht="36" customHeight="1">
      <x:c r="A36" s="12" t="str">
        <x:v>AUD-mixage-accessible</x:v>
      </x:c>
      <x:c r="B36" s="7" t="str">
        <x:v>Mixage accessible</x:v>
      </x:c>
      <x:c r="C36" s="10" t="str">
        <x:v>Défini</x:v>
      </x:c>
      <x:c r="D36" s="11" t="str">
        <x:v>À produire</x:v>
      </x:c>
      <x:c r="E36" s="9" t="str">
        <x:v>P1</x:v>
      </x:c>
      <x:c r="F36" s="9" t="str">
        <x:v>ME1</x:v>
      </x:c>
      <x:c r="G36" s="9" t="str">
        <x:v>Adaptation</x:v>
      </x:c>
      <x:c r="H36" s="7" t="str">
        <x:v>Volumes musique, effets et voix séparés.</x:v>
      </x:c>
      <x:c r="I36" s="7" t="str">
        <x:v>Paramètres sauvegardés et appliqués immédiatement.</x:v>
      </x:c>
      <x:c r="J36" s="7" t="str"/>
      <x:c r="K36" s="7" t="str">
        <x:v>assets/audio/AUD-mixage-accessible.ogg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/>
    </x:row>
  </x:sheetData>
  <x:conditionalFormatting sqref="C7:C36">
    <x:cfRule type="cellIs" dxfId="110" priority="1" operator="equal">
      <x:formula>"Prototype"</x:formula>
    </x:cfRule>
    <x:cfRule type="cellIs" dxfId="111" priority="2" operator="equal">
      <x:formula>"Intégré"</x:formula>
    </x:cfRule>
    <x:cfRule type="cellIs" dxfId="112" priority="3" operator="equal">
      <x:formula>"Validé"</x:formula>
    </x:cfRule>
  </x:conditionalFormatting>
  <x:conditionalFormatting sqref="G7:G36">
    <x:cfRule type="cellIs" dxfId="113" priority="4" operator="equal">
      <x:formula>"Référence à vérifier"</x:formula>
    </x:cfRule>
  </x:conditionalFormatting>
  <x:conditionalFormatting sqref="E7:E36">
    <x:cfRule type="cellIs" dxfId="114" priority="5" operator="equal">
      <x:formula>"P0"</x:formula>
    </x:cfRule>
  </x:conditionalFormatting>
  <x:dataValidations count="5">
    <x:dataValidation type="list" sqref="C7:C36">
      <x:formula1>"Défini,Prototype,Intégré,Validé"</x:formula1>
    </x:dataValidation>
    <x:dataValidation type="list" sqref="D7:D36">
      <x:formula1>"À produire,Prototype,Disponible,Validé,Sans objet,Non planifié"</x:formula1>
    </x:dataValidation>
    <x:dataValidation type="list" sqref="E7:E36">
      <x:formula1>"P0,P1,P2"</x:formula1>
    </x:dataValidation>
    <x:dataValidation type="list" sqref="F7:F36">
      <x:formula1>"ME1,ME2,ME3"</x:formula1>
    </x:dataValidation>
    <x:dataValidation type="list" sqref="G7:G3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de83dee9a74016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49" customHeight="1">
      <x:c r="A7" s="13" t="str">
        <x:v>SYS-menu-principal</x:v>
      </x:c>
      <x:c r="B7" s="14" t="str">
        <x:v>Menu principal</x:v>
      </x:c>
      <x:c r="C7" s="10" t="str">
        <x:v>Prototype</x:v>
      </x:c>
      <x:c r="D7" s="11" t="str">
        <x:v>Prototype</x:v>
      </x:c>
      <x:c r="E7" s="15" t="str">
        <x:v>P0</x:v>
      </x:c>
      <x:c r="F7" s="15" t="str">
        <x:v>ME1</x:v>
      </x:c>
      <x:c r="G7" s="15" t="str">
        <x:v>Adaptation</x:v>
      </x:c>
      <x:c r="H7" s="14" t="str">
        <x:v>Nouvelle partie, continuer, chargement, options et crédits.</x:v>
      </x:c>
      <x:c r="I7" s="14" t="str">
        <x:v>Toutes les actions mènent à un écran fonctionnel.</x:v>
      </x:c>
      <x:c r="J7" s="14" t="str"/>
      <x:c r="K7" s="14" t="str">
        <x:v>src/</x:v>
      </x:c>
      <x:c r="L7" s="14" t="str">
        <x:v>src/main.js</x:v>
      </x:c>
      <x:c r="M7" s="14" t="str">
        <x:v>system:menu-principal</x:v>
      </x:c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Fonction présente en version prototype. Les critères complets de cette ligne restent à vérifier ; aucune validation finale déclarée.</x:v>
      </x:c>
    </x:row>
    <x:row r="8" ht="100" customHeight="1">
      <x:c r="A8" s="12" t="str">
        <x:v>SYS-creation-de-shepard</x:v>
      </x:c>
      <x:c r="B8" s="7" t="str">
        <x:v>Création de Shepard</x:v>
      </x:c>
      <x:c r="C8" s="10" t="str">
        <x:v>Validé</x:v>
      </x:c>
      <x:c r="D8" s="11" t="str">
        <x:v>Disponible</x:v>
      </x:c>
      <x:c r="E8" s="9" t="str">
        <x:v>P0</x:v>
      </x:c>
      <x:c r="F8" s="9" t="str">
        <x:v>ME1</x:v>
      </x:c>
      <x:c r="G8" s="9" t="str">
        <x:v>Adaptation</x:v>
      </x:c>
      <x:c r="H8" s="7" t="str">
        <x:v>Identité, classe et profil narratif.</x:v>
      </x:c>
      <x:c r="I8" s="7" t="str">
        <x:v>Validation puis sauvegarde avant le départ.</x:v>
      </x:c>
      <x:c r="J8" s="7" t="str"/>
      <x:c r="K8" s="7" t="str">
        <x:v>src/</x:v>
      </x:c>
      <x:c r="L8" s="7" t="str">
        <x:v>src/main.js</x:v>
      </x:c>
      <x:c r="M8" s="7" t="str">
        <x:v>system:creation-de-shepard</x:v>
      </x:c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Dossier jouable : nom, classe, deux apparences, trois origines et trois profils psychologiques. Choix sauvegardés et repris/importés avec migration des anciens champs absents. Consultation depuis pause et commando. Aucun bonus combat ou morale ajouté ; réactions narratives et créateur facial restent hors de cette fonction. Vérifications : tests/commander.test.js et scripts/commander-browser.mjs. Critères fonctionnels de cette fiche vérifiés dans les deux variantes par test:commander ; validation de l’adaptation, sans certification artistique 1:1. Preuve : docs/qa/dossier-and-saves-report.json.</x:v>
      </x:c>
    </x:row>
    <x:row r="9" ht="75" customHeight="1">
      <x:c r="A9" s="13" t="str">
        <x:v>SYS-sauvegarde-locale</x:v>
      </x:c>
      <x:c r="B9" s="14" t="str">
        <x:v>Sauvegarde locale</x:v>
      </x:c>
      <x:c r="C9" s="10" t="str">
        <x:v>Prototype</x:v>
      </x:c>
      <x:c r="D9" s="11" t="str">
        <x:v>Prototype</x:v>
      </x:c>
      <x:c r="E9" s="15" t="str">
        <x:v>P0</x:v>
      </x:c>
      <x:c r="F9" s="15" t="str">
        <x:v>ME1</x:v>
      </x:c>
      <x:c r="G9" s="15" t="str">
        <x:v>Adaptation</x:v>
      </x:c>
      <x:c r="H9" s="14" t="str">
        <x:v>États de progression et inventaire.</x:v>
      </x:c>
      <x:c r="I9" s="14" t="str">
        <x:v>Version du format et migration explicites.</x:v>
      </x:c>
      <x:c r="J9" s="14" t="str"/>
      <x:c r="K9" s="14" t="str">
        <x:v>src/</x:v>
      </x:c>
      <x:c r="L9" s="14" t="str">
        <x:v>src/state.js</x:v>
      </x:c>
      <x:c r="M9" s="14" t="str">
        <x:v>system:sauvegarde-locale</x:v>
      </x:c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Format v1 conservé. Migration des champs de dossier absents, rejet des valeurs explicitement invalides. Autosauvegarde indépendante de six emplacements manuels. Les critères de progression et inventaire complets restent à vérifier ; aucune fidélité 1:1 déclarée.</x:v>
      </x:c>
    </x:row>
    <x:row r="10" ht="100" customHeight="1">
      <x:c r="A10" s="12" t="str">
        <x:v>SYS-sauvegarde-manuelle</x:v>
      </x:c>
      <x:c r="B10" s="7" t="str">
        <x:v>Sauvegarde manuelle</x:v>
      </x:c>
      <x:c r="C10" s="10" t="str">
        <x:v>Validé</x:v>
      </x:c>
      <x:c r="D10" s="11" t="str">
        <x:v>Disponible</x:v>
      </x:c>
      <x:c r="E10" s="9" t="str">
        <x:v>P0</x:v>
      </x:c>
      <x:c r="F10" s="9" t="str">
        <x:v>ME1</x:v>
      </x:c>
      <x:c r="G10" s="9" t="str">
        <x:v>Adaptation</x:v>
      </x:c>
      <x:c r="H10" s="7" t="str">
        <x:v>Emplacements nommés par date et zone.</x:v>
      </x:c>
      <x:c r="I10" s="7" t="str">
        <x:v>Écrasement intentionnel et aperçu fiable.</x:v>
      </x:c>
      <x:c r="J10" s="7" t="str"/>
      <x:c r="K10" s="7" t="str">
        <x:v>src/</x:v>
      </x:c>
      <x:c r="L10" s="7" t="str">
        <x:v>src/save-slots.js</x:v>
      </x:c>
      <x:c r="M10" s="7" t="str">
        <x:v>writeManualSave</x:v>
      </x:c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Six emplacements nommés indépendants de la sauvegarde automatique, avec aperçu dérivé du contenu chargé : date, zone, commandant, classe et apparence. Confirmation avant remplacement ou suppression, données corrompues visibles, erreurs quota/stockage contenues. Chargement et enregistrement interdits en combat. Implémentation : src/save-slots.js et src/main.js. Vérifications : tests/save-slots.test.js et scripts/save-slots-browser.mjs. Le nombre de six emplacements est un choix d’adaptation. Critères fonctionnels vérifiés par test:saves, avec annulation/confirmation, chargement après changement de commandant et persistance après rechargement. Preuve : docs/qa/dossier-and-saves-report.json.</x:v>
      </x:c>
    </x:row>
    <x:row r="11" ht="49" customHeight="1">
      <x:c r="A11" s="13" t="str">
        <x:v>SYS-sauvegarde-automatique</x:v>
      </x:c>
      <x:c r="B11" s="14" t="str">
        <x:v>Sauvegarde automatique</x:v>
      </x:c>
      <x:c r="C11" s="10" t="str">
        <x:v>Prototype</x:v>
      </x:c>
      <x:c r="D11" s="11" t="str">
        <x:v>Prototype</x:v>
      </x:c>
      <x:c r="E11" s="15" t="str">
        <x:v>P0</x:v>
      </x:c>
      <x:c r="F11" s="15" t="str">
        <x:v>ME1</x:v>
      </x:c>
      <x:c r="G11" s="15" t="str">
        <x:v>Adaptation</x:v>
      </x:c>
      <x:c r="H11" s="14" t="str">
        <x:v>Points sûrs après transitions et décisions.</x:v>
      </x:c>
      <x:c r="I11" s="14" t="str">
        <x:v>Aucune sauvegarde dans un état impossible.</x:v>
      </x:c>
      <x:c r="J11" s="14" t="str"/>
      <x:c r="K11" s="14" t="str">
        <x:v>src/</x:v>
      </x:c>
      <x:c r="L11" s="14" t="str">
        <x:v>src/main.js</x:v>
      </x:c>
      <x:c r="M11" s="14" t="str">
        <x:v>system:sauvegarde-automatique</x:v>
      </x:c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Fonction présente en version prototype. Les critères complets de cette ligne restent à vérifier ; aucune validation finale déclarée.</x:v>
      </x:c>
    </x:row>
    <x:row r="12" ht="49" customHeight="1">
      <x:c r="A12" s="12" t="str">
        <x:v>SYS-carte-galactique</x:v>
      </x:c>
      <x:c r="B12" s="7" t="str">
        <x:v>Carte galactique</x:v>
      </x:c>
      <x:c r="C12" s="10" t="str">
        <x:v>Prototype</x:v>
      </x:c>
      <x:c r="D12" s="11" t="str">
        <x:v>Prototype</x:v>
      </x:c>
      <x:c r="E12" s="9" t="str">
        <x:v>P0</x:v>
      </x:c>
      <x:c r="F12" s="9" t="str">
        <x:v>ME1</x:v>
      </x:c>
      <x:c r="G12" s="9" t="str">
        <x:v>Adaptation</x:v>
      </x:c>
      <x:c r="H12" s="7" t="str">
        <x:v>Navigation hiérarchique depuis le Normandy.</x:v>
      </x:c>
      <x:c r="I12" s="7" t="str">
        <x:v>Destinations verrouillées expliquées.</x:v>
      </x:c>
      <x:c r="J12" s="7" t="str"/>
      <x:c r="K12" s="7" t="str">
        <x:v>src/</x:v>
      </x:c>
      <x:c r="L12" s="7" t="str">
        <x:v>src/main.js</x:v>
      </x:c>
      <x:c r="M12" s="7" t="str">
        <x:v>system:carte-galactique</x:v>
      </x:c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Fonction présente en version prototype. Les critères complets de cette ligne restent à vérifier ; aucune validation finale déclarée.</x:v>
      </x:c>
    </x:row>
    <x:row r="13" ht="49" customHeight="1">
      <x:c r="A13" s="13" t="str">
        <x:v>SYS-carte-locale</x:v>
      </x:c>
      <x:c r="B13" s="14" t="str">
        <x:v>Carte locale</x:v>
      </x:c>
      <x:c r="C13" s="10" t="str">
        <x:v>Prototype</x:v>
      </x:c>
      <x:c r="D13" s="11" t="str">
        <x:v>Prototype</x:v>
      </x:c>
      <x:c r="E13" s="15" t="str">
        <x:v>P0</x:v>
      </x:c>
      <x:c r="F13" s="15" t="str">
        <x:v>ME1</x:v>
      </x:c>
      <x:c r="G13" s="15" t="str">
        <x:v>Adaptation</x:v>
      </x:c>
      <x:c r="H13" s="14" t="str">
        <x:v>Plan des sorties et objectifs connus.</x:v>
      </x:c>
      <x:c r="I13" s="14" t="str">
        <x:v>Mise à jour après découverte.</x:v>
      </x:c>
      <x:c r="J13" s="14" t="str"/>
      <x:c r="K13" s="14" t="str">
        <x:v>src/</x:v>
      </x:c>
      <x:c r="L13" s="14" t="str">
        <x:v>src/main.js</x:v>
      </x:c>
      <x:c r="M13" s="14" t="str">
        <x:v>system:carte-locale</x:v>
      </x:c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Fonction présente en version prototype. Les critères complets de cette ligne restent à vérifier ; aucune validation finale déclarée.</x:v>
      </x:c>
    </x:row>
    <x:row r="14" ht="49" customHeight="1">
      <x:c r="A14" s="12" t="str">
        <x:v>SYS-journal-de-mission</x:v>
      </x:c>
      <x:c r="B14" s="7" t="str">
        <x:v>Journal de mission</x:v>
      </x:c>
      <x:c r="C14" s="10" t="str">
        <x:v>Prototype</x:v>
      </x:c>
      <x:c r="D14" s="11" t="str">
        <x:v>Prototype</x:v>
      </x:c>
      <x:c r="E14" s="9" t="str">
        <x:v>P0</x:v>
      </x:c>
      <x:c r="F14" s="9" t="str">
        <x:v>ME1</x:v>
      </x:c>
      <x:c r="G14" s="9" t="str">
        <x:v>Adaptation</x:v>
      </x:c>
      <x:c r="H14" s="7" t="str">
        <x:v>Étapes actives, résolues et échouées.</x:v>
      </x:c>
      <x:c r="I14" s="7" t="str">
        <x:v>Aucune mission terminée restant affichée active.</x:v>
      </x:c>
      <x:c r="J14" s="7" t="str"/>
      <x:c r="K14" s="7" t="str">
        <x:v>src/</x:v>
      </x:c>
      <x:c r="L14" s="7" t="str">
        <x:v>src/main.js</x:v>
      </x:c>
      <x:c r="M14" s="7" t="str">
        <x:v>system:journal-de-mission</x:v>
      </x:c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Fonction présente en version prototype. Les critères complets de cette ligne restent à vérifier ; aucune validation finale déclarée.</x:v>
      </x:c>
    </x:row>
    <x:row r="15" ht="49" customHeight="1">
      <x:c r="A15" s="13" t="str">
        <x:v>SYS-codex</x:v>
      </x:c>
      <x:c r="B15" s="14" t="str">
        <x:v>Codex</x:v>
      </x:c>
      <x:c r="C15" s="10" t="str">
        <x:v>Prototype</x:v>
      </x:c>
      <x:c r="D15" s="11" t="str">
        <x:v>Prototype</x:v>
      </x:c>
      <x:c r="E15" s="15" t="str">
        <x:v>P0</x:v>
      </x:c>
      <x:c r="F15" s="15" t="str">
        <x:v>ME1</x:v>
      </x:c>
      <x:c r="G15" s="15" t="str">
        <x:v>Adaptation</x:v>
      </x:c>
      <x:c r="H15" s="14" t="str">
        <x:v>Entrées consultables et recherche.</x:v>
      </x:c>
      <x:c r="I15" s="14" t="str">
        <x:v>Informations sensibles conditionnées à la progression.</x:v>
      </x:c>
      <x:c r="J15" s="14" t="str"/>
      <x:c r="K15" s="14" t="str">
        <x:v>src/</x:v>
      </x:c>
      <x:c r="L15" s="14" t="str">
        <x:v>src/main.js</x:v>
      </x:c>
      <x:c r="M15" s="14" t="str">
        <x:v>system:codex</x:v>
      </x:c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Fonction présente en version prototype. Les critères complets de cette ligne restent à vérifier ; aucune validation finale déclarée.</x:v>
      </x:c>
    </x:row>
    <x:row r="16" ht="36" customHeight="1">
      <x:c r="A16" s="12" t="str">
        <x:v>SYS-catalogue-de-production</x:v>
      </x:c>
      <x:c r="B16" s="7" t="str">
        <x:v>Catalogue de production</x:v>
      </x:c>
      <x:c r="C16" s="10" t="str">
        <x:v>Défini</x:v>
      </x:c>
      <x:c r="D16" s="11" t="str">
        <x:v>À produire</x:v>
      </x:c>
      <x:c r="E16" s="9" t="str">
        <x:v>P0</x:v>
      </x:c>
      <x:c r="F16" s="9" t="str">
        <x:v>ME1</x:v>
      </x:c>
      <x:c r="G16" s="9" t="str">
        <x:v>Adaptation</x:v>
      </x:c>
      <x:c r="H16" s="7" t="str">
        <x:v>Vue des éléments du JSON partagé avec l’Excel.</x:v>
      </x:c>
      <x:c r="I16" s="7" t="str">
        <x:v>Statuts et périmètre clairement distingués du contenu jouable.</x:v>
      </x:c>
      <x:c r="J16" s="7" t="str"/>
      <x:c r="K16" s="7" t="str">
        <x:v>src/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/>
    </x:row>
    <x:row r="17" ht="49" customHeight="1">
      <x:c r="A17" s="13" t="str">
        <x:v>SYS-choix-du-commando</x:v>
      </x:c>
      <x:c r="B17" s="14" t="str">
        <x:v>Choix du commando</x:v>
      </x:c>
      <x:c r="C17" s="10" t="str">
        <x:v>Prototype</x:v>
      </x:c>
      <x:c r="D17" s="11" t="str">
        <x:v>Prototype</x:v>
      </x:c>
      <x:c r="E17" s="15" t="str">
        <x:v>P0</x:v>
      </x:c>
      <x:c r="F17" s="15" t="str">
        <x:v>ME1</x:v>
      </x:c>
      <x:c r="G17" s="15" t="str">
        <x:v>Adaptation</x:v>
      </x:c>
      <x:c r="H17" s="14" t="str">
        <x:v>Shepard plus deux équipiers disponibles.</x:v>
      </x:c>
      <x:c r="I17" s="14" t="str">
        <x:v>Pas de sélection de personnage mort ou non recruté.</x:v>
      </x:c>
      <x:c r="J17" s="14" t="str"/>
      <x:c r="K17" s="14" t="str">
        <x:v>src/</x:v>
      </x:c>
      <x:c r="L17" s="14" t="str">
        <x:v>src/main.js</x:v>
      </x:c>
      <x:c r="M17" s="14" t="str">
        <x:v>system:choix-du-commando</x:v>
      </x:c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Fonction présente en version prototype. Les critères complets de cette ligne restent à vérifier ; aucune validation finale déclarée.</x:v>
      </x:c>
    </x:row>
    <x:row r="18" ht="36" customHeight="1">
      <x:c r="A18" s="12" t="str">
        <x:v>SYS-inventaire</x:v>
      </x:c>
      <x:c r="B18" s="7" t="str">
        <x:v>Inventaire</x:v>
      </x:c>
      <x:c r="C18" s="10" t="str">
        <x:v>Défini</x:v>
      </x:c>
      <x:c r="D18" s="11" t="str">
        <x:v>À produire</x:v>
      </x:c>
      <x:c r="E18" s="9" t="str">
        <x:v>P0</x:v>
      </x:c>
      <x:c r="F18" s="9" t="str">
        <x:v>ME1</x:v>
      </x:c>
      <x:c r="G18" s="9" t="str">
        <x:v>Adaptation</x:v>
      </x:c>
      <x:c r="H18" s="7" t="str">
        <x:v>Armes, armures, modules et ressources.</x:v>
      </x:c>
      <x:c r="I18" s="7" t="str">
        <x:v>Compatibilités affichées avant équipement.</x:v>
      </x:c>
      <x:c r="J18" s="7" t="str"/>
      <x:c r="K18" s="7" t="str">
        <x:v>src/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/>
    </x:row>
    <x:row r="19" ht="49" customHeight="1">
      <x:c r="A19" s="13" t="str">
        <x:v>SYS-commerce</x:v>
      </x:c>
      <x:c r="B19" s="14" t="str">
        <x:v>Commerce</x:v>
      </x:c>
      <x:c r="C19" s="10" t="str">
        <x:v>Prototype</x:v>
      </x:c>
      <x:c r="D19" s="11" t="str">
        <x:v>Prototype</x:v>
      </x:c>
      <x:c r="E19" s="15" t="str">
        <x:v>P0</x:v>
      </x:c>
      <x:c r="F19" s="15" t="str">
        <x:v>ME1</x:v>
      </x:c>
      <x:c r="G19" s="15" t="str">
        <x:v>Adaptation</x:v>
      </x:c>
      <x:c r="H19" s="14" t="str">
        <x:v>Achat, vente et licences.</x:v>
      </x:c>
      <x:c r="I19" s="14" t="str">
        <x:v>Crédits et inventaire changent une seule fois.</x:v>
      </x:c>
      <x:c r="J19" s="14" t="str"/>
      <x:c r="K19" s="14" t="str">
        <x:v>src/</x:v>
      </x:c>
      <x:c r="L19" s="14" t="str">
        <x:v>src/main.js</x:v>
      </x:c>
      <x:c r="M19" s="14" t="str">
        <x:v>system:commerce</x:v>
      </x:c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Fonction présente en version prototype. Les critères complets de cette ligne restent à vérifier ; aucune validation finale déclarée.</x:v>
      </x:c>
    </x:row>
    <x:row r="20" ht="36" customHeight="1">
      <x:c r="A20" s="12" t="str">
        <x:v>SYS-talents</x:v>
      </x:c>
      <x:c r="B20" s="7" t="str">
        <x:v>Talents</x:v>
      </x:c>
      <x:c r="C20" s="10" t="str">
        <x:v>Défini</x:v>
      </x:c>
      <x:c r="D20" s="11" t="str">
        <x:v>À produire</x:v>
      </x:c>
      <x:c r="E20" s="9" t="str">
        <x:v>P0</x:v>
      </x:c>
      <x:c r="F20" s="9" t="str">
        <x:v>ME1</x:v>
      </x:c>
      <x:c r="G20" s="9" t="str">
        <x:v>Adaptation</x:v>
      </x:c>
      <x:c r="H20" s="7" t="str">
        <x:v>Progression propre à chaque classe et équipier.</x:v>
      </x:c>
      <x:c r="I20" s="7" t="str">
        <x:v>Dépendances et points disponibles contrôlés.</x:v>
      </x:c>
      <x:c r="J20" s="7" t="str"/>
      <x:c r="K20" s="7" t="str">
        <x:v>src/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/>
    </x:row>
    <x:row r="21" ht="49" customHeight="1">
      <x:c r="A21" s="13" t="str">
        <x:v>SYS-atb-actif</x:v>
      </x:c>
      <x:c r="B21" s="14" t="str">
        <x:v>ATB actif</x:v>
      </x:c>
      <x:c r="C21" s="10" t="str">
        <x:v>Prototype</x:v>
      </x:c>
      <x:c r="D21" s="11" t="str">
        <x:v>Prototype</x:v>
      </x:c>
      <x:c r="E21" s="15" t="str">
        <x:v>P0</x:v>
      </x:c>
      <x:c r="F21" s="15" t="str">
        <x:v>ME1</x:v>
      </x:c>
      <x:c r="G21" s="15" t="str">
        <x:v>Adaptation</x:v>
      </x:c>
      <x:c r="H21" s="14" t="str">
        <x:v>Jauges progressant pendant les choix.</x:v>
      </x:c>
      <x:c r="I21" s="14" t="str">
        <x:v>Vitesse indépendante du nombre d’images par seconde.</x:v>
      </x:c>
      <x:c r="J21" s="14" t="str"/>
      <x:c r="K21" s="14" t="str">
        <x:v>src/</x:v>
      </x:c>
      <x:c r="L21" s="14" t="str">
        <x:v>src/main.js</x:v>
      </x:c>
      <x:c r="M21" s="14" t="str">
        <x:v>system:atb-actif</x:v>
      </x:c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Fonction présente en version prototype. Les critères complets de cette ligne restent à vérifier ; aucune validation finale déclarée.</x:v>
      </x:c>
    </x:row>
    <x:row r="22" ht="49" customHeight="1">
      <x:c r="A22" s="12" t="str">
        <x:v>SYS-atb-attente</x:v>
      </x:c>
      <x:c r="B22" s="7" t="str">
        <x:v>ATB attente</x:v>
      </x:c>
      <x:c r="C22" s="10" t="str">
        <x:v>Prototype</x:v>
      </x:c>
      <x:c r="D22" s="11" t="str">
        <x:v>Prototype</x:v>
      </x:c>
      <x:c r="E22" s="9" t="str">
        <x:v>P0</x:v>
      </x:c>
      <x:c r="F22" s="9" t="str">
        <x:v>ME1</x:v>
      </x:c>
      <x:c r="G22" s="9" t="str">
        <x:v>Adaptation</x:v>
      </x:c>
      <x:c r="H22" s="7" t="str">
        <x:v>Pause pendant la sélection stratégique.</x:v>
      </x:c>
      <x:c r="I22" s="7" t="str">
        <x:v>Ennemis et refroidissements suivent la même règle.</x:v>
      </x:c>
      <x:c r="J22" s="7" t="str"/>
      <x:c r="K22" s="7" t="str">
        <x:v>src/</x:v>
      </x:c>
      <x:c r="L22" s="7" t="str">
        <x:v>src/main.js</x:v>
      </x:c>
      <x:c r="M22" s="7" t="str">
        <x:v>system:atb-attente</x:v>
      </x:c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Fonction présente en version prototype. Les critères complets de cette ligne restent à vérifier ; aucune validation finale déclarée.</x:v>
      </x:c>
    </x:row>
    <x:row r="23" ht="49" customHeight="1">
      <x:c r="A23" s="13" t="str">
        <x:v>SYS-file-d-actions</x:v>
      </x:c>
      <x:c r="B23" s="14" t="str">
        <x:v>File d’actions</x:v>
      </x:c>
      <x:c r="C23" s="10" t="str">
        <x:v>Prototype</x:v>
      </x:c>
      <x:c r="D23" s="11" t="str">
        <x:v>Prototype</x:v>
      </x:c>
      <x:c r="E23" s="15" t="str">
        <x:v>P0</x:v>
      </x:c>
      <x:c r="F23" s="15" t="str">
        <x:v>ME1</x:v>
      </x:c>
      <x:c r="G23" s="15" t="str">
        <x:v>Adaptation</x:v>
      </x:c>
      <x:c r="H23" s="14" t="str">
        <x:v>Ordre d’exécution et résolution des cibles.</x:v>
      </x:c>
      <x:c r="I23" s="14" t="str">
        <x:v>Une cible disparue produit une annulation explicite.</x:v>
      </x:c>
      <x:c r="J23" s="14" t="str"/>
      <x:c r="K23" s="14" t="str">
        <x:v>src/</x:v>
      </x:c>
      <x:c r="L23" s="14" t="str">
        <x:v>src/main.js</x:v>
      </x:c>
      <x:c r="M23" s="14" t="str">
        <x:v>system:file-d-actions</x:v>
      </x:c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Fonction présente en version prototype. Les critères complets de cette ligne restent à vérifier ; aucune validation finale déclarée.</x:v>
      </x:c>
    </x:row>
    <x:row r="24" ht="36" customHeight="1">
      <x:c r="A24" s="12" t="str">
        <x:v>SYS-portee</x:v>
      </x:c>
      <x:c r="B24" s="7" t="str">
        <x:v>Portée</x:v>
      </x:c>
      <x:c r="C24" s="10" t="str">
        <x:v>Défini</x:v>
      </x:c>
      <x:c r="D24" s="11" t="str">
        <x:v>À produire</x:v>
      </x:c>
      <x:c r="E24" s="9" t="str">
        <x:v>P0</x:v>
      </x:c>
      <x:c r="F24" s="9" t="str">
        <x:v>ME1</x:v>
      </x:c>
      <x:c r="G24" s="9" t="str">
        <x:v>Adaptation</x:v>
      </x:c>
      <x:c r="H24" s="7" t="str">
        <x:v>Bandes et lignes de tir pour les armes.</x:v>
      </x:c>
      <x:c r="I24" s="7" t="str">
        <x:v>Cible hors portée signalée avant validation.</x:v>
      </x:c>
      <x:c r="J24" s="7" t="str"/>
      <x:c r="K24" s="7" t="str">
        <x:v>src/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/>
    </x:row>
    <x:row r="25" ht="49" customHeight="1">
      <x:c r="A25" s="13" t="str">
        <x:v>SYS-couverture</x:v>
      </x:c>
      <x:c r="B25" s="14" t="str">
        <x:v>Couverture</x:v>
      </x:c>
      <x:c r="C25" s="10" t="str">
        <x:v>Prototype</x:v>
      </x:c>
      <x:c r="D25" s="11" t="str">
        <x:v>Prototype</x:v>
      </x:c>
      <x:c r="E25" s="15" t="str">
        <x:v>P0</x:v>
      </x:c>
      <x:c r="F25" s="15" t="str">
        <x:v>ME1</x:v>
      </x:c>
      <x:c r="G25" s="15" t="str">
        <x:v>Adaptation</x:v>
      </x:c>
      <x:c r="H25" s="14" t="str">
        <x:v>Réduction d’exposition liée à une position.</x:v>
      </x:c>
      <x:c r="I25" s="14" t="str">
        <x:v>Géométrie et bonus tactique concordants.</x:v>
      </x:c>
      <x:c r="J25" s="14" t="str"/>
      <x:c r="K25" s="14" t="str">
        <x:v>src/</x:v>
      </x:c>
      <x:c r="L25" s="14" t="str">
        <x:v>src/main.js</x:v>
      </x:c>
      <x:c r="M25" s="14" t="str">
        <x:v>system:couverture</x:v>
      </x:c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Fonction présente en version prototype. Les critères complets de cette ligne restent à vérifier ; aucune validation finale déclarée.</x:v>
      </x:c>
    </x:row>
    <x:row r="26" ht="49" customHeight="1">
      <x:c r="A26" s="12" t="str">
        <x:v>SYS-chaleur-des-armes</x:v>
      </x:c>
      <x:c r="B26" s="7" t="str">
        <x:v>Chaleur des armes</x:v>
      </x:c>
      <x:c r="C26" s="10" t="str">
        <x:v>Prototype</x:v>
      </x:c>
      <x:c r="D26" s="11" t="str">
        <x:v>Prototype</x:v>
      </x:c>
      <x:c r="E26" s="9" t="str">
        <x:v>P0</x:v>
      </x:c>
      <x:c r="F26" s="9" t="str">
        <x:v>ME1</x:v>
      </x:c>
      <x:c r="G26" s="9" t="str">
        <x:v>Adaptation</x:v>
      </x:c>
      <x:c r="H26" s="7" t="str">
        <x:v>Montée, seuil et refroidissement.</x:v>
      </x:c>
      <x:c r="I26" s="7" t="str">
        <x:v>Valeurs bornées et état persistant pendant le combat.</x:v>
      </x:c>
      <x:c r="J26" s="7" t="str"/>
      <x:c r="K26" s="7" t="str">
        <x:v>src/</x:v>
      </x:c>
      <x:c r="L26" s="7" t="str">
        <x:v>src/main.js</x:v>
      </x:c>
      <x:c r="M26" s="7" t="str">
        <x:v>system:chaleur-des-armes</x:v>
      </x:c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Fonction présente en version prototype. Les critères complets de cette ligne restent à vérifier ; aucune validation finale déclarée.</x:v>
      </x:c>
    </x:row>
    <x:row r="27" ht="49" customHeight="1">
      <x:c r="A27" s="13" t="str">
        <x:v>SYS-boucliers-et-sante</x:v>
      </x:c>
      <x:c r="B27" s="14" t="str">
        <x:v>Boucliers et santé</x:v>
      </x:c>
      <x:c r="C27" s="10" t="str">
        <x:v>Prototype</x:v>
      </x:c>
      <x:c r="D27" s="11" t="str">
        <x:v>Prototype</x:v>
      </x:c>
      <x:c r="E27" s="15" t="str">
        <x:v>P0</x:v>
      </x:c>
      <x:c r="F27" s="15" t="str">
        <x:v>ME1</x:v>
      </x:c>
      <x:c r="G27" s="15" t="str">
        <x:v>Adaptation</x:v>
      </x:c>
      <x:c r="H27" s="14" t="str">
        <x:v>Protections séparées de la vitalité.</x:v>
      </x:c>
      <x:c r="I27" s="14" t="str">
        <x:v>Ordre des dégâts et régénération lisibles.</x:v>
      </x:c>
      <x:c r="J27" s="14" t="str"/>
      <x:c r="K27" s="14" t="str">
        <x:v>src/</x:v>
      </x:c>
      <x:c r="L27" s="14" t="str">
        <x:v>src/main.js</x:v>
      </x:c>
      <x:c r="M27" s="14" t="str">
        <x:v>system:boucliers-et-sante</x:v>
      </x:c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Fonction présente en version prototype. Les critères complets de cette ligne restent à vérifier ; aucune validation finale déclarée.</x:v>
      </x:c>
    </x:row>
    <x:row r="28" ht="49" customHeight="1">
      <x:c r="A28" s="12" t="str">
        <x:v>SYS-resistances</x:v>
      </x:c>
      <x:c r="B28" s="7" t="str">
        <x:v>Résistances</x:v>
      </x:c>
      <x:c r="C28" s="10" t="str">
        <x:v>Prototype</x:v>
      </x:c>
      <x:c r="D28" s="11" t="str">
        <x:v>Prototype</x:v>
      </x:c>
      <x:c r="E28" s="9" t="str">
        <x:v>P0</x:v>
      </x:c>
      <x:c r="F28" s="9" t="str">
        <x:v>ME1</x:v>
      </x:c>
      <x:c r="G28" s="9" t="str">
        <x:v>Adaptation</x:v>
      </x:c>
      <x:c r="H28" s="7" t="str">
        <x:v>Effets adaptés aux synthétiques, organiques et grands ennemis.</x:v>
      </x:c>
      <x:c r="I28" s="7" t="str">
        <x:v>Aucune immunité secrète sans retour visuel.</x:v>
      </x:c>
      <x:c r="J28" s="7" t="str"/>
      <x:c r="K28" s="7" t="str">
        <x:v>src/</x:v>
      </x:c>
      <x:c r="L28" s="7" t="str">
        <x:v>src/main.js</x:v>
      </x:c>
      <x:c r="M28" s="7" t="str">
        <x:v>system:resistances</x:v>
      </x:c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Fonction présente en version prototype. Les critères complets de cette ligne restent à vérifier ; aucune validation finale déclarée.</x:v>
      </x:c>
    </x:row>
    <x:row r="29" ht="49" customHeight="1">
      <x:c r="A29" s="13" t="str">
        <x:v>SYS-pouvoirs</x:v>
      </x:c>
      <x:c r="B29" s="14" t="str">
        <x:v>Pouvoirs</x:v>
      </x:c>
      <x:c r="C29" s="10" t="str">
        <x:v>Prototype</x:v>
      </x:c>
      <x:c r="D29" s="11" t="str">
        <x:v>Prototype</x:v>
      </x:c>
      <x:c r="E29" s="15" t="str">
        <x:v>P0</x:v>
      </x:c>
      <x:c r="F29" s="15" t="str">
        <x:v>ME1</x:v>
      </x:c>
      <x:c r="G29" s="15" t="str">
        <x:v>Adaptation</x:v>
      </x:c>
      <x:c r="H29" s="14" t="str">
        <x:v>Coût en action et délai de réutilisation.</x:v>
      </x:c>
      <x:c r="I29" s="14" t="str">
        <x:v>Éligibilité dépend de la classe et du talent.</x:v>
      </x:c>
      <x:c r="J29" s="14" t="str"/>
      <x:c r="K29" s="14" t="str">
        <x:v>src/</x:v>
      </x:c>
      <x:c r="L29" s="14" t="str">
        <x:v>src/main.js</x:v>
      </x:c>
      <x:c r="M29" s="14" t="str">
        <x:v>system:pouvoirs</x:v>
      </x:c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Fonction présente en version prototype. Les critères complets de cette ligne restent à vérifier ; aucune validation finale déclarée.</x:v>
      </x:c>
    </x:row>
    <x:row r="30" ht="36" customHeight="1">
      <x:c r="A30" s="12" t="str">
        <x:v>SYS-ordres-coordonnes</x:v>
      </x:c>
      <x:c r="B30" s="7" t="str">
        <x:v>Ordres coordonnés</x:v>
      </x:c>
      <x:c r="C30" s="10" t="str">
        <x:v>Défini</x:v>
      </x:c>
      <x:c r="D30" s="11" t="str">
        <x:v>À produire</x:v>
      </x:c>
      <x:c r="E30" s="9" t="str">
        <x:v>P0</x:v>
      </x:c>
      <x:c r="F30" s="9" t="str">
        <x:v>ME1</x:v>
      </x:c>
      <x:c r="G30" s="9" t="str">
        <x:v>Adaptation</x:v>
      </x:c>
      <x:c r="H30" s="7" t="str">
        <x:v>Séquences réunissant plusieurs membres.</x:v>
      </x:c>
      <x:c r="I30" s="7" t="str">
        <x:v>Participants disponibles et actions consommées.</x:v>
      </x:c>
      <x:c r="J30" s="7" t="str"/>
      <x:c r="K30" s="7" t="str">
        <x:v>src/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/>
    </x:row>
    <x:row r="31" ht="49" customHeight="1">
      <x:c r="A31" s="13" t="str">
        <x:v>SYS-victoire</x:v>
      </x:c>
      <x:c r="B31" s="14" t="str">
        <x:v>Victoire</x:v>
      </x:c>
      <x:c r="C31" s="10" t="str">
        <x:v>Prototype</x:v>
      </x:c>
      <x:c r="D31" s="11" t="str">
        <x:v>Prototype</x:v>
      </x:c>
      <x:c r="E31" s="15" t="str">
        <x:v>P0</x:v>
      </x:c>
      <x:c r="F31" s="15" t="str">
        <x:v>ME1</x:v>
      </x:c>
      <x:c r="G31" s="15" t="str">
        <x:v>Adaptation</x:v>
      </x:c>
      <x:c r="H31" s="14" t="str">
        <x:v>Récompenses, état de quête et retour à l’exploration.</x:v>
      </x:c>
      <x:c r="I31" s="14" t="str">
        <x:v>Butin et XP attribués une seule fois.</x:v>
      </x:c>
      <x:c r="J31" s="14" t="str"/>
      <x:c r="K31" s="14" t="str">
        <x:v>src/</x:v>
      </x:c>
      <x:c r="L31" s="14" t="str">
        <x:v>src/main.js</x:v>
      </x:c>
      <x:c r="M31" s="14" t="str">
        <x:v>system:victoire</x:v>
      </x:c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Fonction présente en version prototype. Les critères complets de cette ligne restent à vérifier ; aucune validation finale déclarée.</x:v>
      </x:c>
    </x:row>
    <x:row r="32" ht="49" customHeight="1">
      <x:c r="A32" s="12" t="str">
        <x:v>SYS-defaite</x:v>
      </x:c>
      <x:c r="B32" s="7" t="str">
        <x:v>Défaite</x:v>
      </x:c>
      <x:c r="C32" s="10" t="str">
        <x:v>Prototype</x:v>
      </x:c>
      <x:c r="D32" s="11" t="str">
        <x:v>Prototype</x:v>
      </x:c>
      <x:c r="E32" s="9" t="str">
        <x:v>P0</x:v>
      </x:c>
      <x:c r="F32" s="9" t="str">
        <x:v>ME1</x:v>
      </x:c>
      <x:c r="G32" s="9" t="str">
        <x:v>Adaptation</x:v>
      </x:c>
      <x:c r="H32" s="7" t="str">
        <x:v>Reprise depuis un point sûr.</x:v>
      </x:c>
      <x:c r="I32" s="7" t="str">
        <x:v>Aucune progression corrompue ni boucle de mort.</x:v>
      </x:c>
      <x:c r="J32" s="7" t="str"/>
      <x:c r="K32" s="7" t="str">
        <x:v>src/</x:v>
      </x:c>
      <x:c r="L32" s="7" t="str">
        <x:v>src/main.js</x:v>
      </x:c>
      <x:c r="M32" s="7" t="str">
        <x:v>system:defaite</x:v>
      </x:c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Fonction présente en version prototype. Les critères complets de cette ligne restent à vérifier ; aucune validation finale déclarée.</x:v>
      </x:c>
    </x:row>
    <x:row r="33" ht="49" customHeight="1">
      <x:c r="A33" s="13" t="str">
        <x:v>SYS-fuite</x:v>
      </x:c>
      <x:c r="B33" s="14" t="str">
        <x:v>Fuite</x:v>
      </x:c>
      <x:c r="C33" s="10" t="str">
        <x:v>Prototype</x:v>
      </x:c>
      <x:c r="D33" s="11" t="str">
        <x:v>Prototype</x:v>
      </x:c>
      <x:c r="E33" s="15" t="str">
        <x:v>P0</x:v>
      </x:c>
      <x:c r="F33" s="15" t="str">
        <x:v>ME1</x:v>
      </x:c>
      <x:c r="G33" s="15" t="str">
        <x:v>Adaptation</x:v>
      </x:c>
      <x:c r="H33" s="14" t="str">
        <x:v>Sortie autorisée des rencontres secondaires.</x:v>
      </x:c>
      <x:c r="I33" s="14" t="str">
        <x:v>Position de reprise hors de la zone de déclenchement.</x:v>
      </x:c>
      <x:c r="J33" s="14" t="str"/>
      <x:c r="K33" s="14" t="str">
        <x:v>src/</x:v>
      </x:c>
      <x:c r="L33" s="14" t="str">
        <x:v>src/main.js</x:v>
      </x:c>
      <x:c r="M33" s="14" t="str">
        <x:v>system:fuite</x:v>
      </x:c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Fonction présente en version prototype. Les critères complets de cette ligne restent à vérifier ; aucune validation finale déclarée.</x:v>
      </x:c>
    </x:row>
    <x:row r="34" ht="36" customHeight="1">
      <x:c r="A34" s="12" t="str">
        <x:v>SYS-mako</x:v>
      </x:c>
      <x:c r="B34" s="7" t="str">
        <x:v>Mako</x:v>
      </x:c>
      <x:c r="C34" s="10" t="str">
        <x:v>Défini</x:v>
      </x:c>
      <x:c r="D34" s="11" t="str">
        <x:v>À produire</x:v>
      </x:c>
      <x:c r="E34" s="9" t="str">
        <x:v>P0</x:v>
      </x:c>
      <x:c r="F34" s="9" t="str">
        <x:v>ME1</x:v>
      </x:c>
      <x:c r="G34" s="9" t="str">
        <x:v>Adaptation</x:v>
      </x:c>
      <x:c r="H34" s="7" t="str">
        <x:v>Exploration et combat véhicule séparés.</x:v>
      </x:c>
      <x:c r="I34" s="7" t="str">
        <x:v>Échelle et caméra compatibles avec les environnements.</x:v>
      </x:c>
      <x:c r="J34" s="7" t="str"/>
      <x:c r="K34" s="7" t="str">
        <x:v>src/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/>
    </x:row>
    <x:row r="35" ht="49" customHeight="1">
      <x:c r="A35" s="13" t="str">
        <x:v>SYS-dialogue-a-choix</x:v>
      </x:c>
      <x:c r="B35" s="14" t="str">
        <x:v>Dialogue à choix</x:v>
      </x:c>
      <x:c r="C35" s="10" t="str">
        <x:v>Prototype</x:v>
      </x:c>
      <x:c r="D35" s="11" t="str">
        <x:v>Prototype</x:v>
      </x:c>
      <x:c r="E35" s="15" t="str">
        <x:v>P0</x:v>
      </x:c>
      <x:c r="F35" s="15" t="str">
        <x:v>ME1</x:v>
      </x:c>
      <x:c r="G35" s="15" t="str">
        <x:v>Adaptation</x:v>
      </x:c>
      <x:c r="H35" s="14" t="str">
        <x:v>Nœuds, conditions et conséquences.</x:v>
      </x:c>
      <x:c r="I35" s="14" t="str">
        <x:v>Chaque branche atteint une sortie valide.</x:v>
      </x:c>
      <x:c r="J35" s="14" t="str"/>
      <x:c r="K35" s="14" t="str">
        <x:v>src/</x:v>
      </x:c>
      <x:c r="L35" s="14" t="str">
        <x:v>src/main.js</x:v>
      </x:c>
      <x:c r="M35" s="14" t="str">
        <x:v>system:dialogue-a-choix</x:v>
      </x:c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Fonction présente en version prototype. Les critères complets de cette ligne restent à vérifier ; aucune validation finale déclarée.</x:v>
      </x:c>
    </x:row>
    <x:row r="36" ht="49" customHeight="1">
      <x:c r="A36" s="12" t="str">
        <x:v>SYS-reputation</x:v>
      </x:c>
      <x:c r="B36" s="7" t="str">
        <x:v>Réputation</x:v>
      </x:c>
      <x:c r="C36" s="10" t="str">
        <x:v>Prototype</x:v>
      </x:c>
      <x:c r="D36" s="11" t="str">
        <x:v>Prototype</x:v>
      </x:c>
      <x:c r="E36" s="9" t="str">
        <x:v>P0</x:v>
      </x:c>
      <x:c r="F36" s="9" t="str">
        <x:v>ME1</x:v>
      </x:c>
      <x:c r="G36" s="9" t="str">
        <x:v>Adaptation</x:v>
      </x:c>
      <x:c r="H36" s="7" t="str">
        <x:v>Suivi conciliateur et pragmatique selon la règle choisie.</x:v>
      </x:c>
      <x:c r="I36" s="7" t="str">
        <x:v>Pas de verrouillage par valeur non affichée.</x:v>
      </x:c>
      <x:c r="J36" s="7" t="str"/>
      <x:c r="K36" s="7" t="str">
        <x:v>src/</x:v>
      </x:c>
      <x:c r="L36" s="7" t="str">
        <x:v>src/main.js</x:v>
      </x:c>
      <x:c r="M36" s="7" t="str">
        <x:v>system:reputation</x:v>
      </x:c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Fonction présente en version prototype. Les critères complets de cette ligne restent à vérifier ; aucune validation finale déclarée.</x:v>
      </x:c>
    </x:row>
    <x:row r="37" ht="36" customHeight="1">
      <x:c r="A37" s="13" t="str">
        <x:v>SYS-relations</x:v>
      </x:c>
      <x:c r="B37" s="14" t="str">
        <x:v>Relations</x:v>
      </x:c>
      <x:c r="C37" s="10" t="str">
        <x:v>Défini</x:v>
      </x:c>
      <x:c r="D37" s="11" t="str">
        <x:v>À produire</x:v>
      </x:c>
      <x:c r="E37" s="15" t="str">
        <x:v>P0</x:v>
      </x:c>
      <x:c r="F37" s="15" t="str">
        <x:v>ME1</x:v>
      </x:c>
      <x:c r="G37" s="15" t="str">
        <x:v>Adaptation</x:v>
      </x:c>
      <x:c r="H37" s="14" t="str">
        <x:v>Étapes d’amitié et de romance.</x:v>
      </x:c>
      <x:c r="I37" s="14" t="str">
        <x:v>Concordance avec la disponibilité et la survie.</x:v>
      </x:c>
      <x:c r="J37" s="14" t="str"/>
      <x:c r="K37" s="14" t="str">
        <x:v>src/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/>
    </x:row>
    <x:row r="38" ht="49" customHeight="1">
      <x:c r="A38" s="12" t="str">
        <x:v>SYS-transitions-de-camera</x:v>
      </x:c>
      <x:c r="B38" s="7" t="str">
        <x:v>Transitions de caméra</x:v>
      </x:c>
      <x:c r="C38" s="10" t="str">
        <x:v>Prototype</x:v>
      </x:c>
      <x:c r="D38" s="11" t="str">
        <x:v>Prototype</x:v>
      </x:c>
      <x:c r="E38" s="9" t="str">
        <x:v>P0</x:v>
      </x:c>
      <x:c r="F38" s="9" t="str">
        <x:v>ME1</x:v>
      </x:c>
      <x:c r="G38" s="9" t="str">
        <x:v>Adaptation</x:v>
      </x:c>
      <x:c r="H38" s="7" t="str">
        <x:v>Volumes et plans fixes.</x:v>
      </x:c>
      <x:c r="I38" s="7" t="str">
        <x:v>Les commandes conservent une direction compréhensible.</x:v>
      </x:c>
      <x:c r="J38" s="7" t="str"/>
      <x:c r="K38" s="7" t="str">
        <x:v>src/</x:v>
      </x:c>
      <x:c r="L38" s="7" t="str">
        <x:v>src/main.js</x:v>
      </x:c>
      <x:c r="M38" s="7" t="str">
        <x:v>system:transitions-de-camera</x:v>
      </x:c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Fonction présente en version prototype. Les critères complets de cette ligne restent à vérifier ; aucune validation finale déclarée.</x:v>
      </x:c>
    </x:row>
    <x:row r="39" ht="49" customHeight="1">
      <x:c r="A39" s="13" t="str">
        <x:v>SYS-occlusion-sprites</x:v>
      </x:c>
      <x:c r="B39" s="14" t="str">
        <x:v>Occlusion sprites</x:v>
      </x:c>
      <x:c r="C39" s="10" t="str">
        <x:v>Prototype</x:v>
      </x:c>
      <x:c r="D39" s="11" t="str">
        <x:v>Prototype</x:v>
      </x:c>
      <x:c r="E39" s="15" t="str">
        <x:v>P0</x:v>
      </x:c>
      <x:c r="F39" s="15" t="str">
        <x:v>ME1</x:v>
      </x:c>
      <x:c r="G39" s="15" t="str">
        <x:v>Adaptation</x:v>
      </x:c>
      <x:c r="H39" s="14" t="str">
        <x:v>Géométrie 3D devant ou derrière les personnages.</x:v>
      </x:c>
      <x:c r="I39" s="14" t="str">
        <x:v>Pas de personnage visible à travers un mur opaque.</x:v>
      </x:c>
      <x:c r="J39" s="14" t="str"/>
      <x:c r="K39" s="14" t="str">
        <x:v>src/</x:v>
      </x:c>
      <x:c r="L39" s="14" t="str">
        <x:v>src/main.js</x:v>
      </x:c>
      <x:c r="M39" s="14" t="str">
        <x:v>system:occlusion-sprites</x:v>
      </x:c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Fonction présente en version prototype. Les critères complets de cette ligne restent à vérifier ; aucune validation finale déclarée.</x:v>
      </x:c>
    </x:row>
    <x:row r="40" ht="49" customHeight="1">
      <x:c r="A40" s="12" t="str">
        <x:v>SYS-parametres-visuels</x:v>
      </x:c>
      <x:c r="B40" s="7" t="str">
        <x:v>Paramètres visuels</x:v>
      </x:c>
      <x:c r="C40" s="10" t="str">
        <x:v>Prototype</x:v>
      </x:c>
      <x:c r="D40" s="11" t="str">
        <x:v>Prototype</x:v>
      </x:c>
      <x:c r="E40" s="9" t="str">
        <x:v>P0</x:v>
      </x:c>
      <x:c r="F40" s="9" t="str">
        <x:v>ME1</x:v>
      </x:c>
      <x:c r="G40" s="9" t="str">
        <x:v>Adaptation</x:v>
      </x:c>
      <x:c r="H40" s="7" t="str">
        <x:v>Qualité, luminosité et intensité des effets.</x:v>
      </x:c>
      <x:c r="I40" s="7" t="str">
        <x:v>Réglages appliqués sans recharger une sauvegarde.</x:v>
      </x:c>
      <x:c r="J40" s="7" t="str"/>
      <x:c r="K40" s="7" t="str">
        <x:v>src/</x:v>
      </x:c>
      <x:c r="L40" s="7" t="str">
        <x:v>src/main.js</x:v>
      </x:c>
      <x:c r="M40" s="7" t="str">
        <x:v>system:parametres-visuels</x:v>
      </x:c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Fonction présente en version prototype. Les critères complets de cette ligne restent à vérifier ; aucune validation finale déclarée.</x:v>
      </x:c>
    </x:row>
    <x:row r="41" ht="36" customHeight="1">
      <x:c r="A41" s="13" t="str">
        <x:v>SYS-manette</x:v>
      </x:c>
      <x:c r="B41" s="14" t="str">
        <x:v>Manette</x:v>
      </x:c>
      <x:c r="C41" s="10" t="str">
        <x:v>Défini</x:v>
      </x:c>
      <x:c r="D41" s="11" t="str">
        <x:v>À produire</x:v>
      </x:c>
      <x:c r="E41" s="15" t="str">
        <x:v>P0</x:v>
      </x:c>
      <x:c r="F41" s="15" t="str">
        <x:v>ME1</x:v>
      </x:c>
      <x:c r="G41" s="15" t="str">
        <x:v>Adaptation</x:v>
      </x:c>
      <x:c r="H41" s="14" t="str">
        <x:v>Navigation et actions entièrement accessibles.</x:v>
      </x:c>
      <x:c r="I41" s="14" t="str">
        <x:v>Indicateurs de touches reflètent la commande active.</x:v>
      </x:c>
      <x:c r="J41" s="14" t="str"/>
      <x:c r="K41" s="14" t="str">
        <x:v>src/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/>
    </x:row>
    <x:row r="42" ht="49" customHeight="1">
      <x:c r="A42" s="12" t="str">
        <x:v>SYS-clavier</x:v>
      </x:c>
      <x:c r="B42" s="7" t="str">
        <x:v>Clavier</x:v>
      </x:c>
      <x:c r="C42" s="10" t="str">
        <x:v>Prototype</x:v>
      </x:c>
      <x:c r="D42" s="11" t="str">
        <x:v>Prototype</x:v>
      </x:c>
      <x:c r="E42" s="9" t="str">
        <x:v>P0</x:v>
      </x:c>
      <x:c r="F42" s="9" t="str">
        <x:v>ME1</x:v>
      </x:c>
      <x:c r="G42" s="9" t="str">
        <x:v>Adaptation</x:v>
      </x:c>
      <x:c r="H42" s="7" t="str">
        <x:v>Déplacement, menus et raccourcis remappables à terme.</x:v>
      </x:c>
      <x:c r="I42" s="7" t="str">
        <x:v>Aucun blocage dans les dialogues.</x:v>
      </x:c>
      <x:c r="J42" s="7" t="str"/>
      <x:c r="K42" s="7" t="str">
        <x:v>src/</x:v>
      </x:c>
      <x:c r="L42" s="7" t="str">
        <x:v>src/main.js</x:v>
      </x:c>
      <x:c r="M42" s="7" t="str">
        <x:v>system:clavier</x:v>
      </x:c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Fonction présente en version prototype. Les critères complets de cette ligne restent à vérifier ; aucune validation finale déclarée.</x:v>
      </x:c>
    </x:row>
    <x:row r="43" ht="49" customHeight="1">
      <x:c r="A43" s="13" t="str">
        <x:v>SYS-accessibilite</x:v>
      </x:c>
      <x:c r="B43" s="14" t="str">
        <x:v>Accessibilité</x:v>
      </x:c>
      <x:c r="C43" s="10" t="str">
        <x:v>Prototype</x:v>
      </x:c>
      <x:c r="D43" s="11" t="str">
        <x:v>Prototype</x:v>
      </x:c>
      <x:c r="E43" s="15" t="str">
        <x:v>P0</x:v>
      </x:c>
      <x:c r="F43" s="15" t="str">
        <x:v>ME1</x:v>
      </x:c>
      <x:c r="G43" s="15" t="str">
        <x:v>Adaptation</x:v>
      </x:c>
      <x:c r="H43" s="14" t="str">
        <x:v>Taille du texte, contraste et réduction des flashs.</x:v>
      </x:c>
      <x:c r="I43" s="14" t="str">
        <x:v>Menus et combat restent lisibles à 1080p.</x:v>
      </x:c>
      <x:c r="J43" s="14" t="str"/>
      <x:c r="K43" s="14" t="str">
        <x:v>src/</x:v>
      </x:c>
      <x:c r="L43" s="14" t="str">
        <x:v>src/main.js</x:v>
      </x:c>
      <x:c r="M43" s="14" t="str">
        <x:v>system:accessibilite</x:v>
      </x:c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Fonction présente en version prototype. Les critères complets de cette ligne restent à vérifier ; aucune validation finale déclarée.</x:v>
      </x:c>
    </x:row>
    <x:row r="44" ht="49" customHeight="1">
      <x:c r="A44" s="12" t="str">
        <x:v>SYS-export-de-campagne</x:v>
      </x:c>
      <x:c r="B44" s="7" t="str">
        <x:v>Export de campagne</x:v>
      </x:c>
      <x:c r="C44" s="10" t="str">
        <x:v>Prototype</x:v>
      </x:c>
      <x:c r="D44" s="11" t="str">
        <x:v>Prototype</x:v>
      </x:c>
      <x:c r="E44" s="9" t="str">
        <x:v>P0</x:v>
      </x:c>
      <x:c r="F44" s="9" t="str">
        <x:v>ME1</x:v>
      </x:c>
      <x:c r="G44" s="9" t="str">
        <x:v>Adaptation</x:v>
      </x:c>
      <x:c r="H44" s="7" t="str">
        <x:v>Drapeaux de fin pour une future suite.</x:v>
      </x:c>
      <x:c r="I44" s="7" t="str">
        <x:v>Schéma versionné, contenu ME2 non supposé existant.</x:v>
      </x:c>
      <x:c r="J44" s="7" t="str"/>
      <x:c r="K44" s="7" t="str">
        <x:v>src/</x:v>
      </x:c>
      <x:c r="L44" s="7" t="str">
        <x:v>src/main.js</x:v>
      </x:c>
      <x:c r="M44" s="7" t="str">
        <x:v>system:export-de-campagne</x:v>
      </x:c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Fonction présente en version prototype. Les critères complets de cette ligne restent à vérifier ; aucune validation finale déclarée.</x:v>
      </x:c>
    </x:row>
    <x:row r="45" ht="36" customHeight="1">
      <x:c r="A45" s="13" t="str">
        <x:v>SYS-mode-bureau</x:v>
      </x:c>
      <x:c r="B45" s="14" t="str">
        <x:v>Mode bureau</x:v>
      </x:c>
      <x:c r="C45" s="10" t="str">
        <x:v>Défini</x:v>
      </x:c>
      <x:c r="D45" s="11" t="str">
        <x:v>À produire</x:v>
      </x:c>
      <x:c r="E45" s="15" t="str">
        <x:v>P0</x:v>
      </x:c>
      <x:c r="F45" s="15" t="str">
        <x:v>ME1</x:v>
      </x:c>
      <x:c r="G45" s="15" t="str">
        <x:v>Adaptation</x:v>
      </x:c>
      <x:c r="H45" s="14" t="str">
        <x:v>Lancement local dans une fenêtre dédiée.</x:v>
      </x:c>
      <x:c r="I45" s="14" t="str">
        <x:v>Chemins de fichiers, sauvegarde et fermeture contrôlés.</x:v>
      </x:c>
      <x:c r="J45" s="14" t="str"/>
      <x:c r="K45" s="14" t="str">
        <x:v>src/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/>
    </x:row>
    <x:row r="46" ht="36" customHeight="1">
      <x:c r="A46" s="12" t="str">
        <x:v>SYS-credits-et-perimetre</x:v>
      </x:c>
      <x:c r="B46" s="7" t="str">
        <x:v>Crédits et périmètre</x:v>
      </x:c>
      <x:c r="C46" s="10" t="str">
        <x:v>Défini</x:v>
      </x:c>
      <x:c r="D46" s="11" t="str">
        <x:v>À produire</x:v>
      </x:c>
      <x:c r="E46" s="9" t="str">
        <x:v>P0</x:v>
      </x:c>
      <x:c r="F46" s="9" t="str">
        <x:v>ME1</x:v>
      </x:c>
      <x:c r="G46" s="9" t="str">
        <x:v>Adaptation</x:v>
      </x:c>
      <x:c r="H46" s="7" t="str">
        <x:v>Identification claire du fan game et des créations.</x:v>
      </x:c>
      <x:c r="I46" s="7" t="str">
        <x:v>Sources et contenu expérimental distingués.</x:v>
      </x:c>
      <x:c r="J46" s="7" t="str"/>
      <x:c r="K46" s="7" t="str">
        <x:v>src/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/>
    </x:row>
  </x:sheetData>
  <x:conditionalFormatting sqref="C7:C46">
    <x:cfRule type="cellIs" dxfId="115" priority="1" operator="equal">
      <x:formula>"Prototype"</x:formula>
    </x:cfRule>
    <x:cfRule type="cellIs" dxfId="116" priority="2" operator="equal">
      <x:formula>"Intégré"</x:formula>
    </x:cfRule>
    <x:cfRule type="cellIs" dxfId="117" priority="3" operator="equal">
      <x:formula>"Validé"</x:formula>
    </x:cfRule>
  </x:conditionalFormatting>
  <x:conditionalFormatting sqref="G7:G46">
    <x:cfRule type="cellIs" dxfId="118" priority="4" operator="equal">
      <x:formula>"Référence à vérifier"</x:formula>
    </x:cfRule>
  </x:conditionalFormatting>
  <x:conditionalFormatting sqref="E7:E46">
    <x:cfRule type="cellIs" dxfId="119" priority="5" operator="equal">
      <x:formula>"P0"</x:formula>
    </x:cfRule>
  </x:conditionalFormatting>
  <x:dataValidations count="5">
    <x:dataValidation type="list" sqref="C7:C46">
      <x:formula1>"Défini,Prototype,Intégré,Validé"</x:formula1>
    </x:dataValidation>
    <x:dataValidation type="list" sqref="D7:D46">
      <x:formula1>"À produire,Prototype,Disponible,Validé,Sans objet,Non planifié"</x:formula1>
    </x:dataValidation>
    <x:dataValidation type="list" sqref="E7:E46">
      <x:formula1>"P0,P1,P2"</x:formula1>
    </x:dataValidation>
    <x:dataValidation type="list" sqref="F7:F46">
      <x:formula1>"ME1,ME2,ME3"</x:formula1>
    </x:dataValidation>
    <x:dataValidation type="list" sqref="G7:G46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44fbc15e51469c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QA-nouvelle-partie-propre</x:v>
      </x:c>
      <x:c r="B7" s="14" t="str">
        <x:v>Nouvelle partie propre</x:v>
      </x:c>
      <x:c r="C7" s="10" t="str">
        <x:v>Défini</x:v>
      </x:c>
      <x:c r="D7" s="11" t="str">
        <x:v>Sans objet</x:v>
      </x:c>
      <x:c r="E7" s="15" t="str">
        <x:v>P0</x:v>
      </x:c>
      <x:c r="F7" s="15" t="str">
        <x:v>ME1</x:v>
      </x:c>
      <x:c r="G7" s="15" t="str">
        <x:v>Adaptation</x:v>
      </x:c>
      <x:c r="H7" s="14" t="str">
        <x:v>Démarrer après une ancienne sauvegarde.</x:v>
      </x:c>
      <x:c r="I7" s="14" t="str">
        <x:v>Profil, zone, inventaire et choix repartent de leur état initial.</x:v>
      </x:c>
      <x:c r="J7" s="14" t="str"/>
      <x:c r="K7" s="14" t="str">
        <x:v>tests/</x:v>
      </x:c>
      <x:c r="L7" s="14" t="str"/>
      <x:c r="M7" s="14" t="str"/>
      <x:c r="N7" s="14" t="str">
        <x:v>Décisions du fan game ; aucune prétention de canon officiel</x:v>
      </x:c>
      <x:c r="O7" s="14" t="str"/>
      <x:c r="P7" s="14" t="str">
        <x:v>Production ME1</x:v>
      </x:c>
      <x:c r="Q7" s="14" t="str">
        <x:v>Cas défini ; résultat non exécuté tant qu’aucune preuve de test n’est ajoutée.</x:v>
      </x:c>
    </x:row>
    <x:row r="8" ht="36" customHeight="1">
      <x:c r="A8" s="12" t="str">
        <x:v>QA-continuer-apres-rechargement</x:v>
      </x:c>
      <x:c r="B8" s="7" t="str">
        <x:v>Continuer après rechargement</x:v>
      </x:c>
      <x:c r="C8" s="10" t="str">
        <x:v>Défini</x:v>
      </x:c>
      <x:c r="D8" s="11" t="str">
        <x:v>Sans objet</x:v>
      </x:c>
      <x:c r="E8" s="9" t="str">
        <x:v>P0</x:v>
      </x:c>
      <x:c r="F8" s="9" t="str">
        <x:v>ME1</x:v>
      </x:c>
      <x:c r="G8" s="9" t="str">
        <x:v>Adaptation</x:v>
      </x:c>
      <x:c r="H8" s="7" t="str">
        <x:v>Reprendre la sauvegarde depuis le menu.</x:v>
      </x:c>
      <x:c r="I8" s="7" t="str">
        <x:v>Même équipe, mêmes objectifs et même position sûre.</x:v>
      </x:c>
      <x:c r="J8" s="7" t="str"/>
      <x:c r="K8" s="7" t="str">
        <x:v>tests/</x:v>
      </x:c>
      <x:c r="L8" s="7" t="str"/>
      <x:c r="M8" s="7" t="str"/>
      <x:c r="N8" s="7" t="str">
        <x:v>Décisions du fan game ; aucune prétention de canon officiel</x:v>
      </x:c>
      <x:c r="O8" s="7" t="str"/>
      <x:c r="P8" s="7" t="str">
        <x:v>Production ME1</x:v>
      </x:c>
      <x:c r="Q8" s="7" t="str">
        <x:v>Cas défini ; résultat non exécuté tant qu’aucune preuve de test n’est ajoutée.</x:v>
      </x:c>
    </x:row>
    <x:row r="9" ht="36" customHeight="1">
      <x:c r="A9" s="13" t="str">
        <x:v>QA-sauvegarde-corrompue</x:v>
      </x:c>
      <x:c r="B9" s="14" t="str">
        <x:v>Sauvegarde corrompue</x:v>
      </x:c>
      <x:c r="C9" s="10" t="str">
        <x:v>Défini</x:v>
      </x:c>
      <x:c r="D9" s="11" t="str">
        <x:v>Sans objet</x:v>
      </x:c>
      <x:c r="E9" s="15" t="str">
        <x:v>P0</x:v>
      </x:c>
      <x:c r="F9" s="15" t="str">
        <x:v>ME1</x:v>
      </x:c>
      <x:c r="G9" s="15" t="str">
        <x:v>Adaptation</x:v>
      </x:c>
      <x:c r="H9" s="14" t="str">
        <x:v>Charger une donnée invalide.</x:v>
      </x:c>
      <x:c r="I9" s="14" t="str">
        <x:v>Message clair et possibilité de nouvelle partie.</x:v>
      </x:c>
      <x:c r="J9" s="14" t="str"/>
      <x:c r="K9" s="14" t="str">
        <x:v>tests/</x:v>
      </x:c>
      <x:c r="L9" s="14" t="str"/>
      <x:c r="M9" s="14" t="str"/>
      <x:c r="N9" s="14" t="str">
        <x:v>Décisions du fan game ; aucune prétention de canon officiel</x:v>
      </x:c>
      <x:c r="O9" s="14" t="str"/>
      <x:c r="P9" s="14" t="str">
        <x:v>Production ME1</x:v>
      </x:c>
      <x:c r="Q9" s="14" t="str">
        <x:v>Cas défini ; résultat non exécuté tant qu’aucune preuve de test n’est ajoutée.</x:v>
      </x:c>
    </x:row>
    <x:row r="10" ht="36" customHeight="1">
      <x:c r="A10" s="12" t="str">
        <x:v>QA-migration-de-version</x:v>
      </x:c>
      <x:c r="B10" s="7" t="str">
        <x:v>Migration de version</x:v>
      </x:c>
      <x:c r="C10" s="10" t="str">
        <x:v>Défini</x:v>
      </x:c>
      <x:c r="D10" s="11" t="str">
        <x:v>Sans objet</x:v>
      </x:c>
      <x:c r="E10" s="9" t="str">
        <x:v>P0</x:v>
      </x:c>
      <x:c r="F10" s="9" t="str">
        <x:v>ME1</x:v>
      </x:c>
      <x:c r="G10" s="9" t="str">
        <x:v>Adaptation</x:v>
      </x:c>
      <x:c r="H10" s="7" t="str">
        <x:v>Charger un ancien schéma de sauvegarde.</x:v>
      </x:c>
      <x:c r="I10" s="7" t="str">
        <x:v>Conversion explicite ou refus sans écraser l’original.</x:v>
      </x:c>
      <x:c r="J10" s="7" t="str"/>
      <x:c r="K10" s="7" t="str">
        <x:v>tests/</x:v>
      </x:c>
      <x:c r="L10" s="7" t="str"/>
      <x:c r="M10" s="7" t="str"/>
      <x:c r="N10" s="7" t="str">
        <x:v>Décisions du fan game ; aucune prétention de canon officiel</x:v>
      </x:c>
      <x:c r="O10" s="7" t="str"/>
      <x:c r="P10" s="7" t="str">
        <x:v>Production ME1</x:v>
      </x:c>
      <x:c r="Q10" s="7" t="str">
        <x:v>Cas défini ; résultat non exécuté tant qu’aucune preuve de test n’est ajoutée.</x:v>
      </x:c>
    </x:row>
    <x:row r="11" ht="36" customHeight="1">
      <x:c r="A11" s="13" t="str">
        <x:v>QA-double-validation</x:v>
      </x:c>
      <x:c r="B11" s="14" t="str">
        <x:v>Double validation</x:v>
      </x:c>
      <x:c r="C11" s="10" t="str">
        <x:v>Défini</x:v>
      </x:c>
      <x:c r="D11" s="11" t="str">
        <x:v>Sans objet</x:v>
      </x:c>
      <x:c r="E11" s="15" t="str">
        <x:v>P0</x:v>
      </x:c>
      <x:c r="F11" s="15" t="str">
        <x:v>ME1</x:v>
      </x:c>
      <x:c r="G11" s="15" t="str">
        <x:v>Adaptation</x:v>
      </x:c>
      <x:c r="H11" s="14" t="str">
        <x:v>Appuyer rapidement deux fois sur une action.</x:v>
      </x:c>
      <x:c r="I11" s="14" t="str">
        <x:v>Une seule transaction ou progression.</x:v>
      </x:c>
      <x:c r="J11" s="14" t="str"/>
      <x:c r="K11" s="14" t="str">
        <x:v>tests/</x:v>
      </x:c>
      <x:c r="L11" s="14" t="str"/>
      <x:c r="M11" s="14" t="str"/>
      <x:c r="N11" s="14" t="str">
        <x:v>Décisions du fan game ; aucune prétention de canon officiel</x:v>
      </x:c>
      <x:c r="O11" s="14" t="str"/>
      <x:c r="P11" s="14" t="str">
        <x:v>Production ME1</x:v>
      </x:c>
      <x:c r="Q11" s="14" t="str">
        <x:v>Cas défini ; résultat non exécuté tant qu’aucune preuve de test n’est ajoutée.</x:v>
      </x:c>
    </x:row>
    <x:row r="12" ht="36" customHeight="1">
      <x:c r="A12" s="12" t="str">
        <x:v>QA-sortie-bidirectionnelle</x:v>
      </x:c>
      <x:c r="B12" s="7" t="str">
        <x:v>Sortie bidirectionnelle</x:v>
      </x:c>
      <x:c r="C12" s="10" t="str">
        <x:v>Défini</x:v>
      </x:c>
      <x:c r="D12" s="11" t="str">
        <x:v>Sans objet</x:v>
      </x:c>
      <x:c r="E12" s="9" t="str">
        <x:v>P0</x:v>
      </x:c>
      <x:c r="F12" s="9" t="str">
        <x:v>ME1</x:v>
      </x:c>
      <x:c r="G12" s="9" t="str">
        <x:v>Adaptation</x:v>
      </x:c>
      <x:c r="H12" s="7" t="str">
        <x:v>Traverser chaque liaison dans les deux sens.</x:v>
      </x:c>
      <x:c r="I12" s="7" t="str">
        <x:v>Entrée correcte, aucune boucle instantanée.</x:v>
      </x:c>
      <x:c r="J12" s="7" t="str"/>
      <x:c r="K12" s="7" t="str">
        <x:v>tests/</x:v>
      </x:c>
      <x:c r="L12" s="7" t="str"/>
      <x:c r="M12" s="7" t="str"/>
      <x:c r="N12" s="7" t="str">
        <x:v>Décisions du fan game ; aucune prétention de canon officiel</x:v>
      </x:c>
      <x:c r="O12" s="7" t="str"/>
      <x:c r="P12" s="7" t="str">
        <x:v>Production ME1</x:v>
      </x:c>
      <x:c r="Q12" s="7" t="str">
        <x:v>Cas défini ; résultat non exécuté tant qu’aucune preuve de test n’est ajoutée.</x:v>
      </x:c>
    </x:row>
    <x:row r="13" ht="36" customHeight="1">
      <x:c r="A13" s="13" t="str">
        <x:v>QA-camera-au-seuil</x:v>
      </x:c>
      <x:c r="B13" s="14" t="str">
        <x:v>Caméra au seuil</x:v>
      </x:c>
      <x:c r="C13" s="10" t="str">
        <x:v>Défini</x:v>
      </x:c>
      <x:c r="D13" s="11" t="str">
        <x:v>Sans objet</x:v>
      </x:c>
      <x:c r="E13" s="15" t="str">
        <x:v>P0</x:v>
      </x:c>
      <x:c r="F13" s="15" t="str">
        <x:v>ME1</x:v>
      </x:c>
      <x:c r="G13" s="15" t="str">
        <x:v>Adaptation</x:v>
      </x:c>
      <x:c r="H13" s="14" t="str">
        <x:v>S’arrêter sur une frontière de caméra.</x:v>
      </x:c>
      <x:c r="I13" s="14" t="str">
        <x:v>Pas d’oscillation de cadrage.</x:v>
      </x:c>
      <x:c r="J13" s="14" t="str"/>
      <x:c r="K13" s="14" t="str">
        <x:v>tests/</x:v>
      </x:c>
      <x:c r="L13" s="14" t="str"/>
      <x:c r="M13" s="14" t="str"/>
      <x:c r="N13" s="14" t="str">
        <x:v>Décisions du fan game ; aucune prétention de canon officiel</x:v>
      </x:c>
      <x:c r="O13" s="14" t="str"/>
      <x:c r="P13" s="14" t="str">
        <x:v>Production ME1</x:v>
      </x:c>
      <x:c r="Q13" s="14" t="str">
        <x:v>Cas défini ; résultat non exécuté tant qu’aucune preuve de test n’est ajoutée.</x:v>
      </x:c>
    </x:row>
    <x:row r="14" ht="36" customHeight="1">
      <x:c r="A14" s="12" t="str">
        <x:v>QA-mur-opaque</x:v>
      </x:c>
      <x:c r="B14" s="7" t="str">
        <x:v>Mur opaque</x:v>
      </x:c>
      <x:c r="C14" s="10" t="str">
        <x:v>Défini</x:v>
      </x:c>
      <x:c r="D14" s="11" t="str">
        <x:v>Sans objet</x:v>
      </x:c>
      <x:c r="E14" s="9" t="str">
        <x:v>P0</x:v>
      </x:c>
      <x:c r="F14" s="9" t="str">
        <x:v>ME1</x:v>
      </x:c>
      <x:c r="G14" s="9" t="str">
        <x:v>Adaptation</x:v>
      </x:c>
      <x:c r="H14" s="7" t="str">
        <x:v>Passer derrière une structure.</x:v>
      </x:c>
      <x:c r="I14" s="7" t="str">
        <x:v>Sprite correctement masqué.</x:v>
      </x:c>
      <x:c r="J14" s="7" t="str"/>
      <x:c r="K14" s="7" t="str">
        <x:v>tests/</x:v>
      </x:c>
      <x:c r="L14" s="7" t="str"/>
      <x:c r="M14" s="7" t="str"/>
      <x:c r="N14" s="7" t="str">
        <x:v>Décisions du fan game ; aucune prétention de canon officiel</x:v>
      </x:c>
      <x:c r="O14" s="7" t="str"/>
      <x:c r="P14" s="7" t="str">
        <x:v>Production ME1</x:v>
      </x:c>
      <x:c r="Q14" s="7" t="str">
        <x:v>Cas défini ; résultat non exécuté tant qu’aucune preuve de test n’est ajoutée.</x:v>
      </x:c>
    </x:row>
    <x:row r="15" ht="36" customHeight="1">
      <x:c r="A15" s="13" t="str">
        <x:v>QA-escalier</x:v>
      </x:c>
      <x:c r="B15" s="14" t="str">
        <x:v>Escalier</x:v>
      </x:c>
      <x:c r="C15" s="10" t="str">
        <x:v>Défini</x:v>
      </x:c>
      <x:c r="D15" s="11" t="str">
        <x:v>Sans objet</x:v>
      </x:c>
      <x:c r="E15" s="15" t="str">
        <x:v>P0</x:v>
      </x:c>
      <x:c r="F15" s="15" t="str">
        <x:v>ME1</x:v>
      </x:c>
      <x:c r="G15" s="15" t="str">
        <x:v>Adaptation</x:v>
      </x:c>
      <x:c r="H15" s="14" t="str">
        <x:v>Monter et descendre un changement de niveau.</x:v>
      </x:c>
      <x:c r="I15" s="14" t="str">
        <x:v>Pieds et ombre suivent le sol.</x:v>
      </x:c>
      <x:c r="J15" s="14" t="str"/>
      <x:c r="K15" s="14" t="str">
        <x:v>tests/</x:v>
      </x:c>
      <x:c r="L15" s="14" t="str"/>
      <x:c r="M15" s="14" t="str"/>
      <x:c r="N15" s="14" t="str">
        <x:v>Décisions du fan game ; aucune prétention de canon officiel</x:v>
      </x:c>
      <x:c r="O15" s="14" t="str"/>
      <x:c r="P15" s="14" t="str">
        <x:v>Production ME1</x:v>
      </x:c>
      <x:c r="Q15" s="14" t="str">
        <x:v>Cas défini ; résultat non exécuté tant qu’aucune preuve de test n’est ajoutée.</x:v>
      </x:c>
    </x:row>
    <x:row r="16" ht="36" customHeight="1">
      <x:c r="A16" s="12" t="str">
        <x:v>QA-grand-krogan</x:v>
      </x:c>
      <x:c r="B16" s="7" t="str">
        <x:v>Grand krogan</x:v>
      </x:c>
      <x:c r="C16" s="10" t="str">
        <x:v>Défini</x:v>
      </x:c>
      <x:c r="D16" s="11" t="str">
        <x:v>Sans objet</x:v>
      </x:c>
      <x:c r="E16" s="9" t="str">
        <x:v>P0</x:v>
      </x:c>
      <x:c r="F16" s="9" t="str">
        <x:v>ME1</x:v>
      </x:c>
      <x:c r="G16" s="9" t="str">
        <x:v>Adaptation</x:v>
      </x:c>
      <x:c r="H16" s="7" t="str">
        <x:v>Tester Wrex dans tous les passages prévus.</x:v>
      </x:c>
      <x:c r="I16" s="7" t="str">
        <x:v>Aucune découpe de tête ou collision incohérente.</x:v>
      </x:c>
      <x:c r="J16" s="7" t="str"/>
      <x:c r="K16" s="7" t="str">
        <x:v>tests/</x:v>
      </x:c>
      <x:c r="L16" s="7" t="str"/>
      <x:c r="M16" s="7" t="str"/>
      <x:c r="N16" s="7" t="str">
        <x:v>Décisions du fan game ; aucune prétention de canon officiel</x:v>
      </x:c>
      <x:c r="O16" s="7" t="str"/>
      <x:c r="P16" s="7" t="str">
        <x:v>Production ME1</x:v>
      </x:c>
      <x:c r="Q16" s="7" t="str">
        <x:v>Cas défini ; résultat non exécuté tant qu’aucune preuve de test n’est ajoutée.</x:v>
      </x:c>
    </x:row>
    <x:row r="17" ht="36" customHeight="1">
      <x:c r="A17" s="13" t="str">
        <x:v>QA-equipe-indisponible</x:v>
      </x:c>
      <x:c r="B17" s="14" t="str">
        <x:v>Équipe indisponible</x:v>
      </x:c>
      <x:c r="C17" s="10" t="str">
        <x:v>Défini</x:v>
      </x:c>
      <x:c r="D17" s="11" t="str">
        <x:v>Sans objet</x:v>
      </x:c>
      <x:c r="E17" s="15" t="str">
        <x:v>P0</x:v>
      </x:c>
      <x:c r="F17" s="15" t="str">
        <x:v>ME1</x:v>
      </x:c>
      <x:c r="G17" s="15" t="str">
        <x:v>Adaptation</x:v>
      </x:c>
      <x:c r="H17" s="14" t="str">
        <x:v>Tenter de sélectionner un personnage absent.</x:v>
      </x:c>
      <x:c r="I17" s="14" t="str">
        <x:v>Refus lisible et aucun membre fantôme.</x:v>
      </x:c>
      <x:c r="J17" s="14" t="str"/>
      <x:c r="K17" s="14" t="str">
        <x:v>tests/</x:v>
      </x:c>
      <x:c r="L17" s="14" t="str"/>
      <x:c r="M17" s="14" t="str"/>
      <x:c r="N17" s="14" t="str">
        <x:v>Décisions du fan game ; aucune prétention de canon officiel</x:v>
      </x:c>
      <x:c r="O17" s="14" t="str"/>
      <x:c r="P17" s="14" t="str">
        <x:v>Production ME1</x:v>
      </x:c>
      <x:c r="Q17" s="14" t="str">
        <x:v>Cas défini ; résultat non exécuté tant qu’aucune preuve de test n’est ajoutée.</x:v>
      </x:c>
    </x:row>
    <x:row r="18" ht="36" customHeight="1">
      <x:c r="A18" s="12" t="str">
        <x:v>QA-recrutement-double</x:v>
      </x:c>
      <x:c r="B18" s="7" t="str">
        <x:v>Recrutement doublé</x:v>
      </x:c>
      <x:c r="C18" s="10" t="str">
        <x:v>Défini</x:v>
      </x:c>
      <x:c r="D18" s="11" t="str">
        <x:v>Sans objet</x:v>
      </x:c>
      <x:c r="E18" s="9" t="str">
        <x:v>P0</x:v>
      </x:c>
      <x:c r="F18" s="9" t="str">
        <x:v>ME1</x:v>
      </x:c>
      <x:c r="G18" s="9" t="str">
        <x:v>Adaptation</x:v>
      </x:c>
      <x:c r="H18" s="7" t="str">
        <x:v>Reparler à un personnage déjà recruté.</x:v>
      </x:c>
      <x:c r="I18" s="7" t="str">
        <x:v>Pas de deuxième instance ni de récompense répétée.</x:v>
      </x:c>
      <x:c r="J18" s="7" t="str"/>
      <x:c r="K18" s="7" t="str">
        <x:v>tests/</x:v>
      </x:c>
      <x:c r="L18" s="7" t="str"/>
      <x:c r="M18" s="7" t="str"/>
      <x:c r="N18" s="7" t="str">
        <x:v>Décisions du fan game ; aucune prétention de canon officiel</x:v>
      </x:c>
      <x:c r="O18" s="7" t="str"/>
      <x:c r="P18" s="7" t="str">
        <x:v>Production ME1</x:v>
      </x:c>
      <x:c r="Q18" s="7" t="str">
        <x:v>Cas défini ; résultat non exécuté tant qu’aucune preuve de test n’est ajoutée.</x:v>
      </x:c>
    </x:row>
    <x:row r="19" ht="36" customHeight="1">
      <x:c r="A19" s="13" t="str">
        <x:v>QA-perte-virmire</x:v>
      </x:c>
      <x:c r="B19" s="14" t="str">
        <x:v>Perte Virmire</x:v>
      </x:c>
      <x:c r="C19" s="10" t="str">
        <x:v>Défini</x:v>
      </x:c>
      <x:c r="D19" s="11" t="str">
        <x:v>Sans objet</x:v>
      </x:c>
      <x:c r="E19" s="15" t="str">
        <x:v>P0</x:v>
      </x:c>
      <x:c r="F19" s="15" t="str">
        <x:v>ME1</x:v>
      </x:c>
      <x:c r="G19" s="15" t="str">
        <x:v>Adaptation</x:v>
      </x:c>
      <x:c r="H19" s="14" t="str">
        <x:v>Reprendre plusieurs zones après le choix.</x:v>
      </x:c>
      <x:c r="I19" s="14" t="str">
        <x:v>Le personnage perdu n’apparaît plus dans les scènes.</x:v>
      </x:c>
      <x:c r="J19" s="14" t="str"/>
      <x:c r="K19" s="14" t="str">
        <x:v>tests/</x:v>
      </x:c>
      <x:c r="L19" s="14" t="str"/>
      <x:c r="M19" s="14" t="str"/>
      <x:c r="N19" s="14" t="str">
        <x:v>Décisions du fan game ; aucune prétention de canon officiel</x:v>
      </x:c>
      <x:c r="O19" s="14" t="str"/>
      <x:c r="P19" s="14" t="str">
        <x:v>Production ME1</x:v>
      </x:c>
      <x:c r="Q19" s="14" t="str">
        <x:v>Cas défini ; résultat non exécuté tant qu’aucune preuve de test n’est ajoutée.</x:v>
      </x:c>
    </x:row>
    <x:row r="20" ht="36" customHeight="1">
      <x:c r="A20" s="12" t="str">
        <x:v>QA-mort-narrative-et-soins</x:v>
      </x:c>
      <x:c r="B20" s="7" t="str">
        <x:v>Mort narrative et soins</x:v>
      </x:c>
      <x:c r="C20" s="10" t="str">
        <x:v>Défini</x:v>
      </x:c>
      <x:c r="D20" s="11" t="str">
        <x:v>Sans objet</x:v>
      </x:c>
      <x:c r="E20" s="9" t="str">
        <x:v>P0</x:v>
      </x:c>
      <x:c r="F20" s="9" t="str">
        <x:v>ME1</x:v>
      </x:c>
      <x:c r="G20" s="9" t="str">
        <x:v>Adaptation</x:v>
      </x:c>
      <x:c r="H20" s="7" t="str">
        <x:v>Utiliser tous les soins après une perte du récit.</x:v>
      </x:c>
      <x:c r="I20" s="7" t="str">
        <x:v>La perte reste définitive.</x:v>
      </x:c>
      <x:c r="J20" s="7" t="str"/>
      <x:c r="K20" s="7" t="str">
        <x:v>tests/</x:v>
      </x:c>
      <x:c r="L20" s="7" t="str"/>
      <x:c r="M20" s="7" t="str"/>
      <x:c r="N20" s="7" t="str">
        <x:v>Décisions du fan game ; aucune prétention de canon officiel</x:v>
      </x:c>
      <x:c r="O20" s="7" t="str"/>
      <x:c r="P20" s="7" t="str">
        <x:v>Production ME1</x:v>
      </x:c>
      <x:c r="Q20" s="7" t="str">
        <x:v>Cas défini ; résultat non exécuté tant qu’aucune preuve de test n’est ajoutée.</x:v>
      </x:c>
    </x:row>
    <x:row r="21" ht="36" customHeight="1">
      <x:c r="A21" s="13" t="str">
        <x:v>QA-stase-et-degats</x:v>
      </x:c>
      <x:c r="B21" s="14" t="str">
        <x:v>Stase et dégâts</x:v>
      </x:c>
      <x:c r="C21" s="10" t="str">
        <x:v>Défini</x:v>
      </x:c>
      <x:c r="D21" s="11" t="str">
        <x:v>Sans objet</x:v>
      </x:c>
      <x:c r="E21" s="15" t="str">
        <x:v>P0</x:v>
      </x:c>
      <x:c r="F21" s="15" t="str">
        <x:v>ME1</x:v>
      </x:c>
      <x:c r="G21" s="15" t="str">
        <x:v>Adaptation</x:v>
      </x:c>
      <x:c r="H21" s="14" t="str">
        <x:v>Attaquer une cible sous Stase de base ME1.</x:v>
      </x:c>
      <x:c r="I21" s="14" t="str">
        <x:v>Protection prévue appliquée et expliquée.</x:v>
      </x:c>
      <x:c r="J21" s="14" t="str"/>
      <x:c r="K21" s="14" t="str">
        <x:v>tests/</x:v>
      </x:c>
      <x:c r="L21" s="14" t="str"/>
      <x:c r="M21" s="14" t="str"/>
      <x:c r="N21" s="14" t="str">
        <x:v>Décisions du fan game ; aucune prétention de canon officiel</x:v>
      </x:c>
      <x:c r="O21" s="14" t="str"/>
      <x:c r="P21" s="14" t="str">
        <x:v>Production ME1</x:v>
      </x:c>
      <x:c r="Q21" s="14" t="str">
        <x:v>Cas défini ; résultat non exécuté tant qu’aucune preuve de test n’est ajoutée.</x:v>
      </x:c>
    </x:row>
    <x:row r="22" ht="36" customHeight="1">
      <x:c r="A22" s="12" t="str">
        <x:v>QA-piratage-organique</x:v>
      </x:c>
      <x:c r="B22" s="7" t="str">
        <x:v>Piratage organique</x:v>
      </x:c>
      <x:c r="C22" s="10" t="str">
        <x:v>Défini</x:v>
      </x:c>
      <x:c r="D22" s="11" t="str">
        <x:v>Sans objet</x:v>
      </x:c>
      <x:c r="E22" s="9" t="str">
        <x:v>P0</x:v>
      </x:c>
      <x:c r="F22" s="9" t="str">
        <x:v>ME1</x:v>
      </x:c>
      <x:c r="G22" s="9" t="str">
        <x:v>Adaptation</x:v>
      </x:c>
      <x:c r="H22" s="7" t="str">
        <x:v>Cibler un humain avec le piratage d’IA.</x:v>
      </x:c>
      <x:c r="I22" s="7" t="str">
        <x:v>Action impossible sans dépense.</x:v>
      </x:c>
      <x:c r="J22" s="7" t="str"/>
      <x:c r="K22" s="7" t="str">
        <x:v>tests/</x:v>
      </x:c>
      <x:c r="L22" s="7" t="str"/>
      <x:c r="M22" s="7" t="str"/>
      <x:c r="N22" s="7" t="str">
        <x:v>Décisions du fan game ; aucune prétention de canon officiel</x:v>
      </x:c>
      <x:c r="O22" s="7" t="str"/>
      <x:c r="P22" s="7" t="str">
        <x:v>Production ME1</x:v>
      </x:c>
      <x:c r="Q22" s="7" t="str">
        <x:v>Cas défini ; résultat non exécuté tant qu’aucune preuve de test n’est ajoutée.</x:v>
      </x:c>
    </x:row>
    <x:row r="23" ht="36" customHeight="1">
      <x:c r="A23" s="13" t="str">
        <x:v>QA-biotique-non-eligible</x:v>
      </x:c>
      <x:c r="B23" s="14" t="str">
        <x:v>Biotique non éligible</x:v>
      </x:c>
      <x:c r="C23" s="10" t="str">
        <x:v>Défini</x:v>
      </x:c>
      <x:c r="D23" s="11" t="str">
        <x:v>Sans objet</x:v>
      </x:c>
      <x:c r="E23" s="15" t="str">
        <x:v>P0</x:v>
      </x:c>
      <x:c r="F23" s="15" t="str">
        <x:v>ME1</x:v>
      </x:c>
      <x:c r="G23" s="15" t="str">
        <x:v>Adaptation</x:v>
      </x:c>
      <x:c r="H23" s="14" t="str">
        <x:v>Équiper un module à un soldat.</x:v>
      </x:c>
      <x:c r="I23" s="14" t="str">
        <x:v>Aucun pouvoir biotique ajouté.</x:v>
      </x:c>
      <x:c r="J23" s="14" t="str"/>
      <x:c r="K23" s="14" t="str">
        <x:v>tests/</x:v>
      </x:c>
      <x:c r="L23" s="14" t="str"/>
      <x:c r="M23" s="14" t="str"/>
      <x:c r="N23" s="14" t="str">
        <x:v>Décisions du fan game ; aucune prétention de canon officiel</x:v>
      </x:c>
      <x:c r="O23" s="14" t="str"/>
      <x:c r="P23" s="14" t="str">
        <x:v>Production ME1</x:v>
      </x:c>
      <x:c r="Q23" s="14" t="str">
        <x:v>Cas défini ; résultat non exécuté tant qu’aucune preuve de test n’est ajoutée.</x:v>
      </x:c>
    </x:row>
    <x:row r="24" ht="36" customHeight="1">
      <x:c r="A24" s="12" t="str">
        <x:v>QA-surchauffe-maximum</x:v>
      </x:c>
      <x:c r="B24" s="7" t="str">
        <x:v>Surchauffe maximum</x:v>
      </x:c>
      <x:c r="C24" s="10" t="str">
        <x:v>Défini</x:v>
      </x:c>
      <x:c r="D24" s="11" t="str">
        <x:v>Sans objet</x:v>
      </x:c>
      <x:c r="E24" s="9" t="str">
        <x:v>P0</x:v>
      </x:c>
      <x:c r="F24" s="9" t="str">
        <x:v>ME1</x:v>
      </x:c>
      <x:c r="G24" s="9" t="str">
        <x:v>Adaptation</x:v>
      </x:c>
      <x:c r="H24" s="7" t="str">
        <x:v>Enchaîner les tirs jusqu’au seuil.</x:v>
      </x:c>
      <x:c r="I24" s="7" t="str">
        <x:v>Blocage temporaire puis refroidissement correct.</x:v>
      </x:c>
      <x:c r="J24" s="7" t="str"/>
      <x:c r="K24" s="7" t="str">
        <x:v>tests/</x:v>
      </x:c>
      <x:c r="L24" s="7" t="str"/>
      <x:c r="M24" s="7" t="str"/>
      <x:c r="N24" s="7" t="str">
        <x:v>Décisions du fan game ; aucune prétention de canon officiel</x:v>
      </x:c>
      <x:c r="O24" s="7" t="str"/>
      <x:c r="P24" s="7" t="str">
        <x:v>Production ME1</x:v>
      </x:c>
      <x:c r="Q24" s="7" t="str">
        <x:v>Cas défini ; résultat non exécuté tant qu’aucune preuve de test n’est ajoutée.</x:v>
      </x:c>
    </x:row>
    <x:row r="25" ht="36" customHeight="1">
      <x:c r="A25" s="13" t="str">
        <x:v>QA-refroidissement-attente</x:v>
      </x:c>
      <x:c r="B25" s="14" t="str">
        <x:v>Refroidissement attente</x:v>
      </x:c>
      <x:c r="C25" s="10" t="str">
        <x:v>Défini</x:v>
      </x:c>
      <x:c r="D25" s="11" t="str">
        <x:v>Sans objet</x:v>
      </x:c>
      <x:c r="E25" s="15" t="str">
        <x:v>P0</x:v>
      </x:c>
      <x:c r="F25" s="15" t="str">
        <x:v>ME1</x:v>
      </x:c>
      <x:c r="G25" s="15" t="str">
        <x:v>Adaptation</x:v>
      </x:c>
      <x:c r="H25" s="14" t="str">
        <x:v>Comparer ATB actif et attente.</x:v>
      </x:c>
      <x:c r="I25" s="14" t="str">
        <x:v>Pas d’avantage caché par menus non prévus.</x:v>
      </x:c>
      <x:c r="J25" s="14" t="str"/>
      <x:c r="K25" s="14" t="str">
        <x:v>tests/</x:v>
      </x:c>
      <x:c r="L25" s="14" t="str"/>
      <x:c r="M25" s="14" t="str"/>
      <x:c r="N25" s="14" t="str">
        <x:v>Décisions du fan game ; aucune prétention de canon officiel</x:v>
      </x:c>
      <x:c r="O25" s="14" t="str"/>
      <x:c r="P25" s="14" t="str">
        <x:v>Production ME1</x:v>
      </x:c>
      <x:c r="Q25" s="14" t="str">
        <x:v>Cas défini ; résultat non exécuté tant qu’aucune preuve de test n’est ajoutée.</x:v>
      </x:c>
    </x:row>
    <x:row r="26" ht="36" customHeight="1">
      <x:c r="A26" s="12" t="str">
        <x:v>QA-cible-ko-avant-resolution</x:v>
      </x:c>
      <x:c r="B26" s="7" t="str">
        <x:v>Cible KO avant résolution</x:v>
      </x:c>
      <x:c r="C26" s="10" t="str">
        <x:v>Défini</x:v>
      </x:c>
      <x:c r="D26" s="11" t="str">
        <x:v>Sans objet</x:v>
      </x:c>
      <x:c r="E26" s="9" t="str">
        <x:v>P0</x:v>
      </x:c>
      <x:c r="F26" s="9" t="str">
        <x:v>ME1</x:v>
      </x:c>
      <x:c r="G26" s="9" t="str">
        <x:v>Adaptation</x:v>
      </x:c>
      <x:c r="H26" s="7" t="str">
        <x:v>Une action alliée élimine la cible d’une autre.</x:v>
      </x:c>
      <x:c r="I26" s="7" t="str">
        <x:v>Seconde action annulée ou reciblée selon règle annoncée.</x:v>
      </x:c>
      <x:c r="J26" s="7" t="str"/>
      <x:c r="K26" s="7" t="str">
        <x:v>tests/</x:v>
      </x:c>
      <x:c r="L26" s="7" t="str"/>
      <x:c r="M26" s="7" t="str"/>
      <x:c r="N26" s="7" t="str">
        <x:v>Décisions du fan game ; aucune prétention de canon officiel</x:v>
      </x:c>
      <x:c r="O26" s="7" t="str"/>
      <x:c r="P26" s="7" t="str">
        <x:v>Production ME1</x:v>
      </x:c>
      <x:c r="Q26" s="7" t="str">
        <x:v>Cas défini ; résultat non exécuté tant qu’aucune preuve de test n’est ajoutée.</x:v>
      </x:c>
    </x:row>
    <x:row r="27" ht="36" customHeight="1">
      <x:c r="A27" s="13" t="str">
        <x:v>QA-equipier-ko-en-file</x:v>
      </x:c>
      <x:c r="B27" s="14" t="str">
        <x:v>Équipier KO en file</x:v>
      </x:c>
      <x:c r="C27" s="10" t="str">
        <x:v>Défini</x:v>
      </x:c>
      <x:c r="D27" s="11" t="str">
        <x:v>Sans objet</x:v>
      </x:c>
      <x:c r="E27" s="15" t="str">
        <x:v>P0</x:v>
      </x:c>
      <x:c r="F27" s="15" t="str">
        <x:v>ME1</x:v>
      </x:c>
      <x:c r="G27" s="15" t="str">
        <x:v>Adaptation</x:v>
      </x:c>
      <x:c r="H27" s="14" t="str">
        <x:v>Un membre tombe avant son action.</x:v>
      </x:c>
      <x:c r="I27" s="14" t="str">
        <x:v>Aucune attaque exécutée par un personnage KO.</x:v>
      </x:c>
      <x:c r="J27" s="14" t="str"/>
      <x:c r="K27" s="14" t="str">
        <x:v>tests/</x:v>
      </x:c>
      <x:c r="L27" s="14" t="str"/>
      <x:c r="M27" s="14" t="str"/>
      <x:c r="N27" s="14" t="str">
        <x:v>Décisions du fan game ; aucune prétention de canon officiel</x:v>
      </x:c>
      <x:c r="O27" s="14" t="str"/>
      <x:c r="P27" s="14" t="str">
        <x:v>Production ME1</x:v>
      </x:c>
      <x:c r="Q27" s="14" t="str">
        <x:v>Cas défini ; résultat non exécuté tant qu’aucune preuve de test n’est ajoutée.</x:v>
      </x:c>
    </x:row>
    <x:row r="28" ht="36" customHeight="1">
      <x:c r="A28" s="12" t="str">
        <x:v>QA-victoire-unique</x:v>
      </x:c>
      <x:c r="B28" s="7" t="str">
        <x:v>Victoire unique</x:v>
      </x:c>
      <x:c r="C28" s="10" t="str">
        <x:v>Défini</x:v>
      </x:c>
      <x:c r="D28" s="11" t="str">
        <x:v>Sans objet</x:v>
      </x:c>
      <x:c r="E28" s="9" t="str">
        <x:v>P0</x:v>
      </x:c>
      <x:c r="F28" s="9" t="str">
        <x:v>ME1</x:v>
      </x:c>
      <x:c r="G28" s="9" t="str">
        <x:v>Adaptation</x:v>
      </x:c>
      <x:c r="H28" s="7" t="str">
        <x:v>Dernier ennemi éliminé par deux effets simultanés.</x:v>
      </x:c>
      <x:c r="I28" s="7" t="str">
        <x:v>XP et butin distribués une seule fois.</x:v>
      </x:c>
      <x:c r="J28" s="7" t="str"/>
      <x:c r="K28" s="7" t="str">
        <x:v>tests/</x:v>
      </x:c>
      <x:c r="L28" s="7" t="str"/>
      <x:c r="M28" s="7" t="str"/>
      <x:c r="N28" s="7" t="str">
        <x:v>Décisions du fan game ; aucune prétention de canon officiel</x:v>
      </x:c>
      <x:c r="O28" s="7" t="str"/>
      <x:c r="P28" s="7" t="str">
        <x:v>Production ME1</x:v>
      </x:c>
      <x:c r="Q28" s="7" t="str">
        <x:v>Cas défini ; résultat non exécuté tant qu’aucune preuve de test n’est ajoutée.</x:v>
      </x:c>
    </x:row>
    <x:row r="29" ht="36" customHeight="1">
      <x:c r="A29" s="13" t="str">
        <x:v>QA-defaite-complete</x:v>
      </x:c>
      <x:c r="B29" s="14" t="str">
        <x:v>Défaite complète</x:v>
      </x:c>
      <x:c r="C29" s="10" t="str">
        <x:v>Défini</x:v>
      </x:c>
      <x:c r="D29" s="11" t="str">
        <x:v>Sans objet</x:v>
      </x:c>
      <x:c r="E29" s="15" t="str">
        <x:v>P0</x:v>
      </x:c>
      <x:c r="F29" s="15" t="str">
        <x:v>ME1</x:v>
      </x:c>
      <x:c r="G29" s="15" t="str">
        <x:v>Adaptation</x:v>
      </x:c>
      <x:c r="H29" s="14" t="str">
        <x:v>Les trois alliés tombent.</x:v>
      </x:c>
      <x:c r="I29" s="14" t="str">
        <x:v>Écran de reprise atteint sans blocage.</x:v>
      </x:c>
      <x:c r="J29" s="14" t="str"/>
      <x:c r="K29" s="14" t="str">
        <x:v>tests/</x:v>
      </x:c>
      <x:c r="L29" s="14" t="str"/>
      <x:c r="M29" s="14" t="str"/>
      <x:c r="N29" s="14" t="str">
        <x:v>Décisions du fan game ; aucune prétention de canon officiel</x:v>
      </x:c>
      <x:c r="O29" s="14" t="str"/>
      <x:c r="P29" s="14" t="str">
        <x:v>Production ME1</x:v>
      </x:c>
      <x:c r="Q29" s="14" t="str">
        <x:v>Cas défini ; résultat non exécuté tant qu’aucune preuve de test n’est ajoutée.</x:v>
      </x:c>
    </x:row>
    <x:row r="30" ht="36" customHeight="1">
      <x:c r="A30" s="12" t="str">
        <x:v>QA-fuite-et-reentree</x:v>
      </x:c>
      <x:c r="B30" s="7" t="str">
        <x:v>Fuite et réentrée</x:v>
      </x:c>
      <x:c r="C30" s="10" t="str">
        <x:v>Défini</x:v>
      </x:c>
      <x:c r="D30" s="11" t="str">
        <x:v>Sans objet</x:v>
      </x:c>
      <x:c r="E30" s="9" t="str">
        <x:v>P0</x:v>
      </x:c>
      <x:c r="F30" s="9" t="str">
        <x:v>ME1</x:v>
      </x:c>
      <x:c r="G30" s="9" t="str">
        <x:v>Adaptation</x:v>
      </x:c>
      <x:c r="H30" s="7" t="str">
        <x:v>Fuir puis revenir près de l’ennemi.</x:v>
      </x:c>
      <x:c r="I30" s="7" t="str">
        <x:v>Délai et position évitent une boucle de combat.</x:v>
      </x:c>
      <x:c r="J30" s="7" t="str"/>
      <x:c r="K30" s="7" t="str">
        <x:v>tests/</x:v>
      </x:c>
      <x:c r="L30" s="7" t="str"/>
      <x:c r="M30" s="7" t="str"/>
      <x:c r="N30" s="7" t="str">
        <x:v>Décisions du fan game ; aucune prétention de canon officiel</x:v>
      </x:c>
      <x:c r="O30" s="7" t="str"/>
      <x:c r="P30" s="7" t="str">
        <x:v>Production ME1</x:v>
      </x:c>
      <x:c r="Q30" s="7" t="str">
        <x:v>Cas défini ; résultat non exécuté tant qu’aucune preuve de test n’est ajoutée.</x:v>
      </x:c>
    </x:row>
    <x:row r="31" ht="36" customHeight="1">
      <x:c r="A31" s="13" t="str">
        <x:v>QA-dialogue-sans-souris</x:v>
      </x:c>
      <x:c r="B31" s="14" t="str">
        <x:v>Dialogue sans souris</x:v>
      </x:c>
      <x:c r="C31" s="10" t="str">
        <x:v>Défini</x:v>
      </x:c>
      <x:c r="D31" s="11" t="str">
        <x:v>Sans objet</x:v>
      </x:c>
      <x:c r="E31" s="15" t="str">
        <x:v>P0</x:v>
      </x:c>
      <x:c r="F31" s="15" t="str">
        <x:v>ME1</x:v>
      </x:c>
      <x:c r="G31" s="15" t="str">
        <x:v>Adaptation</x:v>
      </x:c>
      <x:c r="H31" s="14" t="str">
        <x:v>Parcourir tous les choix au clavier et à la manette.</x:v>
      </x:c>
      <x:c r="I31" s="14" t="str">
        <x:v>Focus visible et sortie possible.</x:v>
      </x:c>
      <x:c r="J31" s="14" t="str"/>
      <x:c r="K31" s="14" t="str">
        <x:v>tests/</x:v>
      </x:c>
      <x:c r="L31" s="14" t="str"/>
      <x:c r="M31" s="14" t="str"/>
      <x:c r="N31" s="14" t="str">
        <x:v>Décisions du fan game ; aucune prétention de canon officiel</x:v>
      </x:c>
      <x:c r="O31" s="14" t="str"/>
      <x:c r="P31" s="14" t="str">
        <x:v>Production ME1</x:v>
      </x:c>
      <x:c r="Q31" s="14" t="str">
        <x:v>Cas défini ; résultat non exécuté tant qu’aucune preuve de test n’est ajoutée.</x:v>
      </x:c>
    </x:row>
    <x:row r="32" ht="36" customHeight="1">
      <x:c r="A32" s="12" t="str">
        <x:v>QA-dialogue-conditionnel</x:v>
      </x:c>
      <x:c r="B32" s="7" t="str">
        <x:v>Dialogue conditionnel</x:v>
      </x:c>
      <x:c r="C32" s="10" t="str">
        <x:v>Défini</x:v>
      </x:c>
      <x:c r="D32" s="11" t="str">
        <x:v>Sans objet</x:v>
      </x:c>
      <x:c r="E32" s="9" t="str">
        <x:v>P0</x:v>
      </x:c>
      <x:c r="F32" s="9" t="str">
        <x:v>ME1</x:v>
      </x:c>
      <x:c r="G32" s="9" t="str">
        <x:v>Adaptation</x:v>
      </x:c>
      <x:c r="H32" s="7" t="str">
        <x:v>Tester les seuils de persuasion.</x:v>
      </x:c>
      <x:c r="I32" s="7" t="str">
        <x:v>Options actives uniquement quand prérequis remplis.</x:v>
      </x:c>
      <x:c r="J32" s="7" t="str"/>
      <x:c r="K32" s="7" t="str">
        <x:v>tests/</x:v>
      </x:c>
      <x:c r="L32" s="7" t="str"/>
      <x:c r="M32" s="7" t="str"/>
      <x:c r="N32" s="7" t="str">
        <x:v>Décisions du fan game ; aucune prétention de canon officiel</x:v>
      </x:c>
      <x:c r="O32" s="7" t="str"/>
      <x:c r="P32" s="7" t="str">
        <x:v>Production ME1</x:v>
      </x:c>
      <x:c r="Q32" s="7" t="str">
        <x:v>Cas défini ; résultat non exécuté tant qu’aucune preuve de test n’est ajoutée.</x:v>
      </x:c>
    </x:row>
    <x:row r="33" ht="36" customHeight="1">
      <x:c r="A33" s="13" t="str">
        <x:v>QA-economie-negative</x:v>
      </x:c>
      <x:c r="B33" s="14" t="str">
        <x:v>Économie négative</x:v>
      </x:c>
      <x:c r="C33" s="10" t="str">
        <x:v>Défini</x:v>
      </x:c>
      <x:c r="D33" s="11" t="str">
        <x:v>Sans objet</x:v>
      </x:c>
      <x:c r="E33" s="15" t="str">
        <x:v>P0</x:v>
      </x:c>
      <x:c r="F33" s="15" t="str">
        <x:v>ME1</x:v>
      </x:c>
      <x:c r="G33" s="15" t="str">
        <x:v>Adaptation</x:v>
      </x:c>
      <x:c r="H33" s="14" t="str">
        <x:v>Acheter sans assez de crédits.</x:v>
      </x:c>
      <x:c r="I33" s="14" t="str">
        <x:v>Aucune transaction, aucune quantité négative.</x:v>
      </x:c>
      <x:c r="J33" s="14" t="str"/>
      <x:c r="K33" s="14" t="str">
        <x:v>tests/</x:v>
      </x:c>
      <x:c r="L33" s="14" t="str"/>
      <x:c r="M33" s="14" t="str"/>
      <x:c r="N33" s="14" t="str">
        <x:v>Décisions du fan game ; aucune prétention de canon officiel</x:v>
      </x:c>
      <x:c r="O33" s="14" t="str"/>
      <x:c r="P33" s="14" t="str">
        <x:v>Production ME1</x:v>
      </x:c>
      <x:c r="Q33" s="14" t="str">
        <x:v>Cas défini ; résultat non exécuté tant qu’aucune preuve de test n’est ajoutée.</x:v>
      </x:c>
    </x:row>
    <x:row r="34" ht="36" customHeight="1">
      <x:c r="A34" s="12" t="str">
        <x:v>QA-equipement-incompatible</x:v>
      </x:c>
      <x:c r="B34" s="7" t="str">
        <x:v>Équipement incompatible</x:v>
      </x:c>
      <x:c r="C34" s="10" t="str">
        <x:v>Défini</x:v>
      </x:c>
      <x:c r="D34" s="11" t="str">
        <x:v>Sans objet</x:v>
      </x:c>
      <x:c r="E34" s="9" t="str">
        <x:v>P0</x:v>
      </x:c>
      <x:c r="F34" s="9" t="str">
        <x:v>ME1</x:v>
      </x:c>
      <x:c r="G34" s="9" t="str">
        <x:v>Adaptation</x:v>
      </x:c>
      <x:c r="H34" s="7" t="str">
        <x:v>Équiper une armure d’une autre espèce.</x:v>
      </x:c>
      <x:c r="I34" s="7" t="str">
        <x:v>Refus avant modification de statistiques.</x:v>
      </x:c>
      <x:c r="J34" s="7" t="str"/>
      <x:c r="K34" s="7" t="str">
        <x:v>tests/</x:v>
      </x:c>
      <x:c r="L34" s="7" t="str"/>
      <x:c r="M34" s="7" t="str"/>
      <x:c r="N34" s="7" t="str">
        <x:v>Décisions du fan game ; aucune prétention de canon officiel</x:v>
      </x:c>
      <x:c r="O34" s="7" t="str"/>
      <x:c r="P34" s="7" t="str">
        <x:v>Production ME1</x:v>
      </x:c>
      <x:c r="Q34" s="7" t="str">
        <x:v>Cas défini ; résultat non exécuté tant qu’aucune preuve de test n’est ajoutée.</x:v>
      </x:c>
    </x:row>
    <x:row r="35" ht="36" customHeight="1">
      <x:c r="A35" s="13" t="str">
        <x:v>QA-butin-persistant</x:v>
      </x:c>
      <x:c r="B35" s="14" t="str">
        <x:v>Butin persistant</x:v>
      </x:c>
      <x:c r="C35" s="10" t="str">
        <x:v>Défini</x:v>
      </x:c>
      <x:c r="D35" s="11" t="str">
        <x:v>Sans objet</x:v>
      </x:c>
      <x:c r="E35" s="15" t="str">
        <x:v>P0</x:v>
      </x:c>
      <x:c r="F35" s="15" t="str">
        <x:v>ME1</x:v>
      </x:c>
      <x:c r="G35" s="15" t="str">
        <x:v>Adaptation</x:v>
      </x:c>
      <x:c r="H35" s="14" t="str">
        <x:v>Ouvrir un conteneur, sauvegarder et revenir.</x:v>
      </x:c>
      <x:c r="I35" s="14" t="str">
        <x:v>Conteneur toujours vide.</x:v>
      </x:c>
      <x:c r="J35" s="14" t="str"/>
      <x:c r="K35" s="14" t="str">
        <x:v>tests/</x:v>
      </x:c>
      <x:c r="L35" s="14" t="str"/>
      <x:c r="M35" s="14" t="str"/>
      <x:c r="N35" s="14" t="str">
        <x:v>Décisions du fan game ; aucune prétention de canon officiel</x:v>
      </x:c>
      <x:c r="O35" s="14" t="str"/>
      <x:c r="P35" s="14" t="str">
        <x:v>Production ME1</x:v>
      </x:c>
      <x:c r="Q35" s="14" t="str">
        <x:v>Cas défini ; résultat non exécuté tant qu’aucune preuve de test n’est ajoutée.</x:v>
      </x:c>
    </x:row>
    <x:row r="36" ht="36" customHeight="1">
      <x:c r="A36" s="12" t="str">
        <x:v>QA-quete-et-journal</x:v>
      </x:c>
      <x:c r="B36" s="7" t="str">
        <x:v>Quête et journal</x:v>
      </x:c>
      <x:c r="C36" s="10" t="str">
        <x:v>Défini</x:v>
      </x:c>
      <x:c r="D36" s="11" t="str">
        <x:v>Sans objet</x:v>
      </x:c>
      <x:c r="E36" s="9" t="str">
        <x:v>P0</x:v>
      </x:c>
      <x:c r="F36" s="9" t="str">
        <x:v>ME1</x:v>
      </x:c>
      <x:c r="G36" s="9" t="str">
        <x:v>Adaptation</x:v>
      </x:c>
      <x:c r="H36" s="7" t="str">
        <x:v>Terminer un objectif puis changer de zone.</x:v>
      </x:c>
      <x:c r="I36" s="7" t="str">
        <x:v>État cohérent dans journal, PNJ et carte.</x:v>
      </x:c>
      <x:c r="J36" s="7" t="str"/>
      <x:c r="K36" s="7" t="str">
        <x:v>tests/</x:v>
      </x:c>
      <x:c r="L36" s="7" t="str"/>
      <x:c r="M36" s="7" t="str"/>
      <x:c r="N36" s="7" t="str">
        <x:v>Décisions du fan game ; aucune prétention de canon officiel</x:v>
      </x:c>
      <x:c r="O36" s="7" t="str"/>
      <x:c r="P36" s="7" t="str">
        <x:v>Production ME1</x:v>
      </x:c>
      <x:c r="Q36" s="7" t="str">
        <x:v>Cas défini ; résultat non exécuté tant qu’aucune preuve de test n’est ajoutée.</x:v>
      </x:c>
    </x:row>
    <x:row r="37" ht="36" customHeight="1">
      <x:c r="A37" s="13" t="str">
        <x:v>QA-ordre-planetes</x:v>
      </x:c>
      <x:c r="B37" s="14" t="str">
        <x:v>Ordre planètes</x:v>
      </x:c>
      <x:c r="C37" s="10" t="str">
        <x:v>Défini</x:v>
      </x:c>
      <x:c r="D37" s="11" t="str">
        <x:v>Sans objet</x:v>
      </x:c>
      <x:c r="E37" s="15" t="str">
        <x:v>P0</x:v>
      </x:c>
      <x:c r="F37" s="15" t="str">
        <x:v>ME1</x:v>
      </x:c>
      <x:c r="G37" s="15" t="str">
        <x:v>Adaptation</x:v>
      </x:c>
      <x:c r="H37" s="14" t="str">
        <x:v>Changer l’ordre Therum, Feros et Noveria.</x:v>
      </x:c>
      <x:c r="I37" s="14" t="str">
        <x:v>Pas de dialogue supposant une mission non faite.</x:v>
      </x:c>
      <x:c r="J37" s="14" t="str"/>
      <x:c r="K37" s="14" t="str">
        <x:v>tests/</x:v>
      </x:c>
      <x:c r="L37" s="14" t="str"/>
      <x:c r="M37" s="14" t="str"/>
      <x:c r="N37" s="14" t="str">
        <x:v>Décisions du fan game ; aucune prétention de canon officiel</x:v>
      </x:c>
      <x:c r="O37" s="14" t="str"/>
      <x:c r="P37" s="14" t="str">
        <x:v>Production ME1</x:v>
      </x:c>
      <x:c r="Q37" s="14" t="str">
        <x:v>Cas défini ; résultat non exécuté tant qu’aucune preuve de test n’est ajoutée.</x:v>
      </x:c>
    </x:row>
    <x:row r="38" ht="36" customHeight="1">
      <x:c r="A38" s="12" t="str">
        <x:v>QA-liara-tardive</x:v>
      </x:c>
      <x:c r="B38" s="7" t="str">
        <x:v>Liara tardive</x:v>
      </x:c>
      <x:c r="C38" s="10" t="str">
        <x:v>Défini</x:v>
      </x:c>
      <x:c r="D38" s="11" t="str">
        <x:v>Sans objet</x:v>
      </x:c>
      <x:c r="E38" s="9" t="str">
        <x:v>P0</x:v>
      </x:c>
      <x:c r="F38" s="9" t="str">
        <x:v>ME1</x:v>
      </x:c>
      <x:c r="G38" s="9" t="str">
        <x:v>Adaptation</x:v>
      </x:c>
      <x:c r="H38" s="7" t="str">
        <x:v>Recruter Liara après plusieurs destinations.</x:v>
      </x:c>
      <x:c r="I38" s="7" t="str">
        <x:v>Réactions adaptées et aucune référence prématurée.</x:v>
      </x:c>
      <x:c r="J38" s="7" t="str"/>
      <x:c r="K38" s="7" t="str">
        <x:v>tests/</x:v>
      </x:c>
      <x:c r="L38" s="7" t="str"/>
      <x:c r="M38" s="7" t="str"/>
      <x:c r="N38" s="7" t="str">
        <x:v>Décisions du fan game ; aucune prétention de canon officiel</x:v>
      </x:c>
      <x:c r="O38" s="7" t="str"/>
      <x:c r="P38" s="7" t="str">
        <x:v>Production ME1</x:v>
      </x:c>
      <x:c r="Q38" s="7" t="str">
        <x:v>Cas défini ; résultat non exécuté tant qu’aucune preuve de test n’est ajoutée.</x:v>
      </x:c>
    </x:row>
    <x:row r="39" ht="36" customHeight="1">
      <x:c r="A39" s="13" t="str">
        <x:v>QA-source-de-costume</x:v>
      </x:c>
      <x:c r="B39" s="14" t="str">
        <x:v>Source de costume</x:v>
      </x:c>
      <x:c r="C39" s="10" t="str">
        <x:v>Défini</x:v>
      </x:c>
      <x:c r="D39" s="11" t="str">
        <x:v>Sans objet</x:v>
      </x:c>
      <x:c r="E39" s="15" t="str">
        <x:v>P0</x:v>
      </x:c>
      <x:c r="F39" s="15" t="str">
        <x:v>ME1</x:v>
      </x:c>
      <x:c r="G39" s="15" t="str">
        <x:v>Adaptation</x:v>
      </x:c>
      <x:c r="H39" s="14" t="str">
        <x:v>Comparer chaque tenue aux captures de son épisode.</x:v>
      </x:c>
      <x:c r="I39" s="14" t="str">
        <x:v>Aucune tenue de ME3 déclarée ME1 par erreur.</x:v>
      </x:c>
      <x:c r="J39" s="14" t="str"/>
      <x:c r="K39" s="14" t="str">
        <x:v>tests/</x:v>
      </x:c>
      <x:c r="L39" s="14" t="str"/>
      <x:c r="M39" s="14" t="str"/>
      <x:c r="N39" s="14" t="str">
        <x:v>Décisions du fan game ; aucune prétention de canon officiel</x:v>
      </x:c>
      <x:c r="O39" s="14" t="str"/>
      <x:c r="P39" s="14" t="str">
        <x:v>Production ME1</x:v>
      </x:c>
      <x:c r="Q39" s="14" t="str">
        <x:v>Cas défini ; résultat non exécuté tant qu’aucune preuve de test n’est ajoutée.</x:v>
      </x:c>
    </x:row>
    <x:row r="40" ht="36" customHeight="1">
      <x:c r="A40" s="12" t="str">
        <x:v>QA-normandy-sr-1</x:v>
      </x:c>
      <x:c r="B40" s="7" t="str">
        <x:v>Normandy SR-1</x:v>
      </x:c>
      <x:c r="C40" s="10" t="str">
        <x:v>Défini</x:v>
      </x:c>
      <x:c r="D40" s="11" t="str">
        <x:v>Sans objet</x:v>
      </x:c>
      <x:c r="E40" s="9" t="str">
        <x:v>P0</x:v>
      </x:c>
      <x:c r="F40" s="9" t="str">
        <x:v>ME1</x:v>
      </x:c>
      <x:c r="G40" s="9" t="str">
        <x:v>Adaptation</x:v>
      </x:c>
      <x:c r="H40" s="7" t="str">
        <x:v>Contrôler plan intérieur et coque.</x:v>
      </x:c>
      <x:c r="I40" s="7" t="str">
        <x:v>Aucun aquarium ou laboratoire SR-2 importé comme canon ME1.</x:v>
      </x:c>
      <x:c r="J40" s="7" t="str"/>
      <x:c r="K40" s="7" t="str">
        <x:v>tests/</x:v>
      </x:c>
      <x:c r="L40" s="7" t="str"/>
      <x:c r="M40" s="7" t="str"/>
      <x:c r="N40" s="7" t="str">
        <x:v>Décisions du fan game ; aucune prétention de canon officiel</x:v>
      </x:c>
      <x:c r="O40" s="7" t="str"/>
      <x:c r="P40" s="7" t="str">
        <x:v>Production ME1</x:v>
      </x:c>
      <x:c r="Q40" s="7" t="str">
        <x:v>Cas défini ; résultat non exécuté tant qu’aucune preuve de test n’est ajoutée.</x:v>
      </x:c>
    </x:row>
    <x:row r="41" ht="36" customHeight="1">
      <x:c r="A41" s="13" t="str">
        <x:v>QA-pouvoirs-par-episode</x:v>
      </x:c>
      <x:c r="B41" s="14" t="str">
        <x:v>Pouvoirs par épisode</x:v>
      </x:c>
      <x:c r="C41" s="10" t="str">
        <x:v>Défini</x:v>
      </x:c>
      <x:c r="D41" s="11" t="str">
        <x:v>Sans objet</x:v>
      </x:c>
      <x:c r="E41" s="15" t="str">
        <x:v>P0</x:v>
      </x:c>
      <x:c r="F41" s="15" t="str">
        <x:v>ME1</x:v>
      </x:c>
      <x:c r="G41" s="15" t="str">
        <x:v>Adaptation</x:v>
      </x:c>
      <x:c r="H41" s="14" t="str">
        <x:v>Inspecter tous les arbres de talents.</x:v>
      </x:c>
      <x:c r="I41" s="14" t="str">
        <x:v>Charge, Nova, camouflage et omni-lame hors ME1 par défaut.</x:v>
      </x:c>
      <x:c r="J41" s="14" t="str"/>
      <x:c r="K41" s="14" t="str">
        <x:v>tests/</x:v>
      </x:c>
      <x:c r="L41" s="14" t="str"/>
      <x:c r="M41" s="14" t="str"/>
      <x:c r="N41" s="14" t="str">
        <x:v>Décisions du fan game ; aucune prétention de canon officiel</x:v>
      </x:c>
      <x:c r="O41" s="14" t="str"/>
      <x:c r="P41" s="14" t="str">
        <x:v>Production ME1</x:v>
      </x:c>
      <x:c r="Q41" s="14" t="str">
        <x:v>Cas défini ; résultat non exécuté tant qu’aucune preuve de test n’est ajoutée.</x:v>
      </x:c>
    </x:row>
    <x:row r="42" ht="36" customHeight="1">
      <x:c r="A42" s="12" t="str">
        <x:v>QA-noms-francais</x:v>
      </x:c>
      <x:c r="B42" s="7" t="str">
        <x:v>Noms français</x:v>
      </x:c>
      <x:c r="C42" s="10" t="str">
        <x:v>Défini</x:v>
      </x:c>
      <x:c r="D42" s="11" t="str">
        <x:v>Sans objet</x:v>
      </x:c>
      <x:c r="E42" s="9" t="str">
        <x:v>P0</x:v>
      </x:c>
      <x:c r="F42" s="9" t="str">
        <x:v>ME1</x:v>
      </x:c>
      <x:c r="G42" s="9" t="str">
        <x:v>Adaptation</x:v>
      </x:c>
      <x:c r="H42" s="7" t="str">
        <x:v>Comparer noms de lieux et talents.</x:v>
      </x:c>
      <x:c r="I42" s="7" t="str">
        <x:v>Une nomenclature stable dans jeu et catalogue.</x:v>
      </x:c>
      <x:c r="J42" s="7" t="str"/>
      <x:c r="K42" s="7" t="str">
        <x:v>tests/</x:v>
      </x:c>
      <x:c r="L42" s="7" t="str"/>
      <x:c r="M42" s="7" t="str"/>
      <x:c r="N42" s="7" t="str">
        <x:v>Décisions du fan game ; aucune prétention de canon officiel</x:v>
      </x:c>
      <x:c r="O42" s="7" t="str"/>
      <x:c r="P42" s="7" t="str">
        <x:v>Production ME1</x:v>
      </x:c>
      <x:c r="Q42" s="7" t="str">
        <x:v>Cas défini ; résultat non exécuté tant qu’aucune preuve de test n’est ajoutée.</x:v>
      </x:c>
    </x:row>
    <x:row r="43" ht="36" customHeight="1">
      <x:c r="A43" s="13" t="str">
        <x:v>QA-rapport-de-tailles</x:v>
      </x:c>
      <x:c r="B43" s="14" t="str">
        <x:v>Rapport de tailles</x:v>
      </x:c>
      <x:c r="C43" s="10" t="str">
        <x:v>Défini</x:v>
      </x:c>
      <x:c r="D43" s="11" t="str">
        <x:v>Sans objet</x:v>
      </x:c>
      <x:c r="E43" s="15" t="str">
        <x:v>P0</x:v>
      </x:c>
      <x:c r="F43" s="15" t="str">
        <x:v>ME1</x:v>
      </x:c>
      <x:c r="G43" s="15" t="str">
        <x:v>Adaptation</x:v>
      </x:c>
      <x:c r="H43" s="14" t="str">
        <x:v>Comparer humain, turien, krogan, geth lourd et décor.</x:v>
      </x:c>
      <x:c r="I43" s="14" t="str">
        <x:v>Échelle cohérente avec les références disponibles.</x:v>
      </x:c>
      <x:c r="J43" s="14" t="str"/>
      <x:c r="K43" s="14" t="str">
        <x:v>tests/</x:v>
      </x:c>
      <x:c r="L43" s="14" t="str"/>
      <x:c r="M43" s="14" t="str"/>
      <x:c r="N43" s="14" t="str">
        <x:v>Décisions du fan game ; aucune prétention de canon officiel</x:v>
      </x:c>
      <x:c r="O43" s="14" t="str"/>
      <x:c r="P43" s="14" t="str">
        <x:v>Production ME1</x:v>
      </x:c>
      <x:c r="Q43" s="14" t="str">
        <x:v>Cas défini ; résultat non exécuté tant qu’aucune preuve de test n’est ajoutée.</x:v>
      </x:c>
    </x:row>
    <x:row r="44" ht="36" customHeight="1">
      <x:c r="A44" s="12" t="str">
        <x:v>QA-transparence-sprite</x:v>
      </x:c>
      <x:c r="B44" s="7" t="str">
        <x:v>Transparence sprite</x:v>
      </x:c>
      <x:c r="C44" s="10" t="str">
        <x:v>Défini</x:v>
      </x:c>
      <x:c r="D44" s="11" t="str">
        <x:v>Sans objet</x:v>
      </x:c>
      <x:c r="E44" s="9" t="str">
        <x:v>P0</x:v>
      </x:c>
      <x:c r="F44" s="9" t="str">
        <x:v>ME1</x:v>
      </x:c>
      <x:c r="G44" s="9" t="str">
        <x:v>Adaptation</x:v>
      </x:c>
      <x:c r="H44" s="7" t="str">
        <x:v>Inspecter contours sur fond clair et sombre.</x:v>
      </x:c>
      <x:c r="I44" s="7" t="str">
        <x:v>Pas de halo ni de pixels isolés.</x:v>
      </x:c>
      <x:c r="J44" s="7" t="str"/>
      <x:c r="K44" s="7" t="str">
        <x:v>tests/</x:v>
      </x:c>
      <x:c r="L44" s="7" t="str"/>
      <x:c r="M44" s="7" t="str"/>
      <x:c r="N44" s="7" t="str">
        <x:v>Décisions du fan game ; aucune prétention de canon officiel</x:v>
      </x:c>
      <x:c r="O44" s="7" t="str"/>
      <x:c r="P44" s="7" t="str">
        <x:v>Production ME1</x:v>
      </x:c>
      <x:c r="Q44" s="7" t="str">
        <x:v>Cas défini ; résultat non exécuté tant qu’aucune preuve de test n’est ajoutée.</x:v>
      </x:c>
    </x:row>
    <x:row r="45" ht="36" customHeight="1">
      <x:c r="A45" s="13" t="str">
        <x:v>QA-synchronisation-flash</x:v>
      </x:c>
      <x:c r="B45" s="14" t="str">
        <x:v>Synchronisation flash</x:v>
      </x:c>
      <x:c r="C45" s="10" t="str">
        <x:v>Défini</x:v>
      </x:c>
      <x:c r="D45" s="11" t="str">
        <x:v>Sans objet</x:v>
      </x:c>
      <x:c r="E45" s="15" t="str">
        <x:v>P0</x:v>
      </x:c>
      <x:c r="F45" s="15" t="str">
        <x:v>ME1</x:v>
      </x:c>
      <x:c r="G45" s="15" t="str">
        <x:v>Adaptation</x:v>
      </x:c>
      <x:c r="H45" s="14" t="str">
        <x:v>Observer tir et impact image par image.</x:v>
      </x:c>
      <x:c r="I45" s="14" t="str">
        <x:v>Origine et instant cohérents.</x:v>
      </x:c>
      <x:c r="J45" s="14" t="str"/>
      <x:c r="K45" s="14" t="str">
        <x:v>tests/</x:v>
      </x:c>
      <x:c r="L45" s="14" t="str"/>
      <x:c r="M45" s="14" t="str"/>
      <x:c r="N45" s="14" t="str">
        <x:v>Décisions du fan game ; aucune prétention de canon officiel</x:v>
      </x:c>
      <x:c r="O45" s="14" t="str"/>
      <x:c r="P45" s="14" t="str">
        <x:v>Production ME1</x:v>
      </x:c>
      <x:c r="Q45" s="14" t="str">
        <x:v>Cas défini ; résultat non exécuté tant qu’aucune preuve de test n’est ajoutée.</x:v>
      </x:c>
    </x:row>
    <x:row r="46" ht="36" customHeight="1">
      <x:c r="A46" s="12" t="str">
        <x:v>QA-changement-d-arme</x:v>
      </x:c>
      <x:c r="B46" s="7" t="str">
        <x:v>Changement d’arme</x:v>
      </x:c>
      <x:c r="C46" s="10" t="str">
        <x:v>Défini</x:v>
      </x:c>
      <x:c r="D46" s="11" t="str">
        <x:v>Sans objet</x:v>
      </x:c>
      <x:c r="E46" s="9" t="str">
        <x:v>P0</x:v>
      </x:c>
      <x:c r="F46" s="9" t="str">
        <x:v>ME1</x:v>
      </x:c>
      <x:c r="G46" s="9" t="str">
        <x:v>Adaptation</x:v>
      </x:c>
      <x:c r="H46" s="7" t="str">
        <x:v>Remplacer une arme pendant les états autorisés.</x:v>
      </x:c>
      <x:c r="I46" s="7" t="str">
        <x:v>Sprite et statistiques changent ensemble.</x:v>
      </x:c>
      <x:c r="J46" s="7" t="str"/>
      <x:c r="K46" s="7" t="str">
        <x:v>tests/</x:v>
      </x:c>
      <x:c r="L46" s="7" t="str"/>
      <x:c r="M46" s="7" t="str"/>
      <x:c r="N46" s="7" t="str">
        <x:v>Décisions du fan game ; aucune prétention de canon officiel</x:v>
      </x:c>
      <x:c r="O46" s="7" t="str"/>
      <x:c r="P46" s="7" t="str">
        <x:v>Production ME1</x:v>
      </x:c>
      <x:c r="Q46" s="7" t="str">
        <x:v>Cas défini ; résultat non exécuté tant qu’aucune preuve de test n’est ajoutée.</x:v>
      </x:c>
    </x:row>
    <x:row r="47" ht="36" customHeight="1">
      <x:c r="A47" s="13" t="str">
        <x:v>QA-sous-titres-longs</x:v>
      </x:c>
      <x:c r="B47" s="14" t="str">
        <x:v>Sous-titres longs</x:v>
      </x:c>
      <x:c r="C47" s="10" t="str">
        <x:v>Défini</x:v>
      </x:c>
      <x:c r="D47" s="11" t="str">
        <x:v>Sans objet</x:v>
      </x:c>
      <x:c r="E47" s="15" t="str">
        <x:v>P0</x:v>
      </x:c>
      <x:c r="F47" s="15" t="str">
        <x:v>ME1</x:v>
      </x:c>
      <x:c r="G47" s="15" t="str">
        <x:v>Adaptation</x:v>
      </x:c>
      <x:c r="H47" s="14" t="str">
        <x:v>Tester textes longs avec noms et accents.</x:v>
      </x:c>
      <x:c r="I47" s="14" t="str">
        <x:v>Aucun texte coupé ni bouton inaccessible.</x:v>
      </x:c>
      <x:c r="J47" s="14" t="str"/>
      <x:c r="K47" s="14" t="str">
        <x:v>tests/</x:v>
      </x:c>
      <x:c r="L47" s="14" t="str"/>
      <x:c r="M47" s="14" t="str"/>
      <x:c r="N47" s="14" t="str">
        <x:v>Décisions du fan game ; aucune prétention de canon officiel</x:v>
      </x:c>
      <x:c r="O47" s="14" t="str"/>
      <x:c r="P47" s="14" t="str">
        <x:v>Production ME1</x:v>
      </x:c>
      <x:c r="Q47" s="14" t="str">
        <x:v>Cas défini ; résultat non exécuté tant qu’aucune preuve de test n’est ajoutée.</x:v>
      </x:c>
    </x:row>
    <x:row r="48" ht="36" customHeight="1">
      <x:c r="A48" s="12" t="str">
        <x:v>QA-fenetre-reduite</x:v>
      </x:c>
      <x:c r="B48" s="7" t="str">
        <x:v>Fenêtre réduite</x:v>
      </x:c>
      <x:c r="C48" s="10" t="str">
        <x:v>Défini</x:v>
      </x:c>
      <x:c r="D48" s="11" t="str">
        <x:v>Sans objet</x:v>
      </x:c>
      <x:c r="E48" s="9" t="str">
        <x:v>P0</x:v>
      </x:c>
      <x:c r="F48" s="9" t="str">
        <x:v>ME1</x:v>
      </x:c>
      <x:c r="G48" s="9" t="str">
        <x:v>Adaptation</x:v>
      </x:c>
      <x:c r="H48" s="7" t="str">
        <x:v>Tester 1280×720 et mise à l’échelle.</x:v>
      </x:c>
      <x:c r="I48" s="7" t="str">
        <x:v>HUD, menus et cible restent accessibles.</x:v>
      </x:c>
      <x:c r="J48" s="7" t="str"/>
      <x:c r="K48" s="7" t="str">
        <x:v>tests/</x:v>
      </x:c>
      <x:c r="L48" s="7" t="str"/>
      <x:c r="M48" s="7" t="str"/>
      <x:c r="N48" s="7" t="str">
        <x:v>Décisions du fan game ; aucune prétention de canon officiel</x:v>
      </x:c>
      <x:c r="O48" s="7" t="str"/>
      <x:c r="P48" s="7" t="str">
        <x:v>Production ME1</x:v>
      </x:c>
      <x:c r="Q48" s="7" t="str">
        <x:v>Cas défini ; résultat non exécuté tant qu’aucune preuve de test n’est ajoutée.</x:v>
      </x:c>
    </x:row>
    <x:row r="49" ht="36" customHeight="1">
      <x:c r="A49" s="13" t="str">
        <x:v>QA-grand-ecran</x:v>
      </x:c>
      <x:c r="B49" s="14" t="str">
        <x:v>Grand écran</x:v>
      </x:c>
      <x:c r="C49" s="10" t="str">
        <x:v>Défini</x:v>
      </x:c>
      <x:c r="D49" s="11" t="str">
        <x:v>Sans objet</x:v>
      </x:c>
      <x:c r="E49" s="15" t="str">
        <x:v>P0</x:v>
      </x:c>
      <x:c r="F49" s="15" t="str">
        <x:v>ME1</x:v>
      </x:c>
      <x:c r="G49" s="15" t="str">
        <x:v>Adaptation</x:v>
      </x:c>
      <x:c r="H49" s="14" t="str">
        <x:v>Tester 1920×1080 et 2560×1440.</x:v>
      </x:c>
      <x:c r="I49" s="14" t="str">
        <x:v>Décors remplissent la fenêtre sans sprites étirés.</x:v>
      </x:c>
      <x:c r="J49" s="14" t="str"/>
      <x:c r="K49" s="14" t="str">
        <x:v>tests/</x:v>
      </x:c>
      <x:c r="L49" s="14" t="str"/>
      <x:c r="M49" s="14" t="str"/>
      <x:c r="N49" s="14" t="str">
        <x:v>Décisions du fan game ; aucune prétention de canon officiel</x:v>
      </x:c>
      <x:c r="O49" s="14" t="str"/>
      <x:c r="P49" s="14" t="str">
        <x:v>Production ME1</x:v>
      </x:c>
      <x:c r="Q49" s="14" t="str">
        <x:v>Cas défini ; résultat non exécuté tant qu’aucune preuve de test n’est ajoutée.</x:v>
      </x:c>
    </x:row>
    <x:row r="50" ht="36" customHeight="1">
      <x:c r="A50" s="12" t="str">
        <x:v>QA-cadence-variable</x:v>
      </x:c>
      <x:c r="B50" s="7" t="str">
        <x:v>Cadence variable</x:v>
      </x:c>
      <x:c r="C50" s="10" t="str">
        <x:v>Défini</x:v>
      </x:c>
      <x:c r="D50" s="11" t="str">
        <x:v>Sans objet</x:v>
      </x:c>
      <x:c r="E50" s="9" t="str">
        <x:v>P0</x:v>
      </x:c>
      <x:c r="F50" s="9" t="str">
        <x:v>ME1</x:v>
      </x:c>
      <x:c r="G50" s="9" t="str">
        <x:v>Adaptation</x:v>
      </x:c>
      <x:c r="H50" s="7" t="str">
        <x:v>Comparer 30, 60 et 120 images par seconde.</x:v>
      </x:c>
      <x:c r="I50" s="7" t="str">
        <x:v>ATB et déplacements conservent leur vitesse.</x:v>
      </x:c>
      <x:c r="J50" s="7" t="str"/>
      <x:c r="K50" s="7" t="str">
        <x:v>tests/</x:v>
      </x:c>
      <x:c r="L50" s="7" t="str"/>
      <x:c r="M50" s="7" t="str"/>
      <x:c r="N50" s="7" t="str">
        <x:v>Décisions du fan game ; aucune prétention de canon officiel</x:v>
      </x:c>
      <x:c r="O50" s="7" t="str"/>
      <x:c r="P50" s="7" t="str">
        <x:v>Production ME1</x:v>
      </x:c>
      <x:c r="Q50" s="7" t="str">
        <x:v>Cas défini ; résultat non exécuté tant qu’aucune preuve de test n’est ajoutée.</x:v>
      </x:c>
    </x:row>
    <x:row r="51" ht="36" customHeight="1">
      <x:c r="A51" s="13" t="str">
        <x:v>QA-perte-du-focus</x:v>
      </x:c>
      <x:c r="B51" s="14" t="str">
        <x:v>Perte du focus</x:v>
      </x:c>
      <x:c r="C51" s="10" t="str">
        <x:v>Défini</x:v>
      </x:c>
      <x:c r="D51" s="11" t="str">
        <x:v>Sans objet</x:v>
      </x:c>
      <x:c r="E51" s="15" t="str">
        <x:v>P0</x:v>
      </x:c>
      <x:c r="F51" s="15" t="str">
        <x:v>ME1</x:v>
      </x:c>
      <x:c r="G51" s="15" t="str">
        <x:v>Adaptation</x:v>
      </x:c>
      <x:c r="H51" s="14" t="str">
        <x:v>Quitter puis reprendre la fenêtre.</x:v>
      </x:c>
      <x:c r="I51" s="14" t="str">
        <x:v>Pas de jauge ou mouvement accumulé inattendu.</x:v>
      </x:c>
      <x:c r="J51" s="14" t="str"/>
      <x:c r="K51" s="14" t="str">
        <x:v>tests/</x:v>
      </x:c>
      <x:c r="L51" s="14" t="str"/>
      <x:c r="M51" s="14" t="str"/>
      <x:c r="N51" s="14" t="str">
        <x:v>Décisions du fan game ; aucune prétention de canon officiel</x:v>
      </x:c>
      <x:c r="O51" s="14" t="str"/>
      <x:c r="P51" s="14" t="str">
        <x:v>Production ME1</x:v>
      </x:c>
      <x:c r="Q51" s="14" t="str">
        <x:v>Cas défini ; résultat non exécuté tant qu’aucune preuve de test n’est ajoutée.</x:v>
      </x:c>
    </x:row>
    <x:row r="52" ht="36" customHeight="1">
      <x:c r="A52" s="12" t="str">
        <x:v>QA-audio-muet</x:v>
      </x:c>
      <x:c r="B52" s="7" t="str">
        <x:v>Audio muet</x:v>
      </x:c>
      <x:c r="C52" s="10" t="str">
        <x:v>Défini</x:v>
      </x:c>
      <x:c r="D52" s="11" t="str">
        <x:v>Sans objet</x:v>
      </x:c>
      <x:c r="E52" s="9" t="str">
        <x:v>P0</x:v>
      </x:c>
      <x:c r="F52" s="9" t="str">
        <x:v>ME1</x:v>
      </x:c>
      <x:c r="G52" s="9" t="str">
        <x:v>Adaptation</x:v>
      </x:c>
      <x:c r="H52" s="7" t="str">
        <x:v>Jouer avec le son coupé.</x:v>
      </x:c>
      <x:c r="I52" s="7" t="str">
        <x:v>Alertes et dialogues restent compréhensibles.</x:v>
      </x:c>
      <x:c r="J52" s="7" t="str"/>
      <x:c r="K52" s="7" t="str">
        <x:v>tests/</x:v>
      </x:c>
      <x:c r="L52" s="7" t="str"/>
      <x:c r="M52" s="7" t="str"/>
      <x:c r="N52" s="7" t="str">
        <x:v>Décisions du fan game ; aucune prétention de canon officiel</x:v>
      </x:c>
      <x:c r="O52" s="7" t="str"/>
      <x:c r="P52" s="7" t="str">
        <x:v>Production ME1</x:v>
      </x:c>
      <x:c r="Q52" s="7" t="str">
        <x:v>Cas défini ; résultat non exécuté tant qu’aucune preuve de test n’est ajoutée.</x:v>
      </x:c>
    </x:row>
    <x:row r="53" ht="36" customHeight="1">
      <x:c r="A53" s="13" t="str">
        <x:v>QA-reduction-des-flashs</x:v>
      </x:c>
      <x:c r="B53" s="14" t="str">
        <x:v>Réduction des flashs</x:v>
      </x:c>
      <x:c r="C53" s="10" t="str">
        <x:v>Défini</x:v>
      </x:c>
      <x:c r="D53" s="11" t="str">
        <x:v>Sans objet</x:v>
      </x:c>
      <x:c r="E53" s="15" t="str">
        <x:v>P0</x:v>
      </x:c>
      <x:c r="F53" s="15" t="str">
        <x:v>ME1</x:v>
      </x:c>
      <x:c r="G53" s="15" t="str">
        <x:v>Adaptation</x:v>
      </x:c>
      <x:c r="H53" s="14" t="str">
        <x:v>Activer le réglage accessible.</x:v>
      </x:c>
      <x:c r="I53" s="14" t="str">
        <x:v>Événements restent identifiables.</x:v>
      </x:c>
      <x:c r="J53" s="14" t="str"/>
      <x:c r="K53" s="14" t="str">
        <x:v>tests/</x:v>
      </x:c>
      <x:c r="L53" s="14" t="str"/>
      <x:c r="M53" s="14" t="str"/>
      <x:c r="N53" s="14" t="str">
        <x:v>Décisions du fan game ; aucune prétention de canon officiel</x:v>
      </x:c>
      <x:c r="O53" s="14" t="str"/>
      <x:c r="P53" s="14" t="str">
        <x:v>Production ME1</x:v>
      </x:c>
      <x:c r="Q53" s="14" t="str">
        <x:v>Cas défini ; résultat non exécuté tant qu’aucune preuve de test n’est ajoutée.</x:v>
      </x:c>
    </x:row>
    <x:row r="54" ht="36" customHeight="1">
      <x:c r="A54" s="12" t="str">
        <x:v>QA-import-du-catalogue</x:v>
      </x:c>
      <x:c r="B54" s="7" t="str">
        <x:v>Import du catalogue</x:v>
      </x:c>
      <x:c r="C54" s="10" t="str">
        <x:v>Défini</x:v>
      </x:c>
      <x:c r="D54" s="11" t="str">
        <x:v>Sans objet</x:v>
      </x:c>
      <x:c r="E54" s="9" t="str">
        <x:v>P0</x:v>
      </x:c>
      <x:c r="F54" s="9" t="str">
        <x:v>ME1</x:v>
      </x:c>
      <x:c r="G54" s="9" t="str">
        <x:v>Adaptation</x:v>
      </x:c>
      <x:c r="H54" s="7" t="str">
        <x:v>Charger tous les IDs de production.</x:v>
      </x:c>
      <x:c r="I54" s="7" t="str">
        <x:v>Catégories et compteurs exacts, aucun ID dupliqué.</x:v>
      </x:c>
      <x:c r="J54" s="7" t="str"/>
      <x:c r="K54" s="7" t="str">
        <x:v>tests/</x:v>
      </x:c>
      <x:c r="L54" s="7" t="str"/>
      <x:c r="M54" s="7" t="str"/>
      <x:c r="N54" s="7" t="str">
        <x:v>Décisions du fan game ; aucune prétention de canon officiel</x:v>
      </x:c>
      <x:c r="O54" s="7" t="str"/>
      <x:c r="P54" s="7" t="str">
        <x:v>Production ME1</x:v>
      </x:c>
      <x:c r="Q54" s="7" t="str">
        <x:v>Cas défini ; résultat non exécuté tant qu’aucune preuve de test n’est ajoutée.</x:v>
      </x:c>
    </x:row>
    <x:row r="55" ht="36" customHeight="1">
      <x:c r="A55" s="13" t="str">
        <x:v>QA-statut-de-production</x:v>
      </x:c>
      <x:c r="B55" s="14" t="str">
        <x:v>Statut de production</x:v>
      </x:c>
      <x:c r="C55" s="10" t="str">
        <x:v>Défini</x:v>
      </x:c>
      <x:c r="D55" s="11" t="str">
        <x:v>Sans objet</x:v>
      </x:c>
      <x:c r="E55" s="15" t="str">
        <x:v>P0</x:v>
      </x:c>
      <x:c r="F55" s="15" t="str">
        <x:v>ME1</x:v>
      </x:c>
      <x:c r="G55" s="15" t="str">
        <x:v>Adaptation</x:v>
      </x:c>
      <x:c r="H55" s="14" t="str">
        <x:v>Comparer les mentions Intégré et les chemins.</x:v>
      </x:c>
      <x:c r="I55" s="14" t="str">
        <x:v>Chaque statut possède une preuve locale réelle.</x:v>
      </x:c>
      <x:c r="J55" s="14" t="str"/>
      <x:c r="K55" s="14" t="str">
        <x:v>tests/</x:v>
      </x:c>
      <x:c r="L55" s="14" t="str"/>
      <x:c r="M55" s="14" t="str"/>
      <x:c r="N55" s="14" t="str">
        <x:v>Décisions du fan game ; aucune prétention de canon officiel</x:v>
      </x:c>
      <x:c r="O55" s="14" t="str"/>
      <x:c r="P55" s="14" t="str">
        <x:v>Production ME1</x:v>
      </x:c>
      <x:c r="Q55" s="14" t="str">
        <x:v>Cas défini ; résultat non exécuté tant qu’aucune preuve de test n’est ajoutée.</x:v>
      </x:c>
    </x:row>
    <x:row r="56" ht="36" customHeight="1">
      <x:c r="A56" s="12" t="str">
        <x:v>QA-classeur-edite</x:v>
      </x:c>
      <x:c r="B56" s="7" t="str">
        <x:v>Classeur édité</x:v>
      </x:c>
      <x:c r="C56" s="10" t="str">
        <x:v>Défini</x:v>
      </x:c>
      <x:c r="D56" s="11" t="str">
        <x:v>Sans objet</x:v>
      </x:c>
      <x:c r="E56" s="9" t="str">
        <x:v>P0</x:v>
      </x:c>
      <x:c r="F56" s="9" t="str">
        <x:v>ME1</x:v>
      </x:c>
      <x:c r="G56" s="9" t="str">
        <x:v>Adaptation</x:v>
      </x:c>
      <x:c r="H56" s="7" t="str">
        <x:v>Changer un statut dans une feuille.</x:v>
      </x:c>
      <x:c r="I56" s="7" t="str">
        <x:v>Dashboard se recalcule avec le nouveau compte.</x:v>
      </x:c>
      <x:c r="J56" s="7" t="str"/>
      <x:c r="K56" s="7" t="str">
        <x:v>tests/</x:v>
      </x:c>
      <x:c r="L56" s="7" t="str"/>
      <x:c r="M56" s="7" t="str"/>
      <x:c r="N56" s="7" t="str">
        <x:v>Décisions du fan game ; aucune prétention de canon officiel</x:v>
      </x:c>
      <x:c r="O56" s="7" t="str"/>
      <x:c r="P56" s="7" t="str">
        <x:v>Production ME1</x:v>
      </x:c>
      <x:c r="Q56" s="7" t="str">
        <x:v>Cas défini ; résultat non exécuté tant qu’aucune preuve de test n’est ajoutée.</x:v>
      </x:c>
    </x:row>
    <x:row r="57" ht="36" customHeight="1">
      <x:c r="A57" s="13" t="str">
        <x:v>QA-regression-extension</x:v>
      </x:c>
      <x:c r="B57" s="14" t="str">
        <x:v>Régression extension</x:v>
      </x:c>
      <x:c r="C57" s="10" t="str">
        <x:v>Défini</x:v>
      </x:c>
      <x:c r="D57" s="11" t="str">
        <x:v>Sans objet</x:v>
      </x:c>
      <x:c r="E57" s="15" t="str">
        <x:v>P0</x:v>
      </x:c>
      <x:c r="F57" s="15" t="str">
        <x:v>ME1</x:v>
      </x:c>
      <x:c r="G57" s="15" t="str">
        <x:v>Adaptation</x:v>
      </x:c>
      <x:c r="H57" s="14" t="str">
        <x:v>Activer un contenu futur ME2 expérimental.</x:v>
      </x:c>
      <x:c r="I57" s="14" t="str">
        <x:v>Aucune modification des règles ME1 sans choix explicite.</x:v>
      </x:c>
      <x:c r="J57" s="14" t="str"/>
      <x:c r="K57" s="14" t="str">
        <x:v>tests/</x:v>
      </x:c>
      <x:c r="L57" s="14" t="str"/>
      <x:c r="M57" s="14" t="str"/>
      <x:c r="N57" s="14" t="str">
        <x:v>Décisions du fan game ; aucune prétention de canon officiel</x:v>
      </x:c>
      <x:c r="O57" s="14" t="str"/>
      <x:c r="P57" s="14" t="str">
        <x:v>Production ME1</x:v>
      </x:c>
      <x:c r="Q57" s="14" t="str">
        <x:v>Cas défini ; résultat non exécuté tant qu’aucune preuve de test n’est ajoutée.</x:v>
      </x:c>
    </x:row>
    <x:row r="58" ht="36" customHeight="1">
      <x:c r="A58" s="12" t="str">
        <x:v>QA-export-final</x:v>
      </x:c>
      <x:c r="B58" s="7" t="str">
        <x:v>Export final</x:v>
      </x:c>
      <x:c r="C58" s="10" t="str">
        <x:v>Défini</x:v>
      </x:c>
      <x:c r="D58" s="11" t="str">
        <x:v>Sans objet</x:v>
      </x:c>
      <x:c r="E58" s="9" t="str">
        <x:v>P0</x:v>
      </x:c>
      <x:c r="F58" s="9" t="str">
        <x:v>ME1</x:v>
      </x:c>
      <x:c r="G58" s="9" t="str">
        <x:v>Adaptation</x:v>
      </x:c>
      <x:c r="H58" s="7" t="str">
        <x:v>Créer l’état de fin de campagne.</x:v>
      </x:c>
      <x:c r="I58" s="7" t="str">
        <x:v>Tous les choix requis sont présents et versionnés.</x:v>
      </x:c>
      <x:c r="J58" s="7" t="str"/>
      <x:c r="K58" s="7" t="str">
        <x:v>tests/</x:v>
      </x:c>
      <x:c r="L58" s="7" t="str"/>
      <x:c r="M58" s="7" t="str"/>
      <x:c r="N58" s="7" t="str">
        <x:v>Décisions du fan game ; aucune prétention de canon officiel</x:v>
      </x:c>
      <x:c r="O58" s="7" t="str"/>
      <x:c r="P58" s="7" t="str">
        <x:v>Production ME1</x:v>
      </x:c>
      <x:c r="Q58" s="7" t="str">
        <x:v>Cas défini ; résultat non exécuté tant qu’aucune preuve de test n’est ajoutée.</x:v>
      </x:c>
    </x:row>
  </x:sheetData>
  <x:conditionalFormatting sqref="C7:C58">
    <x:cfRule type="cellIs" dxfId="120" priority="1" operator="equal">
      <x:formula>"Prototype"</x:formula>
    </x:cfRule>
    <x:cfRule type="cellIs" dxfId="121" priority="2" operator="equal">
      <x:formula>"Intégré"</x:formula>
    </x:cfRule>
    <x:cfRule type="cellIs" dxfId="122" priority="3" operator="equal">
      <x:formula>"Validé"</x:formula>
    </x:cfRule>
  </x:conditionalFormatting>
  <x:conditionalFormatting sqref="G7:G58">
    <x:cfRule type="cellIs" dxfId="123" priority="4" operator="equal">
      <x:formula>"Référence à vérifier"</x:formula>
    </x:cfRule>
  </x:conditionalFormatting>
  <x:conditionalFormatting sqref="E7:E58">
    <x:cfRule type="cellIs" dxfId="124" priority="5" operator="equal">
      <x:formula>"P0"</x:formula>
    </x:cfRule>
  </x:conditionalFormatting>
  <x:dataValidations count="5">
    <x:dataValidation type="list" sqref="C7:C58">
      <x:formula1>"Défini,Prototype,Intégré,Validé"</x:formula1>
    </x:dataValidation>
    <x:dataValidation type="list" sqref="D7:D58">
      <x:formula1>"À produire,Prototype,Disponible,Validé,Sans objet,Non planifié"</x:formula1>
    </x:dataValidation>
    <x:dataValidation type="list" sqref="E7:E58">
      <x:formula1>"P0,P1,P2"</x:formula1>
    </x:dataValidation>
    <x:dataValidation type="list" sqref="F7:F58">
      <x:formula1>"ME1,ME2,ME3"</x:formula1>
    </x:dataValidation>
    <x:dataValidation type="list" sqref="G7:G58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d31f7e805e4751"/>
  </x:tableParts>
</x:worksheet>
</file>

<file path=xl/worksheets/sheet27.xml><?xml version="1.0" encoding="utf-8"?>
<x:worksheet xmlns:x="http://schemas.openxmlformats.org/spreadsheetml/2006/main">
  <x:sheetPr>
    <x:tabColor rgb="FF8095A7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3" hidden="0" customWidth="1"/>
    <x:col min="2" max="2" width="39" hidden="0" customWidth="1"/>
    <x:col min="3" max="3" width="15" hidden="0" customWidth="1"/>
    <x:col min="4" max="4" width="16" hidden="0" customWidth="1"/>
    <x:col min="5" max="5" width="10" hidden="0" customWidth="1"/>
    <x:col min="6" max="6" width="11" hidden="0" customWidth="1"/>
    <x:col min="7" max="7" width="25" hidden="0" customWidth="1"/>
    <x:col min="8" max="8" width="55" hidden="0" customWidth="1"/>
    <x:col min="9" max="9" width="62" hidden="0" customWidth="1"/>
    <x:col min="10" max="10" width="44" hidden="0" customWidth="1"/>
    <x:col min="11" max="11" width="54" hidden="0" customWidth="1"/>
    <x:col min="12" max="12" width="48" hidden="0" customWidth="1"/>
    <x:col min="13" max="13" width="24" hidden="0" customWidth="1"/>
    <x:col min="14" max="14" width="60" hidden="0" customWidth="1"/>
    <x:col min="15" max="15" width="64" hidden="0" customWidth="1"/>
    <x:col min="16" max="16" width="22" hidden="0" customWidth="1"/>
    <x:col min="17" max="17" width="6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2" customHeight="1">
      <x:c r="A2" s="3" t="str">
        <x:v>Trilogie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4" t="str">
        <x:v>Extensions ME2 et ME3 séparées de ME1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34" customHeight="1">
      <x:c r="A6" s="20" t="str">
        <x:v>Identifiant</x:v>
      </x:c>
      <x:c r="B6" s="20" t="str">
        <x:v>Élément</x:v>
      </x:c>
      <x:c r="C6" s="20" t="str">
        <x:v>Contenu</x:v>
      </x:c>
      <x:c r="D6" s="20" t="str">
        <x:v>Asset</x:v>
      </x:c>
      <x:c r="E6" s="20" t="str">
        <x:v>Priorité</x:v>
      </x:c>
      <x:c r="F6" s="20" t="str">
        <x:v>Épisode</x:v>
      </x:c>
      <x:c r="G6" s="20" t="str">
        <x:v>Canon</x:v>
      </x:c>
      <x:c r="H6" s="20" t="str">
        <x:v>Description</x:v>
      </x:c>
      <x:c r="I6" s="20" t="str">
        <x:v>Critère d’acceptation</x:v>
      </x:c>
      <x:c r="J6" s="20" t="str">
        <x:v>Dépendances</x:v>
      </x:c>
      <x:c r="K6" s="20" t="str">
        <x:v>Destination prévue</x:v>
      </x:c>
      <x:c r="L6" s="20" t="str">
        <x:v>Fichier existant</x:v>
      </x:c>
      <x:c r="M6" s="20" t="str">
        <x:v>Clé dans le jeu</x:v>
      </x:c>
      <x:c r="N6" s="20" t="str">
        <x:v>Référence à contrôler</x:v>
      </x:c>
      <x:c r="O6" s="20" t="str">
        <x:v>Source URL</x:v>
      </x:c>
      <x:c r="P6" s="20" t="str">
        <x:v>Périmètre</x:v>
      </x:c>
      <x:c r="Q6" s="20" t="str">
        <x:v>Notes</x:v>
      </x:c>
    </x:row>
    <x:row r="7" ht="36" customHeight="1">
      <x:c r="A7" s="13" t="str">
        <x:v>ME2-normandy-sr-2-cerberus</x:v>
      </x:c>
      <x:c r="B7" s="14" t="str">
        <x:v>Normandy SR-2 Cerberus</x:v>
      </x:c>
      <x:c r="C7" s="10" t="str">
        <x:v>Défini</x:v>
      </x:c>
      <x:c r="D7" s="11" t="str">
        <x:v>Non planifié</x:v>
      </x:c>
      <x:c r="E7" s="15" t="str">
        <x:v>P2</x:v>
      </x:c>
      <x:c r="F7" s="15" t="str">
        <x:v>ME2</x:v>
      </x:c>
      <x:c r="G7" s="15" t="str">
        <x:v>Référence à vérifier</x:v>
      </x:c>
      <x:c r="H7" s="14" t="str">
        <x:v>Nouveau vaisseau avec plan et identité propres.</x:v>
      </x:c>
      <x:c r="I7" s="14" t="str">
        <x:v>Extension après campagne ME1 ; aucun remplacement silencieux du SR-1.</x:v>
      </x:c>
      <x:c r="J7" s="14" t="str"/>
      <x:c r="K7" s="14" t="str">
        <x:v>content/trilogy/ME2-normandy-sr-2-cerberus.json</x:v>
      </x:c>
      <x:c r="L7" s="14" t="str"/>
      <x:c r="M7" s="14" t="str"/>
      <x:c r="N7" s="14" t="str">
        <x:v>Plan de couverture ME2 à détailler séparément ; rien de cette liste n’est déclaré jouable.</x:v>
      </x:c>
      <x:c r="O7" s="14" t="str">
        <x:v>https://eaassets-a.akamaihd.net/eahelp/manuals/mass-effect-2-manuals_PC_fr.pdf</x:v>
      </x:c>
      <x:c r="P7" s="14" t="str">
        <x:v>Extension future</x:v>
      </x:c>
      <x:c r="Q7" s="14" t="str"/>
    </x:row>
    <x:row r="8" ht="36" customHeight="1">
      <x:c r="A8" s="12" t="str">
        <x:v>ME2-projet-lazare</x:v>
      </x:c>
      <x:c r="B8" s="7" t="str">
        <x:v>Projet Lazare</x:v>
      </x:c>
      <x:c r="C8" s="10" t="str">
        <x:v>Défini</x:v>
      </x:c>
      <x:c r="D8" s="11" t="str">
        <x:v>Non planifié</x:v>
      </x:c>
      <x:c r="E8" s="9" t="str">
        <x:v>P2</x:v>
      </x:c>
      <x:c r="F8" s="9" t="str">
        <x:v>ME2</x:v>
      </x:c>
      <x:c r="G8" s="9" t="str">
        <x:v>Référence à vérifier</x:v>
      </x:c>
      <x:c r="H8" s="7" t="str">
        <x:v>Prologue et reprise de Shepard.</x:v>
      </x:c>
      <x:c r="I8" s="7" t="str">
        <x:v>Continuité des choix importés explicitée.</x:v>
      </x:c>
      <x:c r="J8" s="7" t="str"/>
      <x:c r="K8" s="7" t="str">
        <x:v>content/trilogy/ME2-projet-lazare.json</x:v>
      </x:c>
      <x:c r="L8" s="7" t="str"/>
      <x:c r="M8" s="7" t="str"/>
      <x:c r="N8" s="7" t="str">
        <x:v>Plan de couverture ME2 à détailler séparément ; rien de cette liste n’est déclaré jouable.</x:v>
      </x:c>
      <x:c r="O8" s="7" t="str">
        <x:v>https://eaassets-a.akamaihd.net/eahelp/manuals/mass-effect-2-manuals_PC_fr.pdf</x:v>
      </x:c>
      <x:c r="P8" s="7" t="str">
        <x:v>Extension future</x:v>
      </x:c>
      <x:c r="Q8" s="7" t="str"/>
    </x:row>
    <x:row r="9" ht="36" customHeight="1">
      <x:c r="A9" s="13" t="str">
        <x:v>ME2-miranda-lawson</x:v>
      </x:c>
      <x:c r="B9" s="14" t="str">
        <x:v>Miranda Lawson</x:v>
      </x:c>
      <x:c r="C9" s="10" t="str">
        <x:v>Défini</x:v>
      </x:c>
      <x:c r="D9" s="11" t="str">
        <x:v>Non planifié</x:v>
      </x:c>
      <x:c r="E9" s="15" t="str">
        <x:v>P2</x:v>
      </x:c>
      <x:c r="F9" s="15" t="str">
        <x:v>ME2</x:v>
      </x:c>
      <x:c r="G9" s="15" t="str">
        <x:v>Référence à vérifier</x:v>
      </x:c>
      <x:c r="H9" s="14" t="str">
        <x:v>Compagnon et recruteuse de Cerberus.</x:v>
      </x:c>
      <x:c r="I9" s="14" t="str">
        <x:v>Tenue, pouvoirs et dialogues de ME2.</x:v>
      </x:c>
      <x:c r="J9" s="14" t="str"/>
      <x:c r="K9" s="14" t="str">
        <x:v>content/trilogy/ME2-miranda-lawson.json</x:v>
      </x:c>
      <x:c r="L9" s="14" t="str"/>
      <x:c r="M9" s="14" t="str"/>
      <x:c r="N9" s="14" t="str">
        <x:v>Plan de couverture ME2 à détailler séparément ; rien de cette liste n’est déclaré jouable.</x:v>
      </x:c>
      <x:c r="O9" s="14" t="str">
        <x:v>https://eaassets-a.akamaihd.net/eahelp/manuals/mass-effect-2-manuals_PC_fr.pdf</x:v>
      </x:c>
      <x:c r="P9" s="14" t="str">
        <x:v>Extension future</x:v>
      </x:c>
      <x:c r="Q9" s="14" t="str"/>
    </x:row>
    <x:row r="10" ht="36" customHeight="1">
      <x:c r="A10" s="12" t="str">
        <x:v>ME2-jacob-taylor</x:v>
      </x:c>
      <x:c r="B10" s="7" t="str">
        <x:v>Jacob Taylor</x:v>
      </x:c>
      <x:c r="C10" s="10" t="str">
        <x:v>Défini</x:v>
      </x:c>
      <x:c r="D10" s="11" t="str">
        <x:v>Non planifié</x:v>
      </x:c>
      <x:c r="E10" s="9" t="str">
        <x:v>P2</x:v>
      </x:c>
      <x:c r="F10" s="9" t="str">
        <x:v>ME2</x:v>
      </x:c>
      <x:c r="G10" s="9" t="str">
        <x:v>Référence à vérifier</x:v>
      </x:c>
      <x:c r="H10" s="7" t="str">
        <x:v>Compagnon militaire de Cerberus.</x:v>
      </x:c>
      <x:c r="I10" s="7" t="str">
        <x:v>Arbre propre à ME2.</x:v>
      </x:c>
      <x:c r="J10" s="7" t="str"/>
      <x:c r="K10" s="7" t="str">
        <x:v>content/trilogy/ME2-jacob-taylor.json</x:v>
      </x:c>
      <x:c r="L10" s="7" t="str"/>
      <x:c r="M10" s="7" t="str"/>
      <x:c r="N10" s="7" t="str">
        <x:v>Plan de couverture ME2 à détailler séparément ; rien de cette liste n’est déclaré jouable.</x:v>
      </x:c>
      <x:c r="O10" s="7" t="str">
        <x:v>https://eaassets-a.akamaihd.net/eahelp/manuals/mass-effect-2-manuals_PC_fr.pdf</x:v>
      </x:c>
      <x:c r="P10" s="7" t="str">
        <x:v>Extension future</x:v>
      </x:c>
      <x:c r="Q10" s="7" t="str"/>
    </x:row>
    <x:row r="11" ht="36" customHeight="1">
      <x:c r="A11" s="13" t="str">
        <x:v>ME2-mordin-solus</x:v>
      </x:c>
      <x:c r="B11" s="14" t="str">
        <x:v>Mordin Solus</x:v>
      </x:c>
      <x:c r="C11" s="10" t="str">
        <x:v>Défini</x:v>
      </x:c>
      <x:c r="D11" s="11" t="str">
        <x:v>Non planifié</x:v>
      </x:c>
      <x:c r="E11" s="15" t="str">
        <x:v>P2</x:v>
      </x:c>
      <x:c r="F11" s="15" t="str">
        <x:v>ME2</x:v>
      </x:c>
      <x:c r="G11" s="15" t="str">
        <x:v>Référence à vérifier</x:v>
      </x:c>
      <x:c r="H11" s="14" t="str">
        <x:v>Médecin galarien et recrutement.</x:v>
      </x:c>
      <x:c r="I11" s="14" t="str">
        <x:v>Mission personnelle et conséquences documentées.</x:v>
      </x:c>
      <x:c r="J11" s="14" t="str"/>
      <x:c r="K11" s="14" t="str">
        <x:v>content/trilogy/ME2-mordin-solus.json</x:v>
      </x:c>
      <x:c r="L11" s="14" t="str"/>
      <x:c r="M11" s="14" t="str"/>
      <x:c r="N11" s="14" t="str">
        <x:v>Plan de couverture ME2 à détailler séparément ; rien de cette liste n’est déclaré jouable.</x:v>
      </x:c>
      <x:c r="O11" s="14" t="str">
        <x:v>https://eaassets-a.akamaihd.net/eahelp/manuals/mass-effect-2-manuals_PC_fr.pdf</x:v>
      </x:c>
      <x:c r="P11" s="14" t="str">
        <x:v>Extension future</x:v>
      </x:c>
      <x:c r="Q11" s="14" t="str"/>
    </x:row>
    <x:row r="12" ht="36" customHeight="1">
      <x:c r="A12" s="12" t="str">
        <x:v>ME2-jack</x:v>
      </x:c>
      <x:c r="B12" s="7" t="str">
        <x:v>Jack</x:v>
      </x:c>
      <x:c r="C12" s="10" t="str">
        <x:v>Défini</x:v>
      </x:c>
      <x:c r="D12" s="11" t="str">
        <x:v>Non planifié</x:v>
      </x:c>
      <x:c r="E12" s="9" t="str">
        <x:v>P2</x:v>
      </x:c>
      <x:c r="F12" s="9" t="str">
        <x:v>ME2</x:v>
      </x:c>
      <x:c r="G12" s="9" t="str">
        <x:v>Référence à vérifier</x:v>
      </x:c>
      <x:c r="H12" s="7" t="str">
        <x:v>Biotique humaine et recrutement.</x:v>
      </x:c>
      <x:c r="I12" s="7" t="str">
        <x:v>Animations et tempérament spécifiques.</x:v>
      </x:c>
      <x:c r="J12" s="7" t="str"/>
      <x:c r="K12" s="7" t="str">
        <x:v>content/trilogy/ME2-jack.json</x:v>
      </x:c>
      <x:c r="L12" s="7" t="str"/>
      <x:c r="M12" s="7" t="str"/>
      <x:c r="N12" s="7" t="str">
        <x:v>Plan de couverture ME2 à détailler séparément ; rien de cette liste n’est déclaré jouable.</x:v>
      </x:c>
      <x:c r="O12" s="7" t="str">
        <x:v>https://eaassets-a.akamaihd.net/eahelp/manuals/mass-effect-2-manuals_PC_fr.pdf</x:v>
      </x:c>
      <x:c r="P12" s="7" t="str">
        <x:v>Extension future</x:v>
      </x:c>
      <x:c r="Q12" s="7" t="str"/>
    </x:row>
    <x:row r="13" ht="36" customHeight="1">
      <x:c r="A13" s="13" t="str">
        <x:v>ME2-grunt</x:v>
      </x:c>
      <x:c r="B13" s="14" t="str">
        <x:v>Grunt</x:v>
      </x:c>
      <x:c r="C13" s="10" t="str">
        <x:v>Défini</x:v>
      </x:c>
      <x:c r="D13" s="11" t="str">
        <x:v>Non planifié</x:v>
      </x:c>
      <x:c r="E13" s="15" t="str">
        <x:v>P2</x:v>
      </x:c>
      <x:c r="F13" s="15" t="str">
        <x:v>ME2</x:v>
      </x:c>
      <x:c r="G13" s="15" t="str">
        <x:v>Référence à vérifier</x:v>
      </x:c>
      <x:c r="H13" s="14" t="str">
        <x:v>Krogan de la nouvelle équipe.</x:v>
      </x:c>
      <x:c r="I13" s="14" t="str">
        <x:v>Ne pas réutiliser Wrex comme simple changement de couleur.</x:v>
      </x:c>
      <x:c r="J13" s="14" t="str"/>
      <x:c r="K13" s="14" t="str">
        <x:v>content/trilogy/ME2-grunt.json</x:v>
      </x:c>
      <x:c r="L13" s="14" t="str"/>
      <x:c r="M13" s="14" t="str"/>
      <x:c r="N13" s="14" t="str">
        <x:v>Plan de couverture ME2 à détailler séparément ; rien de cette liste n’est déclaré jouable.</x:v>
      </x:c>
      <x:c r="O13" s="14" t="str">
        <x:v>https://eaassets-a.akamaihd.net/eahelp/manuals/mass-effect-2-manuals_PC_fr.pdf</x:v>
      </x:c>
      <x:c r="P13" s="14" t="str">
        <x:v>Extension future</x:v>
      </x:c>
      <x:c r="Q13" s="14" t="str"/>
    </x:row>
    <x:row r="14" ht="36" customHeight="1">
      <x:c r="A14" s="12" t="str">
        <x:v>ME2-thane-krios</x:v>
      </x:c>
      <x:c r="B14" s="7" t="str">
        <x:v>Thane Krios</x:v>
      </x:c>
      <x:c r="C14" s="10" t="str">
        <x:v>Défini</x:v>
      </x:c>
      <x:c r="D14" s="11" t="str">
        <x:v>Non planifié</x:v>
      </x:c>
      <x:c r="E14" s="9" t="str">
        <x:v>P2</x:v>
      </x:c>
      <x:c r="F14" s="9" t="str">
        <x:v>ME2</x:v>
      </x:c>
      <x:c r="G14" s="9" t="str">
        <x:v>Référence à vérifier</x:v>
      </x:c>
      <x:c r="H14" s="7" t="str">
        <x:v>Assassin drell.</x:v>
      </x:c>
      <x:c r="I14" s="7" t="str">
        <x:v>Anatomie, gestes et pouvoirs propres.</x:v>
      </x:c>
      <x:c r="J14" s="7" t="str"/>
      <x:c r="K14" s="7" t="str">
        <x:v>content/trilogy/ME2-thane-krios.json</x:v>
      </x:c>
      <x:c r="L14" s="7" t="str"/>
      <x:c r="M14" s="7" t="str"/>
      <x:c r="N14" s="7" t="str">
        <x:v>Plan de couverture ME2 à détailler séparément ; rien de cette liste n’est déclaré jouable.</x:v>
      </x:c>
      <x:c r="O14" s="7" t="str">
        <x:v>https://eaassets-a.akamaihd.net/eahelp/manuals/mass-effect-2-manuals_PC_fr.pdf</x:v>
      </x:c>
      <x:c r="P14" s="7" t="str">
        <x:v>Extension future</x:v>
      </x:c>
      <x:c r="Q14" s="7" t="str"/>
    </x:row>
    <x:row r="15" ht="36" customHeight="1">
      <x:c r="A15" s="13" t="str">
        <x:v>ME2-samara</x:v>
      </x:c>
      <x:c r="B15" s="14" t="str">
        <x:v>Samara</x:v>
      </x:c>
      <x:c r="C15" s="10" t="str">
        <x:v>Défini</x:v>
      </x:c>
      <x:c r="D15" s="11" t="str">
        <x:v>Non planifié</x:v>
      </x:c>
      <x:c r="E15" s="15" t="str">
        <x:v>P2</x:v>
      </x:c>
      <x:c r="F15" s="15" t="str">
        <x:v>ME2</x:v>
      </x:c>
      <x:c r="G15" s="15" t="str">
        <x:v>Référence à vérifier</x:v>
      </x:c>
      <x:c r="H15" s="14" t="str">
        <x:v>Probatrice asari.</x:v>
      </x:c>
      <x:c r="I15" s="14" t="str">
        <x:v>Code moral et relation distincts.</x:v>
      </x:c>
      <x:c r="J15" s="14" t="str"/>
      <x:c r="K15" s="14" t="str">
        <x:v>content/trilogy/ME2-samara.json</x:v>
      </x:c>
      <x:c r="L15" s="14" t="str"/>
      <x:c r="M15" s="14" t="str"/>
      <x:c r="N15" s="14" t="str">
        <x:v>Plan de couverture ME2 à détailler séparément ; rien de cette liste n’est déclaré jouable.</x:v>
      </x:c>
      <x:c r="O15" s="14" t="str">
        <x:v>https://eaassets-a.akamaihd.net/eahelp/manuals/mass-effect-2-manuals_PC_fr.pdf</x:v>
      </x:c>
      <x:c r="P15" s="14" t="str">
        <x:v>Extension future</x:v>
      </x:c>
      <x:c r="Q15" s="14" t="str"/>
    </x:row>
    <x:row r="16" ht="36" customHeight="1">
      <x:c r="A16" s="12" t="str">
        <x:v>ME2-morinth</x:v>
      </x:c>
      <x:c r="B16" s="7" t="str">
        <x:v>Morinth</x:v>
      </x:c>
      <x:c r="C16" s="10" t="str">
        <x:v>Défini</x:v>
      </x:c>
      <x:c r="D16" s="11" t="str">
        <x:v>Non planifié</x:v>
      </x:c>
      <x:c r="E16" s="9" t="str">
        <x:v>P2</x:v>
      </x:c>
      <x:c r="F16" s="9" t="str">
        <x:v>ME2</x:v>
      </x:c>
      <x:c r="G16" s="9" t="str">
        <x:v>Référence à vérifier</x:v>
      </x:c>
      <x:c r="H16" s="7" t="str">
        <x:v>Alternative conditionnelle à Samara.</x:v>
      </x:c>
      <x:c r="I16" s="7" t="str">
        <x:v>Choix et identité dissimulée traités séparément.</x:v>
      </x:c>
      <x:c r="J16" s="7" t="str"/>
      <x:c r="K16" s="7" t="str">
        <x:v>content/trilogy/ME2-morinth.json</x:v>
      </x:c>
      <x:c r="L16" s="7" t="str"/>
      <x:c r="M16" s="7" t="str"/>
      <x:c r="N16" s="7" t="str">
        <x:v>Plan de couverture ME2 à détailler séparément ; rien de cette liste n’est déclaré jouable.</x:v>
      </x:c>
      <x:c r="O16" s="7" t="str">
        <x:v>https://eaassets-a.akamaihd.net/eahelp/manuals/mass-effect-2-manuals_PC_fr.pdf</x:v>
      </x:c>
      <x:c r="P16" s="7" t="str">
        <x:v>Extension future</x:v>
      </x:c>
      <x:c r="Q16" s="7" t="str"/>
    </x:row>
    <x:row r="17" ht="36" customHeight="1">
      <x:c r="A17" s="13" t="str">
        <x:v>ME2-legion</x:v>
      </x:c>
      <x:c r="B17" s="14" t="str">
        <x:v>Legion</x:v>
      </x:c>
      <x:c r="C17" s="10" t="str">
        <x:v>Défini</x:v>
      </x:c>
      <x:c r="D17" s="11" t="str">
        <x:v>Non planifié</x:v>
      </x:c>
      <x:c r="E17" s="15" t="str">
        <x:v>P2</x:v>
      </x:c>
      <x:c r="F17" s="15" t="str">
        <x:v>ME2</x:v>
      </x:c>
      <x:c r="G17" s="15" t="str">
        <x:v>Référence à vérifier</x:v>
      </x:c>
      <x:c r="H17" s="14" t="str">
        <x:v>Plateforme geth alliée.</x:v>
      </x:c>
      <x:c r="I17" s="14" t="str">
        <x:v>Révélations et recrutement au bon moment.</x:v>
      </x:c>
      <x:c r="J17" s="14" t="str"/>
      <x:c r="K17" s="14" t="str">
        <x:v>content/trilogy/ME2-legion.json</x:v>
      </x:c>
      <x:c r="L17" s="14" t="str"/>
      <x:c r="M17" s="14" t="str"/>
      <x:c r="N17" s="14" t="str">
        <x:v>Plan de couverture ME2 à détailler séparément ; rien de cette liste n’est déclaré jouable.</x:v>
      </x:c>
      <x:c r="O17" s="14" t="str">
        <x:v>https://eaassets-a.akamaihd.net/eahelp/manuals/mass-effect-2-manuals_PC_fr.pdf</x:v>
      </x:c>
      <x:c r="P17" s="14" t="str">
        <x:v>Extension future</x:v>
      </x:c>
      <x:c r="Q17" s="14" t="str"/>
    </x:row>
    <x:row r="18" ht="36" customHeight="1">
      <x:c r="A18" s="12" t="str">
        <x:v>ME2-zaeed-massani</x:v>
      </x:c>
      <x:c r="B18" s="7" t="str">
        <x:v>Zaeed Massani</x:v>
      </x:c>
      <x:c r="C18" s="10" t="str">
        <x:v>Défini</x:v>
      </x:c>
      <x:c r="D18" s="11" t="str">
        <x:v>Non planifié</x:v>
      </x:c>
      <x:c r="E18" s="9" t="str">
        <x:v>P2</x:v>
      </x:c>
      <x:c r="F18" s="9" t="str">
        <x:v>ME2</x:v>
      </x:c>
      <x:c r="G18" s="9" t="str">
        <x:v>Référence à vérifier</x:v>
      </x:c>
      <x:c r="H18" s="7" t="str">
        <x:v>Recrutement et mission de DLC.</x:v>
      </x:c>
      <x:c r="I18" s="7" t="str">
        <x:v>Contenu séparé avec source de référence.</x:v>
      </x:c>
      <x:c r="J18" s="7" t="str"/>
      <x:c r="K18" s="7" t="str">
        <x:v>content/trilogy/ME2-zaeed-massani.json</x:v>
      </x:c>
      <x:c r="L18" s="7" t="str"/>
      <x:c r="M18" s="7" t="str"/>
      <x:c r="N18" s="7" t="str">
        <x:v>Plan de couverture ME2 à détailler séparément ; rien de cette liste n’est déclaré jouable.</x:v>
      </x:c>
      <x:c r="O18" s="7" t="str">
        <x:v>https://eaassets-a.akamaihd.net/eahelp/manuals/mass-effect-2-manuals_PC_fr.pdf</x:v>
      </x:c>
      <x:c r="P18" s="7" t="str">
        <x:v>Extension future</x:v>
      </x:c>
      <x:c r="Q18" s="7" t="str"/>
    </x:row>
    <x:row r="19" ht="36" customHeight="1">
      <x:c r="A19" s="13" t="str">
        <x:v>ME2-kasumi-goto</x:v>
      </x:c>
      <x:c r="B19" s="14" t="str">
        <x:v>Kasumi Goto</x:v>
      </x:c>
      <x:c r="C19" s="10" t="str">
        <x:v>Défini</x:v>
      </x:c>
      <x:c r="D19" s="11" t="str">
        <x:v>Non planifié</x:v>
      </x:c>
      <x:c r="E19" s="15" t="str">
        <x:v>P2</x:v>
      </x:c>
      <x:c r="F19" s="15" t="str">
        <x:v>ME2</x:v>
      </x:c>
      <x:c r="G19" s="15" t="str">
        <x:v>Référence à vérifier</x:v>
      </x:c>
      <x:c r="H19" s="14" t="str">
        <x:v>Recrutement et mission de DLC.</x:v>
      </x:c>
      <x:c r="I19" s="14" t="str">
        <x:v>Dissimulation et costume fidèles à l’épisode.</x:v>
      </x:c>
      <x:c r="J19" s="14" t="str"/>
      <x:c r="K19" s="14" t="str">
        <x:v>content/trilogy/ME2-kasumi-goto.json</x:v>
      </x:c>
      <x:c r="L19" s="14" t="str"/>
      <x:c r="M19" s="14" t="str"/>
      <x:c r="N19" s="14" t="str">
        <x:v>Plan de couverture ME2 à détailler séparément ; rien de cette liste n’est déclaré jouable.</x:v>
      </x:c>
      <x:c r="O19" s="14" t="str">
        <x:v>https://eaassets-a.akamaihd.net/eahelp/manuals/mass-effect-2-manuals_PC_fr.pdf</x:v>
      </x:c>
      <x:c r="P19" s="14" t="str">
        <x:v>Extension future</x:v>
      </x:c>
      <x:c r="Q19" s="14" t="str"/>
    </x:row>
    <x:row r="20" ht="36" customHeight="1">
      <x:c r="A20" s="12" t="str">
        <x:v>ME2-garrus-archangel</x:v>
      </x:c>
      <x:c r="B20" s="7" t="str">
        <x:v>Garrus Archangel</x:v>
      </x:c>
      <x:c r="C20" s="10" t="str">
        <x:v>Défini</x:v>
      </x:c>
      <x:c r="D20" s="11" t="str">
        <x:v>Non planifié</x:v>
      </x:c>
      <x:c r="E20" s="9" t="str">
        <x:v>P2</x:v>
      </x:c>
      <x:c r="F20" s="9" t="str">
        <x:v>ME2</x:v>
      </x:c>
      <x:c r="G20" s="9" t="str">
        <x:v>Référence à vérifier</x:v>
      </x:c>
      <x:c r="H20" s="7" t="str">
        <x:v>Retour et identité sur Omega.</x:v>
      </x:c>
      <x:c r="I20" s="7" t="str">
        <x:v>Blessures et apparence de ME2 distinctes du premier jeu.</x:v>
      </x:c>
      <x:c r="J20" s="7" t="str"/>
      <x:c r="K20" s="7" t="str">
        <x:v>content/trilogy/ME2-garrus-archangel.json</x:v>
      </x:c>
      <x:c r="L20" s="7" t="str"/>
      <x:c r="M20" s="7" t="str"/>
      <x:c r="N20" s="7" t="str">
        <x:v>Plan de couverture ME2 à détailler séparément ; rien de cette liste n’est déclaré jouable.</x:v>
      </x:c>
      <x:c r="O20" s="7" t="str">
        <x:v>https://eaassets-a.akamaihd.net/eahelp/manuals/mass-effect-2-manuals_PC_fr.pdf</x:v>
      </x:c>
      <x:c r="P20" s="7" t="str">
        <x:v>Extension future</x:v>
      </x:c>
      <x:c r="Q20" s="7" t="str"/>
    </x:row>
    <x:row r="21" ht="36" customHeight="1">
      <x:c r="A21" s="13" t="str">
        <x:v>ME2-tali-vas-neema</x:v>
      </x:c>
      <x:c r="B21" s="14" t="str">
        <x:v>Tali vas Neema</x:v>
      </x:c>
      <x:c r="C21" s="10" t="str">
        <x:v>Défini</x:v>
      </x:c>
      <x:c r="D21" s="11" t="str">
        <x:v>Non planifié</x:v>
      </x:c>
      <x:c r="E21" s="15" t="str">
        <x:v>P2</x:v>
      </x:c>
      <x:c r="F21" s="15" t="str">
        <x:v>ME2</x:v>
      </x:c>
      <x:c r="G21" s="15" t="str">
        <x:v>Référence à vérifier</x:v>
      </x:c>
      <x:c r="H21" s="14" t="str">
        <x:v>Retour de Tali et contexte de la flotte.</x:v>
      </x:c>
      <x:c r="I21" s="14" t="str">
        <x:v>Nom et progression de sa mission vérifiés.</x:v>
      </x:c>
      <x:c r="J21" s="14" t="str"/>
      <x:c r="K21" s="14" t="str">
        <x:v>content/trilogy/ME2-tali-vas-neema.json</x:v>
      </x:c>
      <x:c r="L21" s="14" t="str"/>
      <x:c r="M21" s="14" t="str"/>
      <x:c r="N21" s="14" t="str">
        <x:v>Plan de couverture ME2 à détailler séparément ; rien de cette liste n’est déclaré jouable.</x:v>
      </x:c>
      <x:c r="O21" s="14" t="str">
        <x:v>https://eaassets-a.akamaihd.net/eahelp/manuals/mass-effect-2-manuals_PC_fr.pdf</x:v>
      </x:c>
      <x:c r="P21" s="14" t="str">
        <x:v>Extension future</x:v>
      </x:c>
      <x:c r="Q21" s="14" t="str"/>
    </x:row>
    <x:row r="22" ht="36" customHeight="1">
      <x:c r="A22" s="12" t="str">
        <x:v>ME2-edi-sr-2</x:v>
      </x:c>
      <x:c r="B22" s="7" t="str">
        <x:v>EDI SR-2</x:v>
      </x:c>
      <x:c r="C22" s="10" t="str">
        <x:v>Défini</x:v>
      </x:c>
      <x:c r="D22" s="11" t="str">
        <x:v>Non planifié</x:v>
      </x:c>
      <x:c r="E22" s="9" t="str">
        <x:v>P2</x:v>
      </x:c>
      <x:c r="F22" s="9" t="str">
        <x:v>ME2</x:v>
      </x:c>
      <x:c r="G22" s="9" t="str">
        <x:v>Référence à vérifier</x:v>
      </x:c>
      <x:c r="H22" s="7" t="str">
        <x:v>Intelligence du vaisseau.</x:v>
      </x:c>
      <x:c r="I22" s="7" t="str">
        <x:v>Pas de corps humanoïde de ME3 dans cette période.</x:v>
      </x:c>
      <x:c r="J22" s="7" t="str"/>
      <x:c r="K22" s="7" t="str">
        <x:v>content/trilogy/ME2-edi-sr-2.json</x:v>
      </x:c>
      <x:c r="L22" s="7" t="str"/>
      <x:c r="M22" s="7" t="str"/>
      <x:c r="N22" s="7" t="str">
        <x:v>Plan de couverture ME2 à détailler séparément ; rien de cette liste n’est déclaré jouable.</x:v>
      </x:c>
      <x:c r="O22" s="7" t="str">
        <x:v>https://eaassets-a.akamaihd.net/eahelp/manuals/mass-effect-2-manuals_PC_fr.pdf</x:v>
      </x:c>
      <x:c r="P22" s="7" t="str">
        <x:v>Extension future</x:v>
      </x:c>
      <x:c r="Q22" s="7" t="str"/>
    </x:row>
    <x:row r="23" ht="36" customHeight="1">
      <x:c r="A23" s="13" t="str">
        <x:v>ME2-homme-trouble</x:v>
      </x:c>
      <x:c r="B23" s="14" t="str">
        <x:v>Homme Trouble</x:v>
      </x:c>
      <x:c r="C23" s="10" t="str">
        <x:v>Défini</x:v>
      </x:c>
      <x:c r="D23" s="11" t="str">
        <x:v>Non planifié</x:v>
      </x:c>
      <x:c r="E23" s="15" t="str">
        <x:v>P2</x:v>
      </x:c>
      <x:c r="F23" s="15" t="str">
        <x:v>ME2</x:v>
      </x:c>
      <x:c r="G23" s="15" t="str">
        <x:v>Référence à vérifier</x:v>
      </x:c>
      <x:c r="H23" s="14" t="str">
        <x:v>Commanditaire et conflit d’intérêts.</x:v>
      </x:c>
      <x:c r="I23" s="14" t="str">
        <x:v>Cadrage et réactions selon la progression.</x:v>
      </x:c>
      <x:c r="J23" s="14" t="str"/>
      <x:c r="K23" s="14" t="str">
        <x:v>content/trilogy/ME2-homme-trouble.json</x:v>
      </x:c>
      <x:c r="L23" s="14" t="str"/>
      <x:c r="M23" s="14" t="str"/>
      <x:c r="N23" s="14" t="str">
        <x:v>Plan de couverture ME2 à détailler séparément ; rien de cette liste n’est déclaré jouable.</x:v>
      </x:c>
      <x:c r="O23" s="14" t="str">
        <x:v>https://eaassets-a.akamaihd.net/eahelp/manuals/mass-effect-2-manuals_PC_fr.pdf</x:v>
      </x:c>
      <x:c r="P23" s="14" t="str">
        <x:v>Extension future</x:v>
      </x:c>
      <x:c r="Q23" s="14" t="str"/>
    </x:row>
    <x:row r="24" ht="36" customHeight="1">
      <x:c r="A24" s="12" t="str">
        <x:v>ME2-omega</x:v>
      </x:c>
      <x:c r="B24" s="7" t="str">
        <x:v>Omega</x:v>
      </x:c>
      <x:c r="C24" s="10" t="str">
        <x:v>Défini</x:v>
      </x:c>
      <x:c r="D24" s="11" t="str">
        <x:v>Non planifié</x:v>
      </x:c>
      <x:c r="E24" s="9" t="str">
        <x:v>P2</x:v>
      </x:c>
      <x:c r="F24" s="9" t="str">
        <x:v>ME2</x:v>
      </x:c>
      <x:c r="G24" s="9" t="str">
        <x:v>Référence à vérifier</x:v>
      </x:c>
      <x:c r="H24" s="7" t="str">
        <x:v>Hub de station criminelle.</x:v>
      </x:c>
      <x:c r="I24" s="7" t="str">
        <x:v>Afterlife et quartiers cartographiés séparément.</x:v>
      </x:c>
      <x:c r="J24" s="7" t="str"/>
      <x:c r="K24" s="7" t="str">
        <x:v>content/trilogy/ME2-omega.json</x:v>
      </x:c>
      <x:c r="L24" s="7" t="str"/>
      <x:c r="M24" s="7" t="str"/>
      <x:c r="N24" s="7" t="str">
        <x:v>Plan de couverture ME2 à détailler séparément ; rien de cette liste n’est déclaré jouable.</x:v>
      </x:c>
      <x:c r="O24" s="7" t="str">
        <x:v>https://eaassets-a.akamaihd.net/eahelp/manuals/mass-effect-2-manuals_PC_fr.pdf</x:v>
      </x:c>
      <x:c r="P24" s="7" t="str">
        <x:v>Extension future</x:v>
      </x:c>
      <x:c r="Q24" s="7" t="str"/>
    </x:row>
    <x:row r="25" ht="36" customHeight="1">
      <x:c r="A25" s="13" t="str">
        <x:v>ME2-illium</x:v>
      </x:c>
      <x:c r="B25" s="14" t="str">
        <x:v>Illium</x:v>
      </x:c>
      <x:c r="C25" s="10" t="str">
        <x:v>Défini</x:v>
      </x:c>
      <x:c r="D25" s="11" t="str">
        <x:v>Non planifié</x:v>
      </x:c>
      <x:c r="E25" s="15" t="str">
        <x:v>P2</x:v>
      </x:c>
      <x:c r="F25" s="15" t="str">
        <x:v>ME2</x:v>
      </x:c>
      <x:c r="G25" s="15" t="str">
        <x:v>Référence à vérifier</x:v>
      </x:c>
      <x:c r="H25" s="14" t="str">
        <x:v>Hub asari commercial.</x:v>
      </x:c>
      <x:c r="I25" s="14" t="str">
        <x:v>Architecture et enjeux propres à l’épisode.</x:v>
      </x:c>
      <x:c r="J25" s="14" t="str"/>
      <x:c r="K25" s="14" t="str">
        <x:v>content/trilogy/ME2-illium.json</x:v>
      </x:c>
      <x:c r="L25" s="14" t="str"/>
      <x:c r="M25" s="14" t="str"/>
      <x:c r="N25" s="14" t="str">
        <x:v>Plan de couverture ME2 à détailler séparément ; rien de cette liste n’est déclaré jouable.</x:v>
      </x:c>
      <x:c r="O25" s="14" t="str">
        <x:v>https://eaassets-a.akamaihd.net/eahelp/manuals/mass-effect-2-manuals_PC_fr.pdf</x:v>
      </x:c>
      <x:c r="P25" s="14" t="str">
        <x:v>Extension future</x:v>
      </x:c>
      <x:c r="Q25" s="14" t="str"/>
    </x:row>
    <x:row r="26" ht="36" customHeight="1">
      <x:c r="A26" s="12" t="str">
        <x:v>ME2-tuchanka</x:v>
      </x:c>
      <x:c r="B26" s="7" t="str">
        <x:v>Tuchanka</x:v>
      </x:c>
      <x:c r="C26" s="10" t="str">
        <x:v>Défini</x:v>
      </x:c>
      <x:c r="D26" s="11" t="str">
        <x:v>Non planifié</x:v>
      </x:c>
      <x:c r="E26" s="9" t="str">
        <x:v>P2</x:v>
      </x:c>
      <x:c r="F26" s="9" t="str">
        <x:v>ME2</x:v>
      </x:c>
      <x:c r="G26" s="9" t="str">
        <x:v>Référence à vérifier</x:v>
      </x:c>
      <x:c r="H26" s="7" t="str">
        <x:v>Monde krogan visitable.</x:v>
      </x:c>
      <x:c r="I26" s="7" t="str">
        <x:v>Clans et situation de Wrex liés à l’import.</x:v>
      </x:c>
      <x:c r="J26" s="7" t="str"/>
      <x:c r="K26" s="7" t="str">
        <x:v>content/trilogy/ME2-tuchanka.json</x:v>
      </x:c>
      <x:c r="L26" s="7" t="str"/>
      <x:c r="M26" s="7" t="str"/>
      <x:c r="N26" s="7" t="str">
        <x:v>Plan de couverture ME2 à détailler séparément ; rien de cette liste n’est déclaré jouable.</x:v>
      </x:c>
      <x:c r="O26" s="7" t="str">
        <x:v>https://eaassets-a.akamaihd.net/eahelp/manuals/mass-effect-2-manuals_PC_fr.pdf</x:v>
      </x:c>
      <x:c r="P26" s="7" t="str">
        <x:v>Extension future</x:v>
      </x:c>
      <x:c r="Q26" s="7" t="str"/>
    </x:row>
    <x:row r="27" ht="36" customHeight="1">
      <x:c r="A27" s="13" t="str">
        <x:v>ME2-flotte-nomade-me2</x:v>
      </x:c>
      <x:c r="B27" s="14" t="str">
        <x:v>Flotte nomade ME2</x:v>
      </x:c>
      <x:c r="C27" s="10" t="str">
        <x:v>Défini</x:v>
      </x:c>
      <x:c r="D27" s="11" t="str">
        <x:v>Non planifié</x:v>
      </x:c>
      <x:c r="E27" s="15" t="str">
        <x:v>P2</x:v>
      </x:c>
      <x:c r="F27" s="15" t="str">
        <x:v>ME2</x:v>
      </x:c>
      <x:c r="G27" s="15" t="str">
        <x:v>Référence à vérifier</x:v>
      </x:c>
      <x:c r="H27" s="14" t="str">
        <x:v>Procès de Tali et installations.</x:v>
      </x:c>
      <x:c r="I27" s="14" t="str">
        <x:v>Condition de mission et sécurité des Quariens.</x:v>
      </x:c>
      <x:c r="J27" s="14" t="str"/>
      <x:c r="K27" s="14" t="str">
        <x:v>content/trilogy/ME2-flotte-nomade-me2.json</x:v>
      </x:c>
      <x:c r="L27" s="14" t="str"/>
      <x:c r="M27" s="14" t="str"/>
      <x:c r="N27" s="14" t="str">
        <x:v>Plan de couverture ME2 à détailler séparément ; rien de cette liste n’est déclaré jouable.</x:v>
      </x:c>
      <x:c r="O27" s="14" t="str">
        <x:v>https://eaassets-a.akamaihd.net/eahelp/manuals/mass-effect-2-manuals_PC_fr.pdf</x:v>
      </x:c>
      <x:c r="P27" s="14" t="str">
        <x:v>Extension future</x:v>
      </x:c>
      <x:c r="Q27" s="14" t="str"/>
    </x:row>
    <x:row r="28" ht="36" customHeight="1">
      <x:c r="A28" s="12" t="str">
        <x:v>ME2-horizon</x:v>
      </x:c>
      <x:c r="B28" s="7" t="str">
        <x:v>Horizon</x:v>
      </x:c>
      <x:c r="C28" s="10" t="str">
        <x:v>Défini</x:v>
      </x:c>
      <x:c r="D28" s="11" t="str">
        <x:v>Non planifié</x:v>
      </x:c>
      <x:c r="E28" s="9" t="str">
        <x:v>P2</x:v>
      </x:c>
      <x:c r="F28" s="9" t="str">
        <x:v>ME2</x:v>
      </x:c>
      <x:c r="G28" s="9" t="str">
        <x:v>Référence à vérifier</x:v>
      </x:c>
      <x:c r="H28" s="7" t="str">
        <x:v>Mission principale liée aux disparitions.</x:v>
      </x:c>
      <x:c r="I28" s="7" t="str">
        <x:v>Rencontre du survivant de Virmire selon import.</x:v>
      </x:c>
      <x:c r="J28" s="7" t="str"/>
      <x:c r="K28" s="7" t="str">
        <x:v>content/trilogy/ME2-horizon.json</x:v>
      </x:c>
      <x:c r="L28" s="7" t="str"/>
      <x:c r="M28" s="7" t="str"/>
      <x:c r="N28" s="7" t="str">
        <x:v>Plan de couverture ME2 à détailler séparément ; rien de cette liste n’est déclaré jouable.</x:v>
      </x:c>
      <x:c r="O28" s="7" t="str">
        <x:v>https://eaassets-a.akamaihd.net/eahelp/manuals/mass-effect-2-manuals_PC_fr.pdf</x:v>
      </x:c>
      <x:c r="P28" s="7" t="str">
        <x:v>Extension future</x:v>
      </x:c>
      <x:c r="Q28" s="7" t="str"/>
    </x:row>
    <x:row r="29" ht="36" customHeight="1">
      <x:c r="A29" s="13" t="str">
        <x:v>ME2-vaisseau-recolteur</x:v>
      </x:c>
      <x:c r="B29" s="14" t="str">
        <x:v>Vaisseau Récolteur</x:v>
      </x:c>
      <x:c r="C29" s="10" t="str">
        <x:v>Défini</x:v>
      </x:c>
      <x:c r="D29" s="11" t="str">
        <x:v>Non planifié</x:v>
      </x:c>
      <x:c r="E29" s="15" t="str">
        <x:v>P2</x:v>
      </x:c>
      <x:c r="F29" s="15" t="str">
        <x:v>ME2</x:v>
      </x:c>
      <x:c r="G29" s="15" t="str">
        <x:v>Référence à vérifier</x:v>
      </x:c>
      <x:c r="H29" s="14" t="str">
        <x:v>Mission d’enquête et combat.</x:v>
      </x:c>
      <x:c r="I29" s="14" t="str">
        <x:v>Bestiaire et architecture spécifiques.</x:v>
      </x:c>
      <x:c r="J29" s="14" t="str"/>
      <x:c r="K29" s="14" t="str">
        <x:v>content/trilogy/ME2-vaisseau-recolteur.json</x:v>
      </x:c>
      <x:c r="L29" s="14" t="str"/>
      <x:c r="M29" s="14" t="str"/>
      <x:c r="N29" s="14" t="str">
        <x:v>Plan de couverture ME2 à détailler séparément ; rien de cette liste n’est déclaré jouable.</x:v>
      </x:c>
      <x:c r="O29" s="14" t="str">
        <x:v>https://eaassets-a.akamaihd.net/eahelp/manuals/mass-effect-2-manuals_PC_fr.pdf</x:v>
      </x:c>
      <x:c r="P29" s="14" t="str">
        <x:v>Extension future</x:v>
      </x:c>
      <x:c r="Q29" s="14" t="str"/>
    </x:row>
    <x:row r="30" ht="36" customHeight="1">
      <x:c r="A30" s="12" t="str">
        <x:v>ME2-reaper-abandonne</x:v>
      </x:c>
      <x:c r="B30" s="7" t="str">
        <x:v>Reaper abandonné</x:v>
      </x:c>
      <x:c r="C30" s="10" t="str">
        <x:v>Défini</x:v>
      </x:c>
      <x:c r="D30" s="11" t="str">
        <x:v>Non planifié</x:v>
      </x:c>
      <x:c r="E30" s="9" t="str">
        <x:v>P2</x:v>
      </x:c>
      <x:c r="F30" s="9" t="str">
        <x:v>ME2</x:v>
      </x:c>
      <x:c r="G30" s="9" t="str">
        <x:v>Référence à vérifier</x:v>
      </x:c>
      <x:c r="H30" s="7" t="str">
        <x:v>Mission d’acquisition du système IFF.</x:v>
      </x:c>
      <x:c r="I30" s="7" t="str">
        <x:v>Révélations et déclencheurs de la suite.</x:v>
      </x:c>
      <x:c r="J30" s="7" t="str"/>
      <x:c r="K30" s="7" t="str">
        <x:v>content/trilogy/ME2-reaper-abandonne.json</x:v>
      </x:c>
      <x:c r="L30" s="7" t="str"/>
      <x:c r="M30" s="7" t="str"/>
      <x:c r="N30" s="7" t="str">
        <x:v>Plan de couverture ME2 à détailler séparément ; rien de cette liste n’est déclaré jouable.</x:v>
      </x:c>
      <x:c r="O30" s="7" t="str">
        <x:v>https://eaassets-a.akamaihd.net/eahelp/manuals/mass-effect-2-manuals_PC_fr.pdf</x:v>
      </x:c>
      <x:c r="P30" s="7" t="str">
        <x:v>Extension future</x:v>
      </x:c>
      <x:c r="Q30" s="7" t="str"/>
    </x:row>
    <x:row r="31" ht="36" customHeight="1">
      <x:c r="A31" s="13" t="str">
        <x:v>ME2-mission-suicide</x:v>
      </x:c>
      <x:c r="B31" s="14" t="str">
        <x:v>Mission suicide</x:v>
      </x:c>
      <x:c r="C31" s="10" t="str">
        <x:v>Défini</x:v>
      </x:c>
      <x:c r="D31" s="11" t="str">
        <x:v>Non planifié</x:v>
      </x:c>
      <x:c r="E31" s="15" t="str">
        <x:v>P2</x:v>
      </x:c>
      <x:c r="F31" s="15" t="str">
        <x:v>ME2</x:v>
      </x:c>
      <x:c r="G31" s="15" t="str">
        <x:v>Référence à vérifier</x:v>
      </x:c>
      <x:c r="H31" s="14" t="str">
        <x:v>Attribution des rôles et conséquences.</x:v>
      </x:c>
      <x:c r="I31" s="14" t="str">
        <x:v>Survie liée aux loyautés, choix et améliorations.</x:v>
      </x:c>
      <x:c r="J31" s="14" t="str"/>
      <x:c r="K31" s="14" t="str">
        <x:v>content/trilogy/ME2-mission-suicide.json</x:v>
      </x:c>
      <x:c r="L31" s="14" t="str"/>
      <x:c r="M31" s="14" t="str"/>
      <x:c r="N31" s="14" t="str">
        <x:v>Plan de couverture ME2 à détailler séparément ; rien de cette liste n’est déclaré jouable.</x:v>
      </x:c>
      <x:c r="O31" s="14" t="str">
        <x:v>https://eaassets-a.akamaihd.net/eahelp/manuals/mass-effect-2-manuals_PC_fr.pdf</x:v>
      </x:c>
      <x:c r="P31" s="14" t="str">
        <x:v>Extension future</x:v>
      </x:c>
      <x:c r="Q31" s="14" t="str"/>
    </x:row>
    <x:row r="32" ht="36" customHeight="1">
      <x:c r="A32" s="12" t="str">
        <x:v>ME2-cartouches-thermiques</x:v>
      </x:c>
      <x:c r="B32" s="7" t="str">
        <x:v>Cartouches thermiques</x:v>
      </x:c>
      <x:c r="C32" s="10" t="str">
        <x:v>Défini</x:v>
      </x:c>
      <x:c r="D32" s="11" t="str">
        <x:v>Non planifié</x:v>
      </x:c>
      <x:c r="E32" s="9" t="str">
        <x:v>P2</x:v>
      </x:c>
      <x:c r="F32" s="9" t="str">
        <x:v>ME2</x:v>
      </x:c>
      <x:c r="G32" s="9" t="str">
        <x:v>Référence à vérifier</x:v>
      </x:c>
      <x:c r="H32" s="7" t="str">
        <x:v>Système d’armes propre à ME2.</x:v>
      </x:c>
      <x:c r="I32" s="7" t="str">
        <x:v>Règle séparée de la chaleur de ME1.</x:v>
      </x:c>
      <x:c r="J32" s="7" t="str"/>
      <x:c r="K32" s="7" t="str">
        <x:v>content/trilogy/ME2-cartouches-thermiques.json</x:v>
      </x:c>
      <x:c r="L32" s="7" t="str"/>
      <x:c r="M32" s="7" t="str"/>
      <x:c r="N32" s="7" t="str">
        <x:v>Plan de couverture ME2 à détailler séparément ; rien de cette liste n’est déclaré jouable.</x:v>
      </x:c>
      <x:c r="O32" s="7" t="str">
        <x:v>https://eaassets-a.akamaihd.net/eahelp/manuals/mass-effect-2-manuals_PC_fr.pdf</x:v>
      </x:c>
      <x:c r="P32" s="7" t="str">
        <x:v>Extension future</x:v>
      </x:c>
      <x:c r="Q32" s="7" t="str"/>
    </x:row>
    <x:row r="33" ht="36" customHeight="1">
      <x:c r="A33" s="13" t="str">
        <x:v>ME2-charge-biotique</x:v>
      </x:c>
      <x:c r="B33" s="14" t="str">
        <x:v>Charge biotique</x:v>
      </x:c>
      <x:c r="C33" s="10" t="str">
        <x:v>Défini</x:v>
      </x:c>
      <x:c r="D33" s="11" t="str">
        <x:v>Non planifié</x:v>
      </x:c>
      <x:c r="E33" s="15" t="str">
        <x:v>P2</x:v>
      </x:c>
      <x:c r="F33" s="15" t="str">
        <x:v>ME2</x:v>
      </x:c>
      <x:c r="G33" s="15" t="str">
        <x:v>Référence à vérifier</x:v>
      </x:c>
      <x:c r="H33" s="14" t="str">
        <x:v>Pouvoir signature du Porte-étendard ME2.</x:v>
      </x:c>
      <x:c r="I33" s="14" t="str">
        <x:v>Déplacement et risque adaptés à l’ATB.</x:v>
      </x:c>
      <x:c r="J33" s="14" t="str"/>
      <x:c r="K33" s="14" t="str">
        <x:v>content/trilogy/ME2-charge-biotique.json</x:v>
      </x:c>
      <x:c r="L33" s="14" t="str"/>
      <x:c r="M33" s="14" t="str"/>
      <x:c r="N33" s="14" t="str">
        <x:v>Plan de couverture ME2 à détailler séparément ; rien de cette liste n’est déclaré jouable.</x:v>
      </x:c>
      <x:c r="O33" s="14" t="str">
        <x:v>https://eaassets-a.akamaihd.net/eahelp/manuals/mass-effect-2-manuals_PC_fr.pdf</x:v>
      </x:c>
      <x:c r="P33" s="14" t="str">
        <x:v>Extension future</x:v>
      </x:c>
      <x:c r="Q33" s="14" t="str"/>
    </x:row>
    <x:row r="34" ht="36" customHeight="1">
      <x:c r="A34" s="12" t="str">
        <x:v>ME2-camouflage-tactique</x:v>
      </x:c>
      <x:c r="B34" s="7" t="str">
        <x:v>Camouflage tactique</x:v>
      </x:c>
      <x:c r="C34" s="10" t="str">
        <x:v>Défini</x:v>
      </x:c>
      <x:c r="D34" s="11" t="str">
        <x:v>Non planifié</x:v>
      </x:c>
      <x:c r="E34" s="9" t="str">
        <x:v>P2</x:v>
      </x:c>
      <x:c r="F34" s="9" t="str">
        <x:v>ME2</x:v>
      </x:c>
      <x:c r="G34" s="9" t="str">
        <x:v>Référence à vérifier</x:v>
      </x:c>
      <x:c r="H34" s="7" t="str">
        <x:v>Pouvoir signature du Franc-tireur ME2.</x:v>
      </x:c>
      <x:c r="I34" s="7" t="str">
        <x:v>Visibilité et bonus limités dans le temps.</x:v>
      </x:c>
      <x:c r="J34" s="7" t="str"/>
      <x:c r="K34" s="7" t="str">
        <x:v>content/trilogy/ME2-camouflage-tactique.json</x:v>
      </x:c>
      <x:c r="L34" s="7" t="str"/>
      <x:c r="M34" s="7" t="str"/>
      <x:c r="N34" s="7" t="str">
        <x:v>Plan de couverture ME2 à détailler séparément ; rien de cette liste n’est déclaré jouable.</x:v>
      </x:c>
      <x:c r="O34" s="7" t="str">
        <x:v>https://eaassets-a.akamaihd.net/eahelp/manuals/mass-effect-2-manuals_PC_fr.pdf</x:v>
      </x:c>
      <x:c r="P34" s="7" t="str">
        <x:v>Extension future</x:v>
      </x:c>
      <x:c r="Q34" s="7" t="str"/>
    </x:row>
    <x:row r="35" ht="36" customHeight="1">
      <x:c r="A35" s="13" t="str">
        <x:v>ME2-technoblindage</x:v>
      </x:c>
      <x:c r="B35" s="14" t="str">
        <x:v>Technoblindage</x:v>
      </x:c>
      <x:c r="C35" s="10" t="str">
        <x:v>Défini</x:v>
      </x:c>
      <x:c r="D35" s="11" t="str">
        <x:v>Non planifié</x:v>
      </x:c>
      <x:c r="E35" s="15" t="str">
        <x:v>P2</x:v>
      </x:c>
      <x:c r="F35" s="15" t="str">
        <x:v>ME2</x:v>
      </x:c>
      <x:c r="G35" s="15" t="str">
        <x:v>Référence à vérifier</x:v>
      </x:c>
      <x:c r="H35" s="14" t="str">
        <x:v>Pouvoir signature de la Sentinelle ME2.</x:v>
      </x:c>
      <x:c r="I35" s="14" t="str">
        <x:v>Défense et détonation documentées.</x:v>
      </x:c>
      <x:c r="J35" s="14" t="str"/>
      <x:c r="K35" s="14" t="str">
        <x:v>content/trilogy/ME2-technoblindage.json</x:v>
      </x:c>
      <x:c r="L35" s="14" t="str"/>
      <x:c r="M35" s="14" t="str"/>
      <x:c r="N35" s="14" t="str">
        <x:v>Plan de couverture ME2 à détailler séparément ; rien de cette liste n’est déclaré jouable.</x:v>
      </x:c>
      <x:c r="O35" s="14" t="str">
        <x:v>https://eaassets-a.akamaihd.net/eahelp/manuals/mass-effect-2-manuals_PC_fr.pdf</x:v>
      </x:c>
      <x:c r="P35" s="14" t="str">
        <x:v>Extension future</x:v>
      </x:c>
      <x:c r="Q35" s="14" t="str"/>
    </x:row>
    <x:row r="36" ht="36" customHeight="1">
      <x:c r="A36" s="12" t="str">
        <x:v>ME2-drone-de-combat</x:v>
      </x:c>
      <x:c r="B36" s="7" t="str">
        <x:v>Drone de combat</x:v>
      </x:c>
      <x:c r="C36" s="10" t="str">
        <x:v>Défini</x:v>
      </x:c>
      <x:c r="D36" s="11" t="str">
        <x:v>Non planifié</x:v>
      </x:c>
      <x:c r="E36" s="9" t="str">
        <x:v>P2</x:v>
      </x:c>
      <x:c r="F36" s="9" t="str">
        <x:v>ME2</x:v>
      </x:c>
      <x:c r="G36" s="9" t="str">
        <x:v>Référence à vérifier</x:v>
      </x:c>
      <x:c r="H36" s="7" t="str">
        <x:v>Pouvoir signature de l’Ingénieur ME2.</x:v>
      </x:c>
      <x:c r="I36" s="7" t="str">
        <x:v>Invocation technologique avec durée et cible.</x:v>
      </x:c>
      <x:c r="J36" s="7" t="str"/>
      <x:c r="K36" s="7" t="str">
        <x:v>content/trilogy/ME2-drone-de-combat.json</x:v>
      </x:c>
      <x:c r="L36" s="7" t="str"/>
      <x:c r="M36" s="7" t="str"/>
      <x:c r="N36" s="7" t="str">
        <x:v>Plan de couverture ME2 à détailler séparément ; rien de cette liste n’est déclaré jouable.</x:v>
      </x:c>
      <x:c r="O36" s="7" t="str">
        <x:v>https://eaassets-a.akamaihd.net/eahelp/manuals/mass-effect-2-manuals_PC_fr.pdf</x:v>
      </x:c>
      <x:c r="P36" s="7" t="str">
        <x:v>Extension future</x:v>
      </x:c>
      <x:c r="Q36" s="7" t="str"/>
    </x:row>
    <x:row r="37" ht="36" customHeight="1">
      <x:c r="A37" s="13" t="str">
        <x:v>ME2-courtier-de-l-ombre-dlc</x:v>
      </x:c>
      <x:c r="B37" s="14" t="str">
        <x:v>Courtier de l’Ombre DLC</x:v>
      </x:c>
      <x:c r="C37" s="10" t="str">
        <x:v>Défini</x:v>
      </x:c>
      <x:c r="D37" s="11" t="str">
        <x:v>Non planifié</x:v>
      </x:c>
      <x:c r="E37" s="15" t="str">
        <x:v>P2</x:v>
      </x:c>
      <x:c r="F37" s="15" t="str">
        <x:v>ME2</x:v>
      </x:c>
      <x:c r="G37" s="15" t="str">
        <x:v>Référence à vérifier</x:v>
      </x:c>
      <x:c r="H37" s="14" t="str">
        <x:v>Mission avec Liara et nouveau contexte.</x:v>
      </x:c>
      <x:c r="I37" s="14" t="str">
        <x:v>Continuité avec sa situation de ME2.</x:v>
      </x:c>
      <x:c r="J37" s="14" t="str"/>
      <x:c r="K37" s="14" t="str">
        <x:v>content/trilogy/ME2-courtier-de-l-ombre-dlc.json</x:v>
      </x:c>
      <x:c r="L37" s="14" t="str"/>
      <x:c r="M37" s="14" t="str"/>
      <x:c r="N37" s="14" t="str">
        <x:v>Plan de couverture ME2 à détailler séparément ; rien de cette liste n’est déclaré jouable.</x:v>
      </x:c>
      <x:c r="O37" s="14" t="str">
        <x:v>https://eaassets-a.akamaihd.net/eahelp/manuals/mass-effect-2-manuals_PC_fr.pdf</x:v>
      </x:c>
      <x:c r="P37" s="14" t="str">
        <x:v>Extension future</x:v>
      </x:c>
      <x:c r="Q37" s="14" t="str"/>
    </x:row>
    <x:row r="38" ht="36" customHeight="1">
      <x:c r="A38" s="12" t="str">
        <x:v>ME2-overlord-dlc</x:v>
      </x:c>
      <x:c r="B38" s="7" t="str">
        <x:v>Overlord DLC</x:v>
      </x:c>
      <x:c r="C38" s="10" t="str">
        <x:v>Défini</x:v>
      </x:c>
      <x:c r="D38" s="11" t="str">
        <x:v>Non planifié</x:v>
      </x:c>
      <x:c r="E38" s="9" t="str">
        <x:v>P2</x:v>
      </x:c>
      <x:c r="F38" s="9" t="str">
        <x:v>ME2</x:v>
      </x:c>
      <x:c r="G38" s="9" t="str">
        <x:v>Référence à vérifier</x:v>
      </x:c>
      <x:c r="H38" s="7" t="str">
        <x:v>Enquête sur une expérience de Cerberus.</x:v>
      </x:c>
      <x:c r="I38" s="7" t="str">
        <x:v>Décision finale exportable.</x:v>
      </x:c>
      <x:c r="J38" s="7" t="str"/>
      <x:c r="K38" s="7" t="str">
        <x:v>content/trilogy/ME2-overlord-dlc.json</x:v>
      </x:c>
      <x:c r="L38" s="7" t="str"/>
      <x:c r="M38" s="7" t="str"/>
      <x:c r="N38" s="7" t="str">
        <x:v>Plan de couverture ME2 à détailler séparément ; rien de cette liste n’est déclaré jouable.</x:v>
      </x:c>
      <x:c r="O38" s="7" t="str">
        <x:v>https://eaassets-a.akamaihd.net/eahelp/manuals/mass-effect-2-manuals_PC_fr.pdf</x:v>
      </x:c>
      <x:c r="P38" s="7" t="str">
        <x:v>Extension future</x:v>
      </x:c>
      <x:c r="Q38" s="7" t="str"/>
    </x:row>
    <x:row r="39" ht="36" customHeight="1">
      <x:c r="A39" s="13" t="str">
        <x:v>ME2-arrival-dlc</x:v>
      </x:c>
      <x:c r="B39" s="14" t="str">
        <x:v>Arrival DLC</x:v>
      </x:c>
      <x:c r="C39" s="10" t="str">
        <x:v>Défini</x:v>
      </x:c>
      <x:c r="D39" s="11" t="str">
        <x:v>Non planifié</x:v>
      </x:c>
      <x:c r="E39" s="15" t="str">
        <x:v>P2</x:v>
      </x:c>
      <x:c r="F39" s="15" t="str">
        <x:v>ME2</x:v>
      </x:c>
      <x:c r="G39" s="15" t="str">
        <x:v>Référence à vérifier</x:v>
      </x:c>
      <x:c r="H39" s="14" t="str">
        <x:v>Mission de transition vers ME3.</x:v>
      </x:c>
      <x:c r="I39" s="14" t="str">
        <x:v>Position dans la chronologie explicitée.</x:v>
      </x:c>
      <x:c r="J39" s="14" t="str"/>
      <x:c r="K39" s="14" t="str">
        <x:v>content/trilogy/ME2-arrival-dlc.json</x:v>
      </x:c>
      <x:c r="L39" s="14" t="str"/>
      <x:c r="M39" s="14" t="str"/>
      <x:c r="N39" s="14" t="str">
        <x:v>Plan de couverture ME2 à détailler séparément ; rien de cette liste n’est déclaré jouable.</x:v>
      </x:c>
      <x:c r="O39" s="14" t="str">
        <x:v>https://eaassets-a.akamaihd.net/eahelp/manuals/mass-effect-2-manuals_PC_fr.pdf</x:v>
      </x:c>
      <x:c r="P39" s="14" t="str">
        <x:v>Extension future</x:v>
      </x:c>
      <x:c r="Q39" s="14" t="str"/>
    </x:row>
    <x:row r="40" ht="36" customHeight="1">
      <x:c r="A40" s="12" t="str">
        <x:v>ME3-normandy-sr-2-alliance</x:v>
      </x:c>
      <x:c r="B40" s="7" t="str">
        <x:v>Normandy SR-2 Alliance</x:v>
      </x:c>
      <x:c r="C40" s="10" t="str">
        <x:v>Défini</x:v>
      </x:c>
      <x:c r="D40" s="11" t="str">
        <x:v>Non planifié</x:v>
      </x:c>
      <x:c r="E40" s="9" t="str">
        <x:v>P2</x:v>
      </x:c>
      <x:c r="F40" s="9" t="str">
        <x:v>ME3</x:v>
      </x:c>
      <x:c r="G40" s="9" t="str">
        <x:v>Référence à vérifier</x:v>
      </x:c>
      <x:c r="H40" s="7" t="str">
        <x:v>Réaménagement du vaisseau sous l’Alliance.</x:v>
      </x:c>
      <x:c r="I40" s="7" t="str">
        <x:v>Plan distinct de la version Cerberus.</x:v>
      </x:c>
      <x:c r="J40" s="7" t="str"/>
      <x:c r="K40" s="7" t="str">
        <x:v>content/trilogy/ME3-normandy-sr-2-alliance.json</x:v>
      </x:c>
      <x:c r="L40" s="7" t="str"/>
      <x:c r="M40" s="7" t="str"/>
      <x:c r="N40" s="7" t="str">
        <x:v>Plan de couverture ME3 non implémenté ; sources et variantes à documenter.</x:v>
      </x:c>
      <x:c r="O40" s="7" t="str">
        <x:v>https://www.ea.com/fr/games/mass-effect/mass-effect-legendary-edition</x:v>
      </x:c>
      <x:c r="P40" s="7" t="str">
        <x:v>Extension future</x:v>
      </x:c>
      <x:c r="Q40" s="7" t="str"/>
    </x:row>
    <x:row r="41" ht="36" customHeight="1">
      <x:c r="A41" s="13" t="str">
        <x:v>ME3-invasion-de-la-terre</x:v>
      </x:c>
      <x:c r="B41" s="14" t="str">
        <x:v>Invasion de la Terre</x:v>
      </x:c>
      <x:c r="C41" s="10" t="str">
        <x:v>Défini</x:v>
      </x:c>
      <x:c r="D41" s="11" t="str">
        <x:v>Non planifié</x:v>
      </x:c>
      <x:c r="E41" s="15" t="str">
        <x:v>P2</x:v>
      </x:c>
      <x:c r="F41" s="15" t="str">
        <x:v>ME3</x:v>
      </x:c>
      <x:c r="G41" s="15" t="str">
        <x:v>Référence à vérifier</x:v>
      </x:c>
      <x:c r="H41" s="14" t="str">
        <x:v>Prologue et fuite.</x:v>
      </x:c>
      <x:c r="I41" s="14" t="str">
        <x:v>Échelle de la guerre respecte la narration.</x:v>
      </x:c>
      <x:c r="J41" s="14" t="str"/>
      <x:c r="K41" s="14" t="str">
        <x:v>content/trilogy/ME3-invasion-de-la-terre.json</x:v>
      </x:c>
      <x:c r="L41" s="14" t="str"/>
      <x:c r="M41" s="14" t="str"/>
      <x:c r="N41" s="14" t="str">
        <x:v>Plan de couverture ME3 non implémenté ; sources et variantes à documenter.</x:v>
      </x:c>
      <x:c r="O41" s="14" t="str">
        <x:v>https://www.ea.com/fr/games/mass-effect/mass-effect-legendary-edition</x:v>
      </x:c>
      <x:c r="P41" s="14" t="str">
        <x:v>Extension future</x:v>
      </x:c>
      <x:c r="Q41" s="14" t="str"/>
    </x:row>
    <x:row r="42" ht="36" customHeight="1">
      <x:c r="A42" s="12" t="str">
        <x:v>ME3-james-vega</x:v>
      </x:c>
      <x:c r="B42" s="7" t="str">
        <x:v>James Vega</x:v>
      </x:c>
      <x:c r="C42" s="10" t="str">
        <x:v>Défini</x:v>
      </x:c>
      <x:c r="D42" s="11" t="str">
        <x:v>Non planifié</x:v>
      </x:c>
      <x:c r="E42" s="9" t="str">
        <x:v>P2</x:v>
      </x:c>
      <x:c r="F42" s="9" t="str">
        <x:v>ME3</x:v>
      </x:c>
      <x:c r="G42" s="9" t="str">
        <x:v>Référence à vérifier</x:v>
      </x:c>
      <x:c r="H42" s="7" t="str">
        <x:v>Nouveau compagnon militaire.</x:v>
      </x:c>
      <x:c r="I42" s="7" t="str">
        <x:v>Silhouette et gestes propres.</x:v>
      </x:c>
      <x:c r="J42" s="7" t="str"/>
      <x:c r="K42" s="7" t="str">
        <x:v>content/trilogy/ME3-james-vega.json</x:v>
      </x:c>
      <x:c r="L42" s="7" t="str"/>
      <x:c r="M42" s="7" t="str"/>
      <x:c r="N42" s="7" t="str">
        <x:v>Plan de couverture ME3 non implémenté ; sources et variantes à documenter.</x:v>
      </x:c>
      <x:c r="O42" s="7" t="str">
        <x:v>https://www.ea.com/fr/games/mass-effect/mass-effect-legendary-edition</x:v>
      </x:c>
      <x:c r="P42" s="7" t="str">
        <x:v>Extension future</x:v>
      </x:c>
      <x:c r="Q42" s="7" t="str"/>
    </x:row>
    <x:row r="43" ht="36" customHeight="1">
      <x:c r="A43" s="13" t="str">
        <x:v>ME3-edi-corps-mobile</x:v>
      </x:c>
      <x:c r="B43" s="14" t="str">
        <x:v>EDI corps mobile</x:v>
      </x:c>
      <x:c r="C43" s="10" t="str">
        <x:v>Défini</x:v>
      </x:c>
      <x:c r="D43" s="11" t="str">
        <x:v>Non planifié</x:v>
      </x:c>
      <x:c r="E43" s="15" t="str">
        <x:v>P2</x:v>
      </x:c>
      <x:c r="F43" s="15" t="str">
        <x:v>ME3</x:v>
      </x:c>
      <x:c r="G43" s="15" t="str">
        <x:v>Référence à vérifier</x:v>
      </x:c>
      <x:c r="H43" s="14" t="str">
        <x:v>Nouvelle incarnation de l’IA.</x:v>
      </x:c>
      <x:c r="I43" s="14" t="str">
        <x:v>Réservée à la période de ME3.</x:v>
      </x:c>
      <x:c r="J43" s="14" t="str"/>
      <x:c r="K43" s="14" t="str">
        <x:v>content/trilogy/ME3-edi-corps-mobile.json</x:v>
      </x:c>
      <x:c r="L43" s="14" t="str"/>
      <x:c r="M43" s="14" t="str"/>
      <x:c r="N43" s="14" t="str">
        <x:v>Plan de couverture ME3 non implémenté ; sources et variantes à documenter.</x:v>
      </x:c>
      <x:c r="O43" s="14" t="str">
        <x:v>https://www.ea.com/fr/games/mass-effect/mass-effect-legendary-edition</x:v>
      </x:c>
      <x:c r="P43" s="14" t="str">
        <x:v>Extension future</x:v>
      </x:c>
      <x:c r="Q43" s="14" t="str"/>
    </x:row>
    <x:row r="44" ht="36" customHeight="1">
      <x:c r="A44" s="12" t="str">
        <x:v>ME3-javik</x:v>
      </x:c>
      <x:c r="B44" s="7" t="str">
        <x:v>Javik</x:v>
      </x:c>
      <x:c r="C44" s="10" t="str">
        <x:v>Défini</x:v>
      </x:c>
      <x:c r="D44" s="11" t="str">
        <x:v>Non planifié</x:v>
      </x:c>
      <x:c r="E44" s="9" t="str">
        <x:v>P2</x:v>
      </x:c>
      <x:c r="F44" s="9" t="str">
        <x:v>ME3</x:v>
      </x:c>
      <x:c r="G44" s="9" t="str">
        <x:v>Référence à vérifier</x:v>
      </x:c>
      <x:c r="H44" s="7" t="str">
        <x:v>Compagnon prothéen du DLC From Ashes.</x:v>
      </x:c>
      <x:c r="I44" s="7" t="str">
        <x:v>Révélations non anticipées dans ME1.</x:v>
      </x:c>
      <x:c r="J44" s="7" t="str"/>
      <x:c r="K44" s="7" t="str">
        <x:v>content/trilogy/ME3-javik.json</x:v>
      </x:c>
      <x:c r="L44" s="7" t="str"/>
      <x:c r="M44" s="7" t="str"/>
      <x:c r="N44" s="7" t="str">
        <x:v>Plan de couverture ME3 non implémenté ; sources et variantes à documenter.</x:v>
      </x:c>
      <x:c r="O44" s="7" t="str">
        <x:v>https://www.ea.com/fr/games/mass-effect/mass-effect-legendary-edition</x:v>
      </x:c>
      <x:c r="P44" s="7" t="str">
        <x:v>Extension future</x:v>
      </x:c>
      <x:c r="Q44" s="7" t="str"/>
    </x:row>
    <x:row r="45" ht="36" customHeight="1">
      <x:c r="A45" s="13" t="str">
        <x:v>ME3-survivant-de-virmire</x:v>
      </x:c>
      <x:c r="B45" s="14" t="str">
        <x:v>Survivant de Virmire</x:v>
      </x:c>
      <x:c r="C45" s="10" t="str">
        <x:v>Défini</x:v>
      </x:c>
      <x:c r="D45" s="11" t="str">
        <x:v>Non planifié</x:v>
      </x:c>
      <x:c r="E45" s="15" t="str">
        <x:v>P2</x:v>
      </x:c>
      <x:c r="F45" s="15" t="str">
        <x:v>ME3</x:v>
      </x:c>
      <x:c r="G45" s="15" t="str">
        <x:v>Référence à vérifier</x:v>
      </x:c>
      <x:c r="H45" s="14" t="str">
        <x:v>Retour d’Ashley ou Kaidan.</x:v>
      </x:c>
      <x:c r="I45" s="14" t="str">
        <x:v>Import et relation déterminent la présence.</x:v>
      </x:c>
      <x:c r="J45" s="14" t="str"/>
      <x:c r="K45" s="14" t="str">
        <x:v>content/trilogy/ME3-survivant-de-virmire.json</x:v>
      </x:c>
      <x:c r="L45" s="14" t="str"/>
      <x:c r="M45" s="14" t="str"/>
      <x:c r="N45" s="14" t="str">
        <x:v>Plan de couverture ME3 non implémenté ; sources et variantes à documenter.</x:v>
      </x:c>
      <x:c r="O45" s="14" t="str">
        <x:v>https://www.ea.com/fr/games/mass-effect/mass-effect-legendary-edition</x:v>
      </x:c>
      <x:c r="P45" s="14" t="str">
        <x:v>Extension future</x:v>
      </x:c>
      <x:c r="Q45" s="14" t="str"/>
    </x:row>
    <x:row r="46" ht="36" customHeight="1">
      <x:c r="A46" s="12" t="str">
        <x:v>ME3-liara-me3</x:v>
      </x:c>
      <x:c r="B46" s="7" t="str">
        <x:v>Liara ME3</x:v>
      </x:c>
      <x:c r="C46" s="10" t="str">
        <x:v>Défini</x:v>
      </x:c>
      <x:c r="D46" s="11" t="str">
        <x:v>Non planifié</x:v>
      </x:c>
      <x:c r="E46" s="9" t="str">
        <x:v>P2</x:v>
      </x:c>
      <x:c r="F46" s="9" t="str">
        <x:v>ME3</x:v>
      </x:c>
      <x:c r="G46" s="9" t="str">
        <x:v>Référence à vérifier</x:v>
      </x:c>
      <x:c r="H46" s="7" t="str">
        <x:v>Rôle et apparence de la fin de trilogie.</x:v>
      </x:c>
      <x:c r="I46" s="7" t="str">
        <x:v>Tenue et connaissances distinctes du premier épisode.</x:v>
      </x:c>
      <x:c r="J46" s="7" t="str"/>
      <x:c r="K46" s="7" t="str">
        <x:v>content/trilogy/ME3-liara-me3.json</x:v>
      </x:c>
      <x:c r="L46" s="7" t="str"/>
      <x:c r="M46" s="7" t="str"/>
      <x:c r="N46" s="7" t="str">
        <x:v>Plan de couverture ME3 non implémenté ; sources et variantes à documenter.</x:v>
      </x:c>
      <x:c r="O46" s="7" t="str">
        <x:v>https://www.ea.com/fr/games/mass-effect/mass-effect-legendary-edition</x:v>
      </x:c>
      <x:c r="P46" s="7" t="str">
        <x:v>Extension future</x:v>
      </x:c>
      <x:c r="Q46" s="7" t="str"/>
    </x:row>
    <x:row r="47" ht="36" customHeight="1">
      <x:c r="A47" s="13" t="str">
        <x:v>ME3-garrus-me3</x:v>
      </x:c>
      <x:c r="B47" s="14" t="str">
        <x:v>Garrus ME3</x:v>
      </x:c>
      <x:c r="C47" s="10" t="str">
        <x:v>Défini</x:v>
      </x:c>
      <x:c r="D47" s="11" t="str">
        <x:v>Non planifié</x:v>
      </x:c>
      <x:c r="E47" s="15" t="str">
        <x:v>P2</x:v>
      </x:c>
      <x:c r="F47" s="15" t="str">
        <x:v>ME3</x:v>
      </x:c>
      <x:c r="G47" s="15" t="str">
        <x:v>Référence à vérifier</x:v>
      </x:c>
      <x:c r="H47" s="14" t="str">
        <x:v>Retour en contexte de guerre.</x:v>
      </x:c>
      <x:c r="I47" s="14" t="str">
        <x:v>Survie ME2 et relation importées.</x:v>
      </x:c>
      <x:c r="J47" s="14" t="str"/>
      <x:c r="K47" s="14" t="str">
        <x:v>content/trilogy/ME3-garrus-me3.json</x:v>
      </x:c>
      <x:c r="L47" s="14" t="str"/>
      <x:c r="M47" s="14" t="str"/>
      <x:c r="N47" s="14" t="str">
        <x:v>Plan de couverture ME3 non implémenté ; sources et variantes à documenter.</x:v>
      </x:c>
      <x:c r="O47" s="14" t="str">
        <x:v>https://www.ea.com/fr/games/mass-effect/mass-effect-legendary-edition</x:v>
      </x:c>
      <x:c r="P47" s="14" t="str">
        <x:v>Extension future</x:v>
      </x:c>
      <x:c r="Q47" s="14" t="str"/>
    </x:row>
    <x:row r="48" ht="36" customHeight="1">
      <x:c r="A48" s="12" t="str">
        <x:v>ME3-tali-me3</x:v>
      </x:c>
      <x:c r="B48" s="7" t="str">
        <x:v>Tali ME3</x:v>
      </x:c>
      <x:c r="C48" s="10" t="str">
        <x:v>Défini</x:v>
      </x:c>
      <x:c r="D48" s="11" t="str">
        <x:v>Non planifié</x:v>
      </x:c>
      <x:c r="E48" s="9" t="str">
        <x:v>P2</x:v>
      </x:c>
      <x:c r="F48" s="9" t="str">
        <x:v>ME3</x:v>
      </x:c>
      <x:c r="G48" s="9" t="str">
        <x:v>Référence à vérifier</x:v>
      </x:c>
      <x:c r="H48" s="7" t="str">
        <x:v>Rôle dans le conflit geth-quarien.</x:v>
      </x:c>
      <x:c r="I48" s="7" t="str">
        <x:v>Survie et choix précédents contrôlés.</x:v>
      </x:c>
      <x:c r="J48" s="7" t="str"/>
      <x:c r="K48" s="7" t="str">
        <x:v>content/trilogy/ME3-tali-me3.json</x:v>
      </x:c>
      <x:c r="L48" s="7" t="str"/>
      <x:c r="M48" s="7" t="str"/>
      <x:c r="N48" s="7" t="str">
        <x:v>Plan de couverture ME3 non implémenté ; sources et variantes à documenter.</x:v>
      </x:c>
      <x:c r="O48" s="7" t="str">
        <x:v>https://www.ea.com/fr/games/mass-effect/mass-effect-legendary-edition</x:v>
      </x:c>
      <x:c r="P48" s="7" t="str">
        <x:v>Extension future</x:v>
      </x:c>
      <x:c r="Q48" s="7" t="str"/>
    </x:row>
    <x:row r="49" ht="36" customHeight="1">
      <x:c r="A49" s="13" t="str">
        <x:v>ME3-mars</x:v>
      </x:c>
      <x:c r="B49" s="14" t="str">
        <x:v>Mars</x:v>
      </x:c>
      <x:c r="C49" s="10" t="str">
        <x:v>Défini</x:v>
      </x:c>
      <x:c r="D49" s="11" t="str">
        <x:v>Non planifié</x:v>
      </x:c>
      <x:c r="E49" s="15" t="str">
        <x:v>P2</x:v>
      </x:c>
      <x:c r="F49" s="15" t="str">
        <x:v>ME3</x:v>
      </x:c>
      <x:c r="G49" s="15" t="str">
        <x:v>Référence à vérifier</x:v>
      </x:c>
      <x:c r="H49" s="14" t="str">
        <x:v>Recherche des archives.</x:v>
      </x:c>
      <x:c r="I49" s="14" t="str">
        <x:v>Prologue de l’intrigue du Creuset.</x:v>
      </x:c>
      <x:c r="J49" s="14" t="str"/>
      <x:c r="K49" s="14" t="str">
        <x:v>content/trilogy/ME3-mars.json</x:v>
      </x:c>
      <x:c r="L49" s="14" t="str"/>
      <x:c r="M49" s="14" t="str"/>
      <x:c r="N49" s="14" t="str">
        <x:v>Plan de couverture ME3 non implémenté ; sources et variantes à documenter.</x:v>
      </x:c>
      <x:c r="O49" s="14" t="str">
        <x:v>https://www.ea.com/fr/games/mass-effect/mass-effect-legendary-edition</x:v>
      </x:c>
      <x:c r="P49" s="14" t="str">
        <x:v>Extension future</x:v>
      </x:c>
      <x:c r="Q49" s="14" t="str"/>
    </x:row>
    <x:row r="50" ht="36" customHeight="1">
      <x:c r="A50" s="12" t="str">
        <x:v>ME3-menae</x:v>
      </x:c>
      <x:c r="B50" s="7" t="str">
        <x:v>Menae</x:v>
      </x:c>
      <x:c r="C50" s="10" t="str">
        <x:v>Défini</x:v>
      </x:c>
      <x:c r="D50" s="11" t="str">
        <x:v>Non planifié</x:v>
      </x:c>
      <x:c r="E50" s="9" t="str">
        <x:v>P2</x:v>
      </x:c>
      <x:c r="F50" s="9" t="str">
        <x:v>ME3</x:v>
      </x:c>
      <x:c r="G50" s="9" t="str">
        <x:v>Référence à vérifier</x:v>
      </x:c>
      <x:c r="H50" s="7" t="str">
        <x:v>Front turien et recrutement.</x:v>
      </x:c>
      <x:c r="I50" s="7" t="str">
        <x:v>Lune et planète Palaven distinguées.</x:v>
      </x:c>
      <x:c r="J50" s="7" t="str"/>
      <x:c r="K50" s="7" t="str">
        <x:v>content/trilogy/ME3-menae.json</x:v>
      </x:c>
      <x:c r="L50" s="7" t="str"/>
      <x:c r="M50" s="7" t="str"/>
      <x:c r="N50" s="7" t="str">
        <x:v>Plan de couverture ME3 non implémenté ; sources et variantes à documenter.</x:v>
      </x:c>
      <x:c r="O50" s="7" t="str">
        <x:v>https://www.ea.com/fr/games/mass-effect/mass-effect-legendary-edition</x:v>
      </x:c>
      <x:c r="P50" s="7" t="str">
        <x:v>Extension future</x:v>
      </x:c>
      <x:c r="Q50" s="7" t="str"/>
    </x:row>
    <x:row r="51" ht="36" customHeight="1">
      <x:c r="A51" s="13" t="str">
        <x:v>ME3-sur-kesh</x:v>
      </x:c>
      <x:c r="B51" s="14" t="str">
        <x:v>Sur'Kesh</x:v>
      </x:c>
      <x:c r="C51" s="10" t="str">
        <x:v>Défini</x:v>
      </x:c>
      <x:c r="D51" s="11" t="str">
        <x:v>Non planifié</x:v>
      </x:c>
      <x:c r="E51" s="15" t="str">
        <x:v>P2</x:v>
      </x:c>
      <x:c r="F51" s="15" t="str">
        <x:v>ME3</x:v>
      </x:c>
      <x:c r="G51" s="15" t="str">
        <x:v>Référence à vérifier</x:v>
      </x:c>
      <x:c r="H51" s="14" t="str">
        <x:v>Mission diplomatique et extraction.</x:v>
      </x:c>
      <x:c r="I51" s="14" t="str">
        <x:v>Enjeux galariens et krogans documentés.</x:v>
      </x:c>
      <x:c r="J51" s="14" t="str"/>
      <x:c r="K51" s="14" t="str">
        <x:v>content/trilogy/ME3-sur-kesh.json</x:v>
      </x:c>
      <x:c r="L51" s="14" t="str"/>
      <x:c r="M51" s="14" t="str"/>
      <x:c r="N51" s="14" t="str">
        <x:v>Plan de couverture ME3 non implémenté ; sources et variantes à documenter.</x:v>
      </x:c>
      <x:c r="O51" s="14" t="str">
        <x:v>https://www.ea.com/fr/games/mass-effect/mass-effect-legendary-edition</x:v>
      </x:c>
      <x:c r="P51" s="14" t="str">
        <x:v>Extension future</x:v>
      </x:c>
      <x:c r="Q51" s="14" t="str"/>
    </x:row>
    <x:row r="52" ht="36" customHeight="1">
      <x:c r="A52" s="12" t="str">
        <x:v>ME3-tuchanka-genophage</x:v>
      </x:c>
      <x:c r="B52" s="7" t="str">
        <x:v>Tuchanka génophage</x:v>
      </x:c>
      <x:c r="C52" s="10" t="str">
        <x:v>Défini</x:v>
      </x:c>
      <x:c r="D52" s="11" t="str">
        <x:v>Non planifié</x:v>
      </x:c>
      <x:c r="E52" s="9" t="str">
        <x:v>P2</x:v>
      </x:c>
      <x:c r="F52" s="9" t="str">
        <x:v>ME3</x:v>
      </x:c>
      <x:c r="G52" s="9" t="str">
        <x:v>Référence à vérifier</x:v>
      </x:c>
      <x:c r="H52" s="7" t="str">
        <x:v>Arc majeur de résolution.</x:v>
      </x:c>
      <x:c r="I52" s="7" t="str">
        <x:v>Choix de Wrex, Mordin et autres imports pris en compte.</x:v>
      </x:c>
      <x:c r="J52" s="7" t="str"/>
      <x:c r="K52" s="7" t="str">
        <x:v>content/trilogy/ME3-tuchanka-genophage.json</x:v>
      </x:c>
      <x:c r="L52" s="7" t="str"/>
      <x:c r="M52" s="7" t="str"/>
      <x:c r="N52" s="7" t="str">
        <x:v>Plan de couverture ME3 non implémenté ; sources et variantes à documenter.</x:v>
      </x:c>
      <x:c r="O52" s="7" t="str">
        <x:v>https://www.ea.com/fr/games/mass-effect/mass-effect-legendary-edition</x:v>
      </x:c>
      <x:c r="P52" s="7" t="str">
        <x:v>Extension future</x:v>
      </x:c>
      <x:c r="Q52" s="7" t="str"/>
    </x:row>
    <x:row r="53" ht="36" customHeight="1">
      <x:c r="A53" s="13" t="str">
        <x:v>ME3-rannoch</x:v>
      </x:c>
      <x:c r="B53" s="14" t="str">
        <x:v>Rannoch</x:v>
      </x:c>
      <x:c r="C53" s="10" t="str">
        <x:v>Défini</x:v>
      </x:c>
      <x:c r="D53" s="11" t="str">
        <x:v>Non planifié</x:v>
      </x:c>
      <x:c r="E53" s="15" t="str">
        <x:v>P2</x:v>
      </x:c>
      <x:c r="F53" s="15" t="str">
        <x:v>ME3</x:v>
      </x:c>
      <x:c r="G53" s="15" t="str">
        <x:v>Référence à vérifier</x:v>
      </x:c>
      <x:c r="H53" s="14" t="str">
        <x:v>Conflit entre geth et Quariens.</x:v>
      </x:c>
      <x:c r="I53" s="14" t="str">
        <x:v>Conditions de résolution détaillées avant développement.</x:v>
      </x:c>
      <x:c r="J53" s="14" t="str"/>
      <x:c r="K53" s="14" t="str">
        <x:v>content/trilogy/ME3-rannoch.json</x:v>
      </x:c>
      <x:c r="L53" s="14" t="str"/>
      <x:c r="M53" s="14" t="str"/>
      <x:c r="N53" s="14" t="str">
        <x:v>Plan de couverture ME3 non implémenté ; sources et variantes à documenter.</x:v>
      </x:c>
      <x:c r="O53" s="14" t="str">
        <x:v>https://www.ea.com/fr/games/mass-effect/mass-effect-legendary-edition</x:v>
      </x:c>
      <x:c r="P53" s="14" t="str">
        <x:v>Extension future</x:v>
      </x:c>
      <x:c r="Q53" s="14" t="str"/>
    </x:row>
    <x:row r="54" ht="36" customHeight="1">
      <x:c r="A54" s="12" t="str">
        <x:v>ME3-thessia</x:v>
      </x:c>
      <x:c r="B54" s="7" t="str">
        <x:v>Thessia</x:v>
      </x:c>
      <x:c r="C54" s="10" t="str">
        <x:v>Défini</x:v>
      </x:c>
      <x:c r="D54" s="11" t="str">
        <x:v>Non planifié</x:v>
      </x:c>
      <x:c r="E54" s="9" t="str">
        <x:v>P2</x:v>
      </x:c>
      <x:c r="F54" s="9" t="str">
        <x:v>ME3</x:v>
      </x:c>
      <x:c r="G54" s="9" t="str">
        <x:v>Référence à vérifier</x:v>
      </x:c>
      <x:c r="H54" s="7" t="str">
        <x:v>Mission dans le monde asari.</x:v>
      </x:c>
      <x:c r="I54" s="7" t="str">
        <x:v>Révélations et issue respectées.</x:v>
      </x:c>
      <x:c r="J54" s="7" t="str"/>
      <x:c r="K54" s="7" t="str">
        <x:v>content/trilogy/ME3-thessia.json</x:v>
      </x:c>
      <x:c r="L54" s="7" t="str"/>
      <x:c r="M54" s="7" t="str"/>
      <x:c r="N54" s="7" t="str">
        <x:v>Plan de couverture ME3 non implémenté ; sources et variantes à documenter.</x:v>
      </x:c>
      <x:c r="O54" s="7" t="str">
        <x:v>https://www.ea.com/fr/games/mass-effect/mass-effect-legendary-edition</x:v>
      </x:c>
      <x:c r="P54" s="7" t="str">
        <x:v>Extension future</x:v>
      </x:c>
      <x:c r="Q54" s="7" t="str"/>
    </x:row>
    <x:row r="55" ht="36" customHeight="1">
      <x:c r="A55" s="13" t="str">
        <x:v>ME3-sanctuary</x:v>
      </x:c>
      <x:c r="B55" s="14" t="str">
        <x:v>Sanctuary</x:v>
      </x:c>
      <x:c r="C55" s="10" t="str">
        <x:v>Défini</x:v>
      </x:c>
      <x:c r="D55" s="11" t="str">
        <x:v>Non planifié</x:v>
      </x:c>
      <x:c r="E55" s="15" t="str">
        <x:v>P2</x:v>
      </x:c>
      <x:c r="F55" s="15" t="str">
        <x:v>ME3</x:v>
      </x:c>
      <x:c r="G55" s="15" t="str">
        <x:v>Référence à vérifier</x:v>
      </x:c>
      <x:c r="H55" s="14" t="str">
        <x:v>Enquête sur Cerberus.</x:v>
      </x:c>
      <x:c r="I55" s="14" t="str">
        <x:v>Personnages et choix antérieurs pris en compte.</x:v>
      </x:c>
      <x:c r="J55" s="14" t="str"/>
      <x:c r="K55" s="14" t="str">
        <x:v>content/trilogy/ME3-sanctuary.json</x:v>
      </x:c>
      <x:c r="L55" s="14" t="str"/>
      <x:c r="M55" s="14" t="str"/>
      <x:c r="N55" s="14" t="str">
        <x:v>Plan de couverture ME3 non implémenté ; sources et variantes à documenter.</x:v>
      </x:c>
      <x:c r="O55" s="14" t="str">
        <x:v>https://www.ea.com/fr/games/mass-effect/mass-effect-legendary-edition</x:v>
      </x:c>
      <x:c r="P55" s="14" t="str">
        <x:v>Extension future</x:v>
      </x:c>
      <x:c r="Q55" s="14" t="str"/>
    </x:row>
    <x:row r="56" ht="36" customHeight="1">
      <x:c r="A56" s="12" t="str">
        <x:v>ME3-base-cerberus</x:v>
      </x:c>
      <x:c r="B56" s="7" t="str">
        <x:v>Base Cerberus</x:v>
      </x:c>
      <x:c r="C56" s="10" t="str">
        <x:v>Défini</x:v>
      </x:c>
      <x:c r="D56" s="11" t="str">
        <x:v>Non planifié</x:v>
      </x:c>
      <x:c r="E56" s="9" t="str">
        <x:v>P2</x:v>
      </x:c>
      <x:c r="F56" s="9" t="str">
        <x:v>ME3</x:v>
      </x:c>
      <x:c r="G56" s="9" t="str">
        <x:v>Référence à vérifier</x:v>
      </x:c>
      <x:c r="H56" s="7" t="str">
        <x:v>Confrontation de fin de campagne.</x:v>
      </x:c>
      <x:c r="I56" s="7" t="str">
        <x:v>Continuité de l’Homme Trouble.</x:v>
      </x:c>
      <x:c r="J56" s="7" t="str"/>
      <x:c r="K56" s="7" t="str">
        <x:v>content/trilogy/ME3-base-cerberus.json</x:v>
      </x:c>
      <x:c r="L56" s="7" t="str"/>
      <x:c r="M56" s="7" t="str"/>
      <x:c r="N56" s="7" t="str">
        <x:v>Plan de couverture ME3 non implémenté ; sources et variantes à documenter.</x:v>
      </x:c>
      <x:c r="O56" s="7" t="str">
        <x:v>https://www.ea.com/fr/games/mass-effect/mass-effect-legendary-edition</x:v>
      </x:c>
      <x:c r="P56" s="7" t="str">
        <x:v>Extension future</x:v>
      </x:c>
      <x:c r="Q56" s="7" t="str"/>
    </x:row>
    <x:row r="57" ht="36" customHeight="1">
      <x:c r="A57" s="13" t="str">
        <x:v>ME3-assaut-terre</x:v>
      </x:c>
      <x:c r="B57" s="14" t="str">
        <x:v>Assaut Terre</x:v>
      </x:c>
      <x:c r="C57" s="10" t="str">
        <x:v>Défini</x:v>
      </x:c>
      <x:c r="D57" s="11" t="str">
        <x:v>Non planifié</x:v>
      </x:c>
      <x:c r="E57" s="15" t="str">
        <x:v>P2</x:v>
      </x:c>
      <x:c r="F57" s="15" t="str">
        <x:v>ME3</x:v>
      </x:c>
      <x:c r="G57" s="15" t="str">
        <x:v>Référence à vérifier</x:v>
      </x:c>
      <x:c r="H57" s="14" t="str">
        <x:v>Clôture de la guerre.</x:v>
      </x:c>
      <x:c r="I57" s="14" t="str">
        <x:v>État des forces et choix importés visibles.</x:v>
      </x:c>
      <x:c r="J57" s="14" t="str"/>
      <x:c r="K57" s="14" t="str">
        <x:v>content/trilogy/ME3-assaut-terre.json</x:v>
      </x:c>
      <x:c r="L57" s="14" t="str"/>
      <x:c r="M57" s="14" t="str"/>
      <x:c r="N57" s="14" t="str">
        <x:v>Plan de couverture ME3 non implémenté ; sources et variantes à documenter.</x:v>
      </x:c>
      <x:c r="O57" s="14" t="str">
        <x:v>https://www.ea.com/fr/games/mass-effect/mass-effect-legendary-edition</x:v>
      </x:c>
      <x:c r="P57" s="14" t="str">
        <x:v>Extension future</x:v>
      </x:c>
      <x:c r="Q57" s="14" t="str"/>
    </x:row>
    <x:row r="58" ht="36" customHeight="1">
      <x:c r="A58" s="12" t="str">
        <x:v>ME3-omni-lame</x:v>
      </x:c>
      <x:c r="B58" s="7" t="str">
        <x:v>Omni-lame</x:v>
      </x:c>
      <x:c r="C58" s="10" t="str">
        <x:v>Défini</x:v>
      </x:c>
      <x:c r="D58" s="11" t="str">
        <x:v>Non planifié</x:v>
      </x:c>
      <x:c r="E58" s="9" t="str">
        <x:v>P2</x:v>
      </x:c>
      <x:c r="F58" s="9" t="str">
        <x:v>ME3</x:v>
      </x:c>
      <x:c r="G58" s="9" t="str">
        <x:v>Référence à vérifier</x:v>
      </x:c>
      <x:c r="H58" s="7" t="str">
        <x:v>Capacités de mêlée de ME3.</x:v>
      </x:c>
      <x:c r="I58" s="7" t="str">
        <x:v>Ne pas rétroporter comme équipement canonique ME1.</x:v>
      </x:c>
      <x:c r="J58" s="7" t="str"/>
      <x:c r="K58" s="7" t="str">
        <x:v>content/trilogy/ME3-omni-lame.json</x:v>
      </x:c>
      <x:c r="L58" s="7" t="str"/>
      <x:c r="M58" s="7" t="str"/>
      <x:c r="N58" s="7" t="str">
        <x:v>Plan de couverture ME3 non implémenté ; sources et variantes à documenter.</x:v>
      </x:c>
      <x:c r="O58" s="7" t="str">
        <x:v>https://www.ea.com/fr/games/mass-effect/mass-effect-legendary-edition</x:v>
      </x:c>
      <x:c r="P58" s="7" t="str">
        <x:v>Extension future</x:v>
      </x:c>
      <x:c r="Q58" s="7" t="str"/>
    </x:row>
    <x:row r="59" ht="36" customHeight="1">
      <x:c r="A59" s="13" t="str">
        <x:v>ME3-nova</x:v>
      </x:c>
      <x:c r="B59" s="14" t="str">
        <x:v>Nova</x:v>
      </x:c>
      <x:c r="C59" s="10" t="str">
        <x:v>Défini</x:v>
      </x:c>
      <x:c r="D59" s="11" t="str">
        <x:v>Non planifié</x:v>
      </x:c>
      <x:c r="E59" s="15" t="str">
        <x:v>P2</x:v>
      </x:c>
      <x:c r="F59" s="15" t="str">
        <x:v>ME3</x:v>
      </x:c>
      <x:c r="G59" s="15" t="str">
        <x:v>Référence à vérifier</x:v>
      </x:c>
      <x:c r="H59" s="14" t="str">
        <x:v>Pouvoir du Porte-étendard ME3.</x:v>
      </x:c>
      <x:c r="I59" s="14" t="str">
        <x:v>Coût et synergies documentés.</x:v>
      </x:c>
      <x:c r="J59" s="14" t="str"/>
      <x:c r="K59" s="14" t="str">
        <x:v>content/trilogy/ME3-nova.json</x:v>
      </x:c>
      <x:c r="L59" s="14" t="str"/>
      <x:c r="M59" s="14" t="str"/>
      <x:c r="N59" s="14" t="str">
        <x:v>Plan de couverture ME3 non implémenté ; sources et variantes à documenter.</x:v>
      </x:c>
      <x:c r="O59" s="14" t="str">
        <x:v>https://www.ea.com/fr/games/mass-effect/mass-effect-legendary-edition</x:v>
      </x:c>
      <x:c r="P59" s="14" t="str">
        <x:v>Extension future</x:v>
      </x:c>
      <x:c r="Q59" s="14" t="str"/>
    </x:row>
    <x:row r="60" ht="36" customHeight="1">
      <x:c r="A60" s="12" t="str">
        <x:v>ME3-leviathan-dlc</x:v>
      </x:c>
      <x:c r="B60" s="7" t="str">
        <x:v>Léviathan DLC</x:v>
      </x:c>
      <x:c r="C60" s="10" t="str">
        <x:v>Défini</x:v>
      </x:c>
      <x:c r="D60" s="11" t="str">
        <x:v>Non planifié</x:v>
      </x:c>
      <x:c r="E60" s="9" t="str">
        <x:v>P2</x:v>
      </x:c>
      <x:c r="F60" s="9" t="str">
        <x:v>ME3</x:v>
      </x:c>
      <x:c r="G60" s="9" t="str">
        <x:v>Référence à vérifier</x:v>
      </x:c>
      <x:c r="H60" s="7" t="str">
        <x:v>Enquête narrative majeure.</x:v>
      </x:c>
      <x:c r="I60" s="7" t="str">
        <x:v>Révélations maintenues dans leur époque.</x:v>
      </x:c>
      <x:c r="J60" s="7" t="str"/>
      <x:c r="K60" s="7" t="str">
        <x:v>content/trilogy/ME3-leviathan-dlc.json</x:v>
      </x:c>
      <x:c r="L60" s="7" t="str"/>
      <x:c r="M60" s="7" t="str"/>
      <x:c r="N60" s="7" t="str">
        <x:v>Plan de couverture ME3 non implémenté ; sources et variantes à documenter.</x:v>
      </x:c>
      <x:c r="O60" s="7" t="str">
        <x:v>https://www.ea.com/fr/games/mass-effect/mass-effect-legendary-edition</x:v>
      </x:c>
      <x:c r="P60" s="7" t="str">
        <x:v>Extension future</x:v>
      </x:c>
      <x:c r="Q60" s="7" t="str"/>
    </x:row>
    <x:row r="61" ht="36" customHeight="1">
      <x:c r="A61" s="13" t="str">
        <x:v>ME3-omega-dlc</x:v>
      </x:c>
      <x:c r="B61" s="14" t="str">
        <x:v>Omega DLC</x:v>
      </x:c>
      <x:c r="C61" s="10" t="str">
        <x:v>Défini</x:v>
      </x:c>
      <x:c r="D61" s="11" t="str">
        <x:v>Non planifié</x:v>
      </x:c>
      <x:c r="E61" s="15" t="str">
        <x:v>P2</x:v>
      </x:c>
      <x:c r="F61" s="15" t="str">
        <x:v>ME3</x:v>
      </x:c>
      <x:c r="G61" s="15" t="str">
        <x:v>Référence à vérifier</x:v>
      </x:c>
      <x:c r="H61" s="14" t="str">
        <x:v>Retour dans la station.</x:v>
      </x:c>
      <x:c r="I61" s="14" t="str">
        <x:v>Casting et missions propres à l’extension.</x:v>
      </x:c>
      <x:c r="J61" s="14" t="str"/>
      <x:c r="K61" s="14" t="str">
        <x:v>content/trilogy/ME3-omega-dlc.json</x:v>
      </x:c>
      <x:c r="L61" s="14" t="str"/>
      <x:c r="M61" s="14" t="str"/>
      <x:c r="N61" s="14" t="str">
        <x:v>Plan de couverture ME3 non implémenté ; sources et variantes à documenter.</x:v>
      </x:c>
      <x:c r="O61" s="14" t="str">
        <x:v>https://www.ea.com/fr/games/mass-effect/mass-effect-legendary-edition</x:v>
      </x:c>
      <x:c r="P61" s="14" t="str">
        <x:v>Extension future</x:v>
      </x:c>
      <x:c r="Q61" s="14" t="str"/>
    </x:row>
    <x:row r="62" ht="36" customHeight="1">
      <x:c r="A62" s="12" t="str">
        <x:v>ME3-citadelle-dlc</x:v>
      </x:c>
      <x:c r="B62" s="7" t="str">
        <x:v>Citadelle DLC</x:v>
      </x:c>
      <x:c r="C62" s="10" t="str">
        <x:v>Défini</x:v>
      </x:c>
      <x:c r="D62" s="11" t="str">
        <x:v>Non planifié</x:v>
      </x:c>
      <x:c r="E62" s="9" t="str">
        <x:v>P2</x:v>
      </x:c>
      <x:c r="F62" s="9" t="str">
        <x:v>ME3</x:v>
      </x:c>
      <x:c r="G62" s="9" t="str">
        <x:v>Référence à vérifier</x:v>
      </x:c>
      <x:c r="H62" s="7" t="str">
        <x:v>Réunion d’équipage et aventures.</x:v>
      </x:c>
      <x:c r="I62" s="7" t="str">
        <x:v>Présences dépendent des survivants et relations.</x:v>
      </x:c>
      <x:c r="J62" s="7" t="str"/>
      <x:c r="K62" s="7" t="str">
        <x:v>content/trilogy/ME3-citadelle-dlc.json</x:v>
      </x:c>
      <x:c r="L62" s="7" t="str"/>
      <x:c r="M62" s="7" t="str"/>
      <x:c r="N62" s="7" t="str">
        <x:v>Plan de couverture ME3 non implémenté ; sources et variantes à documenter.</x:v>
      </x:c>
      <x:c r="O62" s="7" t="str">
        <x:v>https://www.ea.com/fr/games/mass-effect/mass-effect-legendary-edition</x:v>
      </x:c>
      <x:c r="P62" s="7" t="str">
        <x:v>Extension future</x:v>
      </x:c>
      <x:c r="Q62" s="7" t="str"/>
    </x:row>
    <x:row r="63" ht="36" customHeight="1">
      <x:c r="A63" s="13" t="str">
        <x:v>ME3-extended-cut</x:v>
      </x:c>
      <x:c r="B63" s="14" t="str">
        <x:v>Extended Cut</x:v>
      </x:c>
      <x:c r="C63" s="10" t="str">
        <x:v>Défini</x:v>
      </x:c>
      <x:c r="D63" s="11" t="str">
        <x:v>Non planifié</x:v>
      </x:c>
      <x:c r="E63" s="15" t="str">
        <x:v>P2</x:v>
      </x:c>
      <x:c r="F63" s="15" t="str">
        <x:v>ME3</x:v>
      </x:c>
      <x:c r="G63" s="15" t="str">
        <x:v>Référence à vérifier</x:v>
      </x:c>
      <x:c r="H63" s="14" t="str">
        <x:v>Conclusions et conséquences de la trilogie.</x:v>
      </x:c>
      <x:c r="I63" s="14" t="str">
        <x:v>Choix de référence et versions clairement spécifiés.</x:v>
      </x:c>
      <x:c r="J63" s="14" t="str"/>
      <x:c r="K63" s="14" t="str">
        <x:v>content/trilogy/ME3-extended-cut.json</x:v>
      </x:c>
      <x:c r="L63" s="14" t="str"/>
      <x:c r="M63" s="14" t="str"/>
      <x:c r="N63" s="14" t="str">
        <x:v>Plan de couverture ME3 non implémenté ; sources et variantes à documenter.</x:v>
      </x:c>
      <x:c r="O63" s="14" t="str">
        <x:v>https://www.ea.com/fr/games/mass-effect/mass-effect-legendary-edition</x:v>
      </x:c>
      <x:c r="P63" s="14" t="str">
        <x:v>Extension future</x:v>
      </x:c>
      <x:c r="Q63" s="14" t="str"/>
    </x:row>
  </x:sheetData>
  <x:conditionalFormatting sqref="C7:C63">
    <x:cfRule type="cellIs" dxfId="125" priority="1" operator="equal">
      <x:formula>"Prototype"</x:formula>
    </x:cfRule>
    <x:cfRule type="cellIs" dxfId="126" priority="2" operator="equal">
      <x:formula>"Intégré"</x:formula>
    </x:cfRule>
    <x:cfRule type="cellIs" dxfId="127" priority="3" operator="equal">
      <x:formula>"Validé"</x:formula>
    </x:cfRule>
  </x:conditionalFormatting>
  <x:conditionalFormatting sqref="G7:G63">
    <x:cfRule type="cellIs" dxfId="128" priority="4" operator="equal">
      <x:formula>"Référence à vérifier"</x:formula>
    </x:cfRule>
  </x:conditionalFormatting>
  <x:conditionalFormatting sqref="E7:E63">
    <x:cfRule type="cellIs" dxfId="129" priority="5" operator="equal">
      <x:formula>"P0"</x:formula>
    </x:cfRule>
  </x:conditionalFormatting>
  <x:dataValidations count="5">
    <x:dataValidation type="list" sqref="C7:C63">
      <x:formula1>"Défini,Prototype,Intégré,Validé"</x:formula1>
    </x:dataValidation>
    <x:dataValidation type="list" sqref="D7:D63">
      <x:formula1>"À produire,Prototype,Disponible,Validé,Sans objet,Non planifié"</x:formula1>
    </x:dataValidation>
    <x:dataValidation type="list" sqref="E7:E63">
      <x:formula1>"P0,P1,P2"</x:formula1>
    </x:dataValidation>
    <x:dataValidation type="list" sqref="F7:F63">
      <x:formula1>"ME1,ME2,ME3"</x:formula1>
    </x:dataValidation>
    <x:dataValidation type="list" sqref="G7:G63">
      <x:formula1>"Confirmé,Référence à vérifier,Adaptation"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ef6e921b2141cb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6" hidden="0" customWidth="1"/>
    <x:col min="2" max="2" width="78" hidden="0" customWidth="1"/>
    <x:col min="3" max="3" width="42" hidden="0" customWidth="1"/>
    <x:col min="4" max="4" width="100" hidden="0" customWidth="1"/>
  </x:cols>
  <x:sheetData>
    <x:row r="1" ht="22" customHeight="1">
      <x:c r="A1" s="2"/>
      <x:c r="B1" s="2"/>
      <x:c r="C1" s="2"/>
      <x:c r="D1" s="2"/>
    </x:row>
    <x:row r="2" ht="22" customHeight="1">
      <x:c r="A2" s="3" t="str">
        <x:v>Guide du catalogue</x:v>
      </x:c>
      <x:c r="B2" s="2"/>
      <x:c r="C2" s="2"/>
      <x:c r="D2" s="2"/>
    </x:row>
    <x:row r="3" ht="22" customHeight="1">
      <x:c r="A3" s="4" t="str">
        <x:v>Définitions, périmètre et références de production.</x:v>
      </x:c>
      <x:c r="B3" s="2"/>
      <x:c r="C3" s="2"/>
      <x:c r="D3" s="2"/>
    </x:row>
    <x:row r="4" ht="22" customHeight="1">
      <x:c r="A4" s="5"/>
      <x:c r="B4" s="5"/>
      <x:c r="C4" s="5"/>
      <x:c r="D4" s="5"/>
    </x:row>
    <x:row r="5" ht="22" customHeight="1">
      <x:c r="A5" s="2"/>
      <x:c r="B5" s="2"/>
      <x:c r="C5" s="2"/>
      <x:c r="D5" s="2"/>
    </x:row>
    <x:row r="6" ht="34" customHeight="1">
      <x:c r="A6" s="20" t="str">
        <x:v>Statut du contenu</x:v>
      </x:c>
      <x:c r="B6" s="20" t="str">
        <x:v>Signification</x:v>
      </x:c>
      <x:c r="C6" s="6"/>
      <x:c r="D6" s="6"/>
    </x:row>
    <x:row r="7" ht="42" customHeight="1">
      <x:c r="A7" s="7" t="str">
        <x:v>Défini</x:v>
      </x:c>
      <x:c r="B7" s="7" t="str">
        <x:v>Élément décrit, non vérifié dans le jeu.</x:v>
      </x:c>
      <x:c r="C7" s="7"/>
      <x:c r="D7" s="7"/>
    </x:row>
    <x:row r="8" ht="42" customHeight="1">
      <x:c r="A8" s="7" t="str">
        <x:v>Prototype</x:v>
      </x:c>
      <x:c r="B8" s="7" t="str">
        <x:v>Présent sous une forme simplifiée à reprendre.</x:v>
      </x:c>
      <x:c r="C8" s="7"/>
      <x:c r="D8" s="7"/>
    </x:row>
    <x:row r="9" ht="42" customHeight="1">
      <x:c r="A9" s="7" t="str">
        <x:v>Intégré</x:v>
      </x:c>
      <x:c r="B9" s="7" t="str">
        <x:v>Présent dans le jeu avec chemin et dépendances vérifiés.</x:v>
      </x:c>
      <x:c r="C9" s="7"/>
      <x:c r="D9" s="7"/>
    </x:row>
    <x:row r="10" ht="42" customHeight="1">
      <x:c r="A10" s="7" t="str">
        <x:v>Validé</x:v>
      </x:c>
      <x:c r="B10" s="7" t="str">
        <x:v>Intégré et contrôlé avec preuve de test.</x:v>
      </x:c>
      <x:c r="C10" s="7"/>
      <x:c r="D10" s="7"/>
    </x:row>
    <x:row r="11" ht="42" customHeight="1">
      <x:c r="A11" s="7"/>
      <x:c r="B11" s="7"/>
      <x:c r="C11" s="7"/>
      <x:c r="D11" s="7"/>
    </x:row>
    <x:row r="12" ht="42" customHeight="1">
      <x:c r="A12" s="7"/>
      <x:c r="B12" s="7"/>
      <x:c r="C12" s="7"/>
      <x:c r="D12" s="7"/>
    </x:row>
    <x:row r="13" ht="42" customHeight="1">
      <x:c r="A13" s="31" t="str">
        <x:v>Niveau de canon</x:v>
      </x:c>
      <x:c r="B13" s="31" t="str">
        <x:v>Signification</x:v>
      </x:c>
      <x:c r="C13" s="7"/>
      <x:c r="D13" s="7"/>
    </x:row>
    <x:row r="14" ht="48" customHeight="1">
      <x:c r="A14" s="7" t="str">
        <x:v>Confirmé</x:v>
      </x:c>
      <x:c r="B14" s="7" t="str">
        <x:v>Existence ou règle vérifiée dans la source indiquée. Cela ne valide pas un asset.</x:v>
      </x:c>
      <x:c r="C14" s="7"/>
      <x:c r="D14" s="7"/>
    </x:row>
    <x:row r="15" ht="48" customHeight="1">
      <x:c r="A15" s="7" t="str">
        <x:v>Référence à vérifier</x:v>
      </x:c>
      <x:c r="B15" s="7" t="str">
        <x:v>Nom, rôle, apparence ou conditions à recouper avant production finale.</x:v>
      </x:c>
      <x:c r="C15" s="7"/>
      <x:c r="D15" s="7"/>
    </x:row>
    <x:row r="16" ht="48" customHeight="1">
      <x:c r="A16" s="7" t="str">
        <x:v>Adaptation</x:v>
      </x:c>
      <x:c r="B16" s="7" t="str">
        <x:v>Règle, découpage ou livrable original de ce fan game.</x:v>
      </x:c>
      <x:c r="C16" s="7"/>
      <x:c r="D16" s="7"/>
    </x:row>
    <x:row r="17" ht="42" customHeight="1">
      <x:c r="A17" s="7"/>
      <x:c r="B17" s="7"/>
      <x:c r="C17" s="7"/>
      <x:c r="D17" s="7"/>
    </x:row>
    <x:row r="18" ht="42" customHeight="1">
      <x:c r="A18" s="7"/>
      <x:c r="B18" s="7"/>
      <x:c r="C18" s="7"/>
      <x:c r="D18" s="7"/>
    </x:row>
    <x:row r="19" ht="42" customHeight="1">
      <x:c r="A19" s="31" t="str">
        <x:v>Champ</x:v>
      </x:c>
      <x:c r="B19" s="31" t="str">
        <x:v>Utilisation</x:v>
      </x:c>
      <x:c r="C19" s="7"/>
      <x:c r="D19" s="7"/>
    </x:row>
    <x:row r="20" ht="42" customHeight="1">
      <x:c r="A20" s="7" t="str">
        <x:v>Destination prévue</x:v>
      </x:c>
      <x:c r="B20" s="7" t="str">
        <x:v>Chemin de production envisagé. Il ne prouve pas qu’un fichier existe.</x:v>
      </x:c>
      <x:c r="C20" s="7"/>
      <x:c r="D20" s="7"/>
    </x:row>
    <x:row r="21" ht="42" customHeight="1">
      <x:c r="A21" s="7" t="str">
        <x:v>Fichier existant</x:v>
      </x:c>
      <x:c r="B21" s="7" t="str">
        <x:v>Chemin vers une réalisation réellement présente et contrôlée.</x:v>
      </x:c>
      <x:c r="C21" s="7"/>
      <x:c r="D21" s="7"/>
    </x:row>
    <x:row r="22" ht="42" customHeight="1">
      <x:c r="A22" s="7" t="str">
        <x:v>P0</x:v>
      </x:c>
      <x:c r="B22" s="7" t="str">
        <x:v>Fonctionnement du prototype, cohérence de base et validation.</x:v>
      </x:c>
      <x:c r="C22" s="7"/>
      <x:c r="D22" s="7"/>
    </x:row>
    <x:row r="23" ht="42" customHeight="1">
      <x:c r="A23" s="7" t="str">
        <x:v>P1</x:v>
      </x:c>
      <x:c r="B23" s="7" t="str">
        <x:v>Complétude du premier épisode et qualité artistique.</x:v>
      </x:c>
      <x:c r="C23" s="7"/>
      <x:c r="D23" s="7"/>
    </x:row>
    <x:row r="24" ht="42" customHeight="1">
      <x:c r="A24" s="7" t="str">
        <x:v>P2</x:v>
      </x:c>
      <x:c r="B24" s="7" t="str">
        <x:v>Extensions et contenus ultérieurs.</x:v>
      </x:c>
      <x:c r="C24" s="7"/>
      <x:c r="D24" s="7"/>
    </x:row>
    <x:row r="25" ht="60" customHeight="1">
      <x:c r="A25" s="7" t="str">
        <x:v>Édition du classeur</x:v>
      </x:c>
      <x:c r="B25" s="7" t="str">
        <x:v>Les compteurs se recalculent. Les modifications Excel ne sont pas automatiquement réimportées dans le JSON.</x:v>
      </x:c>
      <x:c r="C25" s="7"/>
      <x:c r="D25" s="7"/>
    </x:row>
    <x:row r="26" ht="60" customHeight="1">
      <x:c r="A26" s="7" t="str">
        <x:v>Régénération</x:v>
      </x:c>
      <x:c r="B26" s="7" t="str">
        <x:v>Le script relit docs/content-catalog.json et remplace le classeur. Reporter les décisions approuvées dans ce JSON avant une régénération.</x:v>
      </x:c>
      <x:c r="C26" s="7"/>
      <x:c r="D26" s="7"/>
    </x:row>
    <x:row r="27" ht="42" customHeight="1">
      <x:c r="A27" s="7"/>
      <x:c r="B27" s="7"/>
      <x:c r="C27" s="7"/>
      <x:c r="D27" s="7"/>
    </x:row>
    <x:row r="28" ht="42" customHeight="1">
      <x:c r="A28" s="7"/>
      <x:c r="B28" s="7"/>
      <x:c r="C28" s="7"/>
      <x:c r="D28" s="7"/>
    </x:row>
    <x:row r="29" ht="42" customHeight="1">
      <x:c r="A29" s="31" t="str">
        <x:v>Source</x:v>
      </x:c>
      <x:c r="B29" s="31" t="str">
        <x:v>Titre</x:v>
      </x:c>
      <x:c r="C29" s="31" t="str">
        <x:v>Périmètre</x:v>
      </x:c>
      <x:c r="D29" s="31" t="str">
        <x:v>URL</x:v>
      </x:c>
    </x:row>
    <x:row r="30" ht="42" customHeight="1">
      <x:c r="A30" s="7" t="str">
        <x:v>ME1-MANUAL</x:v>
      </x:c>
      <x:c r="B30" s="7" t="str">
        <x:v>Manuel officiel Mass Effect PC FR</x:v>
      </x:c>
      <x:c r="C30" s="7" t="str">
        <x:v>Classes, interface, équipement et pouvoirs ME1</x:v>
      </x:c>
      <x:c r="D30" s="7" t="str">
        <x:v>https://eaassets-a.akamaihd.net/eahelp/manuals/mass-effect-manuals_PC_fr.pdf</x:v>
      </x:c>
    </x:row>
    <x:row r="31" ht="42" customHeight="1">
      <x:c r="A31" s="7" t="str">
        <x:v>ME2-MANUAL</x:v>
      </x:c>
      <x:c r="B31" s="7" t="str">
        <x:v>Manuel officiel Mass Effect 2 PC FR</x:v>
      </x:c>
      <x:c r="C31" s="7" t="str">
        <x:v>Référence des extensions ME2 uniquement</x:v>
      </x:c>
      <x:c r="D31" s="7" t="str">
        <x:v>https://eaassets-a.akamaihd.net/eahelp/manuals/mass-effect-2-manuals_PC_fr.pdf</x:v>
      </x:c>
    </x:row>
    <x:row r="32" ht="42" customHeight="1">
      <x:c r="A32" s="7" t="str">
        <x:v>EA-GAMEPLAY</x:v>
      </x:c>
      <x:c r="B32" s="7" t="str">
        <x:v>EA Gameplay Calibrations</x:v>
      </x:c>
      <x:c r="C32" s="7" t="str">
        <x:v>Différences original / Legendary Edition</x:v>
      </x:c>
      <x:c r="D32" s="7" t="str">
        <x:v>https://www.ea.com/ea-play/news/gameplay-calibrations</x:v>
      </x:c>
    </x:row>
    <x:row r="33" ht="42" customHeight="1">
      <x:c r="A33" s="7" t="str">
        <x:v>EA-VISUAL</x:v>
      </x:c>
      <x:c r="B33" s="7" t="str">
        <x:v>EA Visual Improvements</x:v>
      </x:c>
      <x:c r="C33" s="7" t="str">
        <x:v>Atmosphères des lieux remasterisés</x:v>
      </x:c>
      <x:c r="D33" s="7" t="str">
        <x:v>https://www.ea.com/ea-play/news/visual-improvements</x:v>
      </x:c>
    </x:row>
    <x:row r="34" ht="42" customHeight="1">
      <x:c r="A34" s="7" t="str">
        <x:v>EA-COSPLAY</x:v>
      </x:c>
      <x:c r="B34" s="7" t="str">
        <x:v>EA guides cosplay</x:v>
      </x:c>
      <x:c r="C34" s="7" t="str">
        <x:v>Silhouettes et costumes à classer par épisode</x:v>
      </x:c>
      <x:c r="D34" s="7" t="str">
        <x:v>https://www.ea.com/games/mass-effect/community/cosplay-guides</x:v>
      </x:c>
    </x:row>
    <x:row r="35" ht="42" customHeight="1">
      <x:c r="A35" s="7" t="str">
        <x:v>BIOWARE-SR1</x:v>
      </x:c>
      <x:c r="B35" s="7" t="str">
        <x:v>BioWare Normandy SR-1</x:v>
      </x:c>
      <x:c r="C35" s="7" t="str">
        <x:v>Identification du vaisseau ME1</x:v>
      </x:c>
      <x:c r="D35" s="7" t="str">
        <x:v>https://gear.bioware.com/products/mass-effect-normandy-sr-1-pin-set</x:v>
      </x:c>
    </x:row>
    <x:row r="36" ht="42" customHeight="1">
      <x:c r="A36" s="7" t="str">
        <x:v>BIOWARE-SR2</x:v>
      </x:c>
      <x:c r="B36" s="7" t="str">
        <x:v>BioWare Normandy SR-2 Cerberus</x:v>
      </x:c>
      <x:c r="C36" s="7" t="str">
        <x:v>Référence ME2 uniquement</x:v>
      </x:c>
      <x:c r="D36" s="7" t="str">
        <x:v>https://gear.bioware.com/en-eu/products/mass-effect-cerberus-normandy-sr-2-ship-replica-remaster</x:v>
      </x:c>
    </x:row>
    <x:row r="37" ht="42" customHeight="1">
      <x:c r="A37" s="7" t="str">
        <x:v>PRIMA-PROLOGUE</x:v>
      </x:c>
      <x:c r="B37" s="7" t="str">
        <x:v>Guide officiel Prima, prologue</x:v>
      </x:c>
      <x:c r="C37" s="7" t="str">
        <x:v>Prologue ME1, extraits indexés ; PDF complet à contrôler</x:v>
      </x:c>
      <x:c r="D37" s="7" t="str">
        <x:v>https://na.llnet.bioware.cdn.ea.com/u/f/eagames/bioware/masseffect/prima/prima_guide_me_pc.pdf</x:v>
      </x:c>
    </x:row>
    <x:row r="38" ht="42" customHeight="1">
      <x:c r="A38" s="7" t="str">
        <x:v>PRIMA-FEROS</x:v>
      </x:c>
      <x:c r="B38" s="7" t="str">
        <x:v>Prima guide Feros</x:v>
      </x:c>
      <x:c r="C38" s="7" t="str">
        <x:v>Missions secondaires de Feros</x:v>
      </x:c>
      <x:c r="D38" s="7" t="str">
        <x:v>https://primagames.com/eguides/mass-effect-pc-eguide/walkthrough/spectre-assignments-noveria-and-feros/feros-assignments</x:v>
      </x:c>
    </x:row>
    <x:row r="39" ht="42" customHeight="1">
      <x:c r="A39" s="7" t="str">
        <x:v>PRIMA-VIRMIRE</x:v>
      </x:c>
      <x:c r="B39" s="7" t="str">
        <x:v>Prima guide Virmire</x:v>
      </x:c>
      <x:c r="C39" s="7" t="str">
        <x:v>Choix et objectifs de Virmire</x:v>
      </x:c>
      <x:c r="D39" s="7" t="str">
        <x:v>https://primagames.com/eguides/mass-effect-pc-eguide/walkthrough/spectra-assignments-virmire-and-citadel-lockdown/virmire-assignments</x:v>
      </x:c>
    </x:row>
    <x:row r="40" ht="42" customHeight="1">
      <x:c r="A40" s="7" t="str">
        <x:v>PRIMA-NORMANDY</x:v>
      </x:c>
      <x:c r="B40" s="7" t="str">
        <x:v>Prima retours au Normandy</x:v>
      </x:c>
      <x:c r="C40" s="7" t="str">
        <x:v>Relations du premier épisode</x:v>
      </x:c>
      <x:c r="D40" s="7" t="str">
        <x:v>https://primagames.com/eguides/mass-effect-pc-eguide/walkthrough/chapter-4-feros/the-normandy-revisited</x:v>
      </x:c>
    </x:row>
    <x:row r="41" ht="42" customHeight="1">
      <x:c r="A41" s="7" t="str">
        <x:v>EA-TRILOGY</x:v>
      </x:c>
      <x:c r="B41" s="7" t="str">
        <x:v>EA Legendary Edition</x:v>
      </x:c>
      <x:c r="C41" s="7" t="str">
        <x:v>Périmètre trilogie et continuité des choix</x:v>
      </x:c>
      <x:c r="D41" s="7" t="str">
        <x:v>https://www.ea.com/fr/games/mass-effect/mass-effect-legendary-edition</x:v>
      </x:c>
    </x:row>
    <x:row r="42" ht="42" customHeight="1">
      <x:c r="A42" s="7" t="str">
        <x:v>SQUAD-INDEX</x:v>
      </x:c>
      <x:c r="B42" s="7" t="str">
        <x:v>Index des équipiers à recouper</x:v>
      </x:c>
      <x:c r="C42" s="7" t="str">
        <x:v>Index secondaire ; capture du jeu requise avant validation</x:v>
      </x:c>
      <x:c r="D42" s="7" t="str">
        <x:v>https://masseffect.fandom.com/wiki/Squad</x:v>
      </x:c>
    </x:row>
    <x:row r="43" ht="42" customHeight="1">
      <x:c r="A43" s="7" t="str">
        <x:v>PROJECT</x:v>
      </x:c>
      <x:c r="B43" s="7" t="str">
        <x:v>Conception Relay Chronicles</x:v>
      </x:c>
      <x:c r="C43" s="7" t="str">
        <x:v>Décisions du fan game ; aucune prétention de canon officiel</x:v>
      </x:c>
      <x:c r="D43" s="7" t="str">
        <x:v>Conception du projet, sans source externe</x:v>
      </x:c>
    </x:row>
    <x:row r="44" ht="42" customHeight="1">
      <x:c r="A44" s="7"/>
      <x:c r="B44" s="7"/>
      <x:c r="C44" s="7"/>
      <x:c r="D44" s="7"/>
    </x:row>
    <x:row r="45" ht="42" customHeight="1">
      <x:c r="A45" s="7"/>
      <x:c r="B45" s="7"/>
      <x:c r="C45" s="7"/>
      <x:c r="D45" s="7"/>
    </x:row>
    <x:row r="46" ht="42" customHeight="1">
      <x:c r="A46" s="7"/>
      <x:c r="B46" s="7"/>
      <x:c r="C46" s="7"/>
      <x:c r="D46" s="7"/>
    </x:row>
    <x:row r="47" ht="68" customHeight="1">
      <x:c r="A47" s="7" t="str">
        <x:v>Périmètre</x:v>
      </x:c>
      <x:c r="B47" s="7" t="str">
        <x:v>Plan de couverture du premier Mass Effect avec extensions ME2 et ME3 séparées. Le prototype jouable condense les lieux et ne constitue pas une reproduction complète.</x:v>
      </x:c>
      <x:c r="C47" s="7"/>
      <x:c r="D47" s="7"/>
    </x:row>
    <x:row r="48" ht="68" customHeight="1">
      <x:c r="A48" s="7" t="str">
        <x:v>Fidélité</x:v>
      </x:c>
      <x:c r="B48" s="7" t="str">
        <x:v>Aucun asset ni aucune mission n’est déclaré fidèle 1:1 ou terminé sans contrôle explicite.</x:v>
      </x:c>
      <x:c r="C48" s="7"/>
      <x:c r="D48" s="7"/>
    </x:row>
    <x:row r="49" ht="42" customHeight="1">
      <x:c r="A49" s="7" t="str">
        <x:v>Version</x:v>
      </x:c>
      <x:c r="B49" s="7" t="str">
        <x:v>0.1.0</x:v>
      </x:c>
      <x:c r="C49" s="7"/>
      <x:c r="D49" s="7"/>
    </x:row>
    <x:row r="50" ht="42" customHeight="1">
      <x:c r="A50" s="7" t="str">
        <x:v>Date de référence</x:v>
      </x:c>
      <x:c r="B50" s="32" t="d">
        <x:v>2026-10-23T12:00:00.000Z</x:v>
      </x:c>
      <x:c r="C50" s="7"/>
      <x:c r="D50" s="7"/>
    </x:row>
    <x:row r="51" ht="22" customHeight="1">
      <x:c r="A51" s="2"/>
      <x:c r="B51" s="2"/>
      <x:c r="C51" s="2"/>
      <x:c r="D51" s="2"/>
    </x:row>
    <x:row r="52" ht="22" customHeight="1">
      <x:c r="A52" s="2"/>
      <x:c r="B52" s="2"/>
      <x:c r="C52" s="2"/>
      <x:c r="D52" s="2"/>
    </x:row>
    <x:row r="53" ht="22" customHeight="1">
      <x:c r="A53" s="2"/>
      <x:c r="B53" s="2"/>
      <x:c r="C53" s="2"/>
      <x:c r="D53" s="2"/>
    </x:row>
    <x:row r="54" ht="22" customHeight="1">
      <x:c r="A54" s="2"/>
      <x:c r="B54" s="2"/>
      <x:c r="C54" s="2"/>
      <x:c r="D54" s="2"/>
    </x:row>
    <x:row r="55" ht="22" customHeight="1">
      <x:c r="A55" s="2"/>
      <x:c r="B55" s="2"/>
      <x:c r="C55" s="2"/>
      <x:c r="D55" s="2"/>
    </x:row>
    <x:row r="56" ht="22" customHeight="1">
      <x:c r="A56" s="2"/>
      <x:c r="B56" s="2"/>
      <x:c r="C56" s="2"/>
      <x:c r="D56" s="2"/>
    </x:row>
    <x:row r="57" ht="22" customHeight="1">
      <x:c r="A57" s="2"/>
      <x:c r="B57" s="2"/>
      <x:c r="C57" s="2"/>
      <x:c r="D57" s="2"/>
    </x:row>
  </x:sheetData>
  <x:pageMargins left="0.7" right="0.7" top="0.75" bottom="0.75" header="0.3" footer="0.3"/>
</x:worksheet>
</file>