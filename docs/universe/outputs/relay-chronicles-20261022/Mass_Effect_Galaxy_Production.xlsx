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2c4b73c07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39fb6a36854034"/>
    <x:sheet xmlns:r="http://schemas.openxmlformats.org/officeDocument/2006/relationships" name="Personnages" sheetId="2" r:id="R690d42bb13e14197"/>
    <x:sheet xmlns:r="http://schemas.openxmlformats.org/officeDocument/2006/relationships" name="PNJ" sheetId="3" r:id="R92f2446f48cb44b8"/>
    <x:sheet xmlns:r="http://schemas.openxmlformats.org/officeDocument/2006/relationships" name="Especes_factions" sheetId="4" r:id="Rd1e5ce61a028471c"/>
    <x:sheet xmlns:r="http://schemas.openxmlformats.org/officeDocument/2006/relationships" name="Mondes" sheetId="5" r:id="R894a70a80e354d1e"/>
    <x:sheet xmlns:r="http://schemas.openxmlformats.org/officeDocument/2006/relationships" name="Zones" sheetId="6" r:id="R98154d95efd94837"/>
    <x:sheet xmlns:r="http://schemas.openxmlformats.org/officeDocument/2006/relationships" name="Liaisons" sheetId="7" r:id="R04366753e21347a0"/>
    <x:sheet xmlns:r="http://schemas.openxmlformats.org/officeDocument/2006/relationships" name="Decors" sheetId="8" r:id="R273a810309f24d42"/>
    <x:sheet xmlns:r="http://schemas.openxmlformats.org/officeDocument/2006/relationships" name="Props" sheetId="9" r:id="Rec6add4e1a794304"/>
    <x:sheet xmlns:r="http://schemas.openxmlformats.org/officeDocument/2006/relationships" name="Ennemis_boss" sheetId="10" r:id="Rf21ac7447fd2483d"/>
    <x:sheet xmlns:r="http://schemas.openxmlformats.org/officeDocument/2006/relationships" name="Missions" sheetId="11" r:id="R50ec4b5e40794164"/>
    <x:sheet xmlns:r="http://schemas.openxmlformats.org/officeDocument/2006/relationships" name="Secondaires_DLC" sheetId="12" r:id="R6b4208769cd94b7f"/>
    <x:sheet xmlns:r="http://schemas.openxmlformats.org/officeDocument/2006/relationships" name="Choix_relations" sheetId="13" r:id="Rf2651f2213ca4bed"/>
    <x:sheet xmlns:r="http://schemas.openxmlformats.org/officeDocument/2006/relationships" name="Dialogues" sheetId="14" r:id="R3f6f772e89fe457e"/>
    <x:sheet xmlns:r="http://schemas.openxmlformats.org/officeDocument/2006/relationships" name="Cinematiques" sheetId="15" r:id="Ra178072c5abc420b"/>
    <x:sheet xmlns:r="http://schemas.openxmlformats.org/officeDocument/2006/relationships" name="Armes" sheetId="16" r:id="Reb6565d043c54c66"/>
    <x:sheet xmlns:r="http://schemas.openxmlformats.org/officeDocument/2006/relationships" name="Armures_equipement" sheetId="17" r:id="R6ea1893e5c3b4412"/>
    <x:sheet xmlns:r="http://schemas.openxmlformats.org/officeDocument/2006/relationships" name="Pouvoirs" sheetId="18" r:id="Rf48f5719246d402d"/>
    <x:sheet xmlns:r="http://schemas.openxmlformats.org/officeDocument/2006/relationships" name="Movesets_allies" sheetId="19" r:id="Rc6135ff7c144470a"/>
    <x:sheet xmlns:r="http://schemas.openxmlformats.org/officeDocument/2006/relationships" name="Movesets_ennemis" sheetId="20" r:id="R603c9a836e0b48aa"/>
    <x:sheet xmlns:r="http://schemas.openxmlformats.org/officeDocument/2006/relationships" name="Animations" sheetId="21" r:id="R094aab850d3845d9"/>
    <x:sheet xmlns:r="http://schemas.openxmlformats.org/officeDocument/2006/relationships" name="Sprites" sheetId="22" r:id="Rca89f9a0b90e4926"/>
    <x:sheet xmlns:r="http://schemas.openxmlformats.org/officeDocument/2006/relationships" name="VFX" sheetId="23" r:id="R46e927cc5f0447b0"/>
    <x:sheet xmlns:r="http://schemas.openxmlformats.org/officeDocument/2006/relationships" name="Audio" sheetId="24" r:id="R0ae6e3ca72154eb1"/>
    <x:sheet xmlns:r="http://schemas.openxmlformats.org/officeDocument/2006/relationships" name="UI_systemes" sheetId="25" r:id="Rf5dd304a79644319"/>
    <x:sheet xmlns:r="http://schemas.openxmlformats.org/officeDocument/2006/relationships" name="QA" sheetId="26" r:id="Rf8ebef8aa5864fa5"/>
    <x:sheet xmlns:r="http://schemas.openxmlformats.org/officeDocument/2006/relationships" name="Continuite" sheetId="27" r:id="Rffa67f8e0e224e94"/>
    <x:sheet xmlns:r="http://schemas.openxmlformats.org/officeDocument/2006/relationships" name="Guide" sheetId="28" r:id="R7f2522ca692c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bd60e026d4295" /><Relationship Type="http://schemas.openxmlformats.org/officeDocument/2006/relationships/theme" Target="/xl/theme/theme1.xml" Id="R14b315e2c166437a" /><Relationship Type="http://schemas.openxmlformats.org/officeDocument/2006/relationships/sharedStrings" Target="/xl/sharedStrings.xml" Id="R7372a4ee0cbb447c" /><Relationship Type="http://schemas.openxmlformats.org/officeDocument/2006/relationships/worksheet" Target="/xl/worksheets/sheet1.xml" Id="R8039fb6a36854034" /><Relationship Type="http://schemas.openxmlformats.org/officeDocument/2006/relationships/worksheet" Target="/xl/worksheets/sheet2.xml" Id="R690d42bb13e14197" /><Relationship Type="http://schemas.openxmlformats.org/officeDocument/2006/relationships/worksheet" Target="/xl/worksheets/sheet3.xml" Id="R92f2446f48cb44b8" /><Relationship Type="http://schemas.openxmlformats.org/officeDocument/2006/relationships/worksheet" Target="/xl/worksheets/sheet4.xml" Id="Rd1e5ce61a028471c" /><Relationship Type="http://schemas.openxmlformats.org/officeDocument/2006/relationships/worksheet" Target="/xl/worksheets/sheet5.xml" Id="R894a70a80e354d1e" /><Relationship Type="http://schemas.openxmlformats.org/officeDocument/2006/relationships/worksheet" Target="/xl/worksheets/sheet6.xml" Id="R98154d95efd94837" /><Relationship Type="http://schemas.openxmlformats.org/officeDocument/2006/relationships/worksheet" Target="/xl/worksheets/sheet7.xml" Id="R04366753e21347a0" /><Relationship Type="http://schemas.openxmlformats.org/officeDocument/2006/relationships/worksheet" Target="/xl/worksheets/sheet8.xml" Id="R273a810309f24d42" /><Relationship Type="http://schemas.openxmlformats.org/officeDocument/2006/relationships/worksheet" Target="/xl/worksheets/sheet9.xml" Id="Rec6add4e1a794304" /><Relationship Type="http://schemas.openxmlformats.org/officeDocument/2006/relationships/worksheet" Target="/xl/worksheets/sheet10.xml" Id="Rf21ac7447fd2483d" /><Relationship Type="http://schemas.openxmlformats.org/officeDocument/2006/relationships/worksheet" Target="/xl/worksheets/sheet11.xml" Id="R50ec4b5e40794164" /><Relationship Type="http://schemas.openxmlformats.org/officeDocument/2006/relationships/worksheet" Target="/xl/worksheets/sheet12.xml" Id="R6b4208769cd94b7f" /><Relationship Type="http://schemas.openxmlformats.org/officeDocument/2006/relationships/worksheet" Target="/xl/worksheets/sheet13.xml" Id="Rf2651f2213ca4bed" /><Relationship Type="http://schemas.openxmlformats.org/officeDocument/2006/relationships/worksheet" Target="/xl/worksheets/sheet14.xml" Id="R3f6f772e89fe457e" /><Relationship Type="http://schemas.openxmlformats.org/officeDocument/2006/relationships/worksheet" Target="/xl/worksheets/sheet15.xml" Id="Ra178072c5abc420b" /><Relationship Type="http://schemas.openxmlformats.org/officeDocument/2006/relationships/worksheet" Target="/xl/worksheets/sheet16.xml" Id="Reb6565d043c54c66" /><Relationship Type="http://schemas.openxmlformats.org/officeDocument/2006/relationships/worksheet" Target="/xl/worksheets/sheet17.xml" Id="R6ea1893e5c3b4412" /><Relationship Type="http://schemas.openxmlformats.org/officeDocument/2006/relationships/worksheet" Target="/xl/worksheets/sheet18.xml" Id="Rf48f5719246d402d" /><Relationship Type="http://schemas.openxmlformats.org/officeDocument/2006/relationships/worksheet" Target="/xl/worksheets/sheet19.xml" Id="Rc6135ff7c144470a" /><Relationship Type="http://schemas.openxmlformats.org/officeDocument/2006/relationships/worksheet" Target="/xl/worksheets/sheet20.xml" Id="R603c9a836e0b48aa" /><Relationship Type="http://schemas.openxmlformats.org/officeDocument/2006/relationships/worksheet" Target="/xl/worksheets/sheet21.xml" Id="R094aab850d3845d9" /><Relationship Type="http://schemas.openxmlformats.org/officeDocument/2006/relationships/worksheet" Target="/xl/worksheets/sheet22.xml" Id="Rca89f9a0b90e4926" /><Relationship Type="http://schemas.openxmlformats.org/officeDocument/2006/relationships/worksheet" Target="/xl/worksheets/sheet23.xml" Id="R46e927cc5f0447b0" /><Relationship Type="http://schemas.openxmlformats.org/officeDocument/2006/relationships/worksheet" Target="/xl/worksheets/sheet24.xml" Id="R0ae6e3ca72154eb1" /><Relationship Type="http://schemas.openxmlformats.org/officeDocument/2006/relationships/worksheet" Target="/xl/worksheets/sheet25.xml" Id="Rf5dd304a79644319" /><Relationship Type="http://schemas.openxmlformats.org/officeDocument/2006/relationships/worksheet" Target="/xl/worksheets/sheet26.xml" Id="Rf8ebef8aa5864fa5" /><Relationship Type="http://schemas.openxmlformats.org/officeDocument/2006/relationships/worksheet" Target="/xl/worksheets/sheet27.xml" Id="Rffa67f8e0e224e94" /><Relationship Type="http://schemas.openxmlformats.org/officeDocument/2006/relationships/worksheet" Target="/xl/worksheets/sheet28.xml" Id="R7f2522ca692c4210" /></Relationships>
</file>

<file path=xl/tables/table1.xml><?xml version="1.0" encoding="utf-8"?>
<x:table xmlns:x="http://schemas.openxmlformats.org/spreadsheetml/2006/main" id="1" name="GAL_characters" displayName="GAL_character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L_npcs" displayName="GAL_npc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L_lore" displayName="GAL_lore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L_worlds" displayName="GAL_world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L_zones" displayName="GAL_zone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L_links" displayName="GAL_link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L_scenery" displayName="GAL_scenery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L_props" displayName="GAL_prop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L_enemies" displayName="GAL_enemi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AL_main_quests" displayName="GAL_main_quest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AL_side_quests" displayName="GAL_side_quest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AL_choices" displayName="GAL_choic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AL_dialogues" displayName="GAL_dialogue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GAL_cinematics" displayName="GAL_cinematic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GAL_weapons" displayName="GAL_weapon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GAL_equipment" displayName="GAL_equipment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GAL_powers" displayName="GAL_powers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GAL_ally_moves" displayName="GAL_ally_mov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GAL_enemy_moves" displayName="GAL_enemy_mov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GAL_animations" displayName="GAL_animation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GAL_sprites" displayName="GAL_sprites" ref="A6:S18" headerRowCount="1" totalsRowCount="0" totalsRowShown="0">
  <x:autoFilter ref="A6:S1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GAL_vfx" displayName="GAL_vfx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GAL_audio" displayName="GAL_audio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GAL_systems" displayName="GAL_systems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GAL_qa" displayName="GAL_qa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GAL_continuity" displayName="GAL_continuity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db6396e54049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129fb390ec46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6aa2a6673844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27b05fe2d740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202400351a4d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a129bec10c47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98a653b53947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fcfc2b102d43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6977e4b92274a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751d767c9864b1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1dc197c8f84488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e8b4f07c5d441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c6ae37990ba461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525b4fac50242c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8d473553d6844c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c17ec1117194e9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9db1dbf34a394e4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7cd648c4b49d406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2dcbb679a9a04b1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b4b6e30d30da475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ce770c920cc24fb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dafc04e9cfd44fe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39ade1c8b4ff4b8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c8696e0d5271409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ec06f2f830514dd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8db5fdef8b2b4006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Effect: Galaxy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1" t="n">
        <x:f>SUM(B10:B35)</x:f>
        <x:v>103</x:v>
      </x:c>
      <x:c r="C5" s="2"/>
      <x:c r="D5" s="2" t="str">
        <x:v>Intégrés</x:v>
      </x:c>
      <x:c r="E5" s="31" t="n">
        <x:f>SUM(E10:F35)</x:f>
        <x:v>0</x:v>
      </x:c>
      <x:c r="F5" s="2"/>
      <x:c r="G5" s="2" t="str">
        <x:v>À vérifier</x:v>
      </x:c>
      <x:c r="H5" s="31" t="n">
        <x:f>SUM(H10:H35)</x:f>
        <x:v>1</x:v>
      </x:c>
      <x:c r="I5" s="2"/>
      <x:c r="J5" s="2" t="str">
        <x:v>Extrapolations</x:v>
      </x:c>
      <x:c r="K5" s="31" t="n">
        <x:f>SUM(I10:I35)</x:f>
        <x:v>65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2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28" t="str">
        <x:v>Domaine</x:v>
      </x:c>
      <x:c r="B9" s="29" t="str">
        <x:v>Total</x:v>
      </x:c>
      <x:c r="C9" s="29" t="str">
        <x:v>Défini</x:v>
      </x:c>
      <x:c r="D9" s="29" t="str">
        <x:v>Prototype</x:v>
      </x:c>
      <x:c r="E9" s="29" t="str">
        <x:v>Intégré</x:v>
      </x:c>
      <x:c r="F9" s="29" t="str">
        <x:v>Validé</x:v>
      </x:c>
      <x:c r="G9" s="29" t="str">
        <x:v>Établi</x:v>
      </x:c>
      <x:c r="H9" s="29" t="str">
        <x:v>À vérifier</x:v>
      </x:c>
      <x:c r="I9" s="29" t="str">
        <x:v>Extrapolation</x:v>
      </x:c>
      <x:c r="J9" s="29" t="str">
        <x:v>Coupé attesté</x:v>
      </x:c>
      <x:c r="K9" s="29" t="str">
        <x:v>Concept abandonné</x:v>
      </x:c>
      <x:c r="L9" s="29" t="str">
        <x:v>Allégation écartée</x:v>
      </x:c>
      <x:c r="M9" s="30" t="str">
        <x:v>Priorité P0</x:v>
      </x:c>
    </x:row>
    <x:row r="10" ht="22" customHeight="1">
      <x:c r="A10" s="33" t="str">
        <x:v>Personnages</x:v>
      </x:c>
      <x:c r="B10" s="37" t="n">
        <x:f>COUNTA('Personnages'!$A$7:$A$8)</x:f>
        <x:v>2</x:v>
      </x:c>
      <x:c r="C10" s="37" t="n">
        <x:f>COUNTIFS('Personnages'!$C$7:$C$8,"Défini")</x:f>
        <x:v>1</x:v>
      </x:c>
      <x:c r="D10" s="37" t="n">
        <x:f>COUNTIFS('Personnages'!$C$7:$C$8,"Prototype")</x:f>
        <x:v>1</x:v>
      </x:c>
      <x:c r="E10" s="37" t="n">
        <x:f>COUNTIFS('Personnages'!$C$7:$C$8,"Intégré")</x:f>
        <x:v>0</x:v>
      </x:c>
      <x:c r="F10" s="37" t="n">
        <x:f>COUNTIFS('Personnages'!$C$7:$C$8,"Validé")</x:f>
        <x:v>0</x:v>
      </x:c>
      <x:c r="G10" s="37" t="n">
        <x:f>COUNTIFS('Personnages'!$D$7:$D$8,"Établi")</x:f>
        <x:v>2</x:v>
      </x:c>
      <x:c r="H10" s="37" t="n">
        <x:f>COUNTIFS('Personnages'!$D$7:$D$8,"À vérifier")</x:f>
        <x:v>0</x:v>
      </x:c>
      <x:c r="I10" s="37" t="n">
        <x:f>COUNTIFS('Personnages'!$D$7:$D$8,"Extrapolation")</x:f>
        <x:v>0</x:v>
      </x:c>
      <x:c r="J10" s="37" t="n">
        <x:f>COUNTIFS('Personnages'!$D$7:$D$8,"Coupé attesté")</x:f>
        <x:v>0</x:v>
      </x:c>
      <x:c r="K10" s="37" t="n">
        <x:f>COUNTIFS('Personnages'!$D$7:$D$8,"Concept abandonné")</x:f>
        <x:v>0</x:v>
      </x:c>
      <x:c r="L10" s="37" t="n">
        <x:f>COUNTIFS('Personnages'!$D$7:$D$8,"Allégation écartée")</x:f>
        <x:v>0</x:v>
      </x:c>
      <x:c r="M10" s="37" t="n">
        <x:f>COUNTIFS('Personnages'!$E$7:$E$8,"P0")</x:f>
        <x:v>0</x:v>
      </x:c>
    </x:row>
    <x:row r="11" ht="22" customHeight="1">
      <x:c r="A11" s="2" t="str">
        <x:v>PNJ</x:v>
      </x:c>
      <x:c r="B11" s="38" t="n">
        <x:f>COUNTA('PNJ'!$A$7:$A$12)</x:f>
        <x:v>6</x:v>
      </x:c>
      <x:c r="C11" s="38" t="n">
        <x:f>COUNTIFS('PNJ'!$C$7:$C$12,"Défini")</x:f>
        <x:v>6</x:v>
      </x:c>
      <x:c r="D11" s="38" t="n">
        <x:f>COUNTIFS('PNJ'!$C$7:$C$12,"Prototype")</x:f>
        <x:v>0</x:v>
      </x:c>
      <x:c r="E11" s="38" t="n">
        <x:f>COUNTIFS('PNJ'!$C$7:$C$12,"Intégré")</x:f>
        <x:v>0</x:v>
      </x:c>
      <x:c r="F11" s="38" t="n">
        <x:f>COUNTIFS('PNJ'!$C$7:$C$12,"Validé")</x:f>
        <x:v>0</x:v>
      </x:c>
      <x:c r="G11" s="38" t="n">
        <x:f>COUNTIFS('PNJ'!$D$7:$D$12,"Établi")</x:f>
        <x:v>6</x:v>
      </x:c>
      <x:c r="H11" s="38" t="n">
        <x:f>COUNTIFS('PNJ'!$D$7:$D$12,"À vérifier")</x:f>
        <x:v>0</x:v>
      </x:c>
      <x:c r="I11" s="38" t="n">
        <x:f>COUNTIFS('PNJ'!$D$7:$D$12,"Extrapolation")</x:f>
        <x:v>0</x:v>
      </x:c>
      <x:c r="J11" s="38" t="n">
        <x:f>COUNTIFS('PNJ'!$D$7:$D$12,"Coupé attesté")</x:f>
        <x:v>0</x:v>
      </x:c>
      <x:c r="K11" s="38" t="n">
        <x:f>COUNTIFS('PNJ'!$D$7:$D$12,"Concept abandonné")</x:f>
        <x:v>0</x:v>
      </x:c>
      <x:c r="L11" s="38" t="n">
        <x:f>COUNTIFS('PNJ'!$D$7:$D$12,"Allégation écartée")</x:f>
        <x:v>0</x:v>
      </x:c>
      <x:c r="M11" s="38" t="n">
        <x:f>COUNTIFS('PNJ'!$E$7:$E$12,"P0")</x:f>
        <x:v>0</x:v>
      </x:c>
    </x:row>
    <x:row r="12" ht="22" customHeight="1">
      <x:c r="A12" s="33" t="str">
        <x:v>Espèces et factions</x:v>
      </x:c>
      <x:c r="B12" s="37" t="n">
        <x:f>COUNTA('Especes_factions'!$A$7:$A$9)</x:f>
        <x:v>3</x:v>
      </x:c>
      <x:c r="C12" s="37" t="n">
        <x:f>COUNTIFS('Especes_factions'!$C$7:$C$9,"Défini")</x:f>
        <x:v>3</x:v>
      </x:c>
      <x:c r="D12" s="37" t="n">
        <x:f>COUNTIFS('Especes_factions'!$C$7:$C$9,"Prototype")</x:f>
        <x:v>0</x:v>
      </x:c>
      <x:c r="E12" s="37" t="n">
        <x:f>COUNTIFS('Especes_factions'!$C$7:$C$9,"Intégré")</x:f>
        <x:v>0</x:v>
      </x:c>
      <x:c r="F12" s="37" t="n">
        <x:f>COUNTIFS('Especes_factions'!$C$7:$C$9,"Validé")</x:f>
        <x:v>0</x:v>
      </x:c>
      <x:c r="G12" s="37" t="n">
        <x:f>COUNTIFS('Especes_factions'!$D$7:$D$9,"Établi")</x:f>
        <x:v>3</x:v>
      </x:c>
      <x:c r="H12" s="37" t="n">
        <x:f>COUNTIFS('Especes_factions'!$D$7:$D$9,"À vérifier")</x:f>
        <x:v>0</x:v>
      </x:c>
      <x:c r="I12" s="37" t="n">
        <x:f>COUNTIFS('Especes_factions'!$D$7:$D$9,"Extrapolation")</x:f>
        <x:v>0</x:v>
      </x:c>
      <x:c r="J12" s="37" t="n">
        <x:f>COUNTIFS('Especes_factions'!$D$7:$D$9,"Coupé attesté")</x:f>
        <x:v>0</x:v>
      </x:c>
      <x:c r="K12" s="37" t="n">
        <x:f>COUNTIFS('Especes_factions'!$D$7:$D$9,"Concept abandonné")</x:f>
        <x:v>0</x:v>
      </x:c>
      <x:c r="L12" s="37" t="n">
        <x:f>COUNTIFS('Especes_factions'!$D$7:$D$9,"Allégation écartée")</x:f>
        <x:v>0</x:v>
      </x:c>
      <x:c r="M12" s="37" t="n">
        <x:f>COUNTIFS('Especes_factions'!$E$7:$E$9,"P0")</x:f>
        <x:v>0</x:v>
      </x:c>
    </x:row>
    <x:row r="13" ht="22" customHeight="1">
      <x:c r="A13" s="2" t="str">
        <x:v>Mondes</x:v>
      </x:c>
      <x:c r="B13" s="38" t="n">
        <x:f>COUNTA('Mondes'!$A$7:$A$12)</x:f>
        <x:v>6</x:v>
      </x:c>
      <x:c r="C13" s="38" t="n">
        <x:f>COUNTIFS('Mondes'!$C$7:$C$12,"Défini")</x:f>
        <x:v>6</x:v>
      </x:c>
      <x:c r="D13" s="38" t="n">
        <x:f>COUNTIFS('Mondes'!$C$7:$C$12,"Prototype")</x:f>
        <x:v>0</x:v>
      </x:c>
      <x:c r="E13" s="38" t="n">
        <x:f>COUNTIFS('Mondes'!$C$7:$C$12,"Intégré")</x:f>
        <x:v>0</x:v>
      </x:c>
      <x:c r="F13" s="38" t="n">
        <x:f>COUNTIFS('Mondes'!$C$7:$C$12,"Validé")</x:f>
        <x:v>0</x:v>
      </x:c>
      <x:c r="G13" s="38" t="n">
        <x:f>COUNTIFS('Mondes'!$D$7:$D$12,"Établi")</x:f>
        <x:v>6</x:v>
      </x:c>
      <x:c r="H13" s="38" t="n">
        <x:f>COUNTIFS('Mondes'!$D$7:$D$12,"À vérifier")</x:f>
        <x:v>0</x:v>
      </x:c>
      <x:c r="I13" s="38" t="n">
        <x:f>COUNTIFS('Mondes'!$D$7:$D$12,"Extrapolation")</x:f>
        <x:v>0</x:v>
      </x:c>
      <x:c r="J13" s="38" t="n">
        <x:f>COUNTIFS('Mondes'!$D$7:$D$12,"Coupé attesté")</x:f>
        <x:v>0</x:v>
      </x:c>
      <x:c r="K13" s="38" t="n">
        <x:f>COUNTIFS('Mondes'!$D$7:$D$12,"Concept abandonné")</x:f>
        <x:v>0</x:v>
      </x:c>
      <x:c r="L13" s="38" t="n">
        <x:f>COUNTIFS('Mondes'!$D$7:$D$12,"Allégation écartée")</x:f>
        <x:v>0</x:v>
      </x:c>
      <x:c r="M13" s="38" t="n">
        <x:f>COUNTIFS('Mondes'!$E$7:$E$12,"P0")</x:f>
        <x:v>0</x:v>
      </x:c>
    </x:row>
    <x:row r="14" ht="22" customHeight="1">
      <x:c r="A14" s="33" t="str">
        <x:v>Zones</x:v>
      </x:c>
      <x:c r="B14" s="37" t="n">
        <x:f>COUNTA('Zones'!$A$7:$A$12)</x:f>
        <x:v>6</x:v>
      </x:c>
      <x:c r="C14" s="37" t="n">
        <x:f>COUNTIFS('Zones'!$C$7:$C$12,"Défini")</x:f>
        <x:v>6</x:v>
      </x:c>
      <x:c r="D14" s="37" t="n">
        <x:f>COUNTIFS('Zones'!$C$7:$C$12,"Prototype")</x:f>
        <x:v>0</x:v>
      </x:c>
      <x:c r="E14" s="37" t="n">
        <x:f>COUNTIFS('Zones'!$C$7:$C$12,"Intégré")</x:f>
        <x:v>0</x:v>
      </x:c>
      <x:c r="F14" s="37" t="n">
        <x:f>COUNTIFS('Zones'!$C$7:$C$12,"Validé")</x:f>
        <x:v>0</x:v>
      </x:c>
      <x:c r="G14" s="37" t="n">
        <x:f>COUNTIFS('Zones'!$D$7:$D$12,"Établi")</x:f>
        <x:v>0</x:v>
      </x:c>
      <x:c r="H14" s="37" t="n">
        <x:f>COUNTIFS('Zones'!$D$7:$D$12,"À vérifier")</x:f>
        <x:v>0</x:v>
      </x:c>
      <x:c r="I14" s="37" t="n">
        <x:f>COUNTIFS('Zones'!$D$7:$D$12,"Extrapolation")</x:f>
        <x:v>6</x:v>
      </x:c>
      <x:c r="J14" s="37" t="n">
        <x:f>COUNTIFS('Zones'!$D$7:$D$12,"Coupé attesté")</x:f>
        <x:v>0</x:v>
      </x:c>
      <x:c r="K14" s="37" t="n">
        <x:f>COUNTIFS('Zones'!$D$7:$D$12,"Concept abandonné")</x:f>
        <x:v>0</x:v>
      </x:c>
      <x:c r="L14" s="37" t="n">
        <x:f>COUNTIFS('Zones'!$D$7:$D$12,"Allégation écartée")</x:f>
        <x:v>0</x:v>
      </x:c>
      <x:c r="M14" s="37" t="n">
        <x:f>COUNTIFS('Zones'!$E$7:$E$12,"P0")</x:f>
        <x:v>0</x:v>
      </x:c>
    </x:row>
    <x:row r="15" ht="22" customHeight="1">
      <x:c r="A15" s="2" t="str">
        <x:v>Liaisons</x:v>
      </x:c>
      <x:c r="B15" s="38" t="n">
        <x:f>COUNTA('Liaisons'!$A$7:$A$8)</x:f>
        <x:v>2</x:v>
      </x:c>
      <x:c r="C15" s="38" t="n">
        <x:f>COUNTIFS('Liaisons'!$C$7:$C$8,"Défini")</x:f>
        <x:v>2</x:v>
      </x:c>
      <x:c r="D15" s="38" t="n">
        <x:f>COUNTIFS('Liaisons'!$C$7:$C$8,"Prototype")</x:f>
        <x:v>0</x:v>
      </x:c>
      <x:c r="E15" s="38" t="n">
        <x:f>COUNTIFS('Liaisons'!$C$7:$C$8,"Intégré")</x:f>
        <x:v>0</x:v>
      </x:c>
      <x:c r="F15" s="38" t="n">
        <x:f>COUNTIFS('Liaisons'!$C$7:$C$8,"Validé")</x:f>
        <x:v>0</x:v>
      </x:c>
      <x:c r="G15" s="38" t="n">
        <x:f>COUNTIFS('Liaisons'!$D$7:$D$8,"Établi")</x:f>
        <x:v>2</x:v>
      </x:c>
      <x:c r="H15" s="38" t="n">
        <x:f>COUNTIFS('Liaisons'!$D$7:$D$8,"À vérifier")</x:f>
        <x:v>0</x:v>
      </x:c>
      <x:c r="I15" s="38" t="n">
        <x:f>COUNTIFS('Liaisons'!$D$7:$D$8,"Extrapolation")</x:f>
        <x:v>0</x:v>
      </x:c>
      <x:c r="J15" s="38" t="n">
        <x:f>COUNTIFS('Liaisons'!$D$7:$D$8,"Coupé attesté")</x:f>
        <x:v>0</x:v>
      </x:c>
      <x:c r="K15" s="38" t="n">
        <x:f>COUNTIFS('Liaisons'!$D$7:$D$8,"Concept abandonné")</x:f>
        <x:v>0</x:v>
      </x:c>
      <x:c r="L15" s="38" t="n">
        <x:f>COUNTIFS('Liaisons'!$D$7:$D$8,"Allégation écartée")</x:f>
        <x:v>0</x:v>
      </x:c>
      <x:c r="M15" s="38" t="n">
        <x:f>COUNTIFS('Liaisons'!$E$7:$E$8,"P0")</x:f>
        <x:v>0</x:v>
      </x:c>
    </x:row>
    <x:row r="16" ht="22" customHeight="1">
      <x:c r="A16" s="33" t="str">
        <x:v>Décors</x:v>
      </x:c>
      <x:c r="B16" s="37" t="n">
        <x:f>COUNTA('Decors'!$A$7:$A$12)</x:f>
        <x:v>6</x:v>
      </x:c>
      <x:c r="C16" s="37" t="n">
        <x:f>COUNTIFS('Decors'!$C$7:$C$12,"Défini")</x:f>
        <x:v>6</x:v>
      </x:c>
      <x:c r="D16" s="37" t="n">
        <x:f>COUNTIFS('Decors'!$C$7:$C$12,"Prototype")</x:f>
        <x:v>0</x:v>
      </x:c>
      <x:c r="E16" s="37" t="n">
        <x:f>COUNTIFS('Decors'!$C$7:$C$12,"Intégré")</x:f>
        <x:v>0</x:v>
      </x:c>
      <x:c r="F16" s="37" t="n">
        <x:f>COUNTIFS('Decors'!$C$7:$C$12,"Validé")</x:f>
        <x:v>0</x:v>
      </x:c>
      <x:c r="G16" s="37" t="n">
        <x:f>COUNTIFS('Decors'!$D$7:$D$12,"Établi")</x:f>
        <x:v>0</x:v>
      </x:c>
      <x:c r="H16" s="37" t="n">
        <x:f>COUNTIFS('Decors'!$D$7:$D$12,"À vérifier")</x:f>
        <x:v>0</x:v>
      </x:c>
      <x:c r="I16" s="37" t="n">
        <x:f>COUNTIFS('Decors'!$D$7:$D$12,"Extrapolation")</x:f>
        <x:v>6</x:v>
      </x:c>
      <x:c r="J16" s="37" t="n">
        <x:f>COUNTIFS('Decors'!$D$7:$D$12,"Coupé attesté")</x:f>
        <x:v>0</x:v>
      </x:c>
      <x:c r="K16" s="37" t="n">
        <x:f>COUNTIFS('Decors'!$D$7:$D$12,"Concept abandonné")</x:f>
        <x:v>0</x:v>
      </x:c>
      <x:c r="L16" s="37" t="n">
        <x:f>COUNTIFS('Decors'!$D$7:$D$12,"Allégation écartée")</x:f>
        <x:v>0</x:v>
      </x:c>
      <x:c r="M16" s="37" t="n">
        <x:f>COUNTIFS('Decors'!$E$7:$E$12,"P0")</x:f>
        <x:v>0</x:v>
      </x:c>
    </x:row>
    <x:row r="17" ht="22" customHeight="1">
      <x:c r="A17" s="2" t="str">
        <x:v>Props</x:v>
      </x:c>
      <x:c r="B17" s="38" t="n">
        <x:f>COUNTA('Props'!$A$7:$A$9)</x:f>
        <x:v>3</x:v>
      </x:c>
      <x:c r="C17" s="38" t="n">
        <x:f>COUNTIFS('Props'!$C$7:$C$9,"Défini")</x:f>
        <x:v>3</x:v>
      </x:c>
      <x:c r="D17" s="38" t="n">
        <x:f>COUNTIFS('Props'!$C$7:$C$9,"Prototype")</x:f>
        <x:v>0</x:v>
      </x:c>
      <x:c r="E17" s="38" t="n">
        <x:f>COUNTIFS('Props'!$C$7:$C$9,"Intégré")</x:f>
        <x:v>0</x:v>
      </x:c>
      <x:c r="F17" s="38" t="n">
        <x:f>COUNTIFS('Props'!$C$7:$C$9,"Validé")</x:f>
        <x:v>0</x:v>
      </x:c>
      <x:c r="G17" s="38" t="n">
        <x:f>COUNTIFS('Props'!$D$7:$D$9,"Établi")</x:f>
        <x:v>0</x:v>
      </x:c>
      <x:c r="H17" s="38" t="n">
        <x:f>COUNTIFS('Props'!$D$7:$D$9,"À vérifier")</x:f>
        <x:v>0</x:v>
      </x:c>
      <x:c r="I17" s="38" t="n">
        <x:f>COUNTIFS('Props'!$D$7:$D$9,"Extrapolation")</x:f>
        <x:v>3</x:v>
      </x:c>
      <x:c r="J17" s="38" t="n">
        <x:f>COUNTIFS('Props'!$D$7:$D$9,"Coupé attesté")</x:f>
        <x:v>0</x:v>
      </x:c>
      <x:c r="K17" s="38" t="n">
        <x:f>COUNTIFS('Props'!$D$7:$D$9,"Concept abandonné")</x:f>
        <x:v>0</x:v>
      </x:c>
      <x:c r="L17" s="38" t="n">
        <x:f>COUNTIFS('Props'!$D$7:$D$9,"Allégation écartée")</x:f>
        <x:v>0</x:v>
      </x:c>
      <x:c r="M17" s="38" t="n">
        <x:f>COUNTIFS('Props'!$E$7:$E$9,"P0")</x:f>
        <x:v>0</x:v>
      </x:c>
    </x:row>
    <x:row r="18" ht="22" customHeight="1">
      <x:c r="A18" s="33" t="str">
        <x:v>Ennemis et boss</x:v>
      </x:c>
      <x:c r="B18" s="37" t="n">
        <x:f>COUNTA('Ennemis_boss'!$A$7:$A$10)</x:f>
        <x:v>4</x:v>
      </x:c>
      <x:c r="C18" s="37" t="n">
        <x:f>COUNTIFS('Ennemis_boss'!$C$7:$C$10,"Défini")</x:f>
        <x:v>4</x:v>
      </x:c>
      <x:c r="D18" s="37" t="n">
        <x:f>COUNTIFS('Ennemis_boss'!$C$7:$C$10,"Prototype")</x:f>
        <x:v>0</x:v>
      </x:c>
      <x:c r="E18" s="37" t="n">
        <x:f>COUNTIFS('Ennemis_boss'!$C$7:$C$10,"Intégré")</x:f>
        <x:v>0</x:v>
      </x:c>
      <x:c r="F18" s="37" t="n">
        <x:f>COUNTIFS('Ennemis_boss'!$C$7:$C$10,"Validé")</x:f>
        <x:v>0</x:v>
      </x:c>
      <x:c r="G18" s="37" t="n">
        <x:f>COUNTIFS('Ennemis_boss'!$D$7:$D$10,"Établi")</x:f>
        <x:v>4</x:v>
      </x:c>
      <x:c r="H18" s="37" t="n">
        <x:f>COUNTIFS('Ennemis_boss'!$D$7:$D$10,"À vérifier")</x:f>
        <x:v>0</x:v>
      </x:c>
      <x:c r="I18" s="37" t="n">
        <x:f>COUNTIFS('Ennemis_boss'!$D$7:$D$10,"Extrapolation")</x:f>
        <x:v>0</x:v>
      </x:c>
      <x:c r="J18" s="37" t="n">
        <x:f>COUNTIFS('Ennemis_boss'!$D$7:$D$10,"Coupé attesté")</x:f>
        <x:v>0</x:v>
      </x:c>
      <x:c r="K18" s="37" t="n">
        <x:f>COUNTIFS('Ennemis_boss'!$D$7:$D$10,"Concept abandonné")</x:f>
        <x:v>0</x:v>
      </x:c>
      <x:c r="L18" s="37" t="n">
        <x:f>COUNTIFS('Ennemis_boss'!$D$7:$D$10,"Allégation écartée")</x:f>
        <x:v>0</x:v>
      </x:c>
      <x:c r="M18" s="37" t="n">
        <x:f>COUNTIFS('Ennemis_boss'!$E$7:$E$10,"P0")</x:f>
        <x:v>1</x:v>
      </x:c>
    </x:row>
    <x:row r="19" ht="22" customHeight="1">
      <x:c r="A19" s="2" t="str">
        <x:v>Missions</x:v>
      </x:c>
      <x:c r="B19" s="38" t="n">
        <x:f>COUNTA('Missions'!$A$7:$A$12)</x:f>
        <x:v>6</x:v>
      </x:c>
      <x:c r="C19" s="38" t="n">
        <x:f>COUNTIFS('Missions'!$C$7:$C$12,"Défini")</x:f>
        <x:v>6</x:v>
      </x:c>
      <x:c r="D19" s="38" t="n">
        <x:f>COUNTIFS('Missions'!$C$7:$C$12,"Prototype")</x:f>
        <x:v>0</x:v>
      </x:c>
      <x:c r="E19" s="38" t="n">
        <x:f>COUNTIFS('Missions'!$C$7:$C$12,"Intégré")</x:f>
        <x:v>0</x:v>
      </x:c>
      <x:c r="F19" s="38" t="n">
        <x:f>COUNTIFS('Missions'!$C$7:$C$12,"Validé")</x:f>
        <x:v>0</x:v>
      </x:c>
      <x:c r="G19" s="38" t="n">
        <x:f>COUNTIFS('Missions'!$D$7:$D$12,"Établi")</x:f>
        <x:v>6</x:v>
      </x:c>
      <x:c r="H19" s="38" t="n">
        <x:f>COUNTIFS('Missions'!$D$7:$D$12,"À vérifier")</x:f>
        <x:v>0</x:v>
      </x:c>
      <x:c r="I19" s="38" t="n">
        <x:f>COUNTIFS('Missions'!$D$7:$D$12,"Extrapolation")</x:f>
        <x:v>0</x:v>
      </x:c>
      <x:c r="J19" s="38" t="n">
        <x:f>COUNTIFS('Missions'!$D$7:$D$12,"Coupé attesté")</x:f>
        <x:v>0</x:v>
      </x:c>
      <x:c r="K19" s="38" t="n">
        <x:f>COUNTIFS('Missions'!$D$7:$D$12,"Concept abandonné")</x:f>
        <x:v>0</x:v>
      </x:c>
      <x:c r="L19" s="38" t="n">
        <x:f>COUNTIFS('Missions'!$D$7:$D$12,"Allégation écartée")</x:f>
        <x:v>0</x:v>
      </x:c>
      <x:c r="M19" s="38" t="n">
        <x:f>COUNTIFS('Missions'!$E$7:$E$12,"P0")</x:f>
        <x:v>6</x:v>
      </x:c>
    </x:row>
    <x:row r="20" ht="22" customHeight="1">
      <x:c r="A20" s="33" t="str">
        <x:v>Secondaires et DLC</x:v>
      </x:c>
      <x:c r="B20" s="37" t="n">
        <x:f>COUNTA('Secondaires_DLC'!$A$7:$A$9)</x:f>
        <x:v>3</x:v>
      </x:c>
      <x:c r="C20" s="37" t="n">
        <x:f>COUNTIFS('Secondaires_DLC'!$C$7:$C$9,"Défini")</x:f>
        <x:v>3</x:v>
      </x:c>
      <x:c r="D20" s="37" t="n">
        <x:f>COUNTIFS('Secondaires_DLC'!$C$7:$C$9,"Prototype")</x:f>
        <x:v>0</x:v>
      </x:c>
      <x:c r="E20" s="37" t="n">
        <x:f>COUNTIFS('Secondaires_DLC'!$C$7:$C$9,"Intégré")</x:f>
        <x:v>0</x:v>
      </x:c>
      <x:c r="F20" s="37" t="n">
        <x:f>COUNTIFS('Secondaires_DLC'!$C$7:$C$9,"Validé")</x:f>
        <x:v>0</x:v>
      </x:c>
      <x:c r="G20" s="37" t="n">
        <x:f>COUNTIFS('Secondaires_DLC'!$D$7:$D$9,"Établi")</x:f>
        <x:v>0</x:v>
      </x:c>
      <x:c r="H20" s="37" t="n">
        <x:f>COUNTIFS('Secondaires_DLC'!$D$7:$D$9,"À vérifier")</x:f>
        <x:v>0</x:v>
      </x:c>
      <x:c r="I20" s="37" t="n">
        <x:f>COUNTIFS('Secondaires_DLC'!$D$7:$D$9,"Extrapolation")</x:f>
        <x:v>3</x:v>
      </x:c>
      <x:c r="J20" s="37" t="n">
        <x:f>COUNTIFS('Secondaires_DLC'!$D$7:$D$9,"Coupé attesté")</x:f>
        <x:v>0</x:v>
      </x:c>
      <x:c r="K20" s="37" t="n">
        <x:f>COUNTIFS('Secondaires_DLC'!$D$7:$D$9,"Concept abandonné")</x:f>
        <x:v>0</x:v>
      </x:c>
      <x:c r="L20" s="37" t="n">
        <x:f>COUNTIFS('Secondaires_DLC'!$D$7:$D$9,"Allégation écartée")</x:f>
        <x:v>0</x:v>
      </x:c>
      <x:c r="M20" s="37" t="n">
        <x:f>COUNTIFS('Secondaires_DLC'!$E$7:$E$9,"P0")</x:f>
        <x:v>0</x:v>
      </x:c>
    </x:row>
    <x:row r="21" ht="22" customHeight="1">
      <x:c r="A21" s="2" t="str">
        <x:v>Choix et relations</x:v>
      </x:c>
      <x:c r="B21" s="38" t="n">
        <x:f>COUNTA('Choix_relations'!$A$7:$A$9)</x:f>
        <x:v>3</x:v>
      </x:c>
      <x:c r="C21" s="38" t="n">
        <x:f>COUNTIFS('Choix_relations'!$C$7:$C$9,"Défini")</x:f>
        <x:v>3</x:v>
      </x:c>
      <x:c r="D21" s="38" t="n">
        <x:f>COUNTIFS('Choix_relations'!$C$7:$C$9,"Prototype")</x:f>
        <x:v>0</x:v>
      </x:c>
      <x:c r="E21" s="38" t="n">
        <x:f>COUNTIFS('Choix_relations'!$C$7:$C$9,"Intégré")</x:f>
        <x:v>0</x:v>
      </x:c>
      <x:c r="F21" s="38" t="n">
        <x:f>COUNTIFS('Choix_relations'!$C$7:$C$9,"Validé")</x:f>
        <x:v>0</x:v>
      </x:c>
      <x:c r="G21" s="38" t="n">
        <x:f>COUNTIFS('Choix_relations'!$D$7:$D$9,"Établi")</x:f>
        <x:v>1</x:v>
      </x:c>
      <x:c r="H21" s="38" t="n">
        <x:f>COUNTIFS('Choix_relations'!$D$7:$D$9,"À vérifier")</x:f>
        <x:v>0</x:v>
      </x:c>
      <x:c r="I21" s="38" t="n">
        <x:f>COUNTIFS('Choix_relations'!$D$7:$D$9,"Extrapolation")</x:f>
        <x:v>2</x:v>
      </x:c>
      <x:c r="J21" s="38" t="n">
        <x:f>COUNTIFS('Choix_relations'!$D$7:$D$9,"Coupé attesté")</x:f>
        <x:v>0</x:v>
      </x:c>
      <x:c r="K21" s="38" t="n">
        <x:f>COUNTIFS('Choix_relations'!$D$7:$D$9,"Concept abandonné")</x:f>
        <x:v>0</x:v>
      </x:c>
      <x:c r="L21" s="38" t="n">
        <x:f>COUNTIFS('Choix_relations'!$D$7:$D$9,"Allégation écartée")</x:f>
        <x:v>0</x:v>
      </x:c>
      <x:c r="M21" s="38" t="n">
        <x:f>COUNTIFS('Choix_relations'!$E$7:$E$9,"P0")</x:f>
        <x:v>0</x:v>
      </x:c>
    </x:row>
    <x:row r="22" ht="22" customHeight="1">
      <x:c r="A22" s="33" t="str">
        <x:v>Dialogues</x:v>
      </x:c>
      <x:c r="B22" s="37" t="n">
        <x:f>COUNTA('Dialogues'!$A$7:$A$9)</x:f>
        <x:v>3</x:v>
      </x:c>
      <x:c r="C22" s="37" t="n">
        <x:f>COUNTIFS('Dialogues'!$C$7:$C$9,"Défini")</x:f>
        <x:v>3</x:v>
      </x:c>
      <x:c r="D22" s="37" t="n">
        <x:f>COUNTIFS('Dialogues'!$C$7:$C$9,"Prototype")</x:f>
        <x:v>0</x:v>
      </x:c>
      <x:c r="E22" s="37" t="n">
        <x:f>COUNTIFS('Dialogues'!$C$7:$C$9,"Intégré")</x:f>
        <x:v>0</x:v>
      </x:c>
      <x:c r="F22" s="37" t="n">
        <x:f>COUNTIFS('Dialogues'!$C$7:$C$9,"Validé")</x:f>
        <x:v>0</x:v>
      </x:c>
      <x:c r="G22" s="37" t="n">
        <x:f>COUNTIFS('Dialogues'!$D$7:$D$9,"Établi")</x:f>
        <x:v>0</x:v>
      </x:c>
      <x:c r="H22" s="37" t="n">
        <x:f>COUNTIFS('Dialogues'!$D$7:$D$9,"À vérifier")</x:f>
        <x:v>0</x:v>
      </x:c>
      <x:c r="I22" s="37" t="n">
        <x:f>COUNTIFS('Dialogues'!$D$7:$D$9,"Extrapolation")</x:f>
        <x:v>3</x:v>
      </x:c>
      <x:c r="J22" s="37" t="n">
        <x:f>COUNTIFS('Dialogues'!$D$7:$D$9,"Coupé attesté")</x:f>
        <x:v>0</x:v>
      </x:c>
      <x:c r="K22" s="37" t="n">
        <x:f>COUNTIFS('Dialogues'!$D$7:$D$9,"Concept abandonné")</x:f>
        <x:v>0</x:v>
      </x:c>
      <x:c r="L22" s="37" t="n">
        <x:f>COUNTIFS('Dialogues'!$D$7:$D$9,"Allégation écartée")</x:f>
        <x:v>0</x:v>
      </x:c>
      <x:c r="M22" s="37" t="n">
        <x:f>COUNTIFS('Dialogues'!$E$7:$E$9,"P0")</x:f>
        <x:v>0</x:v>
      </x:c>
    </x:row>
    <x:row r="23" ht="22" customHeight="1">
      <x:c r="A23" s="2" t="str">
        <x:v>Cinématiques</x:v>
      </x:c>
      <x:c r="B23" s="38" t="n">
        <x:f>COUNTA('Cinematiques'!$A$7:$A$9)</x:f>
        <x:v>3</x:v>
      </x:c>
      <x:c r="C23" s="38" t="n">
        <x:f>COUNTIFS('Cinematiques'!$C$7:$C$9,"Défini")</x:f>
        <x:v>3</x:v>
      </x:c>
      <x:c r="D23" s="38" t="n">
        <x:f>COUNTIFS('Cinematiques'!$C$7:$C$9,"Prototype")</x:f>
        <x:v>0</x:v>
      </x:c>
      <x:c r="E23" s="38" t="n">
        <x:f>COUNTIFS('Cinematiques'!$C$7:$C$9,"Intégré")</x:f>
        <x:v>0</x:v>
      </x:c>
      <x:c r="F23" s="38" t="n">
        <x:f>COUNTIFS('Cinematiques'!$C$7:$C$9,"Validé")</x:f>
        <x:v>0</x:v>
      </x:c>
      <x:c r="G23" s="38" t="n">
        <x:f>COUNTIFS('Cinematiques'!$D$7:$D$9,"Établi")</x:f>
        <x:v>0</x:v>
      </x:c>
      <x:c r="H23" s="38" t="n">
        <x:f>COUNTIFS('Cinematiques'!$D$7:$D$9,"À vérifier")</x:f>
        <x:v>0</x:v>
      </x:c>
      <x:c r="I23" s="38" t="n">
        <x:f>COUNTIFS('Cinematiques'!$D$7:$D$9,"Extrapolation")</x:f>
        <x:v>3</x:v>
      </x:c>
      <x:c r="J23" s="38" t="n">
        <x:f>COUNTIFS('Cinematiques'!$D$7:$D$9,"Coupé attesté")</x:f>
        <x:v>0</x:v>
      </x:c>
      <x:c r="K23" s="38" t="n">
        <x:f>COUNTIFS('Cinematiques'!$D$7:$D$9,"Concept abandonné")</x:f>
        <x:v>0</x:v>
      </x:c>
      <x:c r="L23" s="38" t="n">
        <x:f>COUNTIFS('Cinematiques'!$D$7:$D$9,"Allégation écartée")</x:f>
        <x:v>0</x:v>
      </x:c>
      <x:c r="M23" s="38" t="n">
        <x:f>COUNTIFS('Cinematiques'!$E$7:$E$9,"P0")</x:f>
        <x:v>0</x:v>
      </x:c>
    </x:row>
    <x:row r="24" ht="22" customHeight="1">
      <x:c r="A24" s="33" t="str">
        <x:v>Armes</x:v>
      </x:c>
      <x:c r="B24" s="37" t="n">
        <x:f>COUNTA('Armes'!$A$7:$A$8)</x:f>
        <x:v>2</x:v>
      </x:c>
      <x:c r="C24" s="37" t="n">
        <x:f>COUNTIFS('Armes'!$C$7:$C$8,"Défini")</x:f>
        <x:v>2</x:v>
      </x:c>
      <x:c r="D24" s="37" t="n">
        <x:f>COUNTIFS('Armes'!$C$7:$C$8,"Prototype")</x:f>
        <x:v>0</x:v>
      </x:c>
      <x:c r="E24" s="37" t="n">
        <x:f>COUNTIFS('Armes'!$C$7:$C$8,"Intégré")</x:f>
        <x:v>0</x:v>
      </x:c>
      <x:c r="F24" s="37" t="n">
        <x:f>COUNTIFS('Armes'!$C$7:$C$8,"Validé")</x:f>
        <x:v>0</x:v>
      </x:c>
      <x:c r="G24" s="37" t="n">
        <x:f>COUNTIFS('Armes'!$D$7:$D$8,"Établi")</x:f>
        <x:v>2</x:v>
      </x:c>
      <x:c r="H24" s="37" t="n">
        <x:f>COUNTIFS('Armes'!$D$7:$D$8,"À vérifier")</x:f>
        <x:v>0</x:v>
      </x:c>
      <x:c r="I24" s="37" t="n">
        <x:f>COUNTIFS('Armes'!$D$7:$D$8,"Extrapolation")</x:f>
        <x:v>0</x:v>
      </x:c>
      <x:c r="J24" s="37" t="n">
        <x:f>COUNTIFS('Armes'!$D$7:$D$8,"Coupé attesté")</x:f>
        <x:v>0</x:v>
      </x:c>
      <x:c r="K24" s="37" t="n">
        <x:f>COUNTIFS('Armes'!$D$7:$D$8,"Concept abandonné")</x:f>
        <x:v>0</x:v>
      </x:c>
      <x:c r="L24" s="37" t="n">
        <x:f>COUNTIFS('Armes'!$D$7:$D$8,"Allégation écartée")</x:f>
        <x:v>0</x:v>
      </x:c>
      <x:c r="M24" s="37" t="n">
        <x:f>COUNTIFS('Armes'!$E$7:$E$8,"P0")</x:f>
        <x:v>0</x:v>
      </x:c>
    </x:row>
    <x:row r="25" ht="22" customHeight="1">
      <x:c r="A25" s="2" t="str">
        <x:v>Armures et équipement</x:v>
      </x:c>
      <x:c r="B25" s="38" t="n">
        <x:f>COUNTA('Armures_equipement'!$A$7:$A$8)</x:f>
        <x:v>2</x:v>
      </x:c>
      <x:c r="C25" s="38" t="n">
        <x:f>COUNTIFS('Armures_equipement'!$C$7:$C$8,"Défini")</x:f>
        <x:v>2</x:v>
      </x:c>
      <x:c r="D25" s="38" t="n">
        <x:f>COUNTIFS('Armures_equipement'!$C$7:$C$8,"Prototype")</x:f>
        <x:v>0</x:v>
      </x:c>
      <x:c r="E25" s="38" t="n">
        <x:f>COUNTIFS('Armures_equipement'!$C$7:$C$8,"Intégré")</x:f>
        <x:v>0</x:v>
      </x:c>
      <x:c r="F25" s="38" t="n">
        <x:f>COUNTIFS('Armures_equipement'!$C$7:$C$8,"Validé")</x:f>
        <x:v>0</x:v>
      </x:c>
      <x:c r="G25" s="38" t="n">
        <x:f>COUNTIFS('Armures_equipement'!$D$7:$D$8,"Établi")</x:f>
        <x:v>2</x:v>
      </x:c>
      <x:c r="H25" s="38" t="n">
        <x:f>COUNTIFS('Armures_equipement'!$D$7:$D$8,"À vérifier")</x:f>
        <x:v>0</x:v>
      </x:c>
      <x:c r="I25" s="38" t="n">
        <x:f>COUNTIFS('Armures_equipement'!$D$7:$D$8,"Extrapolation")</x:f>
        <x:v>0</x:v>
      </x:c>
      <x:c r="J25" s="38" t="n">
        <x:f>COUNTIFS('Armures_equipement'!$D$7:$D$8,"Coupé attesté")</x:f>
        <x:v>0</x:v>
      </x:c>
      <x:c r="K25" s="38" t="n">
        <x:f>COUNTIFS('Armures_equipement'!$D$7:$D$8,"Concept abandonné")</x:f>
        <x:v>0</x:v>
      </x:c>
      <x:c r="L25" s="38" t="n">
        <x:f>COUNTIFS('Armures_equipement'!$D$7:$D$8,"Allégation écartée")</x:f>
        <x:v>0</x:v>
      </x:c>
      <x:c r="M25" s="38" t="n">
        <x:f>COUNTIFS('Armures_equipement'!$E$7:$E$8,"P0")</x:f>
        <x:v>0</x:v>
      </x:c>
    </x:row>
    <x:row r="26" ht="22" customHeight="1">
      <x:c r="A26" s="33" t="str">
        <x:v>Pouvoirs</x:v>
      </x:c>
      <x:c r="B26" s="37" t="n">
        <x:f>COUNTA('Pouvoirs'!$A$7:$A$9)</x:f>
        <x:v>3</x:v>
      </x:c>
      <x:c r="C26" s="37" t="n">
        <x:f>COUNTIFS('Pouvoirs'!$C$7:$C$9,"Défini")</x:f>
        <x:v>1</x:v>
      </x:c>
      <x:c r="D26" s="37" t="n">
        <x:f>COUNTIFS('Pouvoirs'!$C$7:$C$9,"Prototype")</x:f>
        <x:v>2</x:v>
      </x:c>
      <x:c r="E26" s="37" t="n">
        <x:f>COUNTIFS('Pouvoirs'!$C$7:$C$9,"Intégré")</x:f>
        <x:v>0</x:v>
      </x:c>
      <x:c r="F26" s="37" t="n">
        <x:f>COUNTIFS('Pouvoirs'!$C$7:$C$9,"Validé")</x:f>
        <x:v>0</x:v>
      </x:c>
      <x:c r="G26" s="37" t="n">
        <x:f>COUNTIFS('Pouvoirs'!$D$7:$D$9,"Établi")</x:f>
        <x:v>3</x:v>
      </x:c>
      <x:c r="H26" s="37" t="n">
        <x:f>COUNTIFS('Pouvoirs'!$D$7:$D$9,"À vérifier")</x:f>
        <x:v>0</x:v>
      </x:c>
      <x:c r="I26" s="37" t="n">
        <x:f>COUNTIFS('Pouvoirs'!$D$7:$D$9,"Extrapolation")</x:f>
        <x:v>0</x:v>
      </x:c>
      <x:c r="J26" s="37" t="n">
        <x:f>COUNTIFS('Pouvoirs'!$D$7:$D$9,"Coupé attesté")</x:f>
        <x:v>0</x:v>
      </x:c>
      <x:c r="K26" s="37" t="n">
        <x:f>COUNTIFS('Pouvoirs'!$D$7:$D$9,"Concept abandonné")</x:f>
        <x:v>0</x:v>
      </x:c>
      <x:c r="L26" s="37" t="n">
        <x:f>COUNTIFS('Pouvoirs'!$D$7:$D$9,"Allégation écartée")</x:f>
        <x:v>0</x:v>
      </x:c>
      <x:c r="M26" s="37" t="n">
        <x:f>COUNTIFS('Pouvoirs'!$E$7:$E$9,"P0")</x:f>
        <x:v>0</x:v>
      </x:c>
    </x:row>
    <x:row r="27" ht="22" customHeight="1">
      <x:c r="A27" s="2" t="str">
        <x:v>Movesets alliés</x:v>
      </x:c>
      <x:c r="B27" s="38" t="n">
        <x:f>COUNTA('Movesets_allies'!$A$7:$A$10)</x:f>
        <x:v>4</x:v>
      </x:c>
      <x:c r="C27" s="38" t="n">
        <x:f>COUNTIFS('Movesets_allies'!$C$7:$C$10,"Défini")</x:f>
        <x:v>4</x:v>
      </x:c>
      <x:c r="D27" s="38" t="n">
        <x:f>COUNTIFS('Movesets_allies'!$C$7:$C$10,"Prototype")</x:f>
        <x:v>0</x:v>
      </x:c>
      <x:c r="E27" s="38" t="n">
        <x:f>COUNTIFS('Movesets_allies'!$C$7:$C$10,"Intégré")</x:f>
        <x:v>0</x:v>
      </x:c>
      <x:c r="F27" s="38" t="n">
        <x:f>COUNTIFS('Movesets_allies'!$C$7:$C$10,"Validé")</x:f>
        <x:v>0</x:v>
      </x:c>
      <x:c r="G27" s="38" t="n">
        <x:f>COUNTIFS('Movesets_allies'!$D$7:$D$10,"Établi")</x:f>
        <x:v>0</x:v>
      </x:c>
      <x:c r="H27" s="38" t="n">
        <x:f>COUNTIFS('Movesets_allies'!$D$7:$D$10,"À vérifier")</x:f>
        <x:v>0</x:v>
      </x:c>
      <x:c r="I27" s="38" t="n">
        <x:f>COUNTIFS('Movesets_allies'!$D$7:$D$10,"Extrapolation")</x:f>
        <x:v>4</x:v>
      </x:c>
      <x:c r="J27" s="38" t="n">
        <x:f>COUNTIFS('Movesets_allies'!$D$7:$D$10,"Coupé attesté")</x:f>
        <x:v>0</x:v>
      </x:c>
      <x:c r="K27" s="38" t="n">
        <x:f>COUNTIFS('Movesets_allies'!$D$7:$D$10,"Concept abandonné")</x:f>
        <x:v>0</x:v>
      </x:c>
      <x:c r="L27" s="38" t="n">
        <x:f>COUNTIFS('Movesets_allies'!$D$7:$D$10,"Allégation écartée")</x:f>
        <x:v>0</x:v>
      </x:c>
      <x:c r="M27" s="38" t="n">
        <x:f>COUNTIFS('Movesets_allies'!$E$7:$E$10,"P0")</x:f>
        <x:v>0</x:v>
      </x:c>
    </x:row>
    <x:row r="28" ht="22" customHeight="1">
      <x:c r="A28" s="33" t="str">
        <x:v>Movesets ennemis</x:v>
      </x:c>
      <x:c r="B28" s="37" t="n">
        <x:f>COUNTA('Movesets_ennemis'!$A$7:$A$10)</x:f>
        <x:v>4</x:v>
      </x:c>
      <x:c r="C28" s="37" t="n">
        <x:f>COUNTIFS('Movesets_ennemis'!$C$7:$C$10,"Défini")</x:f>
        <x:v>4</x:v>
      </x:c>
      <x:c r="D28" s="37" t="n">
        <x:f>COUNTIFS('Movesets_ennemis'!$C$7:$C$10,"Prototype")</x:f>
        <x:v>0</x:v>
      </x:c>
      <x:c r="E28" s="37" t="n">
        <x:f>COUNTIFS('Movesets_ennemis'!$C$7:$C$10,"Intégré")</x:f>
        <x:v>0</x:v>
      </x:c>
      <x:c r="F28" s="37" t="n">
        <x:f>COUNTIFS('Movesets_ennemis'!$C$7:$C$10,"Validé")</x:f>
        <x:v>0</x:v>
      </x:c>
      <x:c r="G28" s="37" t="n">
        <x:f>COUNTIFS('Movesets_ennemis'!$D$7:$D$10,"Établi")</x:f>
        <x:v>0</x:v>
      </x:c>
      <x:c r="H28" s="37" t="n">
        <x:f>COUNTIFS('Movesets_ennemis'!$D$7:$D$10,"À vérifier")</x:f>
        <x:v>0</x:v>
      </x:c>
      <x:c r="I28" s="37" t="n">
        <x:f>COUNTIFS('Movesets_ennemis'!$D$7:$D$10,"Extrapolation")</x:f>
        <x:v>4</x:v>
      </x:c>
      <x:c r="J28" s="37" t="n">
        <x:f>COUNTIFS('Movesets_ennemis'!$D$7:$D$10,"Coupé attesté")</x:f>
        <x:v>0</x:v>
      </x:c>
      <x:c r="K28" s="37" t="n">
        <x:f>COUNTIFS('Movesets_ennemis'!$D$7:$D$10,"Concept abandonné")</x:f>
        <x:v>0</x:v>
      </x:c>
      <x:c r="L28" s="37" t="n">
        <x:f>COUNTIFS('Movesets_ennemis'!$D$7:$D$10,"Allégation écartée")</x:f>
        <x:v>0</x:v>
      </x:c>
      <x:c r="M28" s="37" t="n">
        <x:f>COUNTIFS('Movesets_ennemis'!$E$7:$E$10,"P0")</x:f>
        <x:v>0</x:v>
      </x:c>
    </x:row>
    <x:row r="29" ht="22" customHeight="1">
      <x:c r="A29" s="2" t="str">
        <x:v>Animations</x:v>
      </x:c>
      <x:c r="B29" s="38" t="n">
        <x:f>COUNTA('Animations'!$A$7:$A$8)</x:f>
        <x:v>2</x:v>
      </x:c>
      <x:c r="C29" s="38" t="n">
        <x:f>COUNTIFS('Animations'!$C$7:$C$8,"Défini")</x:f>
        <x:v>2</x:v>
      </x:c>
      <x:c r="D29" s="38" t="n">
        <x:f>COUNTIFS('Animations'!$C$7:$C$8,"Prototype")</x:f>
        <x:v>0</x:v>
      </x:c>
      <x:c r="E29" s="38" t="n">
        <x:f>COUNTIFS('Animations'!$C$7:$C$8,"Intégré")</x:f>
        <x:v>0</x:v>
      </x:c>
      <x:c r="F29" s="38" t="n">
        <x:f>COUNTIFS('Animations'!$C$7:$C$8,"Validé")</x:f>
        <x:v>0</x:v>
      </x:c>
      <x:c r="G29" s="38" t="n">
        <x:f>COUNTIFS('Animations'!$D$7:$D$8,"Établi")</x:f>
        <x:v>0</x:v>
      </x:c>
      <x:c r="H29" s="38" t="n">
        <x:f>COUNTIFS('Animations'!$D$7:$D$8,"À vérifier")</x:f>
        <x:v>0</x:v>
      </x:c>
      <x:c r="I29" s="38" t="n">
        <x:f>COUNTIFS('Animations'!$D$7:$D$8,"Extrapolation")</x:f>
        <x:v>2</x:v>
      </x:c>
      <x:c r="J29" s="38" t="n">
        <x:f>COUNTIFS('Animations'!$D$7:$D$8,"Coupé attesté")</x:f>
        <x:v>0</x:v>
      </x:c>
      <x:c r="K29" s="38" t="n">
        <x:f>COUNTIFS('Animations'!$D$7:$D$8,"Concept abandonné")</x:f>
        <x:v>0</x:v>
      </x:c>
      <x:c r="L29" s="38" t="n">
        <x:f>COUNTIFS('Animations'!$D$7:$D$8,"Allégation écartée")</x:f>
        <x:v>0</x:v>
      </x:c>
      <x:c r="M29" s="38" t="n">
        <x:f>COUNTIFS('Animations'!$E$7:$E$8,"P0")</x:f>
        <x:v>0</x:v>
      </x:c>
    </x:row>
    <x:row r="30" ht="22" customHeight="1">
      <x:c r="A30" s="33" t="str">
        <x:v>Sprites</x:v>
      </x:c>
      <x:c r="B30" s="37" t="n">
        <x:f>COUNTA('Sprites'!$A$7:$A$18)</x:f>
        <x:v>12</x:v>
      </x:c>
      <x:c r="C30" s="37" t="n">
        <x:f>COUNTIFS('Sprites'!$C$7:$C$18,"Défini")</x:f>
        <x:v>12</x:v>
      </x:c>
      <x:c r="D30" s="37" t="n">
        <x:f>COUNTIFS('Sprites'!$C$7:$C$18,"Prototype")</x:f>
        <x:v>0</x:v>
      </x:c>
      <x:c r="E30" s="37" t="n">
        <x:f>COUNTIFS('Sprites'!$C$7:$C$18,"Intégré")</x:f>
        <x:v>0</x:v>
      </x:c>
      <x:c r="F30" s="37" t="n">
        <x:f>COUNTIFS('Sprites'!$C$7:$C$18,"Validé")</x:f>
        <x:v>0</x:v>
      </x:c>
      <x:c r="G30" s="37" t="n">
        <x:f>COUNTIFS('Sprites'!$D$7:$D$18,"Établi")</x:f>
        <x:v>0</x:v>
      </x:c>
      <x:c r="H30" s="37" t="n">
        <x:f>COUNTIFS('Sprites'!$D$7:$D$18,"À vérifier")</x:f>
        <x:v>0</x:v>
      </x:c>
      <x:c r="I30" s="37" t="n">
        <x:f>COUNTIFS('Sprites'!$D$7:$D$18,"Extrapolation")</x:f>
        <x:v>12</x:v>
      </x:c>
      <x:c r="J30" s="37" t="n">
        <x:f>COUNTIFS('Sprites'!$D$7:$D$18,"Coupé attesté")</x:f>
        <x:v>0</x:v>
      </x:c>
      <x:c r="K30" s="37" t="n">
        <x:f>COUNTIFS('Sprites'!$D$7:$D$18,"Concept abandonné")</x:f>
        <x:v>0</x:v>
      </x:c>
      <x:c r="L30" s="37" t="n">
        <x:f>COUNTIFS('Sprites'!$D$7:$D$18,"Allégation écartée")</x:f>
        <x:v>0</x:v>
      </x:c>
      <x:c r="M30" s="37" t="n">
        <x:f>COUNTIFS('Sprites'!$E$7:$E$18,"P0")</x:f>
        <x:v>1</x:v>
      </x:c>
    </x:row>
    <x:row r="31" ht="22" customHeight="1">
      <x:c r="A31" s="2" t="str">
        <x:v>VFX</x:v>
      </x:c>
      <x:c r="B31" s="38" t="n">
        <x:f>COUNTA('VFX'!$A$7:$A$8)</x:f>
        <x:v>2</x:v>
      </x:c>
      <x:c r="C31" s="38" t="n">
        <x:f>COUNTIFS('VFX'!$C$7:$C$8,"Défini")</x:f>
        <x:v>2</x:v>
      </x:c>
      <x:c r="D31" s="38" t="n">
        <x:f>COUNTIFS('VFX'!$C$7:$C$8,"Prototype")</x:f>
        <x:v>0</x:v>
      </x:c>
      <x:c r="E31" s="38" t="n">
        <x:f>COUNTIFS('VFX'!$C$7:$C$8,"Intégré")</x:f>
        <x:v>0</x:v>
      </x:c>
      <x:c r="F31" s="38" t="n">
        <x:f>COUNTIFS('VFX'!$C$7:$C$8,"Validé")</x:f>
        <x:v>0</x:v>
      </x:c>
      <x:c r="G31" s="38" t="n">
        <x:f>COUNTIFS('VFX'!$D$7:$D$8,"Établi")</x:f>
        <x:v>0</x:v>
      </x:c>
      <x:c r="H31" s="38" t="n">
        <x:f>COUNTIFS('VFX'!$D$7:$D$8,"À vérifier")</x:f>
        <x:v>0</x:v>
      </x:c>
      <x:c r="I31" s="38" t="n">
        <x:f>COUNTIFS('VFX'!$D$7:$D$8,"Extrapolation")</x:f>
        <x:v>2</x:v>
      </x:c>
      <x:c r="J31" s="38" t="n">
        <x:f>COUNTIFS('VFX'!$D$7:$D$8,"Coupé attesté")</x:f>
        <x:v>0</x:v>
      </x:c>
      <x:c r="K31" s="38" t="n">
        <x:f>COUNTIFS('VFX'!$D$7:$D$8,"Concept abandonné")</x:f>
        <x:v>0</x:v>
      </x:c>
      <x:c r="L31" s="38" t="n">
        <x:f>COUNTIFS('VFX'!$D$7:$D$8,"Allégation écartée")</x:f>
        <x:v>0</x:v>
      </x:c>
      <x:c r="M31" s="38" t="n">
        <x:f>COUNTIFS('VFX'!$E$7:$E$8,"P0")</x:f>
        <x:v>0</x:v>
      </x:c>
    </x:row>
    <x:row r="32" ht="22" customHeight="1">
      <x:c r="A32" s="33" t="str">
        <x:v>Audio</x:v>
      </x:c>
      <x:c r="B32" s="37" t="n">
        <x:f>COUNTA('Audio'!$A$7:$A$9)</x:f>
        <x:v>3</x:v>
      </x:c>
      <x:c r="C32" s="37" t="n">
        <x:f>COUNTIFS('Audio'!$C$7:$C$9,"Défini")</x:f>
        <x:v>3</x:v>
      </x:c>
      <x:c r="D32" s="37" t="n">
        <x:f>COUNTIFS('Audio'!$C$7:$C$9,"Prototype")</x:f>
        <x:v>0</x:v>
      </x:c>
      <x:c r="E32" s="37" t="n">
        <x:f>COUNTIFS('Audio'!$C$7:$C$9,"Intégré")</x:f>
        <x:v>0</x:v>
      </x:c>
      <x:c r="F32" s="37" t="n">
        <x:f>COUNTIFS('Audio'!$C$7:$C$9,"Validé")</x:f>
        <x:v>0</x:v>
      </x:c>
      <x:c r="G32" s="37" t="n">
        <x:f>COUNTIFS('Audio'!$D$7:$D$9,"Établi")</x:f>
        <x:v>0</x:v>
      </x:c>
      <x:c r="H32" s="37" t="n">
        <x:f>COUNTIFS('Audio'!$D$7:$D$9,"À vérifier")</x:f>
        <x:v>0</x:v>
      </x:c>
      <x:c r="I32" s="37" t="n">
        <x:f>COUNTIFS('Audio'!$D$7:$D$9,"Extrapolation")</x:f>
        <x:v>3</x:v>
      </x:c>
      <x:c r="J32" s="37" t="n">
        <x:f>COUNTIFS('Audio'!$D$7:$D$9,"Coupé attesté")</x:f>
        <x:v>0</x:v>
      </x:c>
      <x:c r="K32" s="37" t="n">
        <x:f>COUNTIFS('Audio'!$D$7:$D$9,"Concept abandonné")</x:f>
        <x:v>0</x:v>
      </x:c>
      <x:c r="L32" s="37" t="n">
        <x:f>COUNTIFS('Audio'!$D$7:$D$9,"Allégation écartée")</x:f>
        <x:v>0</x:v>
      </x:c>
      <x:c r="M32" s="37" t="n">
        <x:f>COUNTIFS('Audio'!$E$7:$E$9,"P0")</x:f>
        <x:v>0</x:v>
      </x:c>
    </x:row>
    <x:row r="33" ht="22" customHeight="1">
      <x:c r="A33" s="2" t="str">
        <x:v>Systèmes et UI</x:v>
      </x:c>
      <x:c r="B33" s="38" t="n">
        <x:f>COUNTA('UI_systemes'!$A$7:$A$11)</x:f>
        <x:v>5</x:v>
      </x:c>
      <x:c r="C33" s="38" t="n">
        <x:f>COUNTIFS('UI_systemes'!$C$7:$C$11,"Défini")</x:f>
        <x:v>5</x:v>
      </x:c>
      <x:c r="D33" s="38" t="n">
        <x:f>COUNTIFS('UI_systemes'!$C$7:$C$11,"Prototype")</x:f>
        <x:v>0</x:v>
      </x:c>
      <x:c r="E33" s="38" t="n">
        <x:f>COUNTIFS('UI_systemes'!$C$7:$C$11,"Intégré")</x:f>
        <x:v>0</x:v>
      </x:c>
      <x:c r="F33" s="38" t="n">
        <x:f>COUNTIFS('UI_systemes'!$C$7:$C$11,"Validé")</x:f>
        <x:v>0</x:v>
      </x:c>
      <x:c r="G33" s="38" t="n">
        <x:f>COUNTIFS('UI_systemes'!$D$7:$D$11,"Établi")</x:f>
        <x:v>0</x:v>
      </x:c>
      <x:c r="H33" s="38" t="n">
        <x:f>COUNTIFS('UI_systemes'!$D$7:$D$11,"À vérifier")</x:f>
        <x:v>0</x:v>
      </x:c>
      <x:c r="I33" s="38" t="n">
        <x:f>COUNTIFS('UI_systemes'!$D$7:$D$11,"Extrapolation")</x:f>
        <x:v>5</x:v>
      </x:c>
      <x:c r="J33" s="38" t="n">
        <x:f>COUNTIFS('UI_systemes'!$D$7:$D$11,"Coupé attesté")</x:f>
        <x:v>0</x:v>
      </x:c>
      <x:c r="K33" s="38" t="n">
        <x:f>COUNTIFS('UI_systemes'!$D$7:$D$11,"Concept abandonné")</x:f>
        <x:v>0</x:v>
      </x:c>
      <x:c r="L33" s="38" t="n">
        <x:f>COUNTIFS('UI_systemes'!$D$7:$D$11,"Allégation écartée")</x:f>
        <x:v>0</x:v>
      </x:c>
      <x:c r="M33" s="38" t="n">
        <x:f>COUNTIFS('UI_systemes'!$E$7:$E$11,"P0")</x:f>
        <x:v>5</x:v>
      </x:c>
    </x:row>
    <x:row r="34" ht="22" customHeight="1">
      <x:c r="A34" s="33" t="str">
        <x:v>QA</x:v>
      </x:c>
      <x:c r="B34" s="37" t="n">
        <x:f>COUNTA('QA'!$A$7:$A$11)</x:f>
        <x:v>5</x:v>
      </x:c>
      <x:c r="C34" s="37" t="n">
        <x:f>COUNTIFS('QA'!$C$7:$C$11,"Défini")</x:f>
        <x:v>5</x:v>
      </x:c>
      <x:c r="D34" s="37" t="n">
        <x:f>COUNTIFS('QA'!$C$7:$C$11,"Prototype")</x:f>
        <x:v>0</x:v>
      </x:c>
      <x:c r="E34" s="37" t="n">
        <x:f>COUNTIFS('QA'!$C$7:$C$11,"Intégré")</x:f>
        <x:v>0</x:v>
      </x:c>
      <x:c r="F34" s="37" t="n">
        <x:f>COUNTIFS('QA'!$C$7:$C$11,"Validé")</x:f>
        <x:v>0</x:v>
      </x:c>
      <x:c r="G34" s="37" t="n">
        <x:f>COUNTIFS('QA'!$D$7:$D$11,"Établi")</x:f>
        <x:v>0</x:v>
      </x:c>
      <x:c r="H34" s="37" t="n">
        <x:f>COUNTIFS('QA'!$D$7:$D$11,"À vérifier")</x:f>
        <x:v>0</x:v>
      </x:c>
      <x:c r="I34" s="37" t="n">
        <x:f>COUNTIFS('QA'!$D$7:$D$11,"Extrapolation")</x:f>
        <x:v>5</x:v>
      </x:c>
      <x:c r="J34" s="37" t="n">
        <x:f>COUNTIFS('QA'!$D$7:$D$11,"Coupé attesté")</x:f>
        <x:v>0</x:v>
      </x:c>
      <x:c r="K34" s="37" t="n">
        <x:f>COUNTIFS('QA'!$D$7:$D$11,"Concept abandonné")</x:f>
        <x:v>0</x:v>
      </x:c>
      <x:c r="L34" s="37" t="n">
        <x:f>COUNTIFS('QA'!$D$7:$D$11,"Allégation écartée")</x:f>
        <x:v>0</x:v>
      </x:c>
      <x:c r="M34" s="37" t="n">
        <x:f>COUNTIFS('QA'!$E$7:$E$11,"P0")</x:f>
        <x:v>5</x:v>
      </x:c>
    </x:row>
    <x:row r="35" ht="22" customHeight="1">
      <x:c r="A35" s="2" t="str">
        <x:v>Continuité</x:v>
      </x:c>
      <x:c r="B35" s="38" t="n">
        <x:f>COUNTA('Continuite'!$A$7:$A$9)</x:f>
        <x:v>3</x:v>
      </x:c>
      <x:c r="C35" s="38" t="n">
        <x:f>COUNTIFS('Continuite'!$C$7:$C$9,"Défini")</x:f>
        <x:v>3</x:v>
      </x:c>
      <x:c r="D35" s="38" t="n">
        <x:f>COUNTIFS('Continuite'!$C$7:$C$9,"Prototype")</x:f>
        <x:v>0</x:v>
      </x:c>
      <x:c r="E35" s="38" t="n">
        <x:f>COUNTIFS('Continuite'!$C$7:$C$9,"Intégré")</x:f>
        <x:v>0</x:v>
      </x:c>
      <x:c r="F35" s="38" t="n">
        <x:f>COUNTIFS('Continuite'!$C$7:$C$9,"Validé")</x:f>
        <x:v>0</x:v>
      </x:c>
      <x:c r="G35" s="38" t="n">
        <x:f>COUNTIFS('Continuite'!$D$7:$D$9,"Établi")</x:f>
        <x:v>0</x:v>
      </x:c>
      <x:c r="H35" s="38" t="n">
        <x:f>COUNTIFS('Continuite'!$D$7:$D$9,"À vérifier")</x:f>
        <x:v>1</x:v>
      </x:c>
      <x:c r="I35" s="38" t="n">
        <x:f>COUNTIFS('Continuite'!$D$7:$D$9,"Extrapolation")</x:f>
        <x:v>2</x:v>
      </x:c>
      <x:c r="J35" s="38" t="n">
        <x:f>COUNTIFS('Continuite'!$D$7:$D$9,"Coupé attesté")</x:f>
        <x:v>0</x:v>
      </x:c>
      <x:c r="K35" s="38" t="n">
        <x:f>COUNTIFS('Continuite'!$D$7:$D$9,"Concept abandonné")</x:f>
        <x:v>0</x:v>
      </x:c>
      <x:c r="L35" s="38" t="n">
        <x:f>COUNTIFS('Continuite'!$D$7:$D$9,"Allégation écartée")</x:f>
        <x:v>0</x:v>
      </x:c>
      <x:c r="M35" s="38" t="n">
        <x:f>COUNTIFS('Continuite'!$E$7:$E$9,"P0")</x:f>
        <x:v>1</x:v>
      </x:c>
    </x:row>
    <x:row r="36" ht="22" customHeight="1">
      <x:c r="A36" s="2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</x:row>
    <x:row r="37" ht="28" customHeight="1">
      <x:c r="A37" s="21" t="str">
        <x:v>TOTAL</x:v>
      </x:c>
      <x:c r="B37" s="39" t="n">
        <x:f>SUM(B10:B35)</x:f>
        <x:v>103</x:v>
      </x:c>
      <x:c r="C37" s="39" t="n">
        <x:f>SUM(C10:C35)</x:f>
        <x:v>100</x:v>
      </x:c>
      <x:c r="D37" s="39" t="n">
        <x:f>SUM(D10:D35)</x:f>
        <x:v>3</x:v>
      </x:c>
      <x:c r="E37" s="39" t="n">
        <x:f>SUM(E10:E35)</x:f>
        <x:v>0</x:v>
      </x:c>
      <x:c r="F37" s="39" t="n">
        <x:f>SUM(F10:F35)</x:f>
        <x:v>0</x:v>
      </x:c>
      <x:c r="G37" s="39" t="n">
        <x:f>SUM(G10:G35)</x:f>
        <x:v>37</x:v>
      </x:c>
      <x:c r="H37" s="39" t="n">
        <x:f>SUM(H10:H35)</x:f>
        <x:v>1</x:v>
      </x:c>
      <x:c r="I37" s="39" t="n">
        <x:f>SUM(I10:I35)</x:f>
        <x:v>65</x:v>
      </x:c>
      <x:c r="J37" s="39" t="n">
        <x:f>SUM(J10:J35)</x:f>
        <x:v>0</x:v>
      </x:c>
      <x:c r="K37" s="39" t="n">
        <x:f>SUM(K10:K35)</x:f>
        <x:v>0</x:v>
      </x:c>
      <x:c r="L37" s="39" t="n">
        <x:f>SUM(L10:L35)</x:f>
        <x:v>0</x:v>
      </x:c>
      <x:c r="M37" s="39" t="n">
        <x:f>SUM(M10:M35)</x:f>
        <x:v>19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24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GAL-CHR-JACOB</x:v>
      </x:c>
      <x:c r="B7" s="9" t="str">
        <x:v>Jacob Taylor</x:v>
      </x:c>
      <x:c r="C7" s="15" t="str">
        <x:v>Prototype</x:v>
      </x:c>
      <x:c r="D7" s="16" t="str">
        <x:v>Établi</x:v>
      </x:c>
      <x:c r="E7" s="16" t="str">
        <x:v>P1</x:v>
      </x:c>
      <x:c r="F7" s="9" t="str">
        <x:v>Soldat biotique protagoniste.</x:v>
      </x:c>
      <x:c r="G7" s="9" t="str">
        <x:v>Combattant jouable, enquêteur et protecteur.</x:v>
      </x:c>
      <x:c r="H7" s="9" t="str">
        <x:v>Rôle et règles ATB définis dans les movesets associés.</x:v>
      </x:c>
      <x:c r="I7" s="9" t="str">
        <x:v>Proposition : tenue de combat compacte, visage lisible, fusil conservé dans la silhouette.</x:v>
      </x:c>
      <x:c r="J7" s="9" t="str"/>
      <x:c r="K7" s="9" t="str"/>
      <x:c r="L7" s="9" t="str">
        <x:v>Prototype Chroniques : src/universe-actors.js, src/chronicles.js. Identifiant runtime GAL-CHR-JACOB ; contexte d’œuvre/segment et sélection de scène obligatoires.</x:v>
      </x:c>
      <x:c r="M7" s="9" t="str"/>
      <x:c r="N7" s="9" t="str">
        <x:v>La fiche distingue identité de référence et rôle proposé.</x:v>
      </x:c>
      <x:c r="O7" s="9" t="str"/>
      <x:c r="P7" s="9" t="str">
        <x:v>Personnages</x:v>
      </x:c>
      <x:c r="Q7" s="9" t="str">
        <x:v>GAL-WIKI</x:v>
      </x:c>
      <x:c r="R7" s="9" t="str">
        <x:v>https://masseffect.fandom.com/wiki/Mass_Effect_Galaxy</x:v>
      </x:c>
      <x:c r="S7" s="9" t="str">
        <x:v>Costume exact à contrôler sur les images originales avant validation 1:1. Prototype partiel disponible dans les Chroniques indépendantes : profil ATB sans portrait, sprite ou moveset complet ; pouvoirs non implémentés signalés. Aucun transfert vers ME1 ni validation 1:1.</x:v>
      </x:c>
    </x:row>
    <x:row r="8" ht="44" customHeight="1">
      <x:c r="A8" s="19" t="str">
        <x:v>GAL-CHR-MIRANDA</x:v>
      </x:c>
      <x:c r="B8" s="7" t="str">
        <x:v>Miranda Lawson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Contact central de l’enquête.</x:v>
      </x:c>
      <x:c r="G8" s="7" t="str">
        <x:v>Soutien narratif et radio. Une présence combattante serait une variante originale.</x:v>
      </x:c>
      <x:c r="H8" s="7" t="str">
        <x:v>Rôle et règles ATB définis dans les movesets associés.</x:v>
      </x:c>
      <x:c r="I8" s="7" t="str">
        <x:v>Proposition : silhouette sobre, tenue noire et claire à relever sur le dessin source.</x:v>
      </x:c>
      <x:c r="J8" s="7" t="str"/>
      <x:c r="K8" s="7" t="str"/>
      <x:c r="L8" s="7" t="str"/>
      <x:c r="M8" s="7" t="str"/>
      <x:c r="N8" s="7" t="str">
        <x:v>La fiche distingue identité de référence et rôle proposé.</x:v>
      </x:c>
      <x:c r="O8" s="7" t="str"/>
      <x:c r="P8" s="7" t="str">
        <x:v>Personnages</x:v>
      </x:c>
      <x:c r="Q8" s="7" t="str">
        <x:v>GAL-WIKI</x:v>
      </x:c>
      <x:c r="R8" s="7" t="str">
        <x:v>https://masseffect.fandom.com/wiki/Mass_Effect_Galaxy</x:v>
      </x:c>
      <x:c r="S8" s="7" t="str">
        <x:v>Costume exact à contrôler sur les images originales avant validation 1:1.</x:v>
      </x:c>
    </x:row>
  </x:sheetData>
  <x:conditionalFormatting sqref="D7:D8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8">
    <x:cfRule type="cellIs" dxfId="2" priority="3" operator="equal">
      <x:formula>"Validé"</x:formula>
    </x:cfRule>
  </x:conditionalFormatting>
  <x:conditionalFormatting sqref="E7:E8">
    <x:cfRule type="cellIs" dxfId="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db6396e54049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GAL-NPC-DEREK</x:v>
      </x:c>
      <x:c r="B7" s="9" t="str">
        <x:v>Derek Izunami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Personnage référencé.</x:v>
      </x:c>
      <x:c r="G7" s="9" t="str">
        <x:v>Briefing et relation de confiance à vérifier dans les dialogues.</x:v>
      </x:c>
      <x:c r="H7" s="9" t="str">
        <x:v>Dialogues courts originaux ; condition de présence liée à la mission.</x:v>
      </x:c>
      <x:c r="I7" s="9" t="str">
        <x:v>Portrait dessiné à confronter au jeu source.</x:v>
      </x:c>
      <x:c r="J7" s="9" t="str"/>
      <x:c r="K7" s="9" t="str"/>
      <x:c r="L7" s="9" t="str"/>
      <x:c r="M7" s="9" t="str"/>
      <x:c r="N7" s="9" t="str">
        <x:v>Le personnage apparaît uniquement dans les scènes prévues.</x:v>
      </x:c>
      <x:c r="O7" s="9" t="str"/>
      <x:c r="P7" s="9" t="str">
        <x:v>Personnages de Galaxy</x:v>
      </x:c>
      <x:c r="Q7" s="9" t="str">
        <x:v>GAL-WIKI</x:v>
      </x:c>
      <x:c r="R7" s="9" t="str">
        <x:v>https://masseffect.fandom.com/wiki/Mass_Effect_Galaxy</x:v>
      </x:c>
      <x:c r="S7" s="9" t="str"/>
    </x:row>
    <x:row r="8" ht="44" customHeight="1">
      <x:c r="A8" s="19" t="str">
        <x:v>GAL-NPC-BATHA</x:v>
      </x:c>
      <x:c r="B8" s="7" t="str">
        <x:v>Batha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Scientifique rencontrée dans l’enquête.</x:v>
      </x:c>
      <x:c r="G8" s="7" t="str">
        <x:v>Objectif de protection et de transmission de preuves.</x:v>
      </x:c>
      <x:c r="H8" s="7" t="str">
        <x:v>Dialogues courts originaux ; condition de présence liée à la mission.</x:v>
      </x:c>
      <x:c r="I8" s="7" t="str">
        <x:v>Portrait dessiné à confronter au jeu source.</x:v>
      </x:c>
      <x:c r="J8" s="7" t="str"/>
      <x:c r="K8" s="7" t="str"/>
      <x:c r="L8" s="7" t="str"/>
      <x:c r="M8" s="7" t="str"/>
      <x:c r="N8" s="7" t="str">
        <x:v>Le personnage apparaît uniquement dans les scènes prévues.</x:v>
      </x:c>
      <x:c r="O8" s="7" t="str"/>
      <x:c r="P8" s="7" t="str">
        <x:v>Personnages de Galaxy</x:v>
      </x:c>
      <x:c r="Q8" s="7" t="str">
        <x:v>GAL-STORY</x:v>
      </x:c>
      <x:c r="R8" s="7" t="str">
        <x:v>https://masseffect.fandom.com/wiki/Storyline_II</x:v>
      </x:c>
      <x:c r="S8" s="7" t="str"/>
    </x:row>
    <x:row r="9" ht="44" customHeight="1">
      <x:c r="A9" s="18" t="str">
        <x:v>GAL-NPC-NAX</x:v>
      </x:c>
      <x:c r="B9" s="9" t="str">
        <x:v>Nax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Krogan associé au sauvetage.</x:v>
      </x:c>
      <x:c r="G9" s="9" t="str">
        <x:v>Soutien temporaire proposé, sans modifier sa fonction source.</x:v>
      </x:c>
      <x:c r="H9" s="9" t="str">
        <x:v>Dialogues courts originaux ; condition de présence liée à la mission.</x:v>
      </x:c>
      <x:c r="I9" s="9" t="str">
        <x:v>Portrait dessiné à confronter au jeu source.</x:v>
      </x:c>
      <x:c r="J9" s="9" t="str"/>
      <x:c r="K9" s="9" t="str"/>
      <x:c r="L9" s="9" t="str"/>
      <x:c r="M9" s="9" t="str"/>
      <x:c r="N9" s="9" t="str">
        <x:v>Le personnage apparaît uniquement dans les scènes prévues.</x:v>
      </x:c>
      <x:c r="O9" s="9" t="str"/>
      <x:c r="P9" s="9" t="str">
        <x:v>Personnages de Galaxy</x:v>
      </x:c>
      <x:c r="Q9" s="9" t="str">
        <x:v>GAL-STORY</x:v>
      </x:c>
      <x:c r="R9" s="9" t="str">
        <x:v>https://masseffect.fandom.com/wiki/Storyline_II</x:v>
      </x:c>
      <x:c r="S9" s="9" t="str"/>
    </x:row>
    <x:row r="10" ht="44" customHeight="1">
      <x:c r="A10" s="19" t="str">
        <x:v>GAL-NPC-ILLO</x:v>
      </x:c>
      <x:c r="B10" s="7" t="str">
        <x:v>Illo Nazario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Marchand d’armes turien.</x:v>
      </x:c>
      <x:c r="G10" s="7" t="str">
        <x:v>Interlocuteur de la piste Tortuga.</x:v>
      </x:c>
      <x:c r="H10" s="7" t="str">
        <x:v>Dialogues courts originaux ; condition de présence liée à la mission.</x:v>
      </x:c>
      <x:c r="I10" s="7" t="str">
        <x:v>Portrait dessiné à confronter au jeu source.</x:v>
      </x:c>
      <x:c r="J10" s="7" t="str"/>
      <x:c r="K10" s="7" t="str"/>
      <x:c r="L10" s="7" t="str"/>
      <x:c r="M10" s="7" t="str"/>
      <x:c r="N10" s="7" t="str">
        <x:v>Le personnage apparaît uniquement dans les scènes prévues.</x:v>
      </x:c>
      <x:c r="O10" s="7" t="str"/>
      <x:c r="P10" s="7" t="str">
        <x:v>Personnages de Galaxy</x:v>
      </x:c>
      <x:c r="Q10" s="7" t="str">
        <x:v>GAL-STORY</x:v>
      </x:c>
      <x:c r="R10" s="7" t="str">
        <x:v>https://masseffect.fandom.com/wiki/Storyline_II</x:v>
      </x:c>
      <x:c r="S10" s="7" t="str"/>
    </x:row>
    <x:row r="11" ht="44" customHeight="1">
      <x:c r="A11" s="18" t="str">
        <x:v>GAL-NPC-ISH</x:v>
      </x:c>
      <x:c r="B11" s="9" t="str">
        <x:v>Ish</x:v>
      </x:c>
      <x:c r="C11" s="15" t="str">
        <x:v>Défini</x:v>
      </x:c>
      <x:c r="D11" s="16" t="str">
        <x:v>Établi</x:v>
      </x:c>
      <x:c r="E11" s="16" t="str">
        <x:v>P1</x:v>
      </x:c>
      <x:c r="F11" s="9" t="str">
        <x:v>Contact salarien de Miranda.</x:v>
      </x:c>
      <x:c r="G11" s="9" t="str">
        <x:v>Fournir un accès et marquer la provenance du renseignement.</x:v>
      </x:c>
      <x:c r="H11" s="9" t="str">
        <x:v>Dialogues courts originaux ; condition de présence liée à la mission.</x:v>
      </x:c>
      <x:c r="I11" s="9" t="str">
        <x:v>Portrait dessiné à confronter au jeu source.</x:v>
      </x:c>
      <x:c r="J11" s="9" t="str"/>
      <x:c r="K11" s="9" t="str"/>
      <x:c r="L11" s="9" t="str"/>
      <x:c r="M11" s="9" t="str"/>
      <x:c r="N11" s="9" t="str">
        <x:v>Le personnage apparaît uniquement dans les scènes prévues.</x:v>
      </x:c>
      <x:c r="O11" s="9" t="str"/>
      <x:c r="P11" s="9" t="str">
        <x:v>Personnages de Galaxy</x:v>
      </x:c>
      <x:c r="Q11" s="9" t="str">
        <x:v>GAL-STORY</x:v>
      </x:c>
      <x:c r="R11" s="9" t="str">
        <x:v>https://masseffect.fandom.com/wiki/Storyline_II</x:v>
      </x:c>
      <x:c r="S11" s="9" t="str"/>
    </x:row>
    <x:row r="12" ht="44" customHeight="1">
      <x:c r="A12" s="19" t="str">
        <x:v>GAL-NPC-TUDGE</x:v>
      </x:c>
      <x:c r="B12" s="7" t="str">
        <x:v>Reginald Tudge</x:v>
      </x:c>
      <x:c r="C12" s="15" t="str">
        <x:v>Défini</x:v>
      </x:c>
      <x:c r="D12" s="17" t="str">
        <x:v>Établi</x:v>
      </x:c>
      <x:c r="E12" s="17" t="str">
        <x:v>P1</x:v>
      </x:c>
      <x:c r="F12" s="7" t="str">
        <x:v>Capitaine de l’Arcturian Jade.</x:v>
      </x:c>
      <x:c r="G12" s="7" t="str">
        <x:v>Remerciement et transition après l’attaque.</x:v>
      </x:c>
      <x:c r="H12" s="7" t="str">
        <x:v>Dialogues courts originaux ; condition de présence liée à la mission.</x:v>
      </x:c>
      <x:c r="I12" s="7" t="str">
        <x:v>Portrait dessiné à confronter au jeu source.</x:v>
      </x:c>
      <x:c r="J12" s="7" t="str"/>
      <x:c r="K12" s="7" t="str"/>
      <x:c r="L12" s="7" t="str"/>
      <x:c r="M12" s="7" t="str"/>
      <x:c r="N12" s="7" t="str">
        <x:v>Le personnage apparaît uniquement dans les scènes prévues.</x:v>
      </x:c>
      <x:c r="O12" s="7" t="str"/>
      <x:c r="P12" s="7" t="str">
        <x:v>Personnages de Galaxy</x:v>
      </x:c>
      <x:c r="Q12" s="7" t="str">
        <x:v>GAL-TUDGE</x:v>
      </x:c>
      <x:c r="R12" s="7" t="str">
        <x:v>https://masseffect.fandom.com/wiki/Reginald_Tudge</x:v>
      </x:c>
      <x:c r="S12" s="7" t="str"/>
    </x:row>
  </x:sheetData>
  <x:conditionalFormatting sqref="D7:D12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12">
    <x:cfRule type="cellIs" dxfId="6" priority="3" operator="equal">
      <x:formula>"Validé"</x:formula>
    </x:cfRule>
  </x:conditionalFormatting>
  <x:conditionalFormatting sqref="E7:E12">
    <x:cfRule type="cellIs" dxfId="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129fb390ec46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GAL-LOR-ALLIANCE</x:v>
      </x:c>
      <x:c r="B7" s="9" t="str">
        <x:v>Passé militaire de Jacob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BioWare le décrit comme ancien soldat de l’Alliance.</x:v>
      </x:c>
      <x:c r="G7" s="9" t="str">
        <x:v>Évoquer son expérience par des tutoriels courts.</x:v>
      </x:c>
      <x:c r="H7" s="9" t="str"/>
      <x:c r="I7" s="9" t="str">
        <x:v>Portrait et badge sans ajouter une promotion non sourcée.</x:v>
      </x:c>
      <x:c r="J7" s="9" t="str"/>
      <x:c r="K7" s="9" t="str"/>
      <x:c r="L7" s="9" t="str"/>
      <x:c r="M7" s="9" t="str"/>
      <x:c r="N7" s="9" t="str">
        <x:v>La biographie reste limitée aux informations vérifiées.</x:v>
      </x:c>
      <x:c r="O7" s="9" t="str"/>
      <x:c r="P7" s="9" t="str">
        <x:v>Conception du fan game</x:v>
      </x:c>
      <x:c r="Q7" s="9" t="str">
        <x:v>GAL-BIO</x:v>
      </x:c>
      <x:c r="R7" s="9" t="str">
        <x:v>https://blog.bioware.com/2009/05/29/mass-effect-on-the-iphone/</x:v>
      </x:c>
      <x:c r="S7" s="9" t="str"/>
    </x:row>
    <x:row r="8" ht="44" customHeight="1">
      <x:c r="A8" s="19" t="str">
        <x:v>GAL-LOR-BATARIAN</x:v>
      </x:c>
      <x:c r="B8" s="7" t="str">
        <x:v>Cellule batarienne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Menace au cœur de l’enquête.</x:v>
      </x:c>
      <x:c r="G8" s="7" t="str">
        <x:v>Distinguer les responsables rencontrés de l’ensemble de l’espèce.</x:v>
      </x:c>
      <x:c r="H8" s="7" t="str">
        <x:v>Les indices identifient des acteurs précis.</x:v>
      </x:c>
      <x:c r="I8" s="7" t="str">
        <x:v>Symboles de faction à relever.</x:v>
      </x:c>
      <x:c r="J8" s="7" t="str"/>
      <x:c r="K8" s="7" t="str"/>
      <x:c r="L8" s="7" t="str"/>
      <x:c r="M8" s="7" t="str"/>
      <x:c r="N8" s="7" t="str">
        <x:v>Les fiches civiles ne sont pas marquées hostiles par espèce.</x:v>
      </x:c>
      <x:c r="O8" s="7" t="str"/>
      <x:c r="P8" s="7" t="str">
        <x:v>Conception du fan game</x:v>
      </x:c>
      <x:c r="Q8" s="7" t="str">
        <x:v>GAL-STORY</x:v>
      </x:c>
      <x:c r="R8" s="7" t="str">
        <x:v>https://masseffect.fandom.com/wiki/Storyline_II</x:v>
      </x:c>
      <x:c r="S8" s="7" t="str"/>
    </x:row>
    <x:row r="9" ht="44" customHeight="1">
      <x:c r="A9" s="18" t="str">
        <x:v>GAL-LOR-EEZO</x:v>
      </x:c>
      <x:c r="B9" s="9" t="str">
        <x:v>Élément zéro sur Bekke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Indice de la piste Bekke.</x:v>
      </x:c>
      <x:c r="G9" s="9" t="str">
        <x:v>Introduire une perturbation biotique locale clairement signalée.</x:v>
      </x:c>
      <x:c r="H9" s="9" t="str">
        <x:v>Bonus et fatigue proposés uniquement dans cette arène.</x:v>
      </x:c>
      <x:c r="I9" s="9" t="str">
        <x:v>Cristaux et champ bleuté modéré.</x:v>
      </x:c>
      <x:c r="J9" s="9" t="str"/>
      <x:c r="K9" s="9" t="str"/>
      <x:c r="L9" s="9" t="str"/>
      <x:c r="M9" s="9" t="str"/>
      <x:c r="N9" s="9" t="str">
        <x:v>Quitter la zone retire le modificateur.</x:v>
      </x:c>
      <x:c r="O9" s="9" t="str"/>
      <x:c r="P9" s="9" t="str">
        <x:v>Conception du fan game</x:v>
      </x:c>
      <x:c r="Q9" s="9" t="str">
        <x:v>GAL-STORY</x:v>
      </x:c>
      <x:c r="R9" s="9" t="str">
        <x:v>https://masseffect.fandom.com/wiki/Storyline_II</x:v>
      </x:c>
      <x:c r="S9" s="9" t="str"/>
    </x:row>
  </x:sheetData>
  <x:conditionalFormatting sqref="D7:D9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9">
    <x:cfRule type="cellIs" dxfId="10" priority="3" operator="equal">
      <x:formula>"Validé"</x:formula>
    </x:cfRule>
  </x:conditionalFormatting>
  <x:conditionalFormatting sqref="E7:E9">
    <x:cfRule type="cellIs" dxfId="1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6aa2a6673844a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GAL-LOC-JADE</x:v>
      </x:c>
      <x:c r="B7" s="9" t="str">
        <x:v>Arcturian Jade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Paquebot de l’ouverture.</x:v>
      </x:c>
      <x:c r="G7" s="9" t="str">
        <x:v>Destination de la campagne adaptée.</x:v>
      </x:c>
      <x:c r="H7" s="9" t="str">
        <x:v>Évacuation de passagers comme objectif secondaire proposé.</x:v>
      </x:c>
      <x:c r="I7" s="9" t="str">
        <x:v>Boiseries claires proposées, baies sur les étoiles, mobilier de croisière.</x:v>
      </x:c>
      <x:c r="J7" s="9" t="str"/>
      <x:c r="K7" s="9" t="str"/>
      <x:c r="L7" s="9" t="str"/>
      <x:c r="M7" s="9" t="str"/>
      <x:c r="N7" s="9" t="str">
        <x:v>La destination se distingue de ses sous-zones et possède une référence.</x:v>
      </x:c>
      <x:c r="O7" s="9" t="str"/>
      <x:c r="P7" s="9" t="str">
        <x:v>Lieux</x:v>
      </x:c>
      <x:c r="Q7" s="9" t="str">
        <x:v>GAL-GUIDE</x:v>
      </x:c>
      <x:c r="R7" s="9" t="str">
        <x:v>https://masseffect.fandom.com/wiki/Mass_Effect_Galaxy_Guide</x:v>
      </x:c>
      <x:c r="S7" s="9" t="str"/>
    </x:row>
    <x:row r="8" ht="44" customHeight="1">
      <x:c r="A8" s="19" t="str">
        <x:v>GAL-LOC-CARTAGENA</x:v>
      </x:c>
      <x:c r="B8" s="7" t="str">
        <x:v>Cartagena Station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Étape de l’enquête.</x:v>
      </x:c>
      <x:c r="G8" s="7" t="str">
        <x:v>Destination de la campagne adaptée.</x:v>
      </x:c>
      <x:c r="H8" s="7" t="str">
        <x:v>Couloirs étroits : protéger les civils des lignes de tir.</x:v>
      </x:c>
      <x:c r="I8" s="7" t="str">
        <x:v>Acier usé, néons chauds, foule en sprites de fond.</x:v>
      </x:c>
      <x:c r="J8" s="7" t="str"/>
      <x:c r="K8" s="7" t="str"/>
      <x:c r="L8" s="7" t="str"/>
      <x:c r="M8" s="7" t="str"/>
      <x:c r="N8" s="7" t="str">
        <x:v>La destination se distingue de ses sous-zones et possède une référence.</x:v>
      </x:c>
      <x:c r="O8" s="7" t="str"/>
      <x:c r="P8" s="7" t="str">
        <x:v>Lieux</x:v>
      </x:c>
      <x:c r="Q8" s="7" t="str">
        <x:v>GAL-GUIDE</x:v>
      </x:c>
      <x:c r="R8" s="7" t="str">
        <x:v>https://masseffect.fandom.com/wiki/Mass_Effect_Galaxy_Guide</x:v>
      </x:c>
      <x:c r="S8" s="7" t="str"/>
    </x:row>
    <x:row r="9" ht="44" customHeight="1">
      <x:c r="A9" s="18" t="str">
        <x:v>GAL-LOC-TORTUGA</x:v>
      </x:c>
      <x:c r="B9" s="9" t="str">
        <x:v>Tortuga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Destination de la piste du marchand d’armes.</x:v>
      </x:c>
      <x:c r="G9" s="9" t="str">
        <x:v>Destination de la campagne adaptée.</x:v>
      </x:c>
      <x:c r="H9" s="9" t="str">
        <x:v>Verrou de porte alimenté par renseignement obtenu.</x:v>
      </x:c>
      <x:c r="I9" s="9" t="str">
        <x:v>Conteneurs asymétriques, lampes industrielles et affichages commerciaux.</x:v>
      </x:c>
      <x:c r="J9" s="9" t="str"/>
      <x:c r="K9" s="9" t="str"/>
      <x:c r="L9" s="9" t="str"/>
      <x:c r="M9" s="9" t="str"/>
      <x:c r="N9" s="9" t="str">
        <x:v>La destination se distingue de ses sous-zones et possède une référence.</x:v>
      </x:c>
      <x:c r="O9" s="9" t="str"/>
      <x:c r="P9" s="9" t="str">
        <x:v>Lieux</x:v>
      </x:c>
      <x:c r="Q9" s="9" t="str">
        <x:v>GAL-GUIDE</x:v>
      </x:c>
      <x:c r="R9" s="9" t="str">
        <x:v>https://masseffect.fandom.com/wiki/Mass_Effect_Galaxy_Guide</x:v>
      </x:c>
      <x:c r="S9" s="9" t="str"/>
    </x:row>
    <x:row r="10" ht="44" customHeight="1">
      <x:c r="A10" s="19" t="str">
        <x:v>GAL-LOC-AHN</x:v>
      </x:c>
      <x:c r="B10" s="7" t="str">
        <x:v>Ahn’Kedar Orbital Platform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Station de la piste des scientifiques.</x:v>
      </x:c>
      <x:c r="G10" s="7" t="str">
        <x:v>Destination de la campagne adaptée.</x:v>
      </x:c>
      <x:c r="H10" s="7" t="str">
        <x:v>Séparer les scientifiques des zones de combat.</x:v>
      </x:c>
      <x:c r="I10" s="7" t="str">
        <x:v>Blanc dégradé, verre turquoise, signalétique médicale.</x:v>
      </x:c>
      <x:c r="J10" s="7" t="str"/>
      <x:c r="K10" s="7" t="str"/>
      <x:c r="L10" s="7" t="str"/>
      <x:c r="M10" s="7" t="str"/>
      <x:c r="N10" s="7" t="str">
        <x:v>La destination se distingue de ses sous-zones et possède une référence.</x:v>
      </x:c>
      <x:c r="O10" s="7" t="str"/>
      <x:c r="P10" s="7" t="str">
        <x:v>Lieux</x:v>
      </x:c>
      <x:c r="Q10" s="7" t="str">
        <x:v>GAL-GUIDE</x:v>
      </x:c>
      <x:c r="R10" s="7" t="str">
        <x:v>https://masseffect.fandom.com/wiki/Mass_Effect_Galaxy_Guide</x:v>
      </x:c>
      <x:c r="S10" s="7" t="str"/>
    </x:row>
    <x:row r="11" ht="44" customHeight="1">
      <x:c r="A11" s="18" t="str">
        <x:v>GAL-LOC-BEKKE</x:v>
      </x:c>
      <x:c r="B11" s="9" t="str">
        <x:v>Bekke</x:v>
      </x:c>
      <x:c r="C11" s="15" t="str">
        <x:v>Défini</x:v>
      </x:c>
      <x:c r="D11" s="16" t="str">
        <x:v>Établi</x:v>
      </x:c>
      <x:c r="E11" s="16" t="str">
        <x:v>P1</x:v>
      </x:c>
      <x:c r="F11" s="9" t="str">
        <x:v>Monde de la piste batarienne.</x:v>
      </x:c>
      <x:c r="G11" s="9" t="str">
        <x:v>Destination de la campagne adaptée.</x:v>
      </x:c>
      <x:c r="H11" s="9" t="str">
        <x:v>Effet biotique local proposé signalé avant les combats.</x:v>
      </x:c>
      <x:c r="I11" s="9" t="str">
        <x:v>Roches noires, flaques, pluie oblique et lueurs d’eezo.</x:v>
      </x:c>
      <x:c r="J11" s="9" t="str"/>
      <x:c r="K11" s="9" t="str"/>
      <x:c r="L11" s="9" t="str"/>
      <x:c r="M11" s="9" t="str"/>
      <x:c r="N11" s="9" t="str">
        <x:v>La destination se distingue de ses sous-zones et possède une référence.</x:v>
      </x:c>
      <x:c r="O11" s="9" t="str"/>
      <x:c r="P11" s="9" t="str">
        <x:v>Lieux</x:v>
      </x:c>
      <x:c r="Q11" s="9" t="str">
        <x:v>GAL-GUIDE</x:v>
      </x:c>
      <x:c r="R11" s="9" t="str">
        <x:v>https://masseffect.fandom.com/wiki/Mass_Effect_Galaxy_Guide</x:v>
      </x:c>
      <x:c r="S11" s="9" t="str"/>
    </x:row>
    <x:row r="12" ht="44" customHeight="1">
      <x:c r="A12" s="19" t="str">
        <x:v>GAL-LOC-CITADEL</x:v>
      </x:c>
      <x:c r="B12" s="7" t="str">
        <x:v>Citadelle</x:v>
      </x:c>
      <x:c r="C12" s="15" t="str">
        <x:v>Défini</x:v>
      </x:c>
      <x:c r="D12" s="17" t="str">
        <x:v>Établi</x:v>
      </x:c>
      <x:c r="E12" s="17" t="str">
        <x:v>P1</x:v>
      </x:c>
      <x:c r="F12" s="7" t="str">
        <x:v>Destination finale.</x:v>
      </x:c>
      <x:c r="G12" s="7" t="str">
        <x:v>Destination de la campagne adaptée.</x:v>
      </x:c>
      <x:c r="H12" s="7" t="str">
        <x:v>Maintenir une route d’évacuation lisible.</x:v>
      </x:c>
      <x:c r="I12" s="7" t="str">
        <x:v>Architecture blanche, végétation basse, accents bleus.</x:v>
      </x:c>
      <x:c r="J12" s="7" t="str"/>
      <x:c r="K12" s="7" t="str"/>
      <x:c r="L12" s="7" t="str"/>
      <x:c r="M12" s="7" t="str"/>
      <x:c r="N12" s="7" t="str">
        <x:v>La destination se distingue de ses sous-zones et possède une référence.</x:v>
      </x:c>
      <x:c r="O12" s="7" t="str"/>
      <x:c r="P12" s="7" t="str">
        <x:v>Lieux</x:v>
      </x:c>
      <x:c r="Q12" s="7" t="str">
        <x:v>GAL-GUIDE</x:v>
      </x:c>
      <x:c r="R12" s="7" t="str">
        <x:v>https://masseffect.fandom.com/wiki/Mass_Effect_Galaxy_Guide</x:v>
      </x:c>
      <x:c r="S12" s="7" t="str"/>
    </x:row>
  </x:sheetData>
  <x:conditionalFormatting sqref="D7:D12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12">
    <x:cfRule type="cellIs" dxfId="14" priority="3" operator="equal">
      <x:formula>"Validé"</x:formula>
    </x:cfRule>
  </x:conditionalFormatting>
  <x:conditionalFormatting sqref="E7:E12">
    <x:cfRule type="cellIs" dxfId="15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27b05fe2d740f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GAL-MAP-JADE</x:v>
      </x:c>
      <x:c r="B7" s="9" t="str">
        <x:v>Plan jouable : Arcturian Jade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Plan original à construire.</x:v>
      </x:c>
      <x:c r="G7" s="9" t="str">
        <x:v>Promenade, coursive et pont, reliés par portes latérales.</x:v>
      </x:c>
      <x:c r="H7" s="9" t="str">
        <x:v>Évacuation de passagers comme objectif secondaire proposé.</x:v>
      </x:c>
      <x:c r="I7" s="9" t="str">
        <x:v>Boiseries claires proposées, baies sur les étoiles, mobilier de croisière.</x:v>
      </x:c>
      <x:c r="J7" s="9" t="str"/>
      <x:c r="K7" s="9" t="str"/>
      <x:c r="L7" s="9" t="str">
        <x:v>Graphe de navigation, colliders 3D, ancres de caméra fixe, déclencheurs et spawn séparés.</x:v>
      </x:c>
      <x:c r="M7" s="9" t="str">
        <x:v>Les dimensions et la distribution sont des adaptations, à comparer aux captures avant validation de fidélité.</x:v>
      </x:c>
      <x:c r="N7" s="9" t="str">
        <x:v>Chaque objectif et sortie est atteignable. Aucun changement de caméra ne masque une interaction.</x:v>
      </x:c>
      <x:c r="O7" s="9" t="str">
        <x:v>GAL-LOC-JADE</x:v>
      </x:c>
      <x:c r="P7" s="9" t="str">
        <x:v>Conception du fan game</x:v>
      </x:c>
      <x:c r="Q7" s="9" t="str"/>
      <x:c r="R7" s="9" t="str"/>
      <x:c r="S7" s="9" t="str"/>
    </x:row>
    <x:row r="8" ht="54" customHeight="1">
      <x:c r="A8" s="19" t="str">
        <x:v>GAL-MAP-CARTAGENA</x:v>
      </x:c>
      <x:c r="B8" s="7" t="str">
        <x:v>Plan jouable : Cartagena Station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Plan original à construire.</x:v>
      </x:c>
      <x:c r="G8" s="7" t="str">
        <x:v>Quai, ruelle intérieure, bar, arrière-salle et zone de confrontation.</x:v>
      </x:c>
      <x:c r="H8" s="7" t="str">
        <x:v>Couloirs étroits : protéger les civils des lignes de tir.</x:v>
      </x:c>
      <x:c r="I8" s="7" t="str">
        <x:v>Acier usé, néons chauds, foule en sprites de fond.</x:v>
      </x:c>
      <x:c r="J8" s="7" t="str"/>
      <x:c r="K8" s="7" t="str"/>
      <x:c r="L8" s="7" t="str">
        <x:v>Graphe de navigation, colliders 3D, ancres de caméra fixe, déclencheurs et spawn séparés.</x:v>
      </x:c>
      <x:c r="M8" s="7" t="str">
        <x:v>Les dimensions et la distribution sont des adaptations, à comparer aux captures avant validation de fidélité.</x:v>
      </x:c>
      <x:c r="N8" s="7" t="str">
        <x:v>Chaque objectif et sortie est atteignable. Aucun changement de caméra ne masque une interaction.</x:v>
      </x:c>
      <x:c r="O8" s="7" t="str">
        <x:v>GAL-LOC-CARTAGENA</x:v>
      </x:c>
      <x:c r="P8" s="7" t="str">
        <x:v>Conception du fan game</x:v>
      </x:c>
      <x:c r="Q8" s="7" t="str"/>
      <x:c r="R8" s="7" t="str"/>
      <x:c r="S8" s="7" t="str"/>
    </x:row>
    <x:row r="9" ht="54" customHeight="1">
      <x:c r="A9" s="18" t="str">
        <x:v>GAL-MAP-TORTUGA</x:v>
      </x:c>
      <x:c r="B9" s="9" t="str">
        <x:v>Plan jouable : Tortuga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Plan original à construire.</x:v>
      </x:c>
      <x:c r="G9" s="9" t="str">
        <x:v>Entrepôt, contrôle d’accès, cour de caisses et bureau.</x:v>
      </x:c>
      <x:c r="H9" s="9" t="str">
        <x:v>Verrou de porte alimenté par renseignement obtenu.</x:v>
      </x:c>
      <x:c r="I9" s="9" t="str">
        <x:v>Conteneurs asymétriques, lampes industrielles et affichages commerciaux.</x:v>
      </x:c>
      <x:c r="J9" s="9" t="str"/>
      <x:c r="K9" s="9" t="str"/>
      <x:c r="L9" s="9" t="str">
        <x:v>Graphe de navigation, colliders 3D, ancres de caméra fixe, déclencheurs et spawn séparés.</x:v>
      </x:c>
      <x:c r="M9" s="9" t="str">
        <x:v>Les dimensions et la distribution sont des adaptations, à comparer aux captures avant validation de fidélité.</x:v>
      </x:c>
      <x:c r="N9" s="9" t="str">
        <x:v>Chaque objectif et sortie est atteignable. Aucun changement de caméra ne masque une interaction.</x:v>
      </x:c>
      <x:c r="O9" s="9" t="str">
        <x:v>GAL-LOC-TORTUGA</x:v>
      </x:c>
      <x:c r="P9" s="9" t="str">
        <x:v>Conception du fan game</x:v>
      </x:c>
      <x:c r="Q9" s="9" t="str"/>
      <x:c r="R9" s="9" t="str"/>
      <x:c r="S9" s="9" t="str"/>
    </x:row>
    <x:row r="10" ht="54" customHeight="1">
      <x:c r="A10" s="19" t="str">
        <x:v>GAL-MAP-AHN</x:v>
      </x:c>
      <x:c r="B10" s="7" t="str">
        <x:v>Plan jouable : Ahn’Kedar Orbital Platform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Plan original à construire.</x:v>
      </x:c>
      <x:c r="G10" s="7" t="str">
        <x:v>Sas, laboratoire, cellules et baie de récupération.</x:v>
      </x:c>
      <x:c r="H10" s="7" t="str">
        <x:v>Séparer les scientifiques des zones de combat.</x:v>
      </x:c>
      <x:c r="I10" s="7" t="str">
        <x:v>Blanc dégradé, verre turquoise, signalétique médicale.</x:v>
      </x:c>
      <x:c r="J10" s="7" t="str"/>
      <x:c r="K10" s="7" t="str"/>
      <x:c r="L10" s="7" t="str">
        <x:v>Graphe de navigation, colliders 3D, ancres de caméra fixe, déclencheurs et spawn séparés.</x:v>
      </x:c>
      <x:c r="M10" s="7" t="str">
        <x:v>Les dimensions et la distribution sont des adaptations, à comparer aux captures avant validation de fidélité.</x:v>
      </x:c>
      <x:c r="N10" s="7" t="str">
        <x:v>Chaque objectif et sortie est atteignable. Aucun changement de caméra ne masque une interaction.</x:v>
      </x:c>
      <x:c r="O10" s="7" t="str">
        <x:v>GAL-LOC-AHN</x:v>
      </x:c>
      <x:c r="P10" s="7" t="str">
        <x:v>Conception du fan game</x:v>
      </x:c>
      <x:c r="Q10" s="7" t="str"/>
      <x:c r="R10" s="7" t="str"/>
      <x:c r="S10" s="7" t="str"/>
    </x:row>
    <x:row r="11" ht="54" customHeight="1">
      <x:c r="A11" s="18" t="str">
        <x:v>GAL-MAP-BEKKE</x:v>
      </x:c>
      <x:c r="B11" s="9" t="str">
        <x:v>Plan jouable : Bekke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Plan original à construire.</x:v>
      </x:c>
      <x:c r="G11" s="9" t="str">
        <x:v>Camp sous la pluie, dépôts et entrepôt d’élément zéro.</x:v>
      </x:c>
      <x:c r="H11" s="9" t="str">
        <x:v>Effet biotique local proposé signalé avant les combats.</x:v>
      </x:c>
      <x:c r="I11" s="9" t="str">
        <x:v>Roches noires, flaques, pluie oblique et lueurs d’eezo.</x:v>
      </x:c>
      <x:c r="J11" s="9" t="str"/>
      <x:c r="K11" s="9" t="str"/>
      <x:c r="L11" s="9" t="str">
        <x:v>Graphe de navigation, colliders 3D, ancres de caméra fixe, déclencheurs et spawn séparés.</x:v>
      </x:c>
      <x:c r="M11" s="9" t="str">
        <x:v>Les dimensions et la distribution sont des adaptations, à comparer aux captures avant validation de fidélité.</x:v>
      </x:c>
      <x:c r="N11" s="9" t="str">
        <x:v>Chaque objectif et sortie est atteignable. Aucun changement de caméra ne masque une interaction.</x:v>
      </x:c>
      <x:c r="O11" s="9" t="str">
        <x:v>GAL-LOC-BEKKE</x:v>
      </x:c>
      <x:c r="P11" s="9" t="str">
        <x:v>Conception du fan game</x:v>
      </x:c>
      <x:c r="Q11" s="9" t="str"/>
      <x:c r="R11" s="9" t="str"/>
      <x:c r="S11" s="9" t="str"/>
    </x:row>
    <x:row r="12" ht="54" customHeight="1">
      <x:c r="A12" s="19" t="str">
        <x:v>GAL-MAP-CITADEL</x:v>
      </x:c>
      <x:c r="B12" s="7" t="str">
        <x:v>Plan jouable : Citadelle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Plan original à construire.</x:v>
      </x:c>
      <x:c r="G12" s="7" t="str">
        <x:v>Chemin de sécurité, jardin, ascenseur et zone du Conseil.</x:v>
      </x:c>
      <x:c r="H12" s="7" t="str">
        <x:v>Maintenir une route d’évacuation lisible.</x:v>
      </x:c>
      <x:c r="I12" s="7" t="str">
        <x:v>Architecture blanche, végétation basse, accents bleus.</x:v>
      </x:c>
      <x:c r="J12" s="7" t="str"/>
      <x:c r="K12" s="7" t="str"/>
      <x:c r="L12" s="7" t="str">
        <x:v>Graphe de navigation, colliders 3D, ancres de caméra fixe, déclencheurs et spawn séparés.</x:v>
      </x:c>
      <x:c r="M12" s="7" t="str">
        <x:v>Les dimensions et la distribution sont des adaptations, à comparer aux captures avant validation de fidélité.</x:v>
      </x:c>
      <x:c r="N12" s="7" t="str">
        <x:v>Chaque objectif et sortie est atteignable. Aucun changement de caméra ne masque une interaction.</x:v>
      </x:c>
      <x:c r="O12" s="7" t="str">
        <x:v>GAL-LOC-CITADEL</x:v>
      </x:c>
      <x:c r="P12" s="7" t="str">
        <x:v>Conception du fan game</x:v>
      </x:c>
      <x:c r="Q12" s="7" t="str"/>
      <x:c r="R12" s="7" t="str"/>
      <x:c r="S12" s="7" t="str"/>
    </x:row>
  </x:sheetData>
  <x:conditionalFormatting sqref="D7:D12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12">
    <x:cfRule type="cellIs" dxfId="18" priority="3" operator="equal">
      <x:formula>"Validé"</x:formula>
    </x:cfRule>
  </x:conditionalFormatting>
  <x:conditionalFormatting sqref="E7:E12">
    <x:cfRule type="cellIs" dxfId="19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202400351a4db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GAL-LNK-THREE</x:v>
      </x:c>
      <x:c r="B7" s="9" t="str">
        <x:v>Les trois pistes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Structure à trois branches.</x:v>
      </x:c>
      <x:c r="G7" s="9" t="str">
        <x:v>Carte galactique avec Tortuga, Ahn’Kedar et Bekke disponibles après l’introduction.</x:v>
      </x:c>
      <x:c r="H7" s="9" t="str">
        <x:v>Le final requiert les trois états résolus.</x:v>
      </x:c>
      <x:c r="I7" s="9" t="str">
        <x:v>Trois destinations séparées, récompense annoncée sur chacune.</x:v>
      </x:c>
      <x:c r="J7" s="9" t="str"/>
      <x:c r="K7" s="9" t="str"/>
      <x:c r="L7" s="9" t="str"/>
      <x:c r="M7" s="9" t="str"/>
      <x:c r="N7" s="9" t="str">
        <x:v>Les six ordres possibles atteignent la même porte de fin.</x:v>
      </x:c>
      <x:c r="O7" s="9" t="str"/>
      <x:c r="P7" s="9" t="str">
        <x:v>Conception du fan game</x:v>
      </x:c>
      <x:c r="Q7" s="9" t="str">
        <x:v>GAL-BIO, GAL-GUIDE</x:v>
      </x:c>
      <x:c r="R7" s="9" t="str">
        <x:v>https://blog.bioware.com/2009/05/29/mass-effect-on-the-iphone/
https://masseffect.fandom.com/wiki/Mass_Effect_Galaxy_Guide</x:v>
      </x:c>
      <x:c r="S7" s="9" t="str"/>
    </x:row>
    <x:row r="8" ht="44" customHeight="1">
      <x:c r="A8" s="19" t="str">
        <x:v>GAL-LNK-ARENA</x:v>
      </x:c>
      <x:c r="B8" s="7" t="str">
        <x:v>Passage entre arènes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Progression du système mobile.</x:v>
      </x:c>
      <x:c r="G8" s="7" t="str">
        <x:v>Passage vert remplacé par une porte et un repère 3D.</x:v>
      </x:c>
      <x:c r="H8" s="7" t="str">
        <x:v>Actif seulement après résolution de l’arène.</x:v>
      </x:c>
      <x:c r="I8" s="7" t="str">
        <x:v>Porte visible sans ouvrir le menu.</x:v>
      </x:c>
      <x:c r="J8" s="7" t="str"/>
      <x:c r="K8" s="7" t="str"/>
      <x:c r="L8" s="7" t="str"/>
      <x:c r="M8" s="7" t="str"/>
      <x:c r="N8" s="7" t="str">
        <x:v>Aucune vague résiduelle n’empêche une sortie déjà validée.</x:v>
      </x:c>
      <x:c r="O8" s="7" t="str"/>
      <x:c r="P8" s="7" t="str">
        <x:v>Conception du fan game</x:v>
      </x:c>
      <x:c r="Q8" s="7" t="str">
        <x:v>GAL-GUIDE</x:v>
      </x:c>
      <x:c r="R8" s="7" t="str">
        <x:v>https://masseffect.fandom.com/wiki/Mass_Effect_Galaxy_Guide</x:v>
      </x:c>
      <x:c r="S8" s="7" t="str"/>
    </x:row>
  </x:sheetData>
  <x:conditionalFormatting sqref="D7:D8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8">
    <x:cfRule type="cellIs" dxfId="22" priority="3" operator="equal">
      <x:formula>"Validé"</x:formula>
    </x:cfRule>
  </x:conditionalFormatting>
  <x:conditionalFormatting sqref="E7:E8">
    <x:cfRule type="cellIs" dxfId="2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a129bec10c474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GAL-SET-JADE</x:v>
      </x:c>
      <x:c r="B7" s="9" t="str">
        <x:v>Décor 3D : Arcturian Jade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Direction artistique proposée à partir du lieu.</x:v>
      </x:c>
      <x:c r="G7" s="9" t="str">
        <x:v>Boiseries claires proposées, baies sur les étoiles, mobilier de croisière.</x:v>
      </x:c>
      <x:c r="H7" s="9" t="str">
        <x:v>Obstacles solides en 3D, personnages et accessoires animés en billboards 2D.</x:v>
      </x:c>
      <x:c r="I7" s="9" t="str">
        <x:v>Palette de travail : Boiseries claires proposées, baies sur les étoiles, mobilier de croisière.</x:v>
      </x:c>
      <x:c r="J7" s="9" t="str">
        <x:v>Animer seulement les éléments environnementaux nécessaires à la lecture du lieu.</x:v>
      </x:c>
      <x:c r="K7" s="9" t="str">
        <x:v>Ambiance originale située dans Arcturian Jade, sources proches distinctes du fond, boucle sans coupure.</x:v>
      </x:c>
      <x:c r="L7" s="9" t="str">
        <x:v>Meshes modulaires, matériaux PBR sobres, lumière indirecte et masque d’occlusion pour sprites.</x:v>
      </x:c>
      <x:c r="M7" s="9" t="str"/>
      <x:c r="N7" s="9" t="str">
        <x:v>Pas de scintillement des transparences. Les ombres des sprites suivent le sol et les passerelles.</x:v>
      </x:c>
      <x:c r="O7" s="9" t="str">
        <x:v>GAL-MAP-JADE</x:v>
      </x:c>
      <x:c r="P7" s="9" t="str">
        <x:v>Conception du fan game</x:v>
      </x:c>
      <x:c r="Q7" s="9" t="str"/>
      <x:c r="R7" s="9" t="str"/>
      <x:c r="S7" s="9" t="str"/>
    </x:row>
    <x:row r="8" ht="54" customHeight="1">
      <x:c r="A8" s="19" t="str">
        <x:v>GAL-SET-CARTAGENA</x:v>
      </x:c>
      <x:c r="B8" s="7" t="str">
        <x:v>Décor 3D : Cartagena Station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Direction artistique proposée à partir du lieu.</x:v>
      </x:c>
      <x:c r="G8" s="7" t="str">
        <x:v>Acier usé, néons chauds, foule en sprites de fond.</x:v>
      </x:c>
      <x:c r="H8" s="7" t="str">
        <x:v>Obstacles solides en 3D, personnages et accessoires animés en billboards 2D.</x:v>
      </x:c>
      <x:c r="I8" s="7" t="str">
        <x:v>Palette de travail : Acier usé, néons chauds, foule en sprites de fond.</x:v>
      </x:c>
      <x:c r="J8" s="7" t="str">
        <x:v>Animer seulement les éléments environnementaux nécessaires à la lecture du lieu.</x:v>
      </x:c>
      <x:c r="K8" s="7" t="str">
        <x:v>Ambiance originale située dans Cartagena Station, sources proches distinctes du fond, boucle sans coupure.</x:v>
      </x:c>
      <x:c r="L8" s="7" t="str">
        <x:v>Meshes modulaires, matériaux PBR sobres, lumière indirecte et masque d’occlusion pour sprites.</x:v>
      </x:c>
      <x:c r="M8" s="7" t="str"/>
      <x:c r="N8" s="7" t="str">
        <x:v>Pas de scintillement des transparences. Les ombres des sprites suivent le sol et les passerelles.</x:v>
      </x:c>
      <x:c r="O8" s="7" t="str">
        <x:v>GAL-MAP-CARTAGENA</x:v>
      </x:c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GAL-SET-TORTUGA</x:v>
      </x:c>
      <x:c r="B9" s="9" t="str">
        <x:v>Décor 3D : Tortuga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Direction artistique proposée à partir du lieu.</x:v>
      </x:c>
      <x:c r="G9" s="9" t="str">
        <x:v>Conteneurs asymétriques, lampes industrielles et affichages commerciaux.</x:v>
      </x:c>
      <x:c r="H9" s="9" t="str">
        <x:v>Obstacles solides en 3D, personnages et accessoires animés en billboards 2D.</x:v>
      </x:c>
      <x:c r="I9" s="9" t="str">
        <x:v>Palette de travail : Conteneurs asymétriques, lampes industrielles et affichages commerciaux.</x:v>
      </x:c>
      <x:c r="J9" s="9" t="str">
        <x:v>Animer seulement les éléments environnementaux nécessaires à la lecture du lieu.</x:v>
      </x:c>
      <x:c r="K9" s="9" t="str">
        <x:v>Ambiance originale située dans Tortuga, sources proches distinctes du fond, boucle sans coupure.</x:v>
      </x:c>
      <x:c r="L9" s="9" t="str">
        <x:v>Meshes modulaires, matériaux PBR sobres, lumière indirecte et masque d’occlusion pour sprites.</x:v>
      </x:c>
      <x:c r="M9" s="9" t="str"/>
      <x:c r="N9" s="9" t="str">
        <x:v>Pas de scintillement des transparences. Les ombres des sprites suivent le sol et les passerelles.</x:v>
      </x:c>
      <x:c r="O9" s="9" t="str">
        <x:v>GAL-MAP-TORTUGA</x:v>
      </x:c>
      <x:c r="P9" s="9" t="str">
        <x:v>Conception du fan game</x:v>
      </x:c>
      <x:c r="Q9" s="9" t="str"/>
      <x:c r="R9" s="9" t="str"/>
      <x:c r="S9" s="9" t="str"/>
    </x:row>
    <x:row r="10" ht="54" customHeight="1">
      <x:c r="A10" s="19" t="str">
        <x:v>GAL-SET-AHN</x:v>
      </x:c>
      <x:c r="B10" s="7" t="str">
        <x:v>Décor 3D : Ahn’Kedar Orbital Platform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Direction artistique proposée à partir du lieu.</x:v>
      </x:c>
      <x:c r="G10" s="7" t="str">
        <x:v>Blanc dégradé, verre turquoise, signalétique médicale.</x:v>
      </x:c>
      <x:c r="H10" s="7" t="str">
        <x:v>Obstacles solides en 3D, personnages et accessoires animés en billboards 2D.</x:v>
      </x:c>
      <x:c r="I10" s="7" t="str">
        <x:v>Palette de travail : Blanc dégradé, verre turquoise, signalétique médicale.</x:v>
      </x:c>
      <x:c r="J10" s="7" t="str">
        <x:v>Animer seulement les éléments environnementaux nécessaires à la lecture du lieu.</x:v>
      </x:c>
      <x:c r="K10" s="7" t="str">
        <x:v>Ambiance originale située dans Ahn’Kedar Orbital Platform, sources proches distinctes du fond, boucle sans coupure.</x:v>
      </x:c>
      <x:c r="L10" s="7" t="str">
        <x:v>Meshes modulaires, matériaux PBR sobres, lumière indirecte et masque d’occlusion pour sprites.</x:v>
      </x:c>
      <x:c r="M10" s="7" t="str"/>
      <x:c r="N10" s="7" t="str">
        <x:v>Pas de scintillement des transparences. Les ombres des sprites suivent le sol et les passerelles.</x:v>
      </x:c>
      <x:c r="O10" s="7" t="str">
        <x:v>GAL-MAP-AHN</x:v>
      </x:c>
      <x:c r="P10" s="7" t="str">
        <x:v>Conception du fan game</x:v>
      </x:c>
      <x:c r="Q10" s="7" t="str"/>
      <x:c r="R10" s="7" t="str"/>
      <x:c r="S10" s="7" t="str"/>
    </x:row>
    <x:row r="11" ht="44" customHeight="1">
      <x:c r="A11" s="18" t="str">
        <x:v>GAL-SET-BEKKE</x:v>
      </x:c>
      <x:c r="B11" s="9" t="str">
        <x:v>Décor 3D : Bekke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Direction artistique proposée à partir du lieu.</x:v>
      </x:c>
      <x:c r="G11" s="9" t="str">
        <x:v>Roches noires, flaques, pluie oblique et lueurs d’eezo.</x:v>
      </x:c>
      <x:c r="H11" s="9" t="str">
        <x:v>Obstacles solides en 3D, personnages et accessoires animés en billboards 2D.</x:v>
      </x:c>
      <x:c r="I11" s="9" t="str">
        <x:v>Palette de travail : Roches noires, flaques, pluie oblique et lueurs d’eezo.</x:v>
      </x:c>
      <x:c r="J11" s="9" t="str">
        <x:v>Animer seulement les éléments environnementaux nécessaires à la lecture du lieu.</x:v>
      </x:c>
      <x:c r="K11" s="9" t="str">
        <x:v>Ambiance originale située dans Bekke, sources proches distinctes du fond, boucle sans coupure.</x:v>
      </x:c>
      <x:c r="L11" s="9" t="str">
        <x:v>Meshes modulaires, matériaux PBR sobres, lumière indirecte et masque d’occlusion pour sprites.</x:v>
      </x:c>
      <x:c r="M11" s="9" t="str"/>
      <x:c r="N11" s="9" t="str">
        <x:v>Pas de scintillement des transparences. Les ombres des sprites suivent le sol et les passerelles.</x:v>
      </x:c>
      <x:c r="O11" s="9" t="str">
        <x:v>GAL-MAP-BEKKE</x:v>
      </x:c>
      <x:c r="P11" s="9" t="str">
        <x:v>Conception du fan game</x:v>
      </x:c>
      <x:c r="Q11" s="9" t="str"/>
      <x:c r="R11" s="9" t="str"/>
      <x:c r="S11" s="9" t="str"/>
    </x:row>
    <x:row r="12" ht="54" customHeight="1">
      <x:c r="A12" s="19" t="str">
        <x:v>GAL-SET-CITADEL</x:v>
      </x:c>
      <x:c r="B12" s="7" t="str">
        <x:v>Décor 3D : Citadelle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Direction artistique proposée à partir du lieu.</x:v>
      </x:c>
      <x:c r="G12" s="7" t="str">
        <x:v>Architecture blanche, végétation basse, accents bleus.</x:v>
      </x:c>
      <x:c r="H12" s="7" t="str">
        <x:v>Obstacles solides en 3D, personnages et accessoires animés en billboards 2D.</x:v>
      </x:c>
      <x:c r="I12" s="7" t="str">
        <x:v>Palette de travail : Architecture blanche, végétation basse, accents bleus.</x:v>
      </x:c>
      <x:c r="J12" s="7" t="str">
        <x:v>Animer seulement les éléments environnementaux nécessaires à la lecture du lieu.</x:v>
      </x:c>
      <x:c r="K12" s="7" t="str">
        <x:v>Ambiance originale située dans Citadelle, sources proches distinctes du fond, boucle sans coupure.</x:v>
      </x:c>
      <x:c r="L12" s="7" t="str">
        <x:v>Meshes modulaires, matériaux PBR sobres, lumière indirecte et masque d’occlusion pour sprites.</x:v>
      </x:c>
      <x:c r="M12" s="7" t="str"/>
      <x:c r="N12" s="7" t="str">
        <x:v>Pas de scintillement des transparences. Les ombres des sprites suivent le sol et les passerelles.</x:v>
      </x:c>
      <x:c r="O12" s="7" t="str">
        <x:v>GAL-MAP-CITADEL</x:v>
      </x:c>
      <x:c r="P12" s="7" t="str">
        <x:v>Conception du fan game</x:v>
      </x:c>
      <x:c r="Q12" s="7" t="str"/>
      <x:c r="R12" s="7" t="str"/>
      <x:c r="S12" s="7" t="str"/>
    </x:row>
  </x:sheetData>
  <x:conditionalFormatting sqref="D7:D12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12">
    <x:cfRule type="cellIs" dxfId="26" priority="3" operator="equal">
      <x:formula>"Validé"</x:formula>
    </x:cfRule>
  </x:conditionalFormatting>
  <x:conditionalFormatting sqref="E7:E12">
    <x:cfRule type="cellIs" dxfId="27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98a653b53947b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GAL-PRP-EEZO</x:v>
      </x:c>
      <x:c r="B7" s="9" t="str">
        <x:v>Caisse d’élément zéro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Accessoire d’enquête proposé.</x:v>
      </x:c>
      <x:c r="G7" s="9" t="str">
        <x:v>Boîtier 3D avec cœur 2D lumineux.</x:v>
      </x:c>
      <x:c r="H7" s="9" t="str">
        <x:v>Inspection indépendante de la destruction des couverts.</x:v>
      </x:c>
      <x:c r="I7" s="9" t="str">
        <x:v>Bleu froid visible sur sol noir de Bekke.</x:v>
      </x:c>
      <x:c r="J7" s="9" t="str"/>
      <x:c r="K7" s="9" t="str"/>
      <x:c r="L7" s="9" t="str"/>
      <x:c r="M7" s="9" t="str"/>
      <x:c r="N7" s="9" t="str">
        <x:v>Un tir ne supprime pas l’indice nécessaire.</x:v>
      </x:c>
      <x:c r="O7" s="9" t="str"/>
      <x:c r="P7" s="9" t="str">
        <x:v>Conception du fan game</x:v>
      </x:c>
      <x:c r="Q7" s="9" t="str"/>
      <x:c r="R7" s="9" t="str"/>
      <x:c r="S7" s="9" t="str"/>
    </x:row>
    <x:row r="8" ht="44" customHeight="1">
      <x:c r="A8" s="19" t="str">
        <x:v>GAL-PRP-CHAIR</x:v>
      </x:c>
      <x:c r="B8" s="7" t="str">
        <x:v>Fauteuil de Jath’Amon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Accessoire central à relever.</x:v>
      </x:c>
      <x:c r="G8" s="7" t="str">
        <x:v>Sprite composite pour occupant et base mobile.</x:v>
      </x:c>
      <x:c r="H8" s="7" t="str">
        <x:v>Le point d’impact reste attaché à la base.</x:v>
      </x:c>
      <x:c r="I8" s="7" t="str">
        <x:v>Formes du fauteuil à vérifier dans le jeu.</x:v>
      </x:c>
      <x:c r="J8" s="7" t="str"/>
      <x:c r="K8" s="7" t="str"/>
      <x:c r="L8" s="7" t="str"/>
      <x:c r="M8" s="7" t="str"/>
      <x:c r="N8" s="7" t="str">
        <x:v>La silhouette reste reconnaissable dans les huit directions.</x:v>
      </x:c>
      <x:c r="O8" s="7" t="str"/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GAL-PRP-CRATE</x:v>
      </x:c>
      <x:c r="B9" s="9" t="str">
        <x:v>Caisses d’arène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Objets destructibles référencés.</x:v>
      </x:c>
      <x:c r="G9" s="9" t="str">
        <x:v>Meshes simples et débris en sprites.</x:v>
      </x:c>
      <x:c r="H9" s="9" t="str">
        <x:v>État intact, fragilisé, détruit avec collision mise à jour.</x:v>
      </x:c>
      <x:c r="I9" s="9" t="str">
        <x:v>Plaques et bandes lisibles.</x:v>
      </x:c>
      <x:c r="J9" s="9" t="str"/>
      <x:c r="K9" s="9" t="str"/>
      <x:c r="L9" s="9" t="str"/>
      <x:c r="M9" s="9" t="str"/>
      <x:c r="N9" s="9" t="str">
        <x:v>Un projectile ne reste pas bloqué dans un couvert détruit.</x:v>
      </x:c>
      <x:c r="O9" s="9" t="str"/>
      <x:c r="P9" s="9" t="str">
        <x:v>Conception du fan game</x:v>
      </x:c>
      <x:c r="Q9" s="9" t="str"/>
      <x:c r="R9" s="9" t="str"/>
      <x:c r="S9" s="9" t="str"/>
    </x:row>
  </x:sheetData>
  <x:conditionalFormatting sqref="D7:D9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9">
    <x:cfRule type="cellIs" dxfId="30" priority="3" operator="equal">
      <x:formula>"Validé"</x:formula>
    </x:cfRule>
  </x:conditionalFormatting>
  <x:conditionalFormatting sqref="E7:E9">
    <x:cfRule type="cellIs" dxfId="3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fcfc2b102d43a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GAL-ENM-CLINT</x:v>
      </x:c>
      <x:c r="B7" s="9" t="str">
        <x:v>Clint « Black Eye » Darragh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Chef pirate de l’enquête.</x:v>
      </x:c>
      <x:c r="G7" s="9" t="str">
        <x:v>Archétype ATB : Duel avec couvert et renforts espacés.</x:v>
      </x:c>
      <x:c r="H7" s="9" t="str">
        <x:v>Proposition : Duel avec couvert et renforts espacés. Réponse : Couper sa ligne de tir puis traiter le soutien.</x:v>
      </x:c>
      <x:c r="I7" s="9" t="str">
        <x:v>Silhouette de pirate distincte, visage à contrôler.</x:v>
      </x:c>
      <x:c r="J7" s="9" t="str"/>
      <x:c r="K7" s="9" t="str"/>
      <x:c r="L7" s="9" t="str"/>
      <x:c r="M7" s="9" t="str"/>
      <x:c r="N7" s="9" t="str">
        <x:v>L’adversaire peut être identifié avant son premier coup et possède une réponse accessible.</x:v>
      </x:c>
      <x:c r="O7" s="9" t="str"/>
      <x:c r="P7" s="9" t="str">
        <x:v>Adversaires</x:v>
      </x:c>
      <x:c r="Q7" s="9" t="str">
        <x:v>GAL-ENEMIES</x:v>
      </x:c>
      <x:c r="R7" s="9" t="str">
        <x:v>https://masseffect.fandom.com/wiki/Category:Enemies_(Mass_Effect_Galaxy)</x:v>
      </x:c>
      <x:c r="S7" s="9" t="str">
        <x:v>PV, dégâts, cadence et nombre d’unités à équilibrer pour le fan game.</x:v>
      </x:c>
    </x:row>
    <x:row r="8" ht="54" customHeight="1">
      <x:c r="A8" s="19" t="str">
        <x:v>GAL-ENM-JATH</x:v>
      </x:c>
      <x:c r="B8" s="7" t="str">
        <x:v>Jath’Amon</x:v>
      </x:c>
      <x:c r="C8" s="15" t="str">
        <x:v>Défini</x:v>
      </x:c>
      <x:c r="D8" s="17" t="str">
        <x:v>Établi</x:v>
      </x:c>
      <x:c r="E8" s="17" t="str">
        <x:v>P0</x:v>
      </x:c>
      <x:c r="F8" s="7" t="str">
        <x:v>Ambassadeur au centre du final.</x:v>
      </x:c>
      <x:c r="G8" s="7" t="str">
        <x:v>Archétype ATB : Pression à distance, missiles télégraphiés et drones de soutien.</x:v>
      </x:c>
      <x:c r="H8" s="7" t="str">
        <x:v>Proposition : Pression à distance, missiles télégraphiés et drones de soutien. Réponse : Surcharge puis déplacement latéral pendant la préparation.</x:v>
      </x:c>
      <x:c r="I8" s="7" t="str">
        <x:v>Fauteuil mobile et silhouette batarienne à relever.</x:v>
      </x:c>
      <x:c r="J8" s="7" t="str"/>
      <x:c r="K8" s="7" t="str"/>
      <x:c r="L8" s="7" t="str"/>
      <x:c r="M8" s="7" t="str"/>
      <x:c r="N8" s="7" t="str">
        <x:v>L’adversaire peut être identifié avant son premier coup et possède une réponse accessible.</x:v>
      </x:c>
      <x:c r="O8" s="7" t="str"/>
      <x:c r="P8" s="7" t="str">
        <x:v>Adversaires</x:v>
      </x:c>
      <x:c r="Q8" s="7" t="str">
        <x:v>GAL-JATH</x:v>
      </x:c>
      <x:c r="R8" s="7" t="str">
        <x:v>https://masseffect.fandom.com/wiki/Jath%27Amon</x:v>
      </x:c>
      <x:c r="S8" s="7" t="str">
        <x:v>PV, dégâts, cadence et nombre d’unités à équilibrer pour le fan game.</x:v>
      </x:c>
    </x:row>
    <x:row r="9" ht="44" customHeight="1">
      <x:c r="A9" s="18" t="str">
        <x:v>GAL-ENM-TURIAN</x:v>
      </x:c>
      <x:c r="B9" s="9" t="str">
        <x:v>Adversaire turien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Type listé dans le bestiaire Galaxy.</x:v>
      </x:c>
      <x:c r="G9" s="9" t="str">
        <x:v>Archétype ATB : Tir précis depuis un angle fixe.</x:v>
      </x:c>
      <x:c r="H9" s="9" t="str">
        <x:v>Proposition : Tir précis depuis un angle fixe. Réponse : Stase pour traverser son cône de visée.</x:v>
      </x:c>
      <x:c r="I9" s="9" t="str">
        <x:v>Crête et armure distinguées de celles d’un civil.</x:v>
      </x:c>
      <x:c r="J9" s="9" t="str"/>
      <x:c r="K9" s="9" t="str"/>
      <x:c r="L9" s="9" t="str"/>
      <x:c r="M9" s="9" t="str"/>
      <x:c r="N9" s="9" t="str">
        <x:v>L’adversaire peut être identifié avant son premier coup et possède une réponse accessible.</x:v>
      </x:c>
      <x:c r="O9" s="9" t="str"/>
      <x:c r="P9" s="9" t="str">
        <x:v>Adversaires</x:v>
      </x:c>
      <x:c r="Q9" s="9" t="str">
        <x:v>GAL-ENEMIES</x:v>
      </x:c>
      <x:c r="R9" s="9" t="str">
        <x:v>https://masseffect.fandom.com/wiki/Category:Enemies_(Mass_Effect_Galaxy)</x:v>
      </x:c>
      <x:c r="S9" s="9" t="str">
        <x:v>PV, dégâts, cadence et nombre d’unités à équilibrer pour le fan game.</x:v>
      </x:c>
    </x:row>
    <x:row r="10" ht="54" customHeight="1">
      <x:c r="A10" s="19" t="str">
        <x:v>GAL-ENM-ROBOT</x:v>
      </x:c>
      <x:c r="B10" s="7" t="str">
        <x:v>Robot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Type listé dans le bestiaire Galaxy.</x:v>
      </x:c>
      <x:c r="G10" s="7" t="str">
        <x:v>Archétype ATB : Approche mécanique puis décharge de proximité.</x:v>
      </x:c>
      <x:c r="H10" s="7" t="str">
        <x:v>Proposition : Approche mécanique puis décharge de proximité. Réponse : Attaque technologique avant qu’il atteigne Jacob.</x:v>
      </x:c>
      <x:c r="I10" s="7" t="str">
        <x:v>Silhouette géométrique avec noyau identifiable.</x:v>
      </x:c>
      <x:c r="J10" s="7" t="str"/>
      <x:c r="K10" s="7" t="str"/>
      <x:c r="L10" s="7" t="str"/>
      <x:c r="M10" s="7" t="str"/>
      <x:c r="N10" s="7" t="str">
        <x:v>L’adversaire peut être identifié avant son premier coup et possède une réponse accessible.</x:v>
      </x:c>
      <x:c r="O10" s="7" t="str"/>
      <x:c r="P10" s="7" t="str">
        <x:v>Adversaires</x:v>
      </x:c>
      <x:c r="Q10" s="7" t="str">
        <x:v>GAL-ENEMIES</x:v>
      </x:c>
      <x:c r="R10" s="7" t="str">
        <x:v>https://masseffect.fandom.com/wiki/Category:Enemies_(Mass_Effect_Galaxy)</x:v>
      </x:c>
      <x:c r="S10" s="7" t="str">
        <x:v>PV, dégâts, cadence et nombre d’unités à équilibrer pour le fan game.</x:v>
      </x:c>
    </x:row>
  </x:sheetData>
  <x:conditionalFormatting sqref="D7:D10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10">
    <x:cfRule type="cellIs" dxfId="34" priority="3" operator="equal">
      <x:formula>"Validé"</x:formula>
    </x:cfRule>
  </x:conditionalFormatting>
  <x:conditionalFormatting sqref="E7:E10">
    <x:cfRule type="cellIs" dxfId="3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977e4b92274a6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GAL-MIS-JADE</x:v>
      </x:c>
      <x:c r="B7" s="9" t="str">
        <x:v>Save the Arcturian Jade</x:v>
      </x:c>
      <x:c r="C7" s="15" t="str">
        <x:v>Défini</x:v>
      </x:c>
      <x:c r="D7" s="16" t="str">
        <x:v>Établi</x:v>
      </x:c>
      <x:c r="E7" s="16" t="str">
        <x:v>P0</x:v>
      </x:c>
      <x:c r="F7" s="9" t="str">
        <x:v>6 zones dans le guide.</x:v>
      </x:c>
      <x:c r="G7" s="9" t="str">
        <x:v>Repousser l’attaque et protéger l’accès au pont.</x:v>
      </x:c>
      <x:c r="H7" s="9" t="str">
        <x:v>Tutoriel de déplacement, tir et surcharge.</x:v>
      </x:c>
      <x:c r="I7" s="9" t="str">
        <x:v>Plans 3D originaux correspondant aux lieux répertoriés.</x:v>
      </x:c>
      <x:c r="J7" s="9" t="str"/>
      <x:c r="K7" s="9" t="str"/>
      <x:c r="L7" s="9" t="str"/>
      <x:c r="M7" s="9" t="str">
        <x:v>Progression d’introduction.</x:v>
      </x:c>
      <x:c r="N7" s="9" t="str">
        <x:v>La mission fournit son objectif, sa sortie, son bilan et son point de reprise.</x:v>
      </x:c>
      <x:c r="O7" s="9" t="str"/>
      <x:c r="P7" s="9" t="str">
        <x:v>Save the Arcturian Jade</x:v>
      </x:c>
      <x:c r="Q7" s="9" t="str">
        <x:v>GAL-GUIDE</x:v>
      </x:c>
      <x:c r="R7" s="9" t="str">
        <x:v>https://masseffect.fandom.com/wiki/Mass_Effect_Galaxy_Guide</x:v>
      </x:c>
      <x:c r="S7" s="9" t="str">
        <x:v>Le nombre de zones est un relevé du guide, pas un nombre de cartes 3D déjà créées.</x:v>
      </x:c>
    </x:row>
    <x:row r="8" ht="44" customHeight="1">
      <x:c r="A8" s="19" t="str">
        <x:v>GAL-MIS-ABYSS</x:v>
      </x:c>
      <x:c r="B8" s="7" t="str">
        <x:v>Into the Abyss</x:v>
      </x:c>
      <x:c r="C8" s="15" t="str">
        <x:v>Défini</x:v>
      </x:c>
      <x:c r="D8" s="17" t="str">
        <x:v>Établi</x:v>
      </x:c>
      <x:c r="E8" s="17" t="str">
        <x:v>P0</x:v>
      </x:c>
      <x:c r="F8" s="7" t="str">
        <x:v>5 zones dans le guide.</x:v>
      </x:c>
      <x:c r="G8" s="7" t="str">
        <x:v>Trouver le contact sur Cartagena.</x:v>
      </x:c>
      <x:c r="H8" s="7" t="str">
        <x:v>Alterner espace social et affrontements en profondeur.</x:v>
      </x:c>
      <x:c r="I8" s="7" t="str">
        <x:v>Plans 3D originaux correspondant aux lieux répertoriés.</x:v>
      </x:c>
      <x:c r="J8" s="7" t="str"/>
      <x:c r="K8" s="7" t="str"/>
      <x:c r="L8" s="7" t="str"/>
      <x:c r="M8" s="7" t="str">
        <x:v>Progression d’introduction.</x:v>
      </x:c>
      <x:c r="N8" s="7" t="str">
        <x:v>La mission fournit son objectif, sa sortie, son bilan et son point de reprise.</x:v>
      </x:c>
      <x:c r="O8" s="7" t="str">
        <x:v>GAL-MIS-JADE</x:v>
      </x:c>
      <x:c r="P8" s="7" t="str">
        <x:v>Into the Abyss</x:v>
      </x:c>
      <x:c r="Q8" s="7" t="str">
        <x:v>GAL-GUIDE</x:v>
      </x:c>
      <x:c r="R8" s="7" t="str">
        <x:v>https://masseffect.fandom.com/wiki/Mass_Effect_Galaxy_Guide</x:v>
      </x:c>
      <x:c r="S8" s="7" t="str">
        <x:v>Le nombre de zones est un relevé du guide, pas un nombre de cartes 3D déjà créées.</x:v>
      </x:c>
    </x:row>
    <x:row r="9" ht="44" customHeight="1">
      <x:c r="A9" s="18" t="str">
        <x:v>GAL-MIS-TORTUGA</x:v>
      </x:c>
      <x:c r="B9" s="9" t="str">
        <x:v>Scum and Villainy</x:v>
      </x:c>
      <x:c r="C9" s="15" t="str">
        <x:v>Défini</x:v>
      </x:c>
      <x:c r="D9" s="16" t="str">
        <x:v>Établi</x:v>
      </x:c>
      <x:c r="E9" s="16" t="str">
        <x:v>P0</x:v>
      </x:c>
      <x:c r="F9" s="9" t="str">
        <x:v>8 zones dans le guide.</x:v>
      </x:c>
      <x:c r="G9" s="9" t="str">
        <x:v>Explorer la piste d’Illo et améliorer l’attaque lourde.</x:v>
      </x:c>
      <x:c r="H9" s="9" t="str">
        <x:v>Arènes d’entrepôt avec obstacles destructibles.</x:v>
      </x:c>
      <x:c r="I9" s="9" t="str">
        <x:v>Plans 3D originaux correspondant aux lieux répertoriés.</x:v>
      </x:c>
      <x:c r="J9" s="9" t="str"/>
      <x:c r="K9" s="9" t="str"/>
      <x:c r="L9" s="9" t="str"/>
      <x:c r="M9" s="9" t="str">
        <x:v>Les trois pistes peuvent être réalisées dans l’ordre choisi.</x:v>
      </x:c>
      <x:c r="N9" s="9" t="str">
        <x:v>La mission fournit son objectif, sa sortie, son bilan et son point de reprise.</x:v>
      </x:c>
      <x:c r="O9" s="9" t="str">
        <x:v>GAL-MIS-ABYSS</x:v>
      </x:c>
      <x:c r="P9" s="9" t="str">
        <x:v>Scum and Villainy</x:v>
      </x:c>
      <x:c r="Q9" s="9" t="str">
        <x:v>GAL-GUIDE</x:v>
      </x:c>
      <x:c r="R9" s="9" t="str">
        <x:v>https://masseffect.fandom.com/wiki/Mass_Effect_Galaxy_Guide</x:v>
      </x:c>
      <x:c r="S9" s="9" t="str">
        <x:v>Le nombre de zones est un relevé du guide, pas un nombre de cartes 3D déjà créées.</x:v>
      </x:c>
    </x:row>
    <x:row r="10" ht="44" customHeight="1">
      <x:c r="A10" s="19" t="str">
        <x:v>GAL-MIS-AHN</x:v>
      </x:c>
      <x:c r="B10" s="7" t="str">
        <x:v>A Formula for Hope</x:v>
      </x:c>
      <x:c r="C10" s="15" t="str">
        <x:v>Défini</x:v>
      </x:c>
      <x:c r="D10" s="17" t="str">
        <x:v>Établi</x:v>
      </x:c>
      <x:c r="E10" s="17" t="str">
        <x:v>P0</x:v>
      </x:c>
      <x:c r="F10" s="7" t="str">
        <x:v>6 zones dans le guide.</x:v>
      </x:c>
      <x:c r="G10" s="7" t="str">
        <x:v>Retrouver les scientifiques et améliorer la surcharge.</x:v>
      </x:c>
      <x:c r="H10" s="7" t="str">
        <x:v>Choisir des angles de tir qui protègent les otages.</x:v>
      </x:c>
      <x:c r="I10" s="7" t="str">
        <x:v>Plans 3D originaux correspondant aux lieux répertoriés.</x:v>
      </x:c>
      <x:c r="J10" s="7" t="str"/>
      <x:c r="K10" s="7" t="str"/>
      <x:c r="L10" s="7" t="str"/>
      <x:c r="M10" s="7" t="str">
        <x:v>Les trois pistes peuvent être réalisées dans l’ordre choisi.</x:v>
      </x:c>
      <x:c r="N10" s="7" t="str">
        <x:v>La mission fournit son objectif, sa sortie, son bilan et son point de reprise.</x:v>
      </x:c>
      <x:c r="O10" s="7" t="str">
        <x:v>GAL-MIS-ABYSS</x:v>
      </x:c>
      <x:c r="P10" s="7" t="str">
        <x:v>A Formula for Hope</x:v>
      </x:c>
      <x:c r="Q10" s="7" t="str">
        <x:v>GAL-GUIDE</x:v>
      </x:c>
      <x:c r="R10" s="7" t="str">
        <x:v>https://masseffect.fandom.com/wiki/Mass_Effect_Galaxy_Guide</x:v>
      </x:c>
      <x:c r="S10" s="7" t="str">
        <x:v>Le nombre de zones est un relevé du guide, pas un nombre de cartes 3D déjà créées.</x:v>
      </x:c>
    </x:row>
    <x:row r="11" ht="44" customHeight="1">
      <x:c r="A11" s="18" t="str">
        <x:v>GAL-MIS-BEKKE</x:v>
      </x:c>
      <x:c r="B11" s="9" t="str">
        <x:v>A Batarian Army</x:v>
      </x:c>
      <x:c r="C11" s="15" t="str">
        <x:v>Défini</x:v>
      </x:c>
      <x:c r="D11" s="16" t="str">
        <x:v>Établi</x:v>
      </x:c>
      <x:c r="E11" s="16" t="str">
        <x:v>P0</x:v>
      </x:c>
      <x:c r="F11" s="9" t="str">
        <x:v>6 zones dans le guide.</x:v>
      </x:c>
      <x:c r="G11" s="9" t="str">
        <x:v>Examiner le déploiement batarien et améliorer la stase.</x:v>
      </x:c>
      <x:c r="H11" s="9" t="str">
        <x:v>Passer de la pluie à une zone d’eezo plus lumineuse.</x:v>
      </x:c>
      <x:c r="I11" s="9" t="str">
        <x:v>Plans 3D originaux correspondant aux lieux répertoriés.</x:v>
      </x:c>
      <x:c r="J11" s="9" t="str"/>
      <x:c r="K11" s="9" t="str"/>
      <x:c r="L11" s="9" t="str"/>
      <x:c r="M11" s="9" t="str">
        <x:v>Les trois pistes peuvent être réalisées dans l’ordre choisi.</x:v>
      </x:c>
      <x:c r="N11" s="9" t="str">
        <x:v>La mission fournit son objectif, sa sortie, son bilan et son point de reprise.</x:v>
      </x:c>
      <x:c r="O11" s="9" t="str">
        <x:v>GAL-MIS-ABYSS</x:v>
      </x:c>
      <x:c r="P11" s="9" t="str">
        <x:v>A Batarian Army</x:v>
      </x:c>
      <x:c r="Q11" s="9" t="str">
        <x:v>GAL-GUIDE</x:v>
      </x:c>
      <x:c r="R11" s="9" t="str">
        <x:v>https://masseffect.fandom.com/wiki/Mass_Effect_Galaxy_Guide</x:v>
      </x:c>
      <x:c r="S11" s="9" t="str">
        <x:v>Le nombre de zones est un relevé du guide, pas un nombre de cartes 3D déjà créées.</x:v>
      </x:c>
    </x:row>
    <x:row r="12" ht="44" customHeight="1">
      <x:c r="A12" s="19" t="str">
        <x:v>GAL-MIS-COUNCIL</x:v>
      </x:c>
      <x:c r="B12" s="7" t="str">
        <x:v>Protect the Council</x:v>
      </x:c>
      <x:c r="C12" s="15" t="str">
        <x:v>Défini</x:v>
      </x:c>
      <x:c r="D12" s="17" t="str">
        <x:v>Établi</x:v>
      </x:c>
      <x:c r="E12" s="17" t="str">
        <x:v>P0</x:v>
      </x:c>
      <x:c r="F12" s="7" t="str">
        <x:v>9 zones dans le guide.</x:v>
      </x:c>
      <x:c r="G12" s="7" t="str">
        <x:v>Rassembler les preuves et conclure l’enquête.</x:v>
      </x:c>
      <x:c r="H12" s="7" t="str">
        <x:v>Pression croissante sans rendre les indices illisibles.</x:v>
      </x:c>
      <x:c r="I12" s="7" t="str">
        <x:v>Plans 3D originaux correspondant aux lieux répertoriés.</x:v>
      </x:c>
      <x:c r="J12" s="7" t="str"/>
      <x:c r="K12" s="7" t="str"/>
      <x:c r="L12" s="7" t="str"/>
      <x:c r="M12" s="7" t="str">
        <x:v>Les trois pistes sont résolues.</x:v>
      </x:c>
      <x:c r="N12" s="7" t="str">
        <x:v>La mission fournit son objectif, sa sortie, son bilan et son point de reprise.</x:v>
      </x:c>
      <x:c r="O12" s="7" t="str">
        <x:v>GAL-MIS-TORTUGA, GAL-MIS-AHN, GAL-MIS-BEKKE</x:v>
      </x:c>
      <x:c r="P12" s="7" t="str">
        <x:v>Protect the Council</x:v>
      </x:c>
      <x:c r="Q12" s="7" t="str">
        <x:v>GAL-GUIDE</x:v>
      </x:c>
      <x:c r="R12" s="7" t="str">
        <x:v>https://masseffect.fandom.com/wiki/Mass_Effect_Galaxy_Guide</x:v>
      </x:c>
      <x:c r="S12" s="7" t="str">
        <x:v>Le nombre de zones est un relevé du guide, pas un nombre de cartes 3D déjà créées.</x:v>
      </x:c>
    </x:row>
  </x:sheetData>
  <x:conditionalFormatting sqref="D7:D12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2">
    <x:cfRule type="cellIs" dxfId="38" priority="3" operator="equal">
      <x:formula>"Validé"</x:formula>
    </x:cfRule>
  </x:conditionalFormatting>
  <x:conditionalFormatting sqref="E7:E12">
    <x:cfRule type="cellIs" dxfId="39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51d767c9864b1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GAL-SIDE-EVAC</x:v>
      </x:c>
      <x:c r="B7" s="9" t="str">
        <x:v>Passagers de l’Arcturian Jade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Objectif facultatif original.</x:v>
      </x:c>
      <x:c r="G7" s="9" t="str">
        <x:v>Ouvrir une issue de secours et escorter une silhouette civile.</x:v>
      </x:c>
      <x:c r="H7" s="9" t="str">
        <x:v>Récompense cosmétique ou journal, sans changer l’ouverture canonique.</x:v>
      </x:c>
      <x:c r="I7" s="9" t="str">
        <x:v>Balises de secours discrètes.</x:v>
      </x:c>
      <x:c r="J7" s="9" t="str"/>
      <x:c r="K7" s="9" t="str"/>
      <x:c r="L7" s="9" t="str"/>
      <x:c r="M7" s="9" t="str"/>
      <x:c r="N7" s="9" t="str">
        <x:v>Le joueur peut poursuivre même après échec de l’objectif facultatif.</x:v>
      </x:c>
      <x:c r="O7" s="9" t="str"/>
      <x:c r="P7" s="9" t="str">
        <x:v>Conception du fan game</x:v>
      </x:c>
      <x:c r="Q7" s="9" t="str"/>
      <x:c r="R7" s="9" t="str"/>
      <x:c r="S7" s="9" t="str"/>
    </x:row>
    <x:row r="8" ht="44" customHeight="1">
      <x:c r="A8" s="19" t="str">
        <x:v>GAL-SIDE-DATA</x:v>
      </x:c>
      <x:c r="B8" s="7" t="str">
        <x:v>Preuves sur les trois pistes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Extension d’enquête originale.</x:v>
      </x:c>
      <x:c r="G8" s="7" t="str">
        <x:v>Photographier une cargaison, récupérer un manifeste et identifier un canal de transmission.</x:v>
      </x:c>
      <x:c r="H8" s="7" t="str">
        <x:v>Trois preuves indépendantes, aucune nouvelle révélation canonique ajoutée.</x:v>
      </x:c>
      <x:c r="I8" s="7" t="str">
        <x:v>Documents et hologrammes résumés sans copie du texte source.</x:v>
      </x:c>
      <x:c r="J8" s="7" t="str"/>
      <x:c r="K8" s="7" t="str"/>
      <x:c r="L8" s="7" t="str"/>
      <x:c r="M8" s="7" t="str"/>
      <x:c r="N8" s="7" t="str">
        <x:v>Le journal distingue preuve obtenue et interprétation de Jacob.</x:v>
      </x:c>
      <x:c r="O8" s="7" t="str"/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GAL-SIDE-REPLAY</x:v>
      </x:c>
      <x:c r="B9" s="9" t="str">
        <x:v>Défis d’arènes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Mode original de rejeu.</x:v>
      </x:c>
      <x:c r="G9" s="9" t="str">
        <x:v>Rejouer sans toucher à la sauvegarde principale.</x:v>
      </x:c>
      <x:c r="H9" s="9" t="str">
        <x:v>Budget de tours proposé avec résultat local.</x:v>
      </x:c>
      <x:c r="I9" s="9" t="str">
        <x:v>Grille des arènes et meilleur résultat.</x:v>
      </x:c>
      <x:c r="J9" s="9" t="str"/>
      <x:c r="K9" s="9" t="str"/>
      <x:c r="L9" s="9" t="str"/>
      <x:c r="M9" s="9" t="str"/>
      <x:c r="N9" s="9" t="str">
        <x:v>Le défi ne duplique ni objets ni améliorations.</x:v>
      </x:c>
      <x:c r="O9" s="9" t="str"/>
      <x:c r="P9" s="9" t="str">
        <x:v>Conception du fan game</x:v>
      </x:c>
      <x:c r="Q9" s="9" t="str"/>
      <x:c r="R9" s="9" t="str"/>
      <x:c r="S9" s="9" t="str"/>
    </x:row>
  </x:sheetData>
  <x:conditionalFormatting sqref="D7:D9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9">
    <x:cfRule type="cellIs" dxfId="42" priority="3" operator="equal">
      <x:formula>"Validé"</x:formula>
    </x:cfRule>
  </x:conditionalFormatting>
  <x:conditionalFormatting sqref="E7:E9">
    <x:cfRule type="cellIs" dxfId="4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dc197c8f84488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GAL-CHO-ORDER</x:v>
      </x:c>
      <x:c r="B7" s="9" t="str">
        <x:v>Ordre des pistes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Choix attesté de progression.</x:v>
      </x:c>
      <x:c r="G7" s="9" t="str">
        <x:v>Afficher l’amélioration attendue pour aider le joueur.</x:v>
      </x:c>
      <x:c r="H7" s="9" t="str">
        <x:v>L’ordre affecte l’arsenal disponible, pas l’obligation des trois pistes.</x:v>
      </x:c>
      <x:c r="I7" s="9" t="str"/>
      <x:c r="J7" s="9" t="str"/>
      <x:c r="K7" s="9" t="str"/>
      <x:c r="L7" s="9" t="str"/>
      <x:c r="M7" s="9" t="str"/>
      <x:c r="N7" s="9" t="str">
        <x:v>Tester les six permutations.</x:v>
      </x:c>
      <x:c r="O7" s="9" t="str"/>
      <x:c r="P7" s="9" t="str">
        <x:v>Conception du fan game</x:v>
      </x:c>
      <x:c r="Q7" s="9" t="str">
        <x:v>GAL-GUIDE</x:v>
      </x:c>
      <x:c r="R7" s="9" t="str">
        <x:v>https://masseffect.fandom.com/wiki/Mass_Effect_Galaxy_Guide</x:v>
      </x:c>
      <x:c r="S7" s="9" t="str"/>
    </x:row>
    <x:row r="8" ht="44" customHeight="1">
      <x:c r="A8" s="19" t="str">
        <x:v>GAL-CHO-TONE</x:v>
      </x:c>
      <x:c r="B8" s="7" t="str">
        <x:v>Ton des échanges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Adaptation de dialogue proposée.</x:v>
      </x:c>
      <x:c r="G8" s="7" t="str">
        <x:v>Réponses calme, directe ou question, avec intention affichée.</x:v>
      </x:c>
      <x:c r="H8" s="7" t="str">
        <x:v>Changer des réactions locales sans réécrire le dénouement.</x:v>
      </x:c>
      <x:c r="I8" s="7" t="str">
        <x:v>Roue compacte textuelle.</x:v>
      </x:c>
      <x:c r="J8" s="7" t="str"/>
      <x:c r="K8" s="7" t="str"/>
      <x:c r="L8" s="7" t="str"/>
      <x:c r="M8" s="7" t="str"/>
      <x:c r="N8" s="7" t="str">
        <x:v>Aucune réponse n’impose une conséquence cachée de grande ampleur.</x:v>
      </x:c>
      <x:c r="O8" s="7" t="str"/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GAL-CHO-SUPPORT</x:v>
      </x:c>
      <x:c r="B9" s="9" t="str">
        <x:v>Soutien de Nax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Variante de gameplay proposée.</x:v>
      </x:c>
      <x:c r="G9" s="9" t="str">
        <x:v>Soutien ponctuel à Ahn’Kedar plutôt qu’un équipier permanent.</x:v>
      </x:c>
      <x:c r="H9" s="9" t="str">
        <x:v>Disponibilité liée à la scène de rencontre.</x:v>
      </x:c>
      <x:c r="I9" s="9" t="str">
        <x:v>Icône krogan dans la commande d’aide.</x:v>
      </x:c>
      <x:c r="J9" s="9" t="str"/>
      <x:c r="K9" s="9" t="str"/>
      <x:c r="L9" s="9" t="str"/>
      <x:c r="M9" s="9" t="str"/>
      <x:c r="N9" s="9" t="str">
        <x:v>Le personnage ne suit pas Jacob dans les cartes où sa présence n’est pas prévue.</x:v>
      </x:c>
      <x:c r="O9" s="9" t="str"/>
      <x:c r="P9" s="9" t="str">
        <x:v>Conception du fan game</x:v>
      </x:c>
      <x:c r="Q9" s="9" t="str"/>
      <x:c r="R9" s="9" t="str"/>
      <x:c r="S9" s="9" t="str"/>
    </x:row>
  </x:sheetData>
  <x:conditionalFormatting sqref="D7:D9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9">
    <x:cfRule type="cellIs" dxfId="46" priority="3" operator="equal">
      <x:formula>"Validé"</x:formula>
    </x:cfRule>
  </x:conditionalFormatting>
  <x:conditionalFormatting sqref="E7:E9">
    <x:cfRule type="cellIs" dxfId="4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8b4f07c5d4410f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GAL-DIA-BRIEF</x:v>
      </x:c>
      <x:c r="B7" s="9" t="str">
        <x:v>Briefing des pistes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Situation d’enquête.</x:v>
      </x:c>
      <x:c r="G7" s="9" t="str">
        <x:v>Dialogue original de Miranda présentant les trois objectifs.</x:v>
      </x:c>
      <x:c r="H7" s="9" t="str">
        <x:v>Chaque piste ajoute une entrée courte au journal.</x:v>
      </x:c>
      <x:c r="I7" s="9" t="str">
        <x:v>Portraits 2D et fond 3D du lieu.</x:v>
      </x:c>
      <x:c r="J7" s="9" t="str"/>
      <x:c r="K7" s="9" t="str"/>
      <x:c r="L7" s="9" t="str"/>
      <x:c r="M7" s="9" t="str"/>
      <x:c r="N7" s="9" t="str">
        <x:v>Le journal est complet même si la scène est passée.</x:v>
      </x:c>
      <x:c r="O7" s="9" t="str"/>
      <x:c r="P7" s="9" t="str">
        <x:v>Conception du fan game</x:v>
      </x:c>
      <x:c r="Q7" s="9" t="str"/>
      <x:c r="R7" s="9" t="str"/>
      <x:c r="S7" s="9" t="str"/>
    </x:row>
    <x:row r="8" ht="44" customHeight="1">
      <x:c r="A8" s="19" t="str">
        <x:v>GAL-DIA-EVIDENCE</x:v>
      </x:c>
      <x:c r="B8" s="7" t="str">
        <x:v>Présentation des preuves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Situation de confrontation finale.</x:v>
      </x:c>
      <x:c r="G8" s="7" t="str">
        <x:v>Résumer les éléments recueillis avec répliques originales.</x:v>
      </x:c>
      <x:c r="H8" s="7" t="str">
        <x:v>Le joueur peut revoir les indices sans répéter tout le dialogue.</x:v>
      </x:c>
      <x:c r="I8" s="7" t="str">
        <x:v>Gros plan sur le portrait puis retour au Conseil.</x:v>
      </x:c>
      <x:c r="J8" s="7" t="str"/>
      <x:c r="K8" s="7" t="str"/>
      <x:c r="L8" s="7" t="str"/>
      <x:c r="M8" s="7" t="str"/>
      <x:c r="N8" s="7" t="str">
        <x:v>Ne pas copier les échanges de l’œuvre source.</x:v>
      </x:c>
      <x:c r="O8" s="7" t="str"/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GAL-DIA-ILLO</x:v>
      </x:c>
      <x:c r="B9" s="9" t="str">
        <x:v>Contact avec Illo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Scène d’enquête.</x:v>
      </x:c>
      <x:c r="G9" s="9" t="str">
        <x:v>Mettre en scène la vérification du code ou du contact.</x:v>
      </x:c>
      <x:c r="H9" s="9" t="str">
        <x:v>Accès obtenu par drapeau de dialogue, pas par devinette aléatoire.</x:v>
      </x:c>
      <x:c r="I9" s="9" t="str">
        <x:v>Interphone puis portrait turien.</x:v>
      </x:c>
      <x:c r="J9" s="9" t="str"/>
      <x:c r="K9" s="9" t="str"/>
      <x:c r="L9" s="9" t="str"/>
      <x:c r="M9" s="9" t="str"/>
      <x:c r="N9" s="9" t="str">
        <x:v>Un retour au lieu ne bloque pas la porte déjà ouverte.</x:v>
      </x:c>
      <x:c r="O9" s="9" t="str"/>
      <x:c r="P9" s="9" t="str">
        <x:v>Conception du fan game</x:v>
      </x:c>
      <x:c r="Q9" s="9" t="str"/>
      <x:c r="R9" s="9" t="str"/>
      <x:c r="S9" s="9" t="str"/>
    </x:row>
  </x:sheetData>
  <x:conditionalFormatting sqref="D7:D9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9">
    <x:cfRule type="cellIs" dxfId="50" priority="3" operator="equal">
      <x:formula>"Validé"</x:formula>
    </x:cfRule>
  </x:conditionalFormatting>
  <x:conditionalFormatting sqref="E7:E9">
    <x:cfRule type="cellIs" dxfId="5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6ae37990ba461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GAL-CIN-BOARDING</x:v>
      </x:c>
      <x:c r="B7" s="9" t="str">
        <x:v>Attaque du paquebot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Mise en scène adaptée.</x:v>
      </x:c>
      <x:c r="G7" s="9" t="str">
        <x:v>Plans de la baie, réaction de Jacob, prise du fusil.</x:v>
      </x:c>
      <x:c r="H7" s="9" t="str">
        <x:v>Transition vers tutoriel.</x:v>
      </x:c>
      <x:c r="I7" s="9" t="str">
        <x:v>Sprites de foule à deux profondeurs, alerte rouge ponctuelle.</x:v>
      </x:c>
      <x:c r="J7" s="9" t="str"/>
      <x:c r="K7" s="9" t="str"/>
      <x:c r="L7" s="9" t="str"/>
      <x:c r="M7" s="9" t="str"/>
      <x:c r="N7" s="9" t="str">
        <x:v>Passer la scène place Jacob dans une position sûre.</x:v>
      </x:c>
      <x:c r="O7" s="9" t="str"/>
      <x:c r="P7" s="9" t="str">
        <x:v>Conception du fan game</x:v>
      </x:c>
      <x:c r="Q7" s="9" t="str"/>
      <x:c r="R7" s="9" t="str"/>
      <x:c r="S7" s="9" t="str"/>
    </x:row>
    <x:row r="8" ht="44" customHeight="1">
      <x:c r="A8" s="19" t="str">
        <x:v>GAL-CIN-REVEAL</x:v>
      </x:c>
      <x:c r="B8" s="7" t="str">
        <x:v>Révélation au Conseil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Mise en scène adaptée.</x:v>
      </x:c>
      <x:c r="G8" s="7" t="str">
        <x:v>Plans serrés sur les interlocuteurs puis vue large de l’évacuation.</x:v>
      </x:c>
      <x:c r="H8" s="7" t="str">
        <x:v>Déclencher le boss après reprise du contrôle.</x:v>
      </x:c>
      <x:c r="I8" s="7" t="str">
        <x:v>Plans précomposés dans le décor 3D.</x:v>
      </x:c>
      <x:c r="J8" s="7" t="str"/>
      <x:c r="K8" s="7" t="str"/>
      <x:c r="L8" s="7" t="str"/>
      <x:c r="M8" s="7" t="str"/>
      <x:c r="N8" s="7" t="str">
        <x:v>La caméra n’occulte pas la première anticipation ennemie.</x:v>
      </x:c>
      <x:c r="O8" s="7" t="str"/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GAL-CIN-EPILOGUE</x:v>
      </x:c>
      <x:c r="B9" s="9" t="str">
        <x:v>Retour à la croisière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Conclusion à référencer.</x:v>
      </x:c>
      <x:c r="G9" s="9" t="str">
        <x:v>Épilogue court en portraits et décor réutilisé.</x:v>
      </x:c>
      <x:c r="H9" s="9" t="str">
        <x:v>Afficher bilan des pistes et crédits après la scène.</x:v>
      </x:c>
      <x:c r="I9" s="9" t="str">
        <x:v>Lumière chaude et absence d’alerte.</x:v>
      </x:c>
      <x:c r="J9" s="9" t="str"/>
      <x:c r="K9" s="9" t="str"/>
      <x:c r="L9" s="9" t="str"/>
      <x:c r="M9" s="9" t="str"/>
      <x:c r="N9" s="9" t="str">
        <x:v>Le journal marque la campagne achevée après la scène passée ou lue.</x:v>
      </x:c>
      <x:c r="O9" s="9" t="str"/>
      <x:c r="P9" s="9" t="str">
        <x:v>Conception du fan game</x:v>
      </x:c>
      <x:c r="Q9" s="9" t="str"/>
      <x:c r="R9" s="9" t="str"/>
      <x:c r="S9" s="9" t="str"/>
    </x:row>
  </x:sheetData>
  <x:conditionalFormatting sqref="D7:D9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9">
    <x:cfRule type="cellIs" dxfId="54" priority="3" operator="equal">
      <x:formula>"Validé"</x:formula>
    </x:cfRule>
  </x:conditionalFormatting>
  <x:conditionalFormatting sqref="E7:E9">
    <x:cfRule type="cellIs" dxfId="55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25b4fac50242ce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GAL-WPN-AVENGER</x:v>
      </x:c>
      <x:c r="B7" s="9" t="str">
        <x:v>M-8 Avenger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Fusil de Jacob dans Galaxy.</x:v>
      </x:c>
      <x:c r="G7" s="9" t="str">
        <x:v>Transformer le tir automatique en attaque ATB de base.</x:v>
      </x:c>
      <x:c r="H7" s="9" t="str">
        <x:v>Proposition : tir sur une cible, pas de ressource de munitions.</x:v>
      </x:c>
      <x:c r="I7" s="9" t="str">
        <x:v>Silhouette compacte du fusil à relever.</x:v>
      </x:c>
      <x:c r="J7" s="9" t="str"/>
      <x:c r="K7" s="9" t="str"/>
      <x:c r="L7" s="9" t="str"/>
      <x:c r="M7" s="9" t="str"/>
      <x:c r="N7" s="9" t="str">
        <x:v>Ne pas introduire une surchauffe présentée comme règle du jeu mobile.</x:v>
      </x:c>
      <x:c r="O7" s="9" t="str"/>
      <x:c r="P7" s="9" t="str">
        <x:v>Conception du fan game</x:v>
      </x:c>
      <x:c r="Q7" s="9" t="str">
        <x:v>GAL-COMBAT</x:v>
      </x:c>
      <x:c r="R7" s="9" t="str">
        <x:v>https://masseffect.fandom.com/wiki/Combat_(Mass_Effect_Galaxy)</x:v>
      </x:c>
      <x:c r="S7" s="9" t="str"/>
    </x:row>
    <x:row r="8" ht="44" customHeight="1">
      <x:c r="A8" s="19" t="str">
        <x:v>GAL-WPN-GRENADE</x:v>
      </x:c>
      <x:c r="B8" s="7" t="str">
        <x:v>Attaque lourde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Projectile explosif du système de pouvoirs.</x:v>
      </x:c>
      <x:c r="G8" s="7" t="str">
        <x:v>Commande à zone prévisualisée.</x:v>
      </x:c>
      <x:c r="H8" s="7" t="str">
        <x:v>Proposition : petit rayon, dégâts alliés désactivés en mode histoire.</x:v>
      </x:c>
      <x:c r="I8" s="7" t="str">
        <x:v>Arc et cercle d’impact distincts du tir normal.</x:v>
      </x:c>
      <x:c r="J8" s="7" t="str"/>
      <x:c r="K8" s="7" t="str"/>
      <x:c r="L8" s="7" t="str"/>
      <x:c r="M8" s="7" t="str"/>
      <x:c r="N8" s="7" t="str">
        <x:v>Le mode choisi explique le traitement des alliés.</x:v>
      </x:c>
      <x:c r="O8" s="7" t="str"/>
      <x:c r="P8" s="7" t="str">
        <x:v>Conception du fan game</x:v>
      </x:c>
      <x:c r="Q8" s="7" t="str">
        <x:v>GAL-ABIL</x:v>
      </x:c>
      <x:c r="R8" s="7" t="str">
        <x:v>https://masseffect.fandom.com/wiki/Abilities_(Mass_Effect_Galaxy)</x:v>
      </x:c>
      <x:c r="S8" s="7" t="str"/>
    </x:row>
  </x:sheetData>
  <x:conditionalFormatting sqref="D7:D8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8">
    <x:cfRule type="cellIs" dxfId="58" priority="3" operator="equal">
      <x:formula>"Validé"</x:formula>
    </x:cfRule>
  </x:conditionalFormatting>
  <x:conditionalFormatting sqref="E7:E8">
    <x:cfRule type="cellIs" dxfId="59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d473553d6844ce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GAL-EQ-SHIELD</x:v>
      </x:c>
      <x:c r="B7" s="9" t="str">
        <x:v>Boucliers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Protection rechargeable dans Galaxy.</x:v>
      </x:c>
      <x:c r="G7" s="9" t="str">
        <x:v>Barre distincte des points de vie.</x:v>
      </x:c>
      <x:c r="H7" s="9" t="str">
        <x:v>Proposition : reprise après une commande de garde sans dégâts.</x:v>
      </x:c>
      <x:c r="I7" s="9" t="str">
        <x:v>Contour bleu plus icône.</x:v>
      </x:c>
      <x:c r="J7" s="9" t="str"/>
      <x:c r="K7" s="9" t="str"/>
      <x:c r="L7" s="9" t="str"/>
      <x:c r="M7" s="9" t="str"/>
      <x:c r="N7" s="9" t="str">
        <x:v>Une sauvegarde ne restaure pas gratuitement toutes les protections.</x:v>
      </x:c>
      <x:c r="O7" s="9" t="str"/>
      <x:c r="P7" s="9" t="str">
        <x:v>Conception du fan game</x:v>
      </x:c>
      <x:c r="Q7" s="9" t="str">
        <x:v>GAL-COMBAT</x:v>
      </x:c>
      <x:c r="R7" s="9" t="str">
        <x:v>https://masseffect.fandom.com/wiki/Combat_(Mass_Effect_Galaxy)</x:v>
      </x:c>
      <x:c r="S7" s="9" t="str"/>
    </x:row>
    <x:row r="8" ht="44" customHeight="1">
      <x:c r="A8" s="19" t="str">
        <x:v>GAL-EQ-MED</x:v>
      </x:c>
      <x:c r="B8" s="7" t="str">
        <x:v>Ramassage de soin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Ramassages présents dans les arènes.</x:v>
      </x:c>
      <x:c r="G8" s="7" t="str">
        <x:v>Choix entre atteindre un objet et attaquer.</x:v>
      </x:c>
      <x:c r="H8" s="7" t="str">
        <x:v>Quantité de soin proposée affichée avant déplacement.</x:v>
      </x:c>
      <x:c r="I8" s="7" t="str">
        <x:v>Capsule et marqueur de sol.</x:v>
      </x:c>
      <x:c r="J8" s="7" t="str"/>
      <x:c r="K8" s="7" t="str"/>
      <x:c r="L8" s="7" t="str"/>
      <x:c r="M8" s="7" t="str"/>
      <x:c r="N8" s="7" t="str">
        <x:v>Un ramassage disparaît après attribution unique.</x:v>
      </x:c>
      <x:c r="O8" s="7" t="str"/>
      <x:c r="P8" s="7" t="str">
        <x:v>Conception du fan game</x:v>
      </x:c>
      <x:c r="Q8" s="7" t="str">
        <x:v>GAL-COMBAT</x:v>
      </x:c>
      <x:c r="R8" s="7" t="str">
        <x:v>https://masseffect.fandom.com/wiki/Combat_(Mass_Effect_Galaxy)</x:v>
      </x:c>
      <x:c r="S8" s="7" t="str"/>
    </x:row>
  </x:sheetData>
  <x:conditionalFormatting sqref="D7:D8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8">
    <x:cfRule type="cellIs" dxfId="62" priority="3" operator="equal">
      <x:formula>"Validé"</x:formula>
    </x:cfRule>
  </x:conditionalFormatting>
  <x:conditionalFormatting sqref="E7:E8">
    <x:cfRule type="cellIs" dxfId="6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17ec1117194e97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25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96" customHeight="1">
      <x:c r="A7" s="18" t="str">
        <x:v>GAL-PWR-STASIS</x:v>
      </x:c>
      <x:c r="B7" s="9" t="str">
        <x:v>Stase</x:v>
      </x:c>
      <x:c r="C7" s="15" t="str">
        <x:v>Prototype</x:v>
      </x:c>
      <x:c r="D7" s="16" t="str">
        <x:v>Établi</x:v>
      </x:c>
      <x:c r="E7" s="16" t="str">
        <x:v>P1</x:v>
      </x:c>
      <x:c r="F7" s="9" t="str">
        <x:v>Pouvoir biotique de Jacob.</x:v>
      </x:c>
      <x:c r="G7" s="9" t="str">
        <x:v>Suspendre l’action d’une cible pendant un cycle proposé.</x:v>
      </x:c>
      <x:c r="H7" s="9" t="str">
        <x:v>L’amélioration de Bekke prolonge l’effet dans le profil adapté.</x:v>
      </x:c>
      <x:c r="I7" s="9" t="str">
        <x:v>Halo bleu-violet en anneau.</x:v>
      </x:c>
      <x:c r="J7" s="9" t="str"/>
      <x:c r="K7" s="9" t="str"/>
      <x:c r="L7" s="9" t="str">
        <x:v>Prototype partiel : liaison GAL-PWR-STASIS dans src/universe-powers.js, exposition par src/universe-actors.js, action native dans src/combat.js. Les acteurs, scènes et préparations autorisés sont explicitement listés par getUniversePowerUsage().</x:v>
      </x:c>
      <x:c r="M7" s="9" t="str"/>
      <x:c r="N7" s="9" t="str">
        <x:v>La cible reprend son tour après expiration sans double action.</x:v>
      </x:c>
      <x:c r="O7" s="9" t="str"/>
      <x:c r="P7" s="9" t="str">
        <x:v>Conception du fan game</x:v>
      </x:c>
      <x:c r="Q7" s="9" t="str">
        <x:v>GAL-ABIL</x:v>
      </x:c>
      <x:c r="R7" s="9" t="str">
        <x:v>https://masseffect.fandom.com/wiki/Abilities_(Mass_Effect_Galaxy)</x:v>
      </x:c>
      <x:c r="S7" s="9" t="str">
        <x:v> Prototype d’action ATB : effets, coûts et durées adaptés ; arbre complet, rangs, acquisition et variantes d’édition non reproduits. Les attributions aux compagnons restent fondées sur des sources secondaires ; les classes ME2 sont recoupées avec le manuel officiel pp22–24.</x:v>
      </x:c>
    </x:row>
    <x:row r="8" ht="96" customHeight="1">
      <x:c r="A8" s="19" t="str">
        <x:v>GAL-PWR-OVERLOAD</x:v>
      </x:c>
      <x:c r="B8" s="7" t="str">
        <x:v>Surcharge des boucliers</x:v>
      </x:c>
      <x:c r="C8" s="15" t="str">
        <x:v>Prototype</x:v>
      </x:c>
      <x:c r="D8" s="17" t="str">
        <x:v>Établi</x:v>
      </x:c>
      <x:c r="E8" s="17" t="str">
        <x:v>P1</x:v>
      </x:c>
      <x:c r="F8" s="7" t="str">
        <x:v>Pouvoir technique de Jacob.</x:v>
      </x:c>
      <x:c r="G8" s="7" t="str">
        <x:v>Retirer une part de protection avant le tir.</x:v>
      </x:c>
      <x:c r="H8" s="7" t="str">
        <x:v>Amélioration liée à Ahn’Kedar. Coefficients proposés, pas valeurs originales.</x:v>
      </x:c>
      <x:c r="I8" s="7" t="str">
        <x:v>Éclairs courts au contact de la protection.</x:v>
      </x:c>
      <x:c r="J8" s="7" t="str"/>
      <x:c r="K8" s="7" t="str"/>
      <x:c r="L8" s="7" t="str">
        <x:v>Prototype partiel : liaison GAL-PWR-OVERLOAD dans src/universe-powers.js, exposition par src/universe-actors.js, action native dans src/combat.js. Les acteurs, scènes et préparations autorisés sont explicitement listés par getUniversePowerUsage().</x:v>
      </x:c>
      <x:c r="M8" s="7" t="str"/>
      <x:c r="N8" s="7" t="str">
        <x:v>La barre de santé ne reçoit pas automatiquement les dégâts de bouclier.</x:v>
      </x:c>
      <x:c r="O8" s="7" t="str"/>
      <x:c r="P8" s="7" t="str">
        <x:v>Conception du fan game</x:v>
      </x:c>
      <x:c r="Q8" s="7" t="str">
        <x:v>GAL-ABIL</x:v>
      </x:c>
      <x:c r="R8" s="7" t="str">
        <x:v>https://masseffect.fandom.com/wiki/Abilities_(Mass_Effect_Galaxy)</x:v>
      </x:c>
      <x:c r="S8" s="7" t="str">
        <x:v> Prototype d’action ATB : effets, coûts et durées adaptés ; arbre complet, rangs, acquisition et variantes d’édition non reproduits. Les attributions aux compagnons restent fondées sur des sources secondaires ; les classes ME2 sont recoupées avec le manuel officiel pp22–24.</x:v>
      </x:c>
    </x:row>
    <x:row r="9" ht="44" customHeight="1">
      <x:c r="A9" s="18" t="str">
        <x:v>GAL-PWR-HEAVY</x:v>
      </x:c>
      <x:c r="B9" s="9" t="str">
        <x:v>Amélioration de l’attaque lourde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Progression liée à Tortuga.</x:v>
      </x:c>
      <x:c r="G9" s="9" t="str">
        <x:v>Augmenter la force de la grenade après la piste.</x:v>
      </x:c>
      <x:c r="H9" s="9" t="str">
        <x:v>Une seule attribution de l’amélioration.</x:v>
      </x:c>
      <x:c r="I9" s="9" t="str">
        <x:v>Icône plus explicite en plus du symbole +.</x:v>
      </x:c>
      <x:c r="J9" s="9" t="str"/>
      <x:c r="K9" s="9" t="str"/>
      <x:c r="L9" s="9" t="str"/>
      <x:c r="M9" s="9" t="str"/>
      <x:c r="N9" s="9" t="str">
        <x:v>Rejouer la mission ne cumule pas le bonus.</x:v>
      </x:c>
      <x:c r="O9" s="9" t="str"/>
      <x:c r="P9" s="9" t="str">
        <x:v>Conception du fan game</x:v>
      </x:c>
      <x:c r="Q9" s="9" t="str">
        <x:v>GAL-GUIDE</x:v>
      </x:c>
      <x:c r="R9" s="9" t="str">
        <x:v>https://masseffect.fandom.com/wiki/Mass_Effect_Galaxy_Guide</x:v>
      </x:c>
      <x:c r="S9" s="9" t="str"/>
    </x:row>
  </x:sheetData>
  <x:conditionalFormatting sqref="D7:D9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9">
    <x:cfRule type="cellIs" dxfId="66" priority="3" operator="equal">
      <x:formula>"Validé"</x:formula>
    </x:cfRule>
  </x:conditionalFormatting>
  <x:conditionalFormatting sqref="E7:E9">
    <x:cfRule type="cellIs" dxfId="67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b1dbf34a394e4a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GAL-MOV-SHOOT</x:v>
      </x:c>
      <x:c r="B7" s="9" t="str">
        <x:v>Tir ciblé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proposée pour Jacob.</x:v>
      </x:c>
      <x:c r="G7" s="9" t="str">
        <x:v>Confirmer un ennemi puis tirer à la fin de la jauge.</x:v>
      </x:c>
      <x:c r="H7" s="9" t="str">
        <x:v>Confirmer un ennemi puis tirer à la fin de la jauge. Contrepartie : Un mur interrompt la ligne de tir.</x:v>
      </x:c>
      <x:c r="I7" s="9" t="str">
        <x:v>Arme alignée, flash bref.</x:v>
      </x:c>
      <x:c r="J7" s="9" t="str">
        <x:v>Anticipation lisible, pose de libération, récupération. Arme alignée, flash bref.</x:v>
      </x:c>
      <x:c r="K7" s="9" t="str">
        <x:v>Signal d’activation distinct du signal de disponibilité. Sous-titre des alertes.</x:v>
      </x:c>
      <x:c r="L7" s="9" t="str">
        <x:v>Action de données gal_shoot. Coût retiré une seule fois.</x:v>
      </x:c>
      <x:c r="M7" s="9" t="str">
        <x:v>Aucun coût numérique ne décrit une statistique officielle.</x:v>
      </x:c>
      <x:c r="N7" s="9" t="str">
        <x:v>La commande expose cible, coût et résultat avant confirmation.</x:v>
      </x:c>
      <x:c r="O7" s="9" t="str"/>
      <x:c r="P7" s="9" t="str">
        <x:v>Conception du fan game</x:v>
      </x:c>
      <x:c r="Q7" s="9" t="str"/>
      <x:c r="R7" s="9" t="str"/>
      <x:c r="S7" s="9" t="str"/>
    </x:row>
    <x:row r="8" ht="54" customHeight="1">
      <x:c r="A8" s="19" t="str">
        <x:v>GAL-MOV-STASIS</x:v>
      </x:c>
      <x:c r="B8" s="7" t="str">
        <x:v>Neutralisation de priorité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proposée pour Jacob.</x:v>
      </x:c>
      <x:c r="G8" s="7" t="str">
        <x:v>Suspendre le préparatif d’un ennemi dangereux.</x:v>
      </x:c>
      <x:c r="H8" s="7" t="str">
        <x:v>Suspendre le préparatif d’un ennemi dangereux. Contrepartie : Les boss réduisent la durée, avec message explicite.</x:v>
      </x:c>
      <x:c r="I8" s="7" t="str">
        <x:v>Main levée puis anneau sur cible.</x:v>
      </x:c>
      <x:c r="J8" s="7" t="str">
        <x:v>Anticipation lisible, pose de libération, récupération. Main levée puis anneau sur cible.</x:v>
      </x:c>
      <x:c r="K8" s="7" t="str">
        <x:v>Signal d’activation distinct du signal de disponibilité. Sous-titre des alertes.</x:v>
      </x:c>
      <x:c r="L8" s="7" t="str">
        <x:v>Action de données gal_stasis. Coût retiré une seule fois.</x:v>
      </x:c>
      <x:c r="M8" s="7" t="str">
        <x:v>Aucun coût numérique ne décrit une statistique officielle.</x:v>
      </x:c>
      <x:c r="N8" s="7" t="str">
        <x:v>La commande expose cible, coût et résultat avant confirmation.</x:v>
      </x:c>
      <x:c r="O8" s="7" t="str"/>
      <x:c r="P8" s="7" t="str">
        <x:v>Conception du fan game</x:v>
      </x:c>
      <x:c r="Q8" s="7" t="str"/>
      <x:c r="R8" s="7" t="str"/>
      <x:c r="S8" s="7" t="str"/>
    </x:row>
    <x:row r="9" ht="54" customHeight="1">
      <x:c r="A9" s="18" t="str">
        <x:v>GAL-MOV-GRENADE</x:v>
      </x:c>
      <x:c r="B9" s="9" t="str">
        <x:v>Déloger un groupe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Action proposée pour Jacob.</x:v>
      </x:c>
      <x:c r="G9" s="9" t="str">
        <x:v>Utiliser l’explosif sur deux adversaires voisins.</x:v>
      </x:c>
      <x:c r="H9" s="9" t="str">
        <x:v>Utiliser l’explosif sur deux adversaires voisins. Contrepartie : Le couvert peut protéger une partie du groupe.</x:v>
      </x:c>
      <x:c r="I9" s="9" t="str">
        <x:v>Trajectoire et rayon prévisualisés.</x:v>
      </x:c>
      <x:c r="J9" s="9" t="str">
        <x:v>Anticipation lisible, pose de libération, récupération. Trajectoire et rayon prévisualisés.</x:v>
      </x:c>
      <x:c r="K9" s="9" t="str">
        <x:v>Signal d’activation distinct du signal de disponibilité. Sous-titre des alertes.</x:v>
      </x:c>
      <x:c r="L9" s="9" t="str">
        <x:v>Action de données gal_grenade. Coût retiré une seule fois.</x:v>
      </x:c>
      <x:c r="M9" s="9" t="str">
        <x:v>Aucun coût numérique ne décrit une statistique officielle.</x:v>
      </x:c>
      <x:c r="N9" s="9" t="str">
        <x:v>La commande expose cible, coût et résultat avant confirmation.</x:v>
      </x:c>
      <x:c r="O9" s="9" t="str"/>
      <x:c r="P9" s="9" t="str">
        <x:v>Conception du fan game</x:v>
      </x:c>
      <x:c r="Q9" s="9" t="str"/>
      <x:c r="R9" s="9" t="str"/>
      <x:c r="S9" s="9" t="str"/>
    </x:row>
    <x:row r="10" ht="54" customHeight="1">
      <x:c r="A10" s="19" t="str">
        <x:v>GAL-MOV-SUPPORT</x:v>
      </x:c>
      <x:c r="B10" s="7" t="str">
        <x:v>Appel de Miranda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Action proposée pour Miranda à distance.</x:v>
      </x:c>
      <x:c r="G10" s="7" t="str">
        <x:v>Révéler une faiblesse ou clarifier l’objectif en cours.</x:v>
      </x:c>
      <x:c r="H10" s="7" t="str">
        <x:v>Révéler une faiblesse ou clarifier l’objectif en cours. Contrepartie : Variante originale facultative, pas un quatrième pouvoir officiel.</x:v>
      </x:c>
      <x:c r="I10" s="7" t="str">
        <x:v>Portrait radio animé.</x:v>
      </x:c>
      <x:c r="J10" s="7" t="str">
        <x:v>Anticipation lisible, pose de libération, récupération. Portrait radio animé.</x:v>
      </x:c>
      <x:c r="K10" s="7" t="str">
        <x:v>Signal d’activation distinct du signal de disponibilité. Sous-titre des alertes.</x:v>
      </x:c>
      <x:c r="L10" s="7" t="str">
        <x:v>Action de données gal_support. Coût retiré une seule fois.</x:v>
      </x:c>
      <x:c r="M10" s="7" t="str">
        <x:v>Aucun coût numérique ne décrit une statistique officielle.</x:v>
      </x:c>
      <x:c r="N10" s="7" t="str">
        <x:v>La commande expose cible, coût et résultat avant confirmation.</x:v>
      </x:c>
      <x:c r="O10" s="7" t="str"/>
      <x:c r="P10" s="7" t="str">
        <x:v>Conception du fan game</x:v>
      </x:c>
      <x:c r="Q10" s="7" t="str"/>
      <x:c r="R10" s="7" t="str"/>
      <x:c r="S10" s="7" t="str"/>
    </x:row>
  </x:sheetData>
  <x:conditionalFormatting sqref="D7:D10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10">
    <x:cfRule type="cellIs" dxfId="70" priority="3" operator="equal">
      <x:formula>"Validé"</x:formula>
    </x:cfRule>
  </x:conditionalFormatting>
  <x:conditionalFormatting sqref="E7:E10">
    <x:cfRule type="cellIs" dxfId="71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d648c4b49d406c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GAL-EMV-CLINT</x:v>
      </x:c>
      <x:c r="B7" s="9" t="str">
        <x:v>Clint « Black Eye » Darragh : boucle de combat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IA et télégraphes originaux.</x:v>
      </x:c>
      <x:c r="G7" s="9" t="str">
        <x:v>Duel avec couvert et renforts espacés.</x:v>
      </x:c>
      <x:c r="H7" s="9" t="str">
        <x:v>Priorité IA : cible valide, anticipation, résolution, temps de récupération. Couper sa ligne de tir puis traiter le soutien.</x:v>
      </x:c>
      <x:c r="I7" s="9" t="str">
        <x:v>Silhouette de pirate distincte, visage à contrôler.</x:v>
      </x:c>
      <x:c r="J7" s="9" t="str">
        <x:v>Anticipation propre à Clint « Black Eye » Darragh, attaque et état de rupture distincts.</x:v>
      </x:c>
      <x:c r="K7" s="9" t="str">
        <x:v>Avertissement sonore doublé par forme et texte, sans dépendance exclusive à la couleur.</x:v>
      </x:c>
      <x:c r="L7" s="9" t="str"/>
      <x:c r="M7" s="9" t="str"/>
      <x:c r="N7" s="9" t="str">
        <x:v>Une action interrompue ne s’exécute pas après la mort. Le télégraphe précède toujours les dégâts.</x:v>
      </x:c>
      <x:c r="O7" s="9" t="str">
        <x:v>GAL-ENM-CLINT</x:v>
      </x:c>
      <x:c r="P7" s="9" t="str">
        <x:v>Conception du fan game</x:v>
      </x:c>
      <x:c r="Q7" s="9" t="str"/>
      <x:c r="R7" s="9" t="str"/>
      <x:c r="S7" s="9" t="str"/>
    </x:row>
    <x:row r="8" ht="54" customHeight="1">
      <x:c r="A8" s="19" t="str">
        <x:v>GAL-EMV-JATH</x:v>
      </x:c>
      <x:c r="B8" s="7" t="str">
        <x:v>Jath’Amon : boucle de combat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IA et télégraphes originaux.</x:v>
      </x:c>
      <x:c r="G8" s="7" t="str">
        <x:v>Pression à distance, missiles télégraphiés et drones de soutien.</x:v>
      </x:c>
      <x:c r="H8" s="7" t="str">
        <x:v>Priorité IA : cible valide, anticipation, résolution, temps de récupération. Surcharge puis déplacement latéral pendant la préparation.</x:v>
      </x:c>
      <x:c r="I8" s="7" t="str">
        <x:v>Fauteuil mobile et silhouette batarienne à relever.</x:v>
      </x:c>
      <x:c r="J8" s="7" t="str">
        <x:v>Anticipation propre à Jath’Amon, attaque et état de rupture distincts.</x:v>
      </x:c>
      <x:c r="K8" s="7" t="str">
        <x:v>Avertissement sonore doublé par forme et texte, sans dépendance exclusive à la couleur.</x:v>
      </x:c>
      <x:c r="L8" s="7" t="str"/>
      <x:c r="M8" s="7" t="str"/>
      <x:c r="N8" s="7" t="str">
        <x:v>Une action interrompue ne s’exécute pas après la mort. Le télégraphe précède toujours les dégâts.</x:v>
      </x:c>
      <x:c r="O8" s="7" t="str">
        <x:v>GAL-ENM-JATH</x:v>
      </x:c>
      <x:c r="P8" s="7" t="str">
        <x:v>Conception du fan game</x:v>
      </x:c>
      <x:c r="Q8" s="7" t="str"/>
      <x:c r="R8" s="7" t="str"/>
      <x:c r="S8" s="7" t="str"/>
    </x:row>
    <x:row r="9" ht="54" customHeight="1">
      <x:c r="A9" s="18" t="str">
        <x:v>GAL-EMV-TURIAN</x:v>
      </x:c>
      <x:c r="B9" s="9" t="str">
        <x:v>Adversaire turien : boucle de combat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IA et télégraphes originaux.</x:v>
      </x:c>
      <x:c r="G9" s="9" t="str">
        <x:v>Tir précis depuis un angle fixe.</x:v>
      </x:c>
      <x:c r="H9" s="9" t="str">
        <x:v>Priorité IA : cible valide, anticipation, résolution, temps de récupération. Stase pour traverser son cône de visée.</x:v>
      </x:c>
      <x:c r="I9" s="9" t="str">
        <x:v>Crête et armure distinguées de celles d’un civil.</x:v>
      </x:c>
      <x:c r="J9" s="9" t="str">
        <x:v>Anticipation propre à Adversaire turien, attaque et état de rupture distincts.</x:v>
      </x:c>
      <x:c r="K9" s="9" t="str">
        <x:v>Avertissement sonore doublé par forme et texte, sans dépendance exclusive à la couleur.</x:v>
      </x:c>
      <x:c r="L9" s="9" t="str"/>
      <x:c r="M9" s="9" t="str"/>
      <x:c r="N9" s="9" t="str">
        <x:v>Une action interrompue ne s’exécute pas après la mort. Le télégraphe précède toujours les dégâts.</x:v>
      </x:c>
      <x:c r="O9" s="9" t="str">
        <x:v>GAL-ENM-TURIAN</x:v>
      </x:c>
      <x:c r="P9" s="9" t="str">
        <x:v>Conception du fan game</x:v>
      </x:c>
      <x:c r="Q9" s="9" t="str"/>
      <x:c r="R9" s="9" t="str"/>
      <x:c r="S9" s="9" t="str"/>
    </x:row>
    <x:row r="10" ht="54" customHeight="1">
      <x:c r="A10" s="19" t="str">
        <x:v>GAL-EMV-ROBOT</x:v>
      </x:c>
      <x:c r="B10" s="7" t="str">
        <x:v>Robot : boucle de combat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IA et télégraphes originaux.</x:v>
      </x:c>
      <x:c r="G10" s="7" t="str">
        <x:v>Approche mécanique puis décharge de proximité.</x:v>
      </x:c>
      <x:c r="H10" s="7" t="str">
        <x:v>Priorité IA : cible valide, anticipation, résolution, temps de récupération. Attaque technologique avant qu’il atteigne Jacob.</x:v>
      </x:c>
      <x:c r="I10" s="7" t="str">
        <x:v>Silhouette géométrique avec noyau identifiable.</x:v>
      </x:c>
      <x:c r="J10" s="7" t="str">
        <x:v>Anticipation propre à Robot, attaque et état de rupture distincts.</x:v>
      </x:c>
      <x:c r="K10" s="7" t="str">
        <x:v>Avertissement sonore doublé par forme et texte, sans dépendance exclusive à la couleur.</x:v>
      </x:c>
      <x:c r="L10" s="7" t="str"/>
      <x:c r="M10" s="7" t="str"/>
      <x:c r="N10" s="7" t="str">
        <x:v>Une action interrompue ne s’exécute pas après la mort. Le télégraphe précède toujours les dégâts.</x:v>
      </x:c>
      <x:c r="O10" s="7" t="str">
        <x:v>GAL-ENM-ROBOT</x:v>
      </x:c>
      <x:c r="P10" s="7" t="str">
        <x:v>Conception du fan game</x:v>
      </x:c>
      <x:c r="Q10" s="7" t="str"/>
      <x:c r="R10" s="7" t="str"/>
      <x:c r="S10" s="7" t="str"/>
    </x:row>
  </x:sheetData>
  <x:conditionalFormatting sqref="D7:D10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10">
    <x:cfRule type="cellIs" dxfId="74" priority="3" operator="equal">
      <x:formula>"Validé"</x:formula>
    </x:cfRule>
  </x:conditionalFormatting>
  <x:conditionalFormatting sqref="E7:E10">
    <x:cfRule type="cellIs" dxfId="7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cbb679a9a04b15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GAL-ANM-JACOB</x:v>
      </x:c>
      <x:c r="B7" s="9" t="str">
        <x:v>Jacob : déplacement et ciblage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Pack original d’animation.</x:v>
      </x:c>
      <x:c r="G7" s="9" t="str">
        <x:v>Séparer bas du corps et direction du fusil si le moteur le permet.</x:v>
      </x:c>
      <x:c r="H7" s="9" t="str">
        <x:v>8 directions proposées ; pivots stables.</x:v>
      </x:c>
      <x:c r="I7" s="9" t="str">
        <x:v>Course claire et arme à deux mains.</x:v>
      </x:c>
      <x:c r="J7" s="9" t="str"/>
      <x:c r="K7" s="9" t="str"/>
      <x:c r="L7" s="9" t="str"/>
      <x:c r="M7" s="9" t="str"/>
      <x:c r="N7" s="9" t="str">
        <x:v>Aucun saut de taille lors du retournement.</x:v>
      </x:c>
      <x:c r="O7" s="9" t="str"/>
      <x:c r="P7" s="9" t="str">
        <x:v>Conception du fan game</x:v>
      </x:c>
      <x:c r="Q7" s="9" t="str"/>
      <x:c r="R7" s="9" t="str"/>
      <x:c r="S7" s="9" t="str"/>
    </x:row>
    <x:row r="8" ht="44" customHeight="1">
      <x:c r="A8" s="19" t="str">
        <x:v>GAL-ANM-PORTRAITS</x:v>
      </x:c>
      <x:c r="B8" s="7" t="str">
        <x:v>Portraits de l’enquête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Pack original de portraits.</x:v>
      </x:c>
      <x:c r="G8" s="7" t="str">
        <x:v>Quatre expressions pertinentes par interlocuteur.</x:v>
      </x:c>
      <x:c r="H8" s="7" t="str">
        <x:v>Transitions courtes ; pas de simulation labiale promettant la voix originale.</x:v>
      </x:c>
      <x:c r="I8" s="7" t="str">
        <x:v>Visages non déformés entre expressions.</x:v>
      </x:c>
      <x:c r="J8" s="7" t="str"/>
      <x:c r="K8" s="7" t="str"/>
      <x:c r="L8" s="7" t="str"/>
      <x:c r="M8" s="7" t="str"/>
      <x:c r="N8" s="7" t="str">
        <x:v>Le nom du locuteur reste affiché pendant une transition.</x:v>
      </x:c>
      <x:c r="O8" s="7" t="str"/>
      <x:c r="P8" s="7" t="str">
        <x:v>Conception du fan game</x:v>
      </x:c>
      <x:c r="Q8" s="7" t="str"/>
      <x:c r="R8" s="7" t="str"/>
      <x:c r="S8" s="7" t="str"/>
    </x:row>
  </x:sheetData>
  <x:conditionalFormatting sqref="D7:D8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8">
    <x:cfRule type="cellIs" dxfId="78" priority="3" operator="equal">
      <x:formula>"Validé"</x:formula>
    </x:cfRule>
  </x:conditionalFormatting>
  <x:conditionalFormatting sqref="E7:E8">
    <x:cfRule type="cellIs" dxfId="79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b6e30d30da475d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8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GAL-SPR-JACOB</x:v>
      </x:c>
      <x:c r="B7" s="9" t="str">
        <x:v>Sprite et portrait de Jacob Taylor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Livrable 2D proposé.</x:v>
      </x:c>
      <x:c r="G7" s="9" t="str">
        <x:v>Créer un atlas de déplacement et un portrait de dialogue pour Jacob Taylor.</x:v>
      </x:c>
      <x:c r="H7" s="9" t="str">
        <x:v>Réglage proposé : 8 directions, 6 poses de marche par direction, pivot aux pieds.</x:v>
      </x:c>
      <x:c r="I7" s="9" t="str">
        <x:v>Proposition : tenue de combat compacte, visage lisible, fusil conservé dans la silhouette.</x:v>
      </x:c>
      <x:c r="J7" s="9" t="str">
        <x:v>Marche, course, visée, lancement biotique et réaction au choc.</x:v>
      </x:c>
      <x:c r="K7" s="9" t="str"/>
      <x:c r="L7" s="9" t="str">
        <x:v>Asset prévu : gal/sprites/jacob.png et atlas JSON. Aucun fichier livré par cette fiche.</x:v>
      </x:c>
      <x:c r="M7" s="9" t="str">
        <x:v>Référence costume et palette validée avant déclinaisons.</x:v>
      </x:c>
      <x:c r="N7" s="9" t="str">
        <x:v>Aucun membre tronqué, même taille apparente dans chaque direction, silhouette lisible à 96 px.</x:v>
      </x:c>
      <x:c r="O7" s="9" t="str">
        <x:v>GAL-CHR-JACOB</x:v>
      </x:c>
      <x:c r="P7" s="9" t="str">
        <x:v>Conception du fan game</x:v>
      </x:c>
      <x:c r="Q7" s="9" t="str"/>
      <x:c r="R7" s="9" t="str"/>
      <x:c r="S7" s="9" t="str">
        <x:v>Le nombre de poses est une cible de production, pas une donnée du jeu source.</x:v>
      </x:c>
    </x:row>
    <x:row r="8" ht="44" customHeight="1">
      <x:c r="A8" s="19" t="str">
        <x:v>GAL-SPR-MIRANDA</x:v>
      </x:c>
      <x:c r="B8" s="7" t="str">
        <x:v>Sprite et portrait de Miranda Lawson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Livrable 2D proposé.</x:v>
      </x:c>
      <x:c r="G8" s="7" t="str">
        <x:v>Créer un atlas de déplacement et un portrait de dialogue pour Miranda Lawson.</x:v>
      </x:c>
      <x:c r="H8" s="7" t="str">
        <x:v>Réglage proposé : 8 directions, 6 poses de marche par direction, pivot aux pieds.</x:v>
      </x:c>
      <x:c r="I8" s="7" t="str">
        <x:v>Proposition : silhouette sobre, tenue noire et claire à relever sur le dessin source.</x:v>
      </x:c>
      <x:c r="J8" s="7" t="str">
        <x:v>Portrait neutre, réflexion, alerte et transmission.</x:v>
      </x:c>
      <x:c r="K8" s="7" t="str"/>
      <x:c r="L8" s="7" t="str">
        <x:v>Asset prévu : gal/sprites/miranda.png et atlas JSON. Aucun fichier livré par cette fiche.</x:v>
      </x:c>
      <x:c r="M8" s="7" t="str">
        <x:v>Référence costume et palette validée avant déclinaisons.</x:v>
      </x:c>
      <x:c r="N8" s="7" t="str">
        <x:v>Aucun membre tronqué, même taille apparente dans chaque direction, silhouette lisible à 96 px.</x:v>
      </x:c>
      <x:c r="O8" s="7" t="str">
        <x:v>GAL-CHR-MIRANDA</x:v>
      </x:c>
      <x:c r="P8" s="7" t="str">
        <x:v>Conception du fan game</x:v>
      </x:c>
      <x:c r="Q8" s="7" t="str"/>
      <x:c r="R8" s="7" t="str"/>
      <x:c r="S8" s="7" t="str">
        <x:v>Le nombre de poses est une cible de production, pas une donnée du jeu source.</x:v>
      </x:c>
    </x:row>
    <x:row r="9" ht="44" customHeight="1">
      <x:c r="A9" s="18" t="str">
        <x:v>GAL-ASSET-NPC-DEREK</x:v>
      </x:c>
      <x:c r="B9" s="9" t="str">
        <x:v>Portraits : Derek Izunami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Livrable graphique proposé.</x:v>
      </x:c>
      <x:c r="G9" s="9" t="str">
        <x:v>Dessiner Derek Izunami en face et trois-quarts avec expressions liées à ses échanges.</x:v>
      </x:c>
      <x:c r="H9" s="9" t="str">
        <x:v>Proposition : neutre, désaccord, alerte et conclusion. Ne pas fabriquer une réaction absente du scénario.</x:v>
      </x:c>
      <x:c r="I9" s="9" t="str">
        <x:v>Portrait dessiné à confronter au jeu source.</x:v>
      </x:c>
      <x:c r="J9" s="9" t="str">
        <x:v>Transitions discrètes entre expressions ; pas de déplacement du cadre.</x:v>
      </x:c>
      <x:c r="K9" s="9" t="str"/>
      <x:c r="L9" s="9" t="str">
        <x:v>Livrable prévu : atlas gal_npc-derek, métadonnées des pivots et fichier de référence visuelle.</x:v>
      </x:c>
      <x:c r="M9" s="9" t="str">
        <x:v>Référence visuelle validée avant les variantes. Les cases manquantes sont suivies explicitement.</x:v>
      </x:c>
      <x:c r="N9" s="9" t="str">
        <x:v>Le nom Derek Izunami reste identifiable à petite taille et les expressions ne modifient pas les traits.</x:v>
      </x:c>
      <x:c r="O9" s="9" t="str">
        <x:v>GAL-NPC-DEREK</x:v>
      </x:c>
      <x:c r="P9" s="9" t="str">
        <x:v>Conception du fan game</x:v>
      </x:c>
      <x:c r="Q9" s="9" t="str"/>
      <x:c r="R9" s="9" t="str"/>
      <x:c r="S9" s="9" t="str">
        <x:v>Fiche de production uniquement. Aucun sprite supplémentaire n’a été généré par ce classeur.</x:v>
      </x:c>
    </x:row>
    <x:row r="10" ht="44" customHeight="1">
      <x:c r="A10" s="19" t="str">
        <x:v>GAL-ASSET-NPC-BATHA</x:v>
      </x:c>
      <x:c r="B10" s="7" t="str">
        <x:v>Portraits : Batha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Livrable graphique proposé.</x:v>
      </x:c>
      <x:c r="G10" s="7" t="str">
        <x:v>Dessiner Batha en face et trois-quarts avec expressions liées à ses échanges.</x:v>
      </x:c>
      <x:c r="H10" s="7" t="str">
        <x:v>Proposition : neutre, désaccord, alerte et conclusion. Ne pas fabriquer une réaction absente du scénario.</x:v>
      </x:c>
      <x:c r="I10" s="7" t="str">
        <x:v>Portrait dessiné à confronter au jeu source.</x:v>
      </x:c>
      <x:c r="J10" s="7" t="str">
        <x:v>Transitions discrètes entre expressions ; pas de déplacement du cadre.</x:v>
      </x:c>
      <x:c r="K10" s="7" t="str"/>
      <x:c r="L10" s="7" t="str">
        <x:v>Livrable prévu : atlas gal_npc-batha, métadonnées des pivots et fichier de référence visuelle.</x:v>
      </x:c>
      <x:c r="M10" s="7" t="str">
        <x:v>Référence visuelle validée avant les variantes. Les cases manquantes sont suivies explicitement.</x:v>
      </x:c>
      <x:c r="N10" s="7" t="str">
        <x:v>Le nom Batha reste identifiable à petite taille et les expressions ne modifient pas les traits.</x:v>
      </x:c>
      <x:c r="O10" s="7" t="str">
        <x:v>GAL-NPC-BATHA</x:v>
      </x:c>
      <x:c r="P10" s="7" t="str">
        <x:v>Conception du fan game</x:v>
      </x:c>
      <x:c r="Q10" s="7" t="str"/>
      <x:c r="R10" s="7" t="str"/>
      <x:c r="S10" s="7" t="str">
        <x:v>Fiche de production uniquement. Aucun sprite supplémentaire n’a été généré par ce classeur.</x:v>
      </x:c>
    </x:row>
    <x:row r="11" ht="44" customHeight="1">
      <x:c r="A11" s="18" t="str">
        <x:v>GAL-ASSET-NPC-NAX</x:v>
      </x:c>
      <x:c r="B11" s="9" t="str">
        <x:v>Portraits : Nax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Livrable graphique proposé.</x:v>
      </x:c>
      <x:c r="G11" s="9" t="str">
        <x:v>Dessiner Nax en face et trois-quarts avec expressions liées à ses échanges.</x:v>
      </x:c>
      <x:c r="H11" s="9" t="str">
        <x:v>Proposition : neutre, désaccord, alerte et conclusion. Ne pas fabriquer une réaction absente du scénario.</x:v>
      </x:c>
      <x:c r="I11" s="9" t="str">
        <x:v>Portrait dessiné à confronter au jeu source.</x:v>
      </x:c>
      <x:c r="J11" s="9" t="str">
        <x:v>Transitions discrètes entre expressions ; pas de déplacement du cadre.</x:v>
      </x:c>
      <x:c r="K11" s="9" t="str"/>
      <x:c r="L11" s="9" t="str">
        <x:v>Livrable prévu : atlas gal_npc-nax, métadonnées des pivots et fichier de référence visuelle.</x:v>
      </x:c>
      <x:c r="M11" s="9" t="str">
        <x:v>Référence visuelle validée avant les variantes. Les cases manquantes sont suivies explicitement.</x:v>
      </x:c>
      <x:c r="N11" s="9" t="str">
        <x:v>Le nom Nax reste identifiable à petite taille et les expressions ne modifient pas les traits.</x:v>
      </x:c>
      <x:c r="O11" s="9" t="str">
        <x:v>GAL-NPC-NAX</x:v>
      </x:c>
      <x:c r="P11" s="9" t="str">
        <x:v>Conception du fan game</x:v>
      </x:c>
      <x:c r="Q11" s="9" t="str"/>
      <x:c r="R11" s="9" t="str"/>
      <x:c r="S11" s="9" t="str">
        <x:v>Fiche de production uniquement. Aucun sprite supplémentaire n’a été généré par ce classeur.</x:v>
      </x:c>
    </x:row>
    <x:row r="12" ht="44" customHeight="1">
      <x:c r="A12" s="19" t="str">
        <x:v>GAL-ASSET-NPC-ILLO</x:v>
      </x:c>
      <x:c r="B12" s="7" t="str">
        <x:v>Portraits : Illo Nazario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Livrable graphique proposé.</x:v>
      </x:c>
      <x:c r="G12" s="7" t="str">
        <x:v>Dessiner Illo Nazario en face et trois-quarts avec expressions liées à ses échanges.</x:v>
      </x:c>
      <x:c r="H12" s="7" t="str">
        <x:v>Proposition : neutre, désaccord, alerte et conclusion. Ne pas fabriquer une réaction absente du scénario.</x:v>
      </x:c>
      <x:c r="I12" s="7" t="str">
        <x:v>Portrait dessiné à confronter au jeu source.</x:v>
      </x:c>
      <x:c r="J12" s="7" t="str">
        <x:v>Transitions discrètes entre expressions ; pas de déplacement du cadre.</x:v>
      </x:c>
      <x:c r="K12" s="7" t="str"/>
      <x:c r="L12" s="7" t="str">
        <x:v>Livrable prévu : atlas gal_npc-illo, métadonnées des pivots et fichier de référence visuelle.</x:v>
      </x:c>
      <x:c r="M12" s="7" t="str">
        <x:v>Référence visuelle validée avant les variantes. Les cases manquantes sont suivies explicitement.</x:v>
      </x:c>
      <x:c r="N12" s="7" t="str">
        <x:v>Le nom Illo Nazario reste identifiable à petite taille et les expressions ne modifient pas les traits.</x:v>
      </x:c>
      <x:c r="O12" s="7" t="str">
        <x:v>GAL-NPC-ILLO</x:v>
      </x:c>
      <x:c r="P12" s="7" t="str">
        <x:v>Conception du fan game</x:v>
      </x:c>
      <x:c r="Q12" s="7" t="str"/>
      <x:c r="R12" s="7" t="str"/>
      <x:c r="S12" s="7" t="str">
        <x:v>Fiche de production uniquement. Aucun sprite supplémentaire n’a été généré par ce classeur.</x:v>
      </x:c>
    </x:row>
    <x:row r="13" ht="44" customHeight="1">
      <x:c r="A13" s="18" t="str">
        <x:v>GAL-ASSET-NPC-ISH</x:v>
      </x:c>
      <x:c r="B13" s="9" t="str">
        <x:v>Portraits : Ish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Livrable graphique proposé.</x:v>
      </x:c>
      <x:c r="G13" s="9" t="str">
        <x:v>Dessiner Ish en face et trois-quarts avec expressions liées à ses échanges.</x:v>
      </x:c>
      <x:c r="H13" s="9" t="str">
        <x:v>Proposition : neutre, désaccord, alerte et conclusion. Ne pas fabriquer une réaction absente du scénario.</x:v>
      </x:c>
      <x:c r="I13" s="9" t="str">
        <x:v>Portrait dessiné à confronter au jeu source.</x:v>
      </x:c>
      <x:c r="J13" s="9" t="str">
        <x:v>Transitions discrètes entre expressions ; pas de déplacement du cadre.</x:v>
      </x:c>
      <x:c r="K13" s="9" t="str"/>
      <x:c r="L13" s="9" t="str">
        <x:v>Livrable prévu : atlas gal_npc-ish, métadonnées des pivots et fichier de référence visuelle.</x:v>
      </x:c>
      <x:c r="M13" s="9" t="str">
        <x:v>Référence visuelle validée avant les variantes. Les cases manquantes sont suivies explicitement.</x:v>
      </x:c>
      <x:c r="N13" s="9" t="str">
        <x:v>Le nom Ish reste identifiable à petite taille et les expressions ne modifient pas les traits.</x:v>
      </x:c>
      <x:c r="O13" s="9" t="str">
        <x:v>GAL-NPC-ISH</x:v>
      </x:c>
      <x:c r="P13" s="9" t="str">
        <x:v>Conception du fan game</x:v>
      </x:c>
      <x:c r="Q13" s="9" t="str"/>
      <x:c r="R13" s="9" t="str"/>
      <x:c r="S13" s="9" t="str">
        <x:v>Fiche de production uniquement. Aucun sprite supplémentaire n’a été généré par ce classeur.</x:v>
      </x:c>
    </x:row>
    <x:row r="14" ht="44" customHeight="1">
      <x:c r="A14" s="19" t="str">
        <x:v>GAL-ASSET-NPC-TUDGE</x:v>
      </x:c>
      <x:c r="B14" s="7" t="str">
        <x:v>Portraits : Reginald Tudge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Livrable graphique proposé.</x:v>
      </x:c>
      <x:c r="G14" s="7" t="str">
        <x:v>Dessiner Reginald Tudge en face et trois-quarts avec expressions liées à ses échanges.</x:v>
      </x:c>
      <x:c r="H14" s="7" t="str">
        <x:v>Proposition : neutre, désaccord, alerte et conclusion. Ne pas fabriquer une réaction absente du scénario.</x:v>
      </x:c>
      <x:c r="I14" s="7" t="str">
        <x:v>Portrait dessiné à confronter au jeu source.</x:v>
      </x:c>
      <x:c r="J14" s="7" t="str">
        <x:v>Transitions discrètes entre expressions ; pas de déplacement du cadre.</x:v>
      </x:c>
      <x:c r="K14" s="7" t="str"/>
      <x:c r="L14" s="7" t="str">
        <x:v>Livrable prévu : atlas gal_npc-tudge, métadonnées des pivots et fichier de référence visuelle.</x:v>
      </x:c>
      <x:c r="M14" s="7" t="str">
        <x:v>Référence visuelle validée avant les variantes. Les cases manquantes sont suivies explicitement.</x:v>
      </x:c>
      <x:c r="N14" s="7" t="str">
        <x:v>Le nom Reginald Tudge reste identifiable à petite taille et les expressions ne modifient pas les traits.</x:v>
      </x:c>
      <x:c r="O14" s="7" t="str">
        <x:v>GAL-NPC-TUDGE</x:v>
      </x:c>
      <x:c r="P14" s="7" t="str">
        <x:v>Conception du fan game</x:v>
      </x:c>
      <x:c r="Q14" s="7" t="str"/>
      <x:c r="R14" s="7" t="str"/>
      <x:c r="S14" s="7" t="str">
        <x:v>Fiche de production uniquement. Aucun sprite supplémentaire n’a été généré par ce classeur.</x:v>
      </x:c>
    </x:row>
    <x:row r="15" ht="68" customHeight="1">
      <x:c r="A15" s="18" t="str">
        <x:v>GAL-ASSET-ENM-CLINT</x:v>
      </x:c>
      <x:c r="B15" s="9" t="str">
        <x:v>Atlas de combat : Clint « Black Eye » Darragh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Livrable graphique proposé.</x:v>
      </x:c>
      <x:c r="G15" s="9" t="str">
        <x:v>Construire les poses de Clint « Black Eye » Darragh nécessaires à sa boucle de combat.</x:v>
      </x:c>
      <x:c r="H15" s="9" t="str">
        <x:v>Proposition : attente, anticipation, attaque, impact, rupture et sortie. La boucle à rendre lisible est : Proposition : Duel avec couvert et renforts espacés. Réponse : Couper sa ligne de tir puis traiter le soutien.</x:v>
      </x:c>
      <x:c r="I15" s="9" t="str">
        <x:v>Silhouette de pirate distincte, visage à contrôler.</x:v>
      </x:c>
      <x:c r="J15" s="9" t="str">
        <x:v>Huit directions pour les unités mobiles ; vue fixe possible pour un boss ancré. Événements d’impact séparés des poses.</x:v>
      </x:c>
      <x:c r="K15" s="9" t="str"/>
      <x:c r="L15" s="9" t="str">
        <x:v>Livrable prévu : atlas gal_enm-clint, métadonnées des pivots et fichier de référence visuelle.</x:v>
      </x:c>
      <x:c r="M15" s="9" t="str">
        <x:v>Référence visuelle validée avant les variantes. Les cases manquantes sont suivies explicitement.</x:v>
      </x:c>
      <x:c r="N15" s="9" t="str">
        <x:v>Le télégraphe de Clint « Black Eye » Darragh reste identifiable en silhouette ; aucune pose ne change le pivot aux pieds.</x:v>
      </x:c>
      <x:c r="O15" s="9" t="str">
        <x:v>GAL-ENM-CLINT</x:v>
      </x:c>
      <x:c r="P15" s="9" t="str">
        <x:v>Conception du fan game</x:v>
      </x:c>
      <x:c r="Q15" s="9" t="str"/>
      <x:c r="R15" s="9" t="str"/>
      <x:c r="S15" s="9" t="str">
        <x:v>Fiche de production uniquement. Aucun sprite supplémentaire n’a été généré par ce classeur.</x:v>
      </x:c>
    </x:row>
    <x:row r="16" ht="82" customHeight="1">
      <x:c r="A16" s="19" t="str">
        <x:v>GAL-ASSET-ENM-JATH</x:v>
      </x:c>
      <x:c r="B16" s="7" t="str">
        <x:v>Atlas de combat : Jath’Amon</x:v>
      </x:c>
      <x:c r="C16" s="15" t="str">
        <x:v>Défini</x:v>
      </x:c>
      <x:c r="D16" s="17" t="str">
        <x:v>Extrapolation</x:v>
      </x:c>
      <x:c r="E16" s="17" t="str">
        <x:v>P0</x:v>
      </x:c>
      <x:c r="F16" s="7" t="str">
        <x:v>Livrable graphique proposé.</x:v>
      </x:c>
      <x:c r="G16" s="7" t="str">
        <x:v>Construire les poses de Jath’Amon nécessaires à sa boucle de combat.</x:v>
      </x:c>
      <x:c r="H16" s="7" t="str">
        <x:v>Proposition : attente, anticipation, attaque, impact, rupture et sortie. La boucle à rendre lisible est : Proposition : Pression à distance, missiles télégraphiés et drones de soutien. Réponse : Surcharge puis déplacement latéral pendant la préparation.</x:v>
      </x:c>
      <x:c r="I16" s="7" t="str">
        <x:v>Fauteuil mobile et silhouette batarienne à relever.</x:v>
      </x:c>
      <x:c r="J16" s="7" t="str">
        <x:v>Huit directions pour les unités mobiles ; vue fixe possible pour un boss ancré. Événements d’impact séparés des poses.</x:v>
      </x:c>
      <x:c r="K16" s="7" t="str"/>
      <x:c r="L16" s="7" t="str">
        <x:v>Livrable prévu : atlas gal_enm-jath, métadonnées des pivots et fichier de référence visuelle.</x:v>
      </x:c>
      <x:c r="M16" s="7" t="str">
        <x:v>Référence visuelle validée avant les variantes. Les cases manquantes sont suivies explicitement.</x:v>
      </x:c>
      <x:c r="N16" s="7" t="str">
        <x:v>Le télégraphe de Jath’Amon reste identifiable en silhouette ; aucune pose ne change le pivot aux pieds.</x:v>
      </x:c>
      <x:c r="O16" s="7" t="str">
        <x:v>GAL-ENM-JATH</x:v>
      </x:c>
      <x:c r="P16" s="7" t="str">
        <x:v>Conception du fan game</x:v>
      </x:c>
      <x:c r="Q16" s="7" t="str"/>
      <x:c r="R16" s="7" t="str"/>
      <x:c r="S16" s="7" t="str">
        <x:v>Fiche de production uniquement. Aucun sprite supplémentaire n’a été généré par ce classeur.</x:v>
      </x:c>
    </x:row>
    <x:row r="17" ht="68" customHeight="1">
      <x:c r="A17" s="18" t="str">
        <x:v>GAL-ASSET-ENM-TURIAN</x:v>
      </x:c>
      <x:c r="B17" s="9" t="str">
        <x:v>Atlas de combat : Adversaire turien</x:v>
      </x:c>
      <x:c r="C17" s="15" t="str">
        <x:v>Défini</x:v>
      </x:c>
      <x:c r="D17" s="16" t="str">
        <x:v>Extrapolation</x:v>
      </x:c>
      <x:c r="E17" s="16" t="str">
        <x:v>P1</x:v>
      </x:c>
      <x:c r="F17" s="9" t="str">
        <x:v>Livrable graphique proposé.</x:v>
      </x:c>
      <x:c r="G17" s="9" t="str">
        <x:v>Construire les poses de Adversaire turien nécessaires à sa boucle de combat.</x:v>
      </x:c>
      <x:c r="H17" s="9" t="str">
        <x:v>Proposition : attente, anticipation, attaque, impact, rupture et sortie. La boucle à rendre lisible est : Proposition : Tir précis depuis un angle fixe. Réponse : Stase pour traverser son cône de visée.</x:v>
      </x:c>
      <x:c r="I17" s="9" t="str">
        <x:v>Crête et armure distinguées de celles d’un civil.</x:v>
      </x:c>
      <x:c r="J17" s="9" t="str">
        <x:v>Huit directions pour les unités mobiles ; vue fixe possible pour un boss ancré. Événements d’impact séparés des poses.</x:v>
      </x:c>
      <x:c r="K17" s="9" t="str"/>
      <x:c r="L17" s="9" t="str">
        <x:v>Livrable prévu : atlas gal_enm-turian, métadonnées des pivots et fichier de référence visuelle.</x:v>
      </x:c>
      <x:c r="M17" s="9" t="str">
        <x:v>Référence visuelle validée avant les variantes. Les cases manquantes sont suivies explicitement.</x:v>
      </x:c>
      <x:c r="N17" s="9" t="str">
        <x:v>Le télégraphe de Adversaire turien reste identifiable en silhouette ; aucune pose ne change le pivot aux pieds.</x:v>
      </x:c>
      <x:c r="O17" s="9" t="str">
        <x:v>GAL-ENM-TURIAN</x:v>
      </x:c>
      <x:c r="P17" s="9" t="str">
        <x:v>Conception du fan game</x:v>
      </x:c>
      <x:c r="Q17" s="9" t="str"/>
      <x:c r="R17" s="9" t="str"/>
      <x:c r="S17" s="9" t="str">
        <x:v>Fiche de production uniquement. Aucun sprite supplémentaire n’a été généré par ce classeur.</x:v>
      </x:c>
    </x:row>
    <x:row r="18" ht="82" customHeight="1">
      <x:c r="A18" s="19" t="str">
        <x:v>GAL-ASSET-ENM-ROBOT</x:v>
      </x:c>
      <x:c r="B18" s="7" t="str">
        <x:v>Atlas de combat : Robot</x:v>
      </x:c>
      <x:c r="C18" s="15" t="str">
        <x:v>Défini</x:v>
      </x:c>
      <x:c r="D18" s="17" t="str">
        <x:v>Extrapolation</x:v>
      </x:c>
      <x:c r="E18" s="17" t="str">
        <x:v>P1</x:v>
      </x:c>
      <x:c r="F18" s="7" t="str">
        <x:v>Livrable graphique proposé.</x:v>
      </x:c>
      <x:c r="G18" s="7" t="str">
        <x:v>Construire les poses de Robot nécessaires à sa boucle de combat.</x:v>
      </x:c>
      <x:c r="H18" s="7" t="str">
        <x:v>Proposition : attente, anticipation, attaque, impact, rupture et sortie. La boucle à rendre lisible est : Proposition : Approche mécanique puis décharge de proximité. Réponse : Attaque technologique avant qu’il atteigne Jacob.</x:v>
      </x:c>
      <x:c r="I18" s="7" t="str">
        <x:v>Silhouette géométrique avec noyau identifiable.</x:v>
      </x:c>
      <x:c r="J18" s="7" t="str">
        <x:v>Huit directions pour les unités mobiles ; vue fixe possible pour un boss ancré. Événements d’impact séparés des poses.</x:v>
      </x:c>
      <x:c r="K18" s="7" t="str"/>
      <x:c r="L18" s="7" t="str">
        <x:v>Livrable prévu : atlas gal_enm-robot, métadonnées des pivots et fichier de référence visuelle.</x:v>
      </x:c>
      <x:c r="M18" s="7" t="str">
        <x:v>Référence visuelle validée avant les variantes. Les cases manquantes sont suivies explicitement.</x:v>
      </x:c>
      <x:c r="N18" s="7" t="str">
        <x:v>Le télégraphe de Robot reste identifiable en silhouette ; aucune pose ne change le pivot aux pieds.</x:v>
      </x:c>
      <x:c r="O18" s="7" t="str">
        <x:v>GAL-ENM-ROBOT</x:v>
      </x:c>
      <x:c r="P18" s="7" t="str">
        <x:v>Conception du fan game</x:v>
      </x:c>
      <x:c r="Q18" s="7" t="str"/>
      <x:c r="R18" s="7" t="str"/>
      <x:c r="S18" s="7" t="str">
        <x:v>Fiche de production uniquement. Aucun sprite supplémentaire n’a été généré par ce classeur.</x:v>
      </x:c>
    </x:row>
  </x:sheetData>
  <x:conditionalFormatting sqref="D7:D18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8">
    <x:cfRule type="cellIs" dxfId="82" priority="3" operator="equal">
      <x:formula>"Validé"</x:formula>
    </x:cfRule>
  </x:conditionalFormatting>
  <x:conditionalFormatting sqref="E7:E18">
    <x:cfRule type="cellIs" dxfId="83" priority="4" operator="equal">
      <x:formula>"P0"</x:formula>
    </x:cfRule>
  </x:conditionalFormatting>
  <x:dataValidations count="3">
    <x:dataValidation type="list" sqref="C7:C18">
      <x:formula1>"Défini,Prototype,Intégré,Validé"</x:formula1>
    </x:dataValidation>
    <x:dataValidation type="list" sqref="D7:D18">
      <x:formula1>"Établi,À vérifier,Extrapolation,Coupé attesté,Concept abandonné,Allégation écartée"</x:formula1>
    </x:dataValidation>
    <x:dataValidation type="list" sqref="E7:E1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770c920cc24fba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GAL-VFX-STASIS</x:v>
      </x:c>
      <x:c r="B7" s="9" t="str">
        <x:v>Stase lisible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Effet original.</x:v>
      </x:c>
      <x:c r="G7" s="9" t="str">
        <x:v>Anneau et motif fixe pour distinguer stase et bouclier.</x:v>
      </x:c>
      <x:c r="H7" s="9" t="str">
        <x:v>Durée calée sur l’état de contrôle.</x:v>
      </x:c>
      <x:c r="I7" s="9" t="str">
        <x:v>Violet pour stase, bleu pour protection, icônes distinctes.</x:v>
      </x:c>
      <x:c r="J7" s="9" t="str"/>
      <x:c r="K7" s="9" t="str"/>
      <x:c r="L7" s="9" t="str"/>
      <x:c r="M7" s="9" t="str"/>
      <x:c r="N7" s="9" t="str">
        <x:v>Compréhensible en niveaux de gris.</x:v>
      </x:c>
      <x:c r="O7" s="9" t="str"/>
      <x:c r="P7" s="9" t="str">
        <x:v>Conception du fan game</x:v>
      </x:c>
      <x:c r="Q7" s="9" t="str"/>
      <x:c r="R7" s="9" t="str"/>
      <x:c r="S7" s="9" t="str"/>
    </x:row>
    <x:row r="8" ht="44" customHeight="1">
      <x:c r="A8" s="19" t="str">
        <x:v>GAL-VFX-RAIN</x:v>
      </x:c>
      <x:c r="B8" s="7" t="str">
        <x:v>Pluie de Bekke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Effet de décor proposé.</x:v>
      </x:c>
      <x:c r="G8" s="7" t="str">
        <x:v>Plans de pluie 2D avec occlusion sous les toits.</x:v>
      </x:c>
      <x:c r="H8" s="7" t="str">
        <x:v>Intensité réglable et sans gêne pour les marqueurs d’attaque.</x:v>
      </x:c>
      <x:c r="I8" s="7" t="str">
        <x:v>Reflets ponctuels au sol.</x:v>
      </x:c>
      <x:c r="J8" s="7" t="str"/>
      <x:c r="K8" s="7" t="str"/>
      <x:c r="L8" s="7" t="str"/>
      <x:c r="M8" s="7" t="str"/>
      <x:c r="N8" s="7" t="str">
        <x:v>La pluie ne traverse pas l’interface de dialogue.</x:v>
      </x:c>
      <x:c r="O8" s="7" t="str"/>
      <x:c r="P8" s="7" t="str">
        <x:v>Conception du fan game</x:v>
      </x:c>
      <x:c r="Q8" s="7" t="str"/>
      <x:c r="R8" s="7" t="str"/>
      <x:c r="S8" s="7" t="str"/>
    </x:row>
  </x:sheetData>
  <x:conditionalFormatting sqref="D7:D8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8">
    <x:cfRule type="cellIs" dxfId="86" priority="3" operator="equal">
      <x:formula>"Validé"</x:formula>
    </x:cfRule>
  </x:conditionalFormatting>
  <x:conditionalFormatting sqref="E7:E8">
    <x:cfRule type="cellIs" dxfId="87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fc04e9cfd44feb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GAL-AUD-INVEST</x:v>
      </x:c>
      <x:c r="B7" s="9" t="str">
        <x:v>Musique d’enquête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Composition originale.</x:v>
      </x:c>
      <x:c r="G7" s="9" t="str">
        <x:v>Motif court et couches propres à chaque piste.</x:v>
      </x:c>
      <x:c r="H7" s="9" t="str">
        <x:v>Transition harmonique lors du choix d’une destination.</x:v>
      </x:c>
      <x:c r="I7" s="9" t="str"/>
      <x:c r="J7" s="9" t="str"/>
      <x:c r="K7" s="9" t="str"/>
      <x:c r="L7" s="9" t="str"/>
      <x:c r="M7" s="9" t="str"/>
      <x:c r="N7" s="9" t="str">
        <x:v>Aucune reprise de la bande originale non fournie.</x:v>
      </x:c>
      <x:c r="O7" s="9" t="str"/>
      <x:c r="P7" s="9" t="str">
        <x:v>Conception du fan game</x:v>
      </x:c>
      <x:c r="Q7" s="9" t="str"/>
      <x:c r="R7" s="9" t="str"/>
      <x:c r="S7" s="9" t="str"/>
    </x:row>
    <x:row r="8" ht="44" customHeight="1">
      <x:c r="A8" s="19" t="str">
        <x:v>GAL-AUD-JADE</x:v>
      </x:c>
      <x:c r="B8" s="7" t="str">
        <x:v>Vie à bord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Ambiance originale du paquebot.</x:v>
      </x:c>
      <x:c r="G8" s="7" t="str">
        <x:v>Murmures lointains, ventilation douce, alerte ponctuelle.</x:v>
      </x:c>
      <x:c r="H8" s="7" t="str">
        <x:v>Baisse du fond pendant les conversations.</x:v>
      </x:c>
      <x:c r="I8" s="7" t="str"/>
      <x:c r="J8" s="7" t="str"/>
      <x:c r="K8" s="7" t="str"/>
      <x:c r="L8" s="7" t="str"/>
      <x:c r="M8" s="7" t="str"/>
      <x:c r="N8" s="7" t="str">
        <x:v>Boucle propre après chargement et retour d’épilogue.</x:v>
      </x:c>
      <x:c r="O8" s="7" t="str"/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GAL-AUD-POWERS</x:v>
      </x:c>
      <x:c r="B9" s="9" t="str">
        <x:v>Retours des trois pouvoirs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Design sonore original.</x:v>
      </x:c>
      <x:c r="G9" s="9" t="str">
        <x:v>Son grave pour stase, crépitement pour surcharge, impact sourd pour grenade.</x:v>
      </x:c>
      <x:c r="H9" s="9" t="str">
        <x:v>Recharge annoncée par un son facultatif et une icône.</x:v>
      </x:c>
      <x:c r="I9" s="9" t="str"/>
      <x:c r="J9" s="9" t="str"/>
      <x:c r="K9" s="9" t="str"/>
      <x:c r="L9" s="9" t="str"/>
      <x:c r="M9" s="9" t="str"/>
      <x:c r="N9" s="9" t="str">
        <x:v>Les trois actions sont reconnaissables à faible volume.</x:v>
      </x:c>
      <x:c r="O9" s="9" t="str"/>
      <x:c r="P9" s="9" t="str">
        <x:v>Conception du fan game</x:v>
      </x:c>
      <x:c r="Q9" s="9" t="str"/>
      <x:c r="R9" s="9" t="str"/>
      <x:c r="S9" s="9" t="str"/>
    </x:row>
  </x:sheetData>
  <x:conditionalFormatting sqref="D7:D9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9">
    <x:cfRule type="cellIs" dxfId="90" priority="3" operator="equal">
      <x:formula>"Validé"</x:formula>
    </x:cfRule>
  </x:conditionalFormatting>
  <x:conditionalFormatting sqref="E7:E9">
    <x:cfRule type="cellIs" dxfId="91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ade1c8b4ff4b88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GAL-SYS-ATB</x:v>
      </x:c>
      <x:c r="B7" s="9" t="str">
        <x:v>ATB avec pause des commandes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Système original du fan game.</x:v>
      </x:c>
      <x:c r="G7" s="9" t="str">
        <x:v>Garder une jauge par acteur, la chronologie des attaques et un mode Attente.</x:v>
      </x:c>
      <x:c r="H7" s="9" t="str">
        <x:v>Réglage proposé : une commande consomme une jauge pleine. Une anticipation ennemie engagée reste visible.</x:v>
      </x:c>
      <x:c r="I7" s="9" t="str">
        <x:v>Barre bleu acier pour attente, icône et libellé pour interruption.</x:v>
      </x:c>
      <x:c r="J7" s="9" t="str"/>
      <x:c r="K7" s="9" t="str"/>
      <x:c r="L7" s="9" t="str"/>
      <x:c r="M7" s="9" t="str"/>
      <x:c r="N7" s="9" t="str">
        <x:v>Changer de mode ne crée ni double tour ni perte de commande.</x:v>
      </x:c>
      <x:c r="O7" s="9" t="str"/>
      <x:c r="P7" s="9" t="str">
        <x:v>Conception du fan game</x:v>
      </x:c>
      <x:c r="Q7" s="9" t="str"/>
      <x:c r="R7" s="9" t="str"/>
      <x:c r="S7" s="9" t="str"/>
    </x:row>
    <x:row r="8" ht="54" customHeight="1">
      <x:c r="A8" s="19" t="str">
        <x:v>GAL-SYS-SAVE</x:v>
      </x:c>
      <x:c r="B8" s="7" t="str">
        <x:v>Sauvegarde de campagne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Schéma de sauvegarde proposé.</x:v>
      </x:c>
      <x:c r="G8" s="7" t="str">
        <x:v>Conserver ordre des pistes, améliorations acquises, preuves et arène de reprise. Les variantes locales ne décident pas d’une romance ME2.</x:v>
      </x:c>
      <x:c r="H8" s="7" t="str">
        <x:v>Versionner les états de mission, l’inventaire, les choix et le point de retour.</x:v>
      </x:c>
      <x:c r="I8" s="7" t="str">
        <x:v>Menu à trois emplacements avec chapitre et objectif.</x:v>
      </x:c>
      <x:c r="J8" s="7" t="str"/>
      <x:c r="K8" s="7" t="str"/>
      <x:c r="L8" s="7" t="str"/>
      <x:c r="M8" s="7" t="str"/>
      <x:c r="N8" s="7" t="str">
        <x:v>Charger avant et après un embranchement restitue le même état.</x:v>
      </x:c>
      <x:c r="O8" s="7" t="str"/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GAL-SYS-CAMERA</x:v>
      </x:c>
      <x:c r="B9" s="9" t="str">
        <x:v>Caméras fixes et sprites dans le décor 3D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Règle de présentation proposée.</x:v>
      </x:c>
      <x:c r="G9" s="9" t="str">
        <x:v>Conserver la mise en scène propre à Galaxy.</x:v>
      </x:c>
      <x:c r="H9" s="9" t="str">
        <x:v>Calculer la direction du sprite dans le repère caméra. Conserver les axes de déplacement lors des raccords.</x:v>
      </x:c>
      <x:c r="I9" s="9" t="str">
        <x:v>Perspective douce, contours lisibles, profondeur et ombres de contact.</x:v>
      </x:c>
      <x:c r="J9" s="9" t="str"/>
      <x:c r="K9" s="9" t="str"/>
      <x:c r="L9" s="9" t="str"/>
      <x:c r="M9" s="9" t="str"/>
      <x:c r="N9" s="9" t="str">
        <x:v>Un personnage derrière un pilier disparaît proprement sans passer devant le sol.</x:v>
      </x:c>
      <x:c r="O9" s="9" t="str"/>
      <x:c r="P9" s="9" t="str">
        <x:v>Conception du fan game</x:v>
      </x:c>
      <x:c r="Q9" s="9" t="str"/>
      <x:c r="R9" s="9" t="str"/>
      <x:c r="S9" s="9" t="str"/>
    </x:row>
    <x:row r="10" ht="44" customHeight="1">
      <x:c r="A10" s="19" t="str">
        <x:v>GAL-SYS-ACCESS</x:v>
      </x:c>
      <x:c r="B10" s="7" t="str">
        <x:v>Commandes et lisibilité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Spécification d’accès au jeu.</x:v>
      </x:c>
      <x:c r="G10" s="7" t="str">
        <x:v>Clavier, manette et interface tactile facultative.</x:v>
      </x:c>
      <x:c r="H10" s="7" t="str">
        <x:v>Reconfigurer les touches, accélérer les animations, afficher les résistances par texte.</x:v>
      </x:c>
      <x:c r="I10" s="7" t="str">
        <x:v>Contraste des textes, taille réglable, réduction du flash et du mouvement.</x:v>
      </x:c>
      <x:c r="J10" s="7" t="str"/>
      <x:c r="K10" s="7" t="str"/>
      <x:c r="L10" s="7" t="str"/>
      <x:c r="M10" s="7" t="str"/>
      <x:c r="N10" s="7" t="str">
        <x:v>Toutes les commandes et le journal restent utilisables sans souris.</x:v>
      </x:c>
      <x:c r="O10" s="7" t="str"/>
      <x:c r="P10" s="7" t="str">
        <x:v>Conception du fan game</x:v>
      </x:c>
      <x:c r="Q10" s="7" t="str"/>
      <x:c r="R10" s="7" t="str"/>
      <x:c r="S10" s="7" t="str"/>
    </x:row>
    <x:row r="11" ht="44" customHeight="1">
      <x:c r="A11" s="18" t="str">
        <x:v>GAL-SYS-SOURCES</x:v>
      </x:c>
      <x:c r="B11" s="9" t="str">
        <x:v>Registre de références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Suivi de production.</x:v>
      </x:c>
      <x:c r="G11" s="9" t="str">
        <x:v>Conserver les références visuelles et leur provenance par asset.</x:v>
      </x:c>
      <x:c r="H11" s="9" t="str">
        <x:v>Un élément change de statut uniquement après contrôle documenté.</x:v>
      </x:c>
      <x:c r="I11" s="9" t="str">
        <x:v>Guide lisible avec source et limite de couverture.</x:v>
      </x:c>
      <x:c r="J11" s="9" t="str"/>
      <x:c r="K11" s="9" t="str"/>
      <x:c r="L11" s="9" t="str"/>
      <x:c r="M11" s="9" t="str"/>
      <x:c r="N11" s="9" t="str">
        <x:v>Aucune fiche de conception n’est automatiquement marquée Intégré.</x:v>
      </x:c>
      <x:c r="O11" s="9" t="str"/>
      <x:c r="P11" s="9" t="str">
        <x:v>Conception du fan game</x:v>
      </x:c>
      <x:c r="Q11" s="9" t="str"/>
      <x:c r="R11" s="9" t="str"/>
      <x:c r="S11" s="9" t="str"/>
    </x:row>
  </x:sheetData>
  <x:conditionalFormatting sqref="D7:D11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1">
    <x:cfRule type="cellIs" dxfId="94" priority="3" operator="equal">
      <x:formula>"Validé"</x:formula>
    </x:cfRule>
  </x:conditionalFormatting>
  <x:conditionalFormatting sqref="E7:E11">
    <x:cfRule type="cellIs" dxfId="95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696e0d52714097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GAL-QA-PATH</x:v>
      </x:c>
      <x:c r="B7" s="9" t="str">
        <x:v>Parcours de bout en bout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Scénario de recette proposé.</x:v>
      </x:c>
      <x:c r="G7" s="9" t="str">
        <x:v>Exécuter le parcours prévu de Galaxy.</x:v>
      </x:c>
      <x:c r="H7" s="9" t="str">
        <x:v>Tester une victoire, une défaite puis un rechargement dans chaque chapitre.</x:v>
      </x:c>
      <x:c r="I7" s="9" t="str"/>
      <x:c r="J7" s="9" t="str"/>
      <x:c r="K7" s="9" t="str"/>
      <x:c r="L7" s="9" t="str"/>
      <x:c r="M7" s="9" t="str"/>
      <x:c r="N7" s="9" t="str">
        <x:v>Chaque objectif peut se terminer sans commande de débogage.</x:v>
      </x:c>
      <x:c r="O7" s="9" t="str"/>
      <x:c r="P7" s="9" t="str">
        <x:v>Conception du fan game</x:v>
      </x:c>
      <x:c r="Q7" s="9" t="str"/>
      <x:c r="R7" s="9" t="str"/>
      <x:c r="S7" s="9" t="str"/>
    </x:row>
    <x:row r="8" ht="54" customHeight="1">
      <x:c r="A8" s="19" t="str">
        <x:v>GAL-QA-BRANCH</x:v>
      </x:c>
      <x:c r="B8" s="7" t="str">
        <x:v>Choix et états persistants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Recette des embranchements.</x:v>
      </x:c>
      <x:c r="G8" s="7" t="str">
        <x:v>Conserver ordre des pistes, améliorations acquises, preuves et arène de reprise. Les variantes locales ne décident pas d’une romance ME2.</x:v>
      </x:c>
      <x:c r="H8" s="7" t="str">
        <x:v>Tester chaque condition vraie/fausse, ainsi que l’absence de donnée dans une vieille sauvegarde.</x:v>
      </x:c>
      <x:c r="I8" s="7" t="str"/>
      <x:c r="J8" s="7" t="str"/>
      <x:c r="K8" s="7" t="str"/>
      <x:c r="L8" s="7" t="str"/>
      <x:c r="M8" s="7" t="str"/>
      <x:c r="N8" s="7" t="str">
        <x:v>Les choix ne s’écrasent pas et le journal explique les objectifs indisponibles.</x:v>
      </x:c>
      <x:c r="O8" s="7" t="str"/>
      <x:c r="P8" s="7" t="str">
        <x:v>Conception du fan game</x:v>
      </x:c>
      <x:c r="Q8" s="7" t="str"/>
      <x:c r="R8" s="7" t="str"/>
      <x:c r="S8" s="7" t="str"/>
    </x:row>
    <x:row r="9" ht="44" customHeight="1">
      <x:c r="A9" s="18" t="str">
        <x:v>GAL-QA-VISUAL</x:v>
      </x:c>
      <x:c r="B9" s="9" t="str">
        <x:v>Contrôle de référence et de lisibilité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Recette artistique avant validation.</x:v>
      </x:c>
      <x:c r="G9" s="9" t="str">
        <x:v>Comparer silhouette, tenue, palette et décor de Galaxy aux références détenues.</x:v>
      </x:c>
      <x:c r="H9" s="9" t="str">
        <x:v>Capturer les mêmes poses et angles. Séparer écart voulu et erreur.</x:v>
      </x:c>
      <x:c r="I9" s="9" t="str"/>
      <x:c r="J9" s="9" t="str"/>
      <x:c r="K9" s="9" t="str"/>
      <x:c r="L9" s="9" t="str"/>
      <x:c r="M9" s="9" t="str"/>
      <x:c r="N9" s="9" t="str">
        <x:v>Chaque écart est corrigé ou signalé dans la fiche de l’asset.</x:v>
      </x:c>
      <x:c r="O9" s="9" t="str"/>
      <x:c r="P9" s="9" t="str">
        <x:v>Conception du fan game</x:v>
      </x:c>
      <x:c r="Q9" s="9" t="str"/>
      <x:c r="R9" s="9" t="str"/>
      <x:c r="S9" s="9" t="str"/>
    </x:row>
    <x:row r="10" ht="44" customHeight="1">
      <x:c r="A10" s="19" t="str">
        <x:v>GAL-QA-BALANCE</x:v>
      </x:c>
      <x:c r="B10" s="7" t="str">
        <x:v>Coûts, immunités et boss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Recette des règles proposées.</x:v>
      </x:c>
      <x:c r="G10" s="7" t="str">
        <x:v>Vérifier les coûts avant et après interruption et la lecture des résistances.</x:v>
      </x:c>
      <x:c r="H10" s="7" t="str">
        <x:v>Tester une cible morte, immunisée, hors champ et dépourvue de protection.</x:v>
      </x:c>
      <x:c r="I10" s="7" t="str"/>
      <x:c r="J10" s="7" t="str"/>
      <x:c r="K10" s="7" t="str"/>
      <x:c r="L10" s="7" t="str"/>
      <x:c r="M10" s="7" t="str"/>
      <x:c r="N10" s="7" t="str">
        <x:v>Aucun combat ne dépend d’une faiblesse non annoncée.</x:v>
      </x:c>
      <x:c r="O10" s="7" t="str"/>
      <x:c r="P10" s="7" t="str">
        <x:v>Conception du fan game</x:v>
      </x:c>
      <x:c r="Q10" s="7" t="str"/>
      <x:c r="R10" s="7" t="str"/>
      <x:c r="S10" s="7" t="str"/>
    </x:row>
    <x:row r="11" ht="68" customHeight="1">
      <x:c r="A11" s="18" t="str">
        <x:v>GAL-QA-SCOPE</x:v>
      </x:c>
      <x:c r="B11" s="9" t="str">
        <x:v>Limites de fidélité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Contrôle de publication.</x:v>
      </x:c>
      <x:c r="G11" s="9" t="str">
        <x:v>Le calendrier exact est signalé comme à vérifier. Les contrôles ATB et l’escouade éventuelle sont des adaptations. Aucun déblocage distant dans Mass Effect 2 n’est promis.</x:v>
      </x:c>
      <x:c r="H11" s="9" t="str">
        <x:v>Vérifier les mentions Établi, À vérifier et Extrapolation à chaque export.</x:v>
      </x:c>
      <x:c r="I11" s="9" t="str"/>
      <x:c r="J11" s="9" t="str"/>
      <x:c r="K11" s="9" t="str"/>
      <x:c r="L11" s="9" t="str"/>
      <x:c r="M11" s="9" t="str"/>
      <x:c r="N11" s="9" t="str">
        <x:v>Aucune scène créée ne devient un fait officiel dans le journal ou les crédits.</x:v>
      </x:c>
      <x:c r="O11" s="9" t="str"/>
      <x:c r="P11" s="9" t="str">
        <x:v>Conception du fan game</x:v>
      </x:c>
      <x:c r="Q11" s="9" t="str"/>
      <x:c r="R11" s="9" t="str"/>
      <x:c r="S11" s="9" t="str"/>
    </x:row>
  </x:sheetData>
  <x:conditionalFormatting sqref="D7:D11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1">
    <x:cfRule type="cellIs" dxfId="98" priority="3" operator="equal">
      <x:formula>"Validé"</x:formula>
    </x:cfRule>
  </x:conditionalFormatting>
  <x:conditionalFormatting sqref="E7:E11">
    <x:cfRule type="cellIs" dxfId="99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06f2f830514dda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Effect: Galaxy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GAL-CNT-FLAGS</x:v>
      </x:c>
      <x:c r="B7" s="9" t="str">
        <x:v>Transfert de progression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Contrat de continuité proposé.</x:v>
      </x:c>
      <x:c r="G7" s="9" t="str">
        <x:v>Conserver ordre des pistes, améliorations acquises, preuves et arène de reprise. Les variantes locales ne décident pas d’une romance ME2.</x:v>
      </x:c>
      <x:c r="H7" s="9" t="str">
        <x:v>Importer uniquement les clés explicitement déclarées ; ignorer les valeurs inconnues avec message.</x:v>
      </x:c>
      <x:c r="I7" s="9" t="str"/>
      <x:c r="J7" s="9" t="str"/>
      <x:c r="K7" s="9" t="str"/>
      <x:c r="L7" s="9" t="str"/>
      <x:c r="M7" s="9" t="str"/>
      <x:c r="N7" s="9" t="str">
        <x:v>Le jeu de base peut démarrer sans ce module.</x:v>
      </x:c>
      <x:c r="O7" s="9" t="str"/>
      <x:c r="P7" s="9" t="str">
        <x:v>Conception du fan game</x:v>
      </x:c>
      <x:c r="Q7" s="9" t="str"/>
      <x:c r="R7" s="9" t="str"/>
      <x:c r="S7" s="9" t="str"/>
    </x:row>
    <x:row r="8" ht="68" customHeight="1">
      <x:c r="A8" s="19" t="str">
        <x:v>GAL-CNT-SCOPE</x:v>
      </x:c>
      <x:c r="B8" s="7" t="str">
        <x:v>Périmètre et variantes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Règle de continuité du catalogue.</x:v>
      </x:c>
      <x:c r="G8" s="7" t="str">
        <x:v>Le calendrier exact est signalé comme à vérifier. Les contrôles ATB et l’escouade éventuelle sont des adaptations. Aucun déblocage distant dans Mass Effect 2 n’est promis.</x:v>
      </x:c>
      <x:c r="H8" s="7" t="str">
        <x:v>Conserver une campagne source et un profil d’adaptation séparés.</x:v>
      </x:c>
      <x:c r="I8" s="7" t="str"/>
      <x:c r="J8" s="7" t="str"/>
      <x:c r="K8" s="7" t="str"/>
      <x:c r="L8" s="7" t="str"/>
      <x:c r="M8" s="7" t="str"/>
      <x:c r="N8" s="7" t="str">
        <x:v>Le joueur sait quelle version de l’histoire est sélectionnée.</x:v>
      </x:c>
      <x:c r="O8" s="7" t="str"/>
      <x:c r="P8" s="7" t="str">
        <x:v>Conception du fan game</x:v>
      </x:c>
      <x:c r="Q8" s="7" t="str"/>
      <x:c r="R8" s="7" t="str"/>
      <x:c r="S8" s="7" t="str"/>
    </x:row>
    <x:row r="9" ht="54" customHeight="1">
      <x:c r="A9" s="18" t="str">
        <x:v>GAL-CNT-DATE</x:v>
      </x:c>
      <x:c r="B9" s="9" t="str">
        <x:v>Chronologie publiée divergente</x:v>
      </x:c>
      <x:c r="C9" s="15" t="str">
        <x:v>Défini</x:v>
      </x:c>
      <x:c r="D9" s="16" t="str">
        <x:v>À vérifier</x:v>
      </x:c>
      <x:c r="E9" s="16" t="str">
        <x:v>P0</x:v>
      </x:c>
      <x:c r="F9" s="9" t="str">
        <x:v>L’annonce BioWare place Galaxy entre ME1 et ME2 ; les index de récit donnent des repères de 2183 difficiles à concilier.</x:v>
      </x:c>
      <x:c r="G9" s="9" t="str">
        <x:v>Afficher une position relative provisoire et garder une note de vérification.</x:v>
      </x:c>
      <x:c r="H9" s="9" t="str">
        <x:v>Ne pas imposer de date précise dans les sauvegardes.</x:v>
      </x:c>
      <x:c r="I9" s="9" t="str"/>
      <x:c r="J9" s="9" t="str"/>
      <x:c r="K9" s="9" t="str"/>
      <x:c r="L9" s="9" t="str"/>
      <x:c r="M9" s="9" t="str"/>
      <x:c r="N9" s="9" t="str">
        <x:v>La contradiction est visible et ne se transforme pas en correction silencieuse.</x:v>
      </x:c>
      <x:c r="O9" s="9" t="str"/>
      <x:c r="P9" s="9" t="str">
        <x:v>Conception du fan game</x:v>
      </x:c>
      <x:c r="Q9" s="9" t="str">
        <x:v>GAL-BIO, GAL-STORY, GAL-JATH</x:v>
      </x:c>
      <x:c r="R9" s="9" t="str">
        <x:v>https://blog.bioware.com/2009/05/29/mass-effect-on-the-iphone/
https://masseffect.fandom.com/wiki/Storyline_II
https://masseffect.fandom.com/wiki/Jath%27Amon</x:v>
      </x:c>
      <x:c r="S9" s="9" t="str"/>
    </x:row>
  </x:sheetData>
  <x:conditionalFormatting sqref="D7:D9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9">
    <x:cfRule type="cellIs" dxfId="102" priority="3" operator="equal">
      <x:formula>"Validé"</x:formula>
    </x:cfRule>
  </x:conditionalFormatting>
  <x:conditionalFormatting sqref="E7:E9">
    <x:cfRule type="cellIs" dxfId="10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b5fdef8b2b4006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Effect: Galaxy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28" t="str">
        <x:v>Champ</x:v>
      </x:c>
      <x:c r="B6" s="30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Effect: Galaxy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Jeu mobile</x:v>
      </x:c>
      <x:c r="C8" s="2"/>
      <x:c r="D8" s="2"/>
      <x:c r="E8" s="2"/>
      <x:c r="F8" s="2"/>
    </x:row>
    <x:row r="9" ht="40" customHeight="1">
      <x:c r="A9" s="7" t="str">
        <x:v>Périmètre</x:v>
      </x:c>
      <x:c r="B9" s="7" t="str">
        <x:v>Six missions de Jacob, trois pistes d’enquête et adaptation du système mobile.</x:v>
      </x:c>
      <x:c r="C9" s="2"/>
      <x:c r="D9" s="2"/>
      <x:c r="E9" s="2"/>
      <x:c r="F9" s="2"/>
    </x:row>
    <x:row r="10" ht="54" customHeight="1">
      <x:c r="A10" s="7" t="str">
        <x:v>Projet</x:v>
      </x:c>
      <x:c r="B10" s="7" t="str">
        <x:v>103 fiches de production ; 3 fiches au stade Prototype de portée partielle. Les autres livrables restent des spécifications ; aucun achèvement intégral 1:1 revendiqué.</x:v>
      </x:c>
      <x:c r="C10" s="2"/>
      <x:c r="D10" s="2"/>
      <x:c r="E10" s="2"/>
      <x:c r="F10" s="2"/>
    </x:row>
    <x:row r="11" ht="68" customHeight="1">
      <x:c r="A11" s="7" t="str">
        <x:v>Références et limites</x:v>
      </x:c>
      <x:c r="B11" s="7" t="str">
        <x:v>BioWare situe l’aventure entre ME1 et ME2 ; certains repères du wiki la placent avant des événements de 2183. Le calendrier précis reste à arbitrer sans modifier silencieusement la source.</x:v>
      </x:c>
      <x:c r="C11" s="2"/>
      <x:c r="D11" s="2"/>
      <x:c r="E11" s="2"/>
      <x:c r="F11" s="2"/>
    </x:row>
    <x:row r="12" ht="30" customHeight="1">
      <x:c r="A12" s="7" t="str">
        <x:v>Date de référence</x:v>
      </x:c>
      <x:c r="B12" s="42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28" t="str">
        <x:v>Source</x:v>
      </x:c>
      <x:c r="B26" s="29" t="str">
        <x:v>Titre</x:v>
      </x:c>
      <x:c r="C26" s="29" t="str">
        <x:v>Type</x:v>
      </x:c>
      <x:c r="D26" s="29" t="str">
        <x:v>URL</x:v>
      </x:c>
      <x:c r="E26" s="29" t="str">
        <x:v>Périmètre</x:v>
      </x:c>
      <x:c r="F26" s="30" t="str">
        <x:v>Accès et limites</x:v>
      </x:c>
    </x:row>
    <x:row r="27" ht="42" customHeight="1">
      <x:c r="A27" s="6" t="str">
        <x:v>GAL-BIO</x:v>
      </x:c>
      <x:c r="B27" s="6" t="str">
        <x:v>BioWare : Mass Effect on the iPhone</x:v>
      </x:c>
      <x:c r="C27" s="6" t="str">
        <x:v>Source officielle</x:v>
      </x:c>
      <x:c r="D27" s="6" t="str">
        <x:v>https://blog.bioware.com/2009/05/29/mass-effect-on-the-iphone/</x:v>
      </x:c>
      <x:c r="E27" s="6" t="str">
        <x:v>Jacob, position annoncée entre ME1 et ME2, structure à trois branches et narration 2D.</x:v>
      </x:c>
      <x:c r="F27" s="6" t="str">
        <x:v>Consulté le 22/10/2026.</x:v>
      </x:c>
    </x:row>
    <x:row r="28" ht="42" customHeight="1">
      <x:c r="A28" s="6" t="str">
        <x:v>GAL-GUIDE</x:v>
      </x:c>
      <x:c r="B28" s="6" t="str">
        <x:v>Guide Mass Effect Galaxy</x:v>
      </x:c>
      <x:c r="C28" s="6" t="str">
        <x:v>Wiki indexé</x:v>
      </x:c>
      <x:c r="D28" s="6" t="str">
        <x:v>https://masseffect.fandom.com/wiki/Mass_Effect_Galaxy_Guide</x:v>
      </x:c>
      <x:c r="E28" s="6" t="str">
        <x:v>Noms des six missions, zones de combat et améliorations.</x:v>
      </x:c>
      <x:c r="F28" s="6" t="str">
        <x:v>Ouverture directe refusée ; extrait indexé détaillé consulté.</x:v>
      </x:c>
    </x:row>
    <x:row r="29" ht="42" customHeight="1">
      <x:c r="A29" s="6" t="str">
        <x:v>GAL-WIKI</x:v>
      </x:c>
      <x:c r="B29" s="6" t="str">
        <x:v>Mass Effect Galaxy</x:v>
      </x:c>
      <x:c r="C29" s="6" t="str">
        <x:v>Wiki indexé</x:v>
      </x:c>
      <x:c r="D29" s="6" t="str">
        <x:v>https://masseffect.fandom.com/wiki/Mass_Effect_Galaxy</x:v>
      </x:c>
      <x:c r="E29" s="6" t="str">
        <x:v>Distribution et lieux.</x:v>
      </x:c>
      <x:c r="F29" s="6" t="str">
        <x:v>Ouverture directe refusée ; résultats indexés consultés.</x:v>
      </x:c>
    </x:row>
    <x:row r="30" ht="42" customHeight="1">
      <x:c r="A30" s="6" t="str">
        <x:v>GAL-COMBAT</x:v>
      </x:c>
      <x:c r="B30" s="6" t="str">
        <x:v>Combat dans Galaxy</x:v>
      </x:c>
      <x:c r="C30" s="6" t="str">
        <x:v>Wiki indexé</x:v>
      </x:c>
      <x:c r="D30" s="6" t="str">
        <x:v>https://masseffect.fandom.com/wiki/Combat_(Mass_Effect_Galaxy)</x:v>
      </x:c>
      <x:c r="E30" s="6" t="str">
        <x:v>M-8 Avenger, déplacement, protections et verrouillage de cible.</x:v>
      </x:c>
      <x:c r="F30" s="6" t="str">
        <x:v>Consulté le 22/10/2026.</x:v>
      </x:c>
    </x:row>
    <x:row r="31" ht="42" customHeight="1">
      <x:c r="A31" s="6" t="str">
        <x:v>GAL-ABIL</x:v>
      </x:c>
      <x:c r="B31" s="6" t="str">
        <x:v>Pouvoirs dans Galaxy</x:v>
      </x:c>
      <x:c r="C31" s="6" t="str">
        <x:v>Wiki indexé</x:v>
      </x:c>
      <x:c r="D31" s="6" t="str">
        <x:v>https://masseffect.fandom.com/wiki/Abilities_(Mass_Effect_Galaxy)</x:v>
      </x:c>
      <x:c r="E31" s="6" t="str">
        <x:v>Stase, attaque lourde et surcharge, progressions liées aux pistes.</x:v>
      </x:c>
      <x:c r="F31" s="6" t="str">
        <x:v>Consulté le 22/10/2026.</x:v>
      </x:c>
    </x:row>
    <x:row r="32" ht="42" customHeight="1">
      <x:c r="A32" s="6" t="str">
        <x:v>GAL-STORY</x:v>
      </x:c>
      <x:c r="B32" s="6" t="str">
        <x:v>Storyline II : Galaxy</x:v>
      </x:c>
      <x:c r="C32" s="6" t="str">
        <x:v>Wiki indexé</x:v>
      </x:c>
      <x:c r="D32" s="6" t="str">
        <x:v>https://masseffect.fandom.com/wiki/Storyline_II</x:v>
      </x:c>
      <x:c r="E32" s="6" t="str">
        <x:v>Enquête, contacts et conclusion.</x:v>
      </x:c>
      <x:c r="F32" s="6" t="str">
        <x:v>Seule la section Galaxy consultée dans les résultats indexés. Ne pas mélanger les éléments ME2 voisins.</x:v>
      </x:c>
    </x:row>
    <x:row r="33" ht="42" customHeight="1">
      <x:c r="A33" s="6" t="str">
        <x:v>GAL-JATH</x:v>
      </x:c>
      <x:c r="B33" s="6" t="str">
        <x:v>Jath’Amon</x:v>
      </x:c>
      <x:c r="C33" s="6" t="str">
        <x:v>Wiki indexé</x:v>
      </x:c>
      <x:c r="D33" s="6" t="str">
        <x:v>https://masseffect.fandom.com/wiki/Jath%27Amon</x:v>
      </x:c>
      <x:c r="E33" s="6" t="str">
        <x:v>Ambassadeur et confrontation finale.</x:v>
      </x:c>
      <x:c r="F33" s="6" t="str">
        <x:v>Consulté le 22/10/2026.</x:v>
      </x:c>
    </x:row>
    <x:row r="34" ht="42" customHeight="1">
      <x:c r="A34" s="6" t="str">
        <x:v>GAL-ENEMIES</x:v>
      </x:c>
      <x:c r="B34" s="6" t="str">
        <x:v>Adversaires de Galaxy</x:v>
      </x:c>
      <x:c r="C34" s="6" t="str">
        <x:v>Wiki indexé</x:v>
      </x:c>
      <x:c r="D34" s="6" t="str">
        <x:v>https://masseffect.fandom.com/wiki/Category:Enemies_(Mass_Effect_Galaxy)</x:v>
      </x:c>
      <x:c r="E34" s="6" t="str">
        <x:v>Index des adversaires.</x:v>
      </x:c>
      <x:c r="F34" s="6" t="str">
        <x:v>Consulté le 22/10/2026.</x:v>
      </x:c>
    </x:row>
    <x:row r="35" ht="42" customHeight="1">
      <x:c r="A35" s="6" t="str">
        <x:v>GAL-TUDGE</x:v>
      </x:c>
      <x:c r="B35" s="6" t="str">
        <x:v>Reginald Tudge</x:v>
      </x:c>
      <x:c r="C35" s="6" t="str">
        <x:v>Wiki indexé</x:v>
      </x:c>
      <x:c r="D35" s="6" t="str">
        <x:v>https://masseffect.fandom.com/wiki/Reginald_Tudge</x:v>
      </x:c>
      <x:c r="E35" s="6" t="str">
        <x:v>Capitaine de l’Arcturian Jade.</x:v>
      </x:c>
      <x:c r="F35" s="6" t="str">
        <x:v>Consulté le 22/10/2026.</x:v>
      </x:c>
    </x:row>
    <x:row r="36" ht="22" customHeight="1">
      <x:c r="A36" s="2"/>
      <x:c r="B36" s="2"/>
      <x:c r="C36" s="2"/>
      <x:c r="D36" s="2"/>
      <x:c r="E36" s="2"/>
      <x:c r="F36" s="2"/>
    </x:row>
    <x:row r="37" ht="22" customHeight="1">
      <x:c r="A37" s="2"/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34" customHeight="1">
      <x:c r="A39" s="28" t="str">
        <x:v>Domaine</x:v>
      </x:c>
      <x:c r="B39" s="29" t="str">
        <x:v>Couverture actuelle</x:v>
      </x:c>
      <x:c r="C39" s="30" t="str">
        <x:v>Travail restant</x:v>
      </x:c>
      <x:c r="D39" s="2"/>
      <x:c r="E39" s="2"/>
      <x:c r="F39" s="2"/>
    </x:row>
    <x:row r="40" ht="68" customHeight="1">
      <x:c r="A40" s="6" t="str">
        <x:v>Campagne</x:v>
      </x:c>
      <x:c r="B40" s="6" t="str">
        <x:v>Les six missions et les trois pistes permutables sont répertoriées avec leurs récompenses de progression.</x:v>
      </x:c>
      <x:c r="C40" s="6" t="str">
        <x:v>Positions exactes des objets, tous les segments visuels, répliques et variantes à relever dans une version exécutable ou une capture complète.</x:v>
      </x:c>
      <x:c r="D40" s="2"/>
      <x:c r="E40" s="2"/>
      <x:c r="F40" s="2"/>
    </x:row>
    <x:row r="41" ht="54" customHeight="1">
      <x:c r="A41" s="6" t="str">
        <x:v>Personnages et combat</x:v>
      </x:c>
      <x:c r="B41" s="6" t="str">
        <x:v>Identités principales, adversaires, armes, pouvoirs, actions ATB et planches graphiques à produire.</x:v>
      </x:c>
      <x:c r="C41" s="6" t="str">
        <x:v>Statistiques originales non relevées. Les paramètres proposés nécessitent un prototype et ne sont pas une équivalence 1:1.</x:v>
      </x:c>
      <x:c r="D41" s="2"/>
      <x:c r="E41" s="2"/>
      <x:c r="F41" s="2"/>
    </x:row>
    <x:row r="42" ht="68" customHeight="1">
      <x:c r="A42" s="6" t="str">
        <x:v>Décors et cartes</x:v>
      </x:c>
      <x:c r="B42" s="6" t="str">
        <x:v>Destinations, plans de travail, liaisons, accessoires et règles d’occlusion 2D/3D.</x:v>
      </x:c>
      <x:c r="C42" s="6" t="str">
        <x:v>Les plans sont des conceptions originales ; dimensions, colliders et positions doivent être comparés au jeu source avant toute revendication de fidélité.</x:v>
      </x:c>
      <x:c r="D42" s="2"/>
      <x:c r="E42" s="2"/>
      <x:c r="F42" s="2"/>
    </x:row>
    <x:row r="43" ht="68" customHeight="1">
      <x:c r="A43" s="6" t="str">
        <x:v>Production et contrôles</x:v>
      </x:c>
      <x:c r="B43" s="6" t="str">
        <x:v>Animation, VFX, audio original, sauvegarde, UI, critères de recette et limites de continuité.</x:v>
      </x:c>
      <x:c r="C43" s="6" t="str">
        <x:v>Aucun asset ni niveau de ce module n’est réalisé par la rédaction du classeur. Les critères QA décrivent des tests futurs du jeu.</x:v>
      </x:c>
      <x:c r="D43" s="2"/>
      <x:c r="E43" s="2"/>
      <x:c r="F43" s="2"/>
    </x:row>
    <x:row r="44" ht="96" customHeight="1">
      <x:c r="A44" s="6" t="str">
        <x:v>Prototype Chroniques indépendant</x:v>
      </x:c>
      <x:c r="B44" s="6" t="str">
        <x:v>1 personnages sélectionnables, 0 équipements utilisables sous restrictions d’œuvre, segment, scène et porteur ; preuves dans implementationPaths et evidence des seules lignes Prototype.</x:v>
      </x:c>
      <x:c r="C44" s="6" t="str">
        <x:v>Campagne complète, dialogues, acquisition canonique, sprites, costumes, animations et statistiques originales à réaliser ou vérifier. Les ateliers sont des essais de préparation ATB, sans progression canonique ni transfert ME1.</x:v>
      </x:c>
      <x:c r="D44" s="2"/>
      <x:c r="E44" s="2"/>
      <x:c r="F44" s="2"/>
    </x:row>
    <x:row r="45" ht="96" customHeight="1">
      <x:c r="A45" s="6" t="str">
        <x:v>Complément pouvoirs, modules et lectures</x:v>
      </x:c>
      <x:c r="B45" s="6" t="str">
        <x:v>2 fiches de pouvoirs utilisées, 0 familles de modules préparables et 0 références consultables dans une lecture documentaire. Les chemins et preuves sont inscrits sur les seules lignes Prototype.</x:v>
      </x:c>
      <x:c r="C45" s="6" t="str">
        <x:v>Arbres et progression complets, modèles et rangs exacts, campagnes et dialogues intégraux, niveaux et ressources visuelles propres à l’œuvre restent à réaliser ou vérifier. Les références lues ne rendent pas leurs personnages jouables.</x:v>
      </x:c>
      <x:c r="D45" s="2"/>
      <x:c r="E45" s="2"/>
      <x:c r="F45" s="2"/>
    </x:row>
    <x:row r="46" ht="22" customHeight="1">
      <x:c r="A46" s="2"/>
      <x:c r="B46" s="2"/>
      <x:c r="C46" s="2"/>
      <x:c r="D46" s="2"/>
      <x:c r="E46" s="2"/>
      <x:c r="F46" s="2"/>
    </x:row>
    <x:row r="47" ht="22" customHeight="1">
      <x:c r="A47" s="2"/>
      <x:c r="B47" s="2"/>
      <x:c r="C47" s="2"/>
      <x:c r="D47" s="2"/>
      <x:c r="E47" s="2"/>
      <x:c r="F47" s="2"/>
    </x:row>
    <x:row r="48" ht="22" customHeight="1">
      <x:c r="A48" s="2"/>
      <x:c r="B48" s="2"/>
      <x:c r="C48" s="2"/>
      <x:c r="D48" s="2"/>
      <x:c r="E48" s="2"/>
      <x:c r="F48" s="2"/>
    </x:row>
    <x:row r="49" ht="22" customHeight="1">
      <x:c r="A49" s="2"/>
      <x:c r="B49" s="2"/>
      <x:c r="C49" s="2"/>
      <x:c r="D49" s="2"/>
      <x:c r="E49" s="2"/>
      <x:c r="F49" s="2"/>
    </x:row>
    <x:row r="50" ht="22" customHeight="1">
      <x:c r="A50" s="2"/>
      <x:c r="B50" s="2"/>
      <x:c r="C50" s="2"/>
      <x:c r="D50" s="2"/>
      <x:c r="E50" s="2"/>
      <x:c r="F50" s="2"/>
    </x:row>
    <x:row r="51" ht="22" customHeight="1">
      <x:c r="A51" s="2"/>
      <x:c r="B51" s="2"/>
      <x:c r="C51" s="2"/>
      <x:c r="D51" s="2"/>
      <x:c r="E51" s="2"/>
      <x:c r="F51" s="2"/>
    </x:row>
    <x:row r="52" ht="22" customHeight="1">
      <x:c r="A52" s="2"/>
      <x:c r="B52" s="2"/>
      <x:c r="C52" s="2"/>
      <x:c r="D52" s="2"/>
      <x:c r="E52" s="2"/>
      <x:c r="F52" s="2"/>
    </x:row>
    <x:row r="53" ht="22" customHeight="1">
      <x:c r="A53" s="2"/>
      <x:c r="B53" s="2"/>
      <x:c r="C53" s="2"/>
      <x:c r="D53" s="2"/>
      <x:c r="E53" s="2"/>
      <x:c r="F53" s="2"/>
    </x:row>
    <x:row r="54" ht="22" customHeight="1">
      <x:c r="A54" s="2"/>
      <x:c r="B54" s="2"/>
      <x:c r="C54" s="2"/>
      <x:c r="D54" s="2"/>
      <x:c r="E54" s="2"/>
      <x:c r="F54" s="2"/>
    </x:row>
    <x:row r="55" ht="22" customHeight="1">
      <x:c r="A55" s="2"/>
      <x:c r="B55" s="2"/>
      <x:c r="C55" s="2"/>
      <x:c r="D55" s="2"/>
      <x:c r="E55" s="2"/>
      <x:c r="F55" s="2"/>
    </x:row>
    <x:row r="56" ht="22" customHeight="1">
      <x:c r="A56" s="2"/>
      <x:c r="B56" s="2"/>
      <x:c r="C56" s="2"/>
      <x:c r="D56" s="2"/>
      <x:c r="E56" s="2"/>
      <x:c r="F56" s="2"/>
    </x:row>
    <x:row r="57" ht="22" customHeight="1">
      <x:c r="A57" s="2"/>
      <x:c r="B57" s="2"/>
      <x:c r="C57" s="2"/>
      <x:c r="D57" s="2"/>
      <x:c r="E57" s="2"/>
      <x:c r="F57" s="2"/>
    </x:row>
    <x:row r="58" ht="22" customHeight="1">
      <x:c r="A58" s="2"/>
      <x:c r="B58" s="2"/>
      <x:c r="C58" s="2"/>
      <x:c r="D58" s="2"/>
      <x:c r="E58" s="2"/>
      <x:c r="F58" s="2"/>
    </x:row>
    <x:row r="59" ht="22" customHeight="1">
      <x:c r="A59" s="2"/>
      <x:c r="B59" s="2"/>
      <x:c r="C59" s="2"/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</x:sheetData>
  <x:pageMargins left="0.7" right="0.7" top="0.75" bottom="0.75" header="0.3" footer="0.3"/>
</x:worksheet>
</file>