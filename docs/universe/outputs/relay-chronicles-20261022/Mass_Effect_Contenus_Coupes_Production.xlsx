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9b0e607a2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ecb828d88743be"/>
    <x:sheet xmlns:r="http://schemas.openxmlformats.org/officeDocument/2006/relationships" name="Personnages" sheetId="2" r:id="R210e4a66073342ba"/>
    <x:sheet xmlns:r="http://schemas.openxmlformats.org/officeDocument/2006/relationships" name="PNJ" sheetId="3" r:id="Re50a910dc89e424f"/>
    <x:sheet xmlns:r="http://schemas.openxmlformats.org/officeDocument/2006/relationships" name="Especes_factions" sheetId="4" r:id="R78e5d93a8b6142eb"/>
    <x:sheet xmlns:r="http://schemas.openxmlformats.org/officeDocument/2006/relationships" name="Mondes" sheetId="5" r:id="Re9349abbe7af43c7"/>
    <x:sheet xmlns:r="http://schemas.openxmlformats.org/officeDocument/2006/relationships" name="Zones" sheetId="6" r:id="Rb39d9e94f3db4bcc"/>
    <x:sheet xmlns:r="http://schemas.openxmlformats.org/officeDocument/2006/relationships" name="Liaisons" sheetId="7" r:id="R947c15c232584f1f"/>
    <x:sheet xmlns:r="http://schemas.openxmlformats.org/officeDocument/2006/relationships" name="Decors" sheetId="8" r:id="R773b993f27fe47c3"/>
    <x:sheet xmlns:r="http://schemas.openxmlformats.org/officeDocument/2006/relationships" name="Props" sheetId="9" r:id="R6945d7912ba44fb1"/>
    <x:sheet xmlns:r="http://schemas.openxmlformats.org/officeDocument/2006/relationships" name="Ennemis_boss" sheetId="10" r:id="R23d4cbc718074530"/>
    <x:sheet xmlns:r="http://schemas.openxmlformats.org/officeDocument/2006/relationships" name="Missions" sheetId="11" r:id="Ra639157660804154"/>
    <x:sheet xmlns:r="http://schemas.openxmlformats.org/officeDocument/2006/relationships" name="Secondaires_DLC" sheetId="12" r:id="Rf7ccd779f630469d"/>
    <x:sheet xmlns:r="http://schemas.openxmlformats.org/officeDocument/2006/relationships" name="Choix_relations" sheetId="13" r:id="Ra83d62590720476c"/>
    <x:sheet xmlns:r="http://schemas.openxmlformats.org/officeDocument/2006/relationships" name="Dialogues" sheetId="14" r:id="R552229bf2d7740fa"/>
    <x:sheet xmlns:r="http://schemas.openxmlformats.org/officeDocument/2006/relationships" name="Cinematiques" sheetId="15" r:id="R569da60570ca49b7"/>
    <x:sheet xmlns:r="http://schemas.openxmlformats.org/officeDocument/2006/relationships" name="Armes" sheetId="16" r:id="R1c2c6747ddcb49a0"/>
    <x:sheet xmlns:r="http://schemas.openxmlformats.org/officeDocument/2006/relationships" name="Armures_equipement" sheetId="17" r:id="R147584eff7c04aaf"/>
    <x:sheet xmlns:r="http://schemas.openxmlformats.org/officeDocument/2006/relationships" name="Pouvoirs" sheetId="18" r:id="R6648e925312b4d4c"/>
    <x:sheet xmlns:r="http://schemas.openxmlformats.org/officeDocument/2006/relationships" name="Movesets_allies" sheetId="19" r:id="Rce16b53ee4384525"/>
    <x:sheet xmlns:r="http://schemas.openxmlformats.org/officeDocument/2006/relationships" name="Movesets_ennemis" sheetId="20" r:id="R7822baf7f9fd4c78"/>
    <x:sheet xmlns:r="http://schemas.openxmlformats.org/officeDocument/2006/relationships" name="Animations" sheetId="21" r:id="R393ff2866fc84bf7"/>
    <x:sheet xmlns:r="http://schemas.openxmlformats.org/officeDocument/2006/relationships" name="Sprites" sheetId="22" r:id="R7c81b1a8c3fd490c"/>
    <x:sheet xmlns:r="http://schemas.openxmlformats.org/officeDocument/2006/relationships" name="VFX" sheetId="23" r:id="Rdab19cfe2b054745"/>
    <x:sheet xmlns:r="http://schemas.openxmlformats.org/officeDocument/2006/relationships" name="Audio" sheetId="24" r:id="Rc8d8a738010c4268"/>
    <x:sheet xmlns:r="http://schemas.openxmlformats.org/officeDocument/2006/relationships" name="UI_systemes" sheetId="25" r:id="Raea1a54f44434771"/>
    <x:sheet xmlns:r="http://schemas.openxmlformats.org/officeDocument/2006/relationships" name="QA" sheetId="26" r:id="R37e89e5626934735"/>
    <x:sheet xmlns:r="http://schemas.openxmlformats.org/officeDocument/2006/relationships" name="Continuite" sheetId="27" r:id="R84617d5fb74d42bd"/>
    <x:sheet xmlns:r="http://schemas.openxmlformats.org/officeDocument/2006/relationships" name="Guide" sheetId="28" r:id="R871eee95d1e8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2e6dc4e1449ae" /><Relationship Type="http://schemas.openxmlformats.org/officeDocument/2006/relationships/theme" Target="/xl/theme/theme1.xml" Id="R644c8385d4744ff7" /><Relationship Type="http://schemas.openxmlformats.org/officeDocument/2006/relationships/sharedStrings" Target="/xl/sharedStrings.xml" Id="R197b8e37d7b44de6" /><Relationship Type="http://schemas.openxmlformats.org/officeDocument/2006/relationships/worksheet" Target="/xl/worksheets/sheet1.xml" Id="R96ecb828d88743be" /><Relationship Type="http://schemas.openxmlformats.org/officeDocument/2006/relationships/worksheet" Target="/xl/worksheets/sheet2.xml" Id="R210e4a66073342ba" /><Relationship Type="http://schemas.openxmlformats.org/officeDocument/2006/relationships/worksheet" Target="/xl/worksheets/sheet3.xml" Id="Re50a910dc89e424f" /><Relationship Type="http://schemas.openxmlformats.org/officeDocument/2006/relationships/worksheet" Target="/xl/worksheets/sheet4.xml" Id="R78e5d93a8b6142eb" /><Relationship Type="http://schemas.openxmlformats.org/officeDocument/2006/relationships/worksheet" Target="/xl/worksheets/sheet5.xml" Id="Re9349abbe7af43c7" /><Relationship Type="http://schemas.openxmlformats.org/officeDocument/2006/relationships/worksheet" Target="/xl/worksheets/sheet6.xml" Id="Rb39d9e94f3db4bcc" /><Relationship Type="http://schemas.openxmlformats.org/officeDocument/2006/relationships/worksheet" Target="/xl/worksheets/sheet7.xml" Id="R947c15c232584f1f" /><Relationship Type="http://schemas.openxmlformats.org/officeDocument/2006/relationships/worksheet" Target="/xl/worksheets/sheet8.xml" Id="R773b993f27fe47c3" /><Relationship Type="http://schemas.openxmlformats.org/officeDocument/2006/relationships/worksheet" Target="/xl/worksheets/sheet9.xml" Id="R6945d7912ba44fb1" /><Relationship Type="http://schemas.openxmlformats.org/officeDocument/2006/relationships/worksheet" Target="/xl/worksheets/sheet10.xml" Id="R23d4cbc718074530" /><Relationship Type="http://schemas.openxmlformats.org/officeDocument/2006/relationships/worksheet" Target="/xl/worksheets/sheet11.xml" Id="Ra639157660804154" /><Relationship Type="http://schemas.openxmlformats.org/officeDocument/2006/relationships/worksheet" Target="/xl/worksheets/sheet12.xml" Id="Rf7ccd779f630469d" /><Relationship Type="http://schemas.openxmlformats.org/officeDocument/2006/relationships/worksheet" Target="/xl/worksheets/sheet13.xml" Id="Ra83d62590720476c" /><Relationship Type="http://schemas.openxmlformats.org/officeDocument/2006/relationships/worksheet" Target="/xl/worksheets/sheet14.xml" Id="R552229bf2d7740fa" /><Relationship Type="http://schemas.openxmlformats.org/officeDocument/2006/relationships/worksheet" Target="/xl/worksheets/sheet15.xml" Id="R569da60570ca49b7" /><Relationship Type="http://schemas.openxmlformats.org/officeDocument/2006/relationships/worksheet" Target="/xl/worksheets/sheet16.xml" Id="R1c2c6747ddcb49a0" /><Relationship Type="http://schemas.openxmlformats.org/officeDocument/2006/relationships/worksheet" Target="/xl/worksheets/sheet17.xml" Id="R147584eff7c04aaf" /><Relationship Type="http://schemas.openxmlformats.org/officeDocument/2006/relationships/worksheet" Target="/xl/worksheets/sheet18.xml" Id="R6648e925312b4d4c" /><Relationship Type="http://schemas.openxmlformats.org/officeDocument/2006/relationships/worksheet" Target="/xl/worksheets/sheet19.xml" Id="Rce16b53ee4384525" /><Relationship Type="http://schemas.openxmlformats.org/officeDocument/2006/relationships/worksheet" Target="/xl/worksheets/sheet20.xml" Id="R7822baf7f9fd4c78" /><Relationship Type="http://schemas.openxmlformats.org/officeDocument/2006/relationships/worksheet" Target="/xl/worksheets/sheet21.xml" Id="R393ff2866fc84bf7" /><Relationship Type="http://schemas.openxmlformats.org/officeDocument/2006/relationships/worksheet" Target="/xl/worksheets/sheet22.xml" Id="R7c81b1a8c3fd490c" /><Relationship Type="http://schemas.openxmlformats.org/officeDocument/2006/relationships/worksheet" Target="/xl/worksheets/sheet23.xml" Id="Rdab19cfe2b054745" /><Relationship Type="http://schemas.openxmlformats.org/officeDocument/2006/relationships/worksheet" Target="/xl/worksheets/sheet24.xml" Id="Rc8d8a738010c4268" /><Relationship Type="http://schemas.openxmlformats.org/officeDocument/2006/relationships/worksheet" Target="/xl/worksheets/sheet25.xml" Id="Raea1a54f44434771" /><Relationship Type="http://schemas.openxmlformats.org/officeDocument/2006/relationships/worksheet" Target="/xl/worksheets/sheet26.xml" Id="R37e89e5626934735" /><Relationship Type="http://schemas.openxmlformats.org/officeDocument/2006/relationships/worksheet" Target="/xl/worksheets/sheet27.xml" Id="R84617d5fb74d42bd" /><Relationship Type="http://schemas.openxmlformats.org/officeDocument/2006/relationships/worksheet" Target="/xl/worksheets/sheet28.xml" Id="R871eee95d1e84fb4" /></Relationships>
</file>

<file path=xl/tables/table1.xml><?xml version="1.0" encoding="utf-8"?>
<x:table xmlns:x="http://schemas.openxmlformats.org/spreadsheetml/2006/main" id="1" name="CUT_characters" displayName="CUT_character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T_npcs" displayName="CUT_npc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T_lore" displayName="CUT_lore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T_worlds" displayName="CUT_world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T_zones" displayName="CUT_zon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T_links" displayName="CUT_link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UT_scenery" displayName="CUT_scenery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T_props" displayName="CUT_prop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UT_enemies" displayName="CUT_enemi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T_main_quests" displayName="CUT_main_quest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UT_side_quests" displayName="CUT_side_quest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UT_choices" displayName="CUT_choic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UT_dialogues" displayName="CUT_dialogu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UT_cinematics" displayName="CUT_cinemati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UT_weapons" displayName="CUT_weapon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UT_equipment" displayName="CUT_equipment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UT_powers" displayName="CUT_power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UT_ally_moves" displayName="CUT_ally_mov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UT_enemy_moves" displayName="CUT_enemy_mov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UT_animations" displayName="CUT_animation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UT_sprites" displayName="CUT_sprites" ref="A6:S18" headerRowCount="1" totalsRowCount="0" totalsRowShown="0">
  <x:autoFilter ref="A6:S1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UT_vfx" displayName="CUT_vfx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UT_audio" displayName="CUT_audio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CUT_systems" displayName="CUT_system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UT_qa" displayName="CUT_qa" ref="A6:S42" headerRowCount="1" totalsRowCount="0" totalsRowShown="0">
  <x:autoFilter ref="A6:S4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CUT_continuity" displayName="CUT_continuity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e08d71d04340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eee632ea5c4d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7d6958546a49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6b61924bac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1da3ea2e304a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9f4bc60f9045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6603910ca443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a4b6e37bf64d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c92cf3bad24a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e4b3a0e1f042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55024ad2ae144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3dd1ac3fc224d1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876b661e32043e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aef69bb440a473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27dd449891c4f5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c9d91fbd8fa4e2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7e37751ad4f40a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007070c0ca94d1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120eacb5aa4e486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709b0d5b8810468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b4f7c8fab024cb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2c254b8ff6a948b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66529d95a50d406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4d77ad0136b348d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be11d9ea1e85420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f504e136d8de4519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 : contenus coupés et concepts abandonnés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124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25</x:v>
      </x:c>
      <x:c r="I5" s="2"/>
      <x:c r="J5" s="2" t="str">
        <x:v>Extrapolations</x:v>
      </x:c>
      <x:c r="K5" s="33" t="n">
        <x:f>SUM(I10:I35)</x:f>
        <x:v>91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30" t="str">
        <x:v>Domaine</x:v>
      </x:c>
      <x:c r="B9" s="31" t="str">
        <x:v>Total</x:v>
      </x:c>
      <x:c r="C9" s="31" t="str">
        <x:v>Défini</x:v>
      </x:c>
      <x:c r="D9" s="31" t="str">
        <x:v>Prototype</x:v>
      </x:c>
      <x:c r="E9" s="31" t="str">
        <x:v>Intégré</x:v>
      </x:c>
      <x:c r="F9" s="31" t="str">
        <x:v>Validé</x:v>
      </x:c>
      <x:c r="G9" s="31" t="str">
        <x:v>Établi</x:v>
      </x:c>
      <x:c r="H9" s="31" t="str">
        <x:v>À vérifier</x:v>
      </x:c>
      <x:c r="I9" s="31" t="str">
        <x:v>Extrapolation</x:v>
      </x:c>
      <x:c r="J9" s="31" t="str">
        <x:v>Coupé attesté</x:v>
      </x:c>
      <x:c r="K9" s="31" t="str">
        <x:v>Concept abandonné</x:v>
      </x:c>
      <x:c r="L9" s="31" t="str">
        <x:v>Allégation écartée</x:v>
      </x:c>
      <x:c r="M9" s="32" t="str">
        <x:v>Priorité P0</x:v>
      </x:c>
    </x:row>
    <x:row r="10" ht="22" customHeight="1">
      <x:c r="A10" s="35" t="str">
        <x:v>Personnages</x:v>
      </x:c>
      <x:c r="B10" s="39" t="n">
        <x:f>COUNTA('Personnages'!$A$7:$A$10)</x:f>
        <x:v>4</x:v>
      </x:c>
      <x:c r="C10" s="39" t="n">
        <x:f>COUNTIFS('Personnages'!$C$7:$C$10,"Défini")</x:f>
        <x:v>4</x:v>
      </x:c>
      <x:c r="D10" s="39" t="n">
        <x:f>COUNTIFS('Personnages'!$C$7:$C$10,"Prototype")</x:f>
        <x:v>0</x:v>
      </x:c>
      <x:c r="E10" s="39" t="n">
        <x:f>COUNTIFS('Personnages'!$C$7:$C$10,"Intégré")</x:f>
        <x:v>0</x:v>
      </x:c>
      <x:c r="F10" s="39" t="n">
        <x:f>COUNTIFS('Personnages'!$C$7:$C$10,"Validé")</x:f>
        <x:v>0</x:v>
      </x:c>
      <x:c r="G10" s="39" t="n">
        <x:f>COUNTIFS('Personnages'!$D$7:$D$10,"Établi")</x:f>
        <x:v>0</x:v>
      </x:c>
      <x:c r="H10" s="39" t="n">
        <x:f>COUNTIFS('Personnages'!$D$7:$D$10,"À vérifier")</x:f>
        <x:v>2</x:v>
      </x:c>
      <x:c r="I10" s="39" t="n">
        <x:f>COUNTIFS('Personnages'!$D$7:$D$10,"Extrapolation")</x:f>
        <x:v>2</x:v>
      </x:c>
      <x:c r="J10" s="39" t="n">
        <x:f>COUNTIFS('Personnages'!$D$7:$D$10,"Coupé attesté")</x:f>
        <x:v>0</x:v>
      </x:c>
      <x:c r="K10" s="39" t="n">
        <x:f>COUNTIFS('Personnages'!$D$7:$D$10,"Concept abandonné")</x:f>
        <x:v>0</x:v>
      </x:c>
      <x:c r="L10" s="39" t="n">
        <x:f>COUNTIFS('Personnages'!$D$7:$D$10,"Allégation écartée")</x:f>
        <x:v>0</x:v>
      </x:c>
      <x:c r="M10" s="39" t="n">
        <x:f>COUNTIFS('Personnages'!$E$7:$E$10,"P0")</x:f>
        <x:v>1</x:v>
      </x:c>
    </x:row>
    <x:row r="11" ht="22" customHeight="1">
      <x:c r="A11" s="2" t="str">
        <x:v>PNJ</x:v>
      </x:c>
      <x:c r="B11" s="40" t="n">
        <x:f>COUNTA('PNJ'!$A$7:$A$8)</x:f>
        <x:v>2</x:v>
      </x:c>
      <x:c r="C11" s="40" t="n">
        <x:f>COUNTIFS('PNJ'!$C$7:$C$8,"Défini")</x:f>
        <x:v>2</x:v>
      </x:c>
      <x:c r="D11" s="40" t="n">
        <x:f>COUNTIFS('PNJ'!$C$7:$C$8,"Prototype")</x:f>
        <x:v>0</x:v>
      </x:c>
      <x:c r="E11" s="40" t="n">
        <x:f>COUNTIFS('PNJ'!$C$7:$C$8,"Intégré")</x:f>
        <x:v>0</x:v>
      </x:c>
      <x:c r="F11" s="40" t="n">
        <x:f>COUNTIFS('PNJ'!$C$7:$C$8,"Validé")</x:f>
        <x:v>0</x:v>
      </x:c>
      <x:c r="G11" s="40" t="n">
        <x:f>COUNTIFS('PNJ'!$D$7:$D$8,"Établi")</x:f>
        <x:v>0</x:v>
      </x:c>
      <x:c r="H11" s="40" t="n">
        <x:f>COUNTIFS('PNJ'!$D$7:$D$8,"À vérifier")</x:f>
        <x:v>0</x:v>
      </x:c>
      <x:c r="I11" s="40" t="n">
        <x:f>COUNTIFS('PNJ'!$D$7:$D$8,"Extrapolation")</x:f>
        <x:v>2</x:v>
      </x:c>
      <x:c r="J11" s="40" t="n">
        <x:f>COUNTIFS('PNJ'!$D$7:$D$8,"Coupé attesté")</x:f>
        <x:v>0</x:v>
      </x:c>
      <x:c r="K11" s="40" t="n">
        <x:f>COUNTIFS('PNJ'!$D$7:$D$8,"Concept abandonné")</x:f>
        <x:v>0</x:v>
      </x:c>
      <x:c r="L11" s="40" t="n">
        <x:f>COUNTIFS('PNJ'!$D$7:$D$8,"Allégation écartée")</x:f>
        <x:v>0</x:v>
      </x:c>
      <x:c r="M11" s="40" t="n">
        <x:f>COUNTIFS('PNJ'!$E$7:$E$8,"P0")</x:f>
        <x:v>0</x:v>
      </x:c>
    </x:row>
    <x:row r="12" ht="22" customHeight="1">
      <x:c r="A12" s="35" t="str">
        <x:v>Espèces et factions</x:v>
      </x:c>
      <x:c r="B12" s="39" t="n">
        <x:f>COUNTA('Especes_factions'!$A$7:$A$7)</x:f>
        <x:v>1</x:v>
      </x:c>
      <x:c r="C12" s="39" t="n">
        <x:f>COUNTIFS('Especes_factions'!$C$7:$C$7,"Défini")</x:f>
        <x:v>1</x:v>
      </x:c>
      <x:c r="D12" s="39" t="n">
        <x:f>COUNTIFS('Especes_factions'!$C$7:$C$7,"Prototype")</x:f>
        <x:v>0</x:v>
      </x:c>
      <x:c r="E12" s="39" t="n">
        <x:f>COUNTIFS('Especes_factions'!$C$7:$C$7,"Intégré")</x:f>
        <x:v>0</x:v>
      </x:c>
      <x:c r="F12" s="39" t="n">
        <x:f>COUNTIFS('Especes_factions'!$C$7:$C$7,"Validé")</x:f>
        <x:v>0</x:v>
      </x:c>
      <x:c r="G12" s="39" t="n">
        <x:f>COUNTIFS('Especes_factions'!$D$7:$D$7,"Établi")</x:f>
        <x:v>0</x:v>
      </x:c>
      <x:c r="H12" s="39" t="n">
        <x:f>COUNTIFS('Especes_factions'!$D$7:$D$7,"À vérifier")</x:f>
        <x:v>0</x:v>
      </x:c>
      <x:c r="I12" s="39" t="n">
        <x:f>COUNTIFS('Especes_factions'!$D$7:$D$7,"Extrapolation")</x:f>
        <x:v>0</x:v>
      </x:c>
      <x:c r="J12" s="39" t="n">
        <x:f>COUNTIFS('Especes_factions'!$D$7:$D$7,"Coupé attesté")</x:f>
        <x:v>0</x:v>
      </x:c>
      <x:c r="K12" s="39" t="n">
        <x:f>COUNTIFS('Especes_factions'!$D$7:$D$7,"Concept abandonné")</x:f>
        <x:v>1</x:v>
      </x:c>
      <x:c r="L12" s="39" t="n">
        <x:f>COUNTIFS('Especes_factions'!$D$7:$D$7,"Allégation écartée")</x:f>
        <x:v>0</x:v>
      </x:c>
      <x:c r="M12" s="39" t="n">
        <x:f>COUNTIFS('Especes_factions'!$E$7:$E$7,"P0")</x:f>
        <x:v>1</x:v>
      </x:c>
    </x:row>
    <x:row r="13" ht="22" customHeight="1">
      <x:c r="A13" s="2" t="str">
        <x:v>Mondes</x:v>
      </x:c>
      <x:c r="B13" s="40" t="n">
        <x:f>COUNTA('Mondes'!$A$7:$A$8)</x:f>
        <x:v>2</x:v>
      </x:c>
      <x:c r="C13" s="40" t="n">
        <x:f>COUNTIFS('Mondes'!$C$7:$C$8,"Défini")</x:f>
        <x:v>2</x:v>
      </x:c>
      <x:c r="D13" s="40" t="n">
        <x:f>COUNTIFS('Mondes'!$C$7:$C$8,"Prototype")</x:f>
        <x:v>0</x:v>
      </x:c>
      <x:c r="E13" s="40" t="n">
        <x:f>COUNTIFS('Mondes'!$C$7:$C$8,"Intégré")</x:f>
        <x:v>0</x:v>
      </x:c>
      <x:c r="F13" s="40" t="n">
        <x:f>COUNTIFS('Mondes'!$C$7:$C$8,"Validé")</x:f>
        <x:v>0</x:v>
      </x:c>
      <x:c r="G13" s="40" t="n">
        <x:f>COUNTIFS('Mondes'!$D$7:$D$8,"Établi")</x:f>
        <x:v>0</x:v>
      </x:c>
      <x:c r="H13" s="40" t="n">
        <x:f>COUNTIFS('Mondes'!$D$7:$D$8,"À vérifier")</x:f>
        <x:v>2</x:v>
      </x:c>
      <x:c r="I13" s="40" t="n">
        <x:f>COUNTIFS('Mondes'!$D$7:$D$8,"Extrapolation")</x:f>
        <x:v>0</x:v>
      </x:c>
      <x:c r="J13" s="40" t="n">
        <x:f>COUNTIFS('Mondes'!$D$7:$D$8,"Coupé attesté")</x:f>
        <x:v>0</x:v>
      </x:c>
      <x:c r="K13" s="40" t="n">
        <x:f>COUNTIFS('Mondes'!$D$7:$D$8,"Concept abandonné")</x:f>
        <x:v>0</x:v>
      </x:c>
      <x:c r="L13" s="40" t="n">
        <x:f>COUNTIFS('Mondes'!$D$7:$D$8,"Allégation écartée")</x:f>
        <x:v>0</x:v>
      </x:c>
      <x:c r="M13" s="40" t="n">
        <x:f>COUNTIFS('Mondes'!$E$7:$E$8,"P0")</x:f>
        <x:v>1</x:v>
      </x:c>
    </x:row>
    <x:row r="14" ht="22" customHeight="1">
      <x:c r="A14" s="35" t="str">
        <x:v>Zones</x:v>
      </x:c>
      <x:c r="B14" s="39" t="n">
        <x:f>COUNTA('Zones'!$A$7:$A$10)</x:f>
        <x:v>4</x:v>
      </x:c>
      <x:c r="C14" s="39" t="n">
        <x:f>COUNTIFS('Zones'!$C$7:$C$10,"Défini")</x:f>
        <x:v>4</x:v>
      </x:c>
      <x:c r="D14" s="39" t="n">
        <x:f>COUNTIFS('Zones'!$C$7:$C$10,"Prototype")</x:f>
        <x:v>0</x:v>
      </x:c>
      <x:c r="E14" s="39" t="n">
        <x:f>COUNTIFS('Zones'!$C$7:$C$10,"Intégré")</x:f>
        <x:v>0</x:v>
      </x:c>
      <x:c r="F14" s="39" t="n">
        <x:f>COUNTIFS('Zones'!$C$7:$C$10,"Validé")</x:f>
        <x:v>0</x:v>
      </x:c>
      <x:c r="G14" s="39" t="n">
        <x:f>COUNTIFS('Zones'!$D$7:$D$10,"Établi")</x:f>
        <x:v>0</x:v>
      </x:c>
      <x:c r="H14" s="39" t="n">
        <x:f>COUNTIFS('Zones'!$D$7:$D$10,"À vérifier")</x:f>
        <x:v>0</x:v>
      </x:c>
      <x:c r="I14" s="39" t="n">
        <x:f>COUNTIFS('Zones'!$D$7:$D$10,"Extrapolation")</x:f>
        <x:v>4</x:v>
      </x:c>
      <x:c r="J14" s="39" t="n">
        <x:f>COUNTIFS('Zones'!$D$7:$D$10,"Coupé attesté")</x:f>
        <x:v>0</x:v>
      </x:c>
      <x:c r="K14" s="39" t="n">
        <x:f>COUNTIFS('Zones'!$D$7:$D$10,"Concept abandonné")</x:f>
        <x:v>0</x:v>
      </x:c>
      <x:c r="L14" s="39" t="n">
        <x:f>COUNTIFS('Zones'!$D$7:$D$10,"Allégation écartée")</x:f>
        <x:v>0</x:v>
      </x:c>
      <x:c r="M14" s="39" t="n">
        <x:f>COUNTIFS('Zones'!$E$7:$E$10,"P0")</x:f>
        <x:v>0</x:v>
      </x:c>
    </x:row>
    <x:row r="15" ht="22" customHeight="1">
      <x:c r="A15" s="2" t="str">
        <x:v>Liaisons</x:v>
      </x:c>
      <x:c r="B15" s="40" t="n">
        <x:f>COUNTA('Liaisons'!$A$7:$A$9)</x:f>
        <x:v>3</x:v>
      </x:c>
      <x:c r="C15" s="40" t="n">
        <x:f>COUNTIFS('Liaisons'!$C$7:$C$9,"Défini")</x:f>
        <x:v>3</x:v>
      </x:c>
      <x:c r="D15" s="40" t="n">
        <x:f>COUNTIFS('Liaisons'!$C$7:$C$9,"Prototype")</x:f>
        <x:v>0</x:v>
      </x:c>
      <x:c r="E15" s="40" t="n">
        <x:f>COUNTIFS('Liaisons'!$C$7:$C$9,"Intégré")</x:f>
        <x:v>0</x:v>
      </x:c>
      <x:c r="F15" s="40" t="n">
        <x:f>COUNTIFS('Liaisons'!$C$7:$C$9,"Validé")</x:f>
        <x:v>0</x:v>
      </x:c>
      <x:c r="G15" s="40" t="n">
        <x:f>COUNTIFS('Liaisons'!$D$7:$D$9,"Établi")</x:f>
        <x:v>0</x:v>
      </x:c>
      <x:c r="H15" s="40" t="n">
        <x:f>COUNTIFS('Liaisons'!$D$7:$D$9,"À vérifier")</x:f>
        <x:v>0</x:v>
      </x:c>
      <x:c r="I15" s="40" t="n">
        <x:f>COUNTIFS('Liaisons'!$D$7:$D$9,"Extrapolation")</x:f>
        <x:v>3</x:v>
      </x:c>
      <x:c r="J15" s="40" t="n">
        <x:f>COUNTIFS('Liaisons'!$D$7:$D$9,"Coupé attesté")</x:f>
        <x:v>0</x:v>
      </x:c>
      <x:c r="K15" s="40" t="n">
        <x:f>COUNTIFS('Liaisons'!$D$7:$D$9,"Concept abandonné")</x:f>
        <x:v>0</x:v>
      </x:c>
      <x:c r="L15" s="40" t="n">
        <x:f>COUNTIFS('Liaisons'!$D$7:$D$9,"Allégation écartée")</x:f>
        <x:v>0</x:v>
      </x:c>
      <x:c r="M15" s="40" t="n">
        <x:f>COUNTIFS('Liaisons'!$E$7:$E$9,"P0")</x:f>
        <x:v>0</x:v>
      </x:c>
    </x:row>
    <x:row r="16" ht="22" customHeight="1">
      <x:c r="A16" s="35" t="str">
        <x:v>Décors</x:v>
      </x:c>
      <x:c r="B16" s="39" t="n">
        <x:f>COUNTA('Decors'!$A$7:$A$9)</x:f>
        <x:v>3</x:v>
      </x:c>
      <x:c r="C16" s="39" t="n">
        <x:f>COUNTIFS('Decors'!$C$7:$C$9,"Défini")</x:f>
        <x:v>3</x:v>
      </x:c>
      <x:c r="D16" s="39" t="n">
        <x:f>COUNTIFS('Decors'!$C$7:$C$9,"Prototype")</x:f>
        <x:v>0</x:v>
      </x:c>
      <x:c r="E16" s="39" t="n">
        <x:f>COUNTIFS('Decors'!$C$7:$C$9,"Intégré")</x:f>
        <x:v>0</x:v>
      </x:c>
      <x:c r="F16" s="39" t="n">
        <x:f>COUNTIFS('Decors'!$C$7:$C$9,"Validé")</x:f>
        <x:v>0</x:v>
      </x:c>
      <x:c r="G16" s="39" t="n">
        <x:f>COUNTIFS('Decors'!$D$7:$D$9,"Établi")</x:f>
        <x:v>0</x:v>
      </x:c>
      <x:c r="H16" s="39" t="n">
        <x:f>COUNTIFS('Decors'!$D$7:$D$9,"À vérifier")</x:f>
        <x:v>0</x:v>
      </x:c>
      <x:c r="I16" s="39" t="n">
        <x:f>COUNTIFS('Decors'!$D$7:$D$9,"Extrapolation")</x:f>
        <x:v>3</x:v>
      </x:c>
      <x:c r="J16" s="39" t="n">
        <x:f>COUNTIFS('Decors'!$D$7:$D$9,"Coupé attesté")</x:f>
        <x:v>0</x:v>
      </x:c>
      <x:c r="K16" s="39" t="n">
        <x:f>COUNTIFS('Decors'!$D$7:$D$9,"Concept abandonné")</x:f>
        <x:v>0</x:v>
      </x:c>
      <x:c r="L16" s="39" t="n">
        <x:f>COUNTIFS('Decors'!$D$7:$D$9,"Allégation écartée")</x:f>
        <x:v>0</x:v>
      </x:c>
      <x:c r="M16" s="39" t="n">
        <x:f>COUNTIFS('Decors'!$E$7:$E$9,"P0")</x:f>
        <x:v>0</x:v>
      </x:c>
    </x:row>
    <x:row r="17" ht="22" customHeight="1">
      <x:c r="A17" s="2" t="str">
        <x:v>Props</x:v>
      </x:c>
      <x:c r="B17" s="40" t="n">
        <x:f>COUNTA('Props'!$A$7:$A$9)</x:f>
        <x:v>3</x:v>
      </x:c>
      <x:c r="C17" s="40" t="n">
        <x:f>COUNTIFS('Props'!$C$7:$C$9,"Défini")</x:f>
        <x:v>3</x:v>
      </x:c>
      <x:c r="D17" s="40" t="n">
        <x:f>COUNTIFS('Props'!$C$7:$C$9,"Prototype")</x:f>
        <x:v>0</x:v>
      </x:c>
      <x:c r="E17" s="40" t="n">
        <x:f>COUNTIFS('Props'!$C$7:$C$9,"Intégré")</x:f>
        <x:v>0</x:v>
      </x:c>
      <x:c r="F17" s="40" t="n">
        <x:f>COUNTIFS('Props'!$C$7:$C$9,"Validé")</x:f>
        <x:v>0</x:v>
      </x:c>
      <x:c r="G17" s="40" t="n">
        <x:f>COUNTIFS('Props'!$D$7:$D$9,"Établi")</x:f>
        <x:v>0</x:v>
      </x:c>
      <x:c r="H17" s="40" t="n">
        <x:f>COUNTIFS('Props'!$D$7:$D$9,"À vérifier")</x:f>
        <x:v>1</x:v>
      </x:c>
      <x:c r="I17" s="40" t="n">
        <x:f>COUNTIFS('Props'!$D$7:$D$9,"Extrapolation")</x:f>
        <x:v>2</x:v>
      </x:c>
      <x:c r="J17" s="40" t="n">
        <x:f>COUNTIFS('Props'!$D$7:$D$9,"Coupé attesté")</x:f>
        <x:v>0</x:v>
      </x:c>
      <x:c r="K17" s="40" t="n">
        <x:f>COUNTIFS('Props'!$D$7:$D$9,"Concept abandonné")</x:f>
        <x:v>0</x:v>
      </x:c>
      <x:c r="L17" s="40" t="n">
        <x:f>COUNTIFS('Props'!$D$7:$D$9,"Allégation écartée")</x:f>
        <x:v>0</x:v>
      </x:c>
      <x:c r="M17" s="40" t="n">
        <x:f>COUNTIFS('Props'!$E$7:$E$9,"P0")</x:f>
        <x:v>0</x:v>
      </x:c>
    </x:row>
    <x:row r="18" ht="22" customHeight="1">
      <x:c r="A18" s="35" t="str">
        <x:v>Ennemis et boss</x:v>
      </x:c>
      <x:c r="B18" s="39" t="n">
        <x:f>COUNTA('Ennemis_boss'!$A$7:$A$8)</x:f>
        <x:v>2</x:v>
      </x:c>
      <x:c r="C18" s="39" t="n">
        <x:f>COUNTIFS('Ennemis_boss'!$C$7:$C$8,"Défini")</x:f>
        <x:v>2</x:v>
      </x:c>
      <x:c r="D18" s="39" t="n">
        <x:f>COUNTIFS('Ennemis_boss'!$C$7:$C$8,"Prototype")</x:f>
        <x:v>0</x:v>
      </x:c>
      <x:c r="E18" s="39" t="n">
        <x:f>COUNTIFS('Ennemis_boss'!$C$7:$C$8,"Intégré")</x:f>
        <x:v>0</x:v>
      </x:c>
      <x:c r="F18" s="39" t="n">
        <x:f>COUNTIFS('Ennemis_boss'!$C$7:$C$8,"Validé")</x:f>
        <x:v>0</x:v>
      </x:c>
      <x:c r="G18" s="39" t="n">
        <x:f>COUNTIFS('Ennemis_boss'!$D$7:$D$8,"Établi")</x:f>
        <x:v>0</x:v>
      </x:c>
      <x:c r="H18" s="39" t="n">
        <x:f>COUNTIFS('Ennemis_boss'!$D$7:$D$8,"À vérifier")</x:f>
        <x:v>1</x:v>
      </x:c>
      <x:c r="I18" s="39" t="n">
        <x:f>COUNTIFS('Ennemis_boss'!$D$7:$D$8,"Extrapolation")</x:f>
        <x:v>0</x:v>
      </x:c>
      <x:c r="J18" s="39" t="n">
        <x:f>COUNTIFS('Ennemis_boss'!$D$7:$D$8,"Coupé attesté")</x:f>
        <x:v>0</x:v>
      </x:c>
      <x:c r="K18" s="39" t="n">
        <x:f>COUNTIFS('Ennemis_boss'!$D$7:$D$8,"Concept abandonné")</x:f>
        <x:v>1</x:v>
      </x:c>
      <x:c r="L18" s="39" t="n">
        <x:f>COUNTIFS('Ennemis_boss'!$D$7:$D$8,"Allégation écartée")</x:f>
        <x:v>0</x:v>
      </x:c>
      <x:c r="M18" s="39" t="n">
        <x:f>COUNTIFS('Ennemis_boss'!$E$7:$E$8,"P0")</x:f>
        <x:v>1</x:v>
      </x:c>
    </x:row>
    <x:row r="19" ht="22" customHeight="1">
      <x:c r="A19" s="2" t="str">
        <x:v>Missions</x:v>
      </x:c>
      <x:c r="B19" s="40" t="n">
        <x:f>COUNTA('Missions'!$A$7:$A$10)</x:f>
        <x:v>4</x:v>
      </x:c>
      <x:c r="C19" s="40" t="n">
        <x:f>COUNTIFS('Missions'!$C$7:$C$10,"Défini")</x:f>
        <x:v>4</x:v>
      </x:c>
      <x:c r="D19" s="40" t="n">
        <x:f>COUNTIFS('Missions'!$C$7:$C$10,"Prototype")</x:f>
        <x:v>0</x:v>
      </x:c>
      <x:c r="E19" s="40" t="n">
        <x:f>COUNTIFS('Missions'!$C$7:$C$10,"Intégré")</x:f>
        <x:v>0</x:v>
      </x:c>
      <x:c r="F19" s="40" t="n">
        <x:f>COUNTIFS('Missions'!$C$7:$C$10,"Validé")</x:f>
        <x:v>0</x:v>
      </x:c>
      <x:c r="G19" s="40" t="n">
        <x:f>COUNTIFS('Missions'!$D$7:$D$10,"Établi")</x:f>
        <x:v>0</x:v>
      </x:c>
      <x:c r="H19" s="40" t="n">
        <x:f>COUNTIFS('Missions'!$D$7:$D$10,"À vérifier")</x:f>
        <x:v>4</x:v>
      </x:c>
      <x:c r="I19" s="40" t="n">
        <x:f>COUNTIFS('Missions'!$D$7:$D$10,"Extrapolation")</x:f>
        <x:v>0</x:v>
      </x:c>
      <x:c r="J19" s="40" t="n">
        <x:f>COUNTIFS('Missions'!$D$7:$D$10,"Coupé attesté")</x:f>
        <x:v>0</x:v>
      </x:c>
      <x:c r="K19" s="40" t="n">
        <x:f>COUNTIFS('Missions'!$D$7:$D$10,"Concept abandonné")</x:f>
        <x:v>0</x:v>
      </x:c>
      <x:c r="L19" s="40" t="n">
        <x:f>COUNTIFS('Missions'!$D$7:$D$10,"Allégation écartée")</x:f>
        <x:v>0</x:v>
      </x:c>
      <x:c r="M19" s="40" t="n">
        <x:f>COUNTIFS('Missions'!$E$7:$E$10,"P0")</x:f>
        <x:v>0</x:v>
      </x:c>
    </x:row>
    <x:row r="20" ht="22" customHeight="1">
      <x:c r="A20" s="35" t="str">
        <x:v>Secondaires et DLC</x:v>
      </x:c>
      <x:c r="B20" s="39" t="n">
        <x:f>COUNTA('Secondaires_DLC'!$A$7:$A$13)</x:f>
        <x:v>7</x:v>
      </x:c>
      <x:c r="C20" s="39" t="n">
        <x:f>COUNTIFS('Secondaires_DLC'!$C$7:$C$13,"Défini")</x:f>
        <x:v>7</x:v>
      </x:c>
      <x:c r="D20" s="39" t="n">
        <x:f>COUNTIFS('Secondaires_DLC'!$C$7:$C$13,"Prototype")</x:f>
        <x:v>0</x:v>
      </x:c>
      <x:c r="E20" s="39" t="n">
        <x:f>COUNTIFS('Secondaires_DLC'!$C$7:$C$13,"Intégré")</x:f>
        <x:v>0</x:v>
      </x:c>
      <x:c r="F20" s="39" t="n">
        <x:f>COUNTIFS('Secondaires_DLC'!$C$7:$C$13,"Validé")</x:f>
        <x:v>0</x:v>
      </x:c>
      <x:c r="G20" s="39" t="n">
        <x:f>COUNTIFS('Secondaires_DLC'!$D$7:$D$13,"Établi")</x:f>
        <x:v>0</x:v>
      </x:c>
      <x:c r="H20" s="39" t="n">
        <x:f>COUNTIFS('Secondaires_DLC'!$D$7:$D$13,"À vérifier")</x:f>
        <x:v>7</x:v>
      </x:c>
      <x:c r="I20" s="39" t="n">
        <x:f>COUNTIFS('Secondaires_DLC'!$D$7:$D$13,"Extrapolation")</x:f>
        <x:v>0</x:v>
      </x:c>
      <x:c r="J20" s="39" t="n">
        <x:f>COUNTIFS('Secondaires_DLC'!$D$7:$D$13,"Coupé attesté")</x:f>
        <x:v>0</x:v>
      </x:c>
      <x:c r="K20" s="39" t="n">
        <x:f>COUNTIFS('Secondaires_DLC'!$D$7:$D$13,"Concept abandonné")</x:f>
        <x:v>0</x:v>
      </x:c>
      <x:c r="L20" s="39" t="n">
        <x:f>COUNTIFS('Secondaires_DLC'!$D$7:$D$13,"Allégation écartée")</x:f>
        <x:v>0</x:v>
      </x:c>
      <x:c r="M20" s="39" t="n">
        <x:f>COUNTIFS('Secondaires_DLC'!$E$7:$E$13,"P0")</x:f>
        <x:v>0</x:v>
      </x:c>
    </x:row>
    <x:row r="21" ht="22" customHeight="1">
      <x:c r="A21" s="2" t="str">
        <x:v>Choix et relations</x:v>
      </x:c>
      <x:c r="B21" s="40" t="n">
        <x:f>COUNTA('Choix_relations'!$A$7:$A$8)</x:f>
        <x:v>2</x:v>
      </x:c>
      <x:c r="C21" s="40" t="n">
        <x:f>COUNTIFS('Choix_relations'!$C$7:$C$8,"Défini")</x:f>
        <x:v>2</x:v>
      </x:c>
      <x:c r="D21" s="40" t="n">
        <x:f>COUNTIFS('Choix_relations'!$C$7:$C$8,"Prototype")</x:f>
        <x:v>0</x:v>
      </x:c>
      <x:c r="E21" s="40" t="n">
        <x:f>COUNTIFS('Choix_relations'!$C$7:$C$8,"Intégré")</x:f>
        <x:v>0</x:v>
      </x:c>
      <x:c r="F21" s="40" t="n">
        <x:f>COUNTIFS('Choix_relations'!$C$7:$C$8,"Validé")</x:f>
        <x:v>0</x:v>
      </x:c>
      <x:c r="G21" s="40" t="n">
        <x:f>COUNTIFS('Choix_relations'!$D$7:$D$8,"Établi")</x:f>
        <x:v>0</x:v>
      </x:c>
      <x:c r="H21" s="40" t="n">
        <x:f>COUNTIFS('Choix_relations'!$D$7:$D$8,"À vérifier")</x:f>
        <x:v>1</x:v>
      </x:c>
      <x:c r="I21" s="40" t="n">
        <x:f>COUNTIFS('Choix_relations'!$D$7:$D$8,"Extrapolation")</x:f>
        <x:v>0</x:v>
      </x:c>
      <x:c r="J21" s="40" t="n">
        <x:f>COUNTIFS('Choix_relations'!$D$7:$D$8,"Coupé attesté")</x:f>
        <x:v>0</x:v>
      </x:c>
      <x:c r="K21" s="40" t="n">
        <x:f>COUNTIFS('Choix_relations'!$D$7:$D$8,"Concept abandonné")</x:f>
        <x:v>1</x:v>
      </x:c>
      <x:c r="L21" s="40" t="n">
        <x:f>COUNTIFS('Choix_relations'!$D$7:$D$8,"Allégation écartée")</x:f>
        <x:v>0</x:v>
      </x:c>
      <x:c r="M21" s="40" t="n">
        <x:f>COUNTIFS('Choix_relations'!$E$7:$E$8,"P0")</x:f>
        <x:v>0</x:v>
      </x:c>
    </x:row>
    <x:row r="22" ht="22" customHeight="1">
      <x:c r="A22" s="35" t="str">
        <x:v>Dialogues</x:v>
      </x:c>
      <x:c r="B22" s="39" t="n">
        <x:f>COUNTA('Dialogues'!$A$7:$A$9)</x:f>
        <x:v>3</x:v>
      </x:c>
      <x:c r="C22" s="39" t="n">
        <x:f>COUNTIFS('Dialogues'!$C$7:$C$9,"Défini")</x:f>
        <x:v>3</x:v>
      </x:c>
      <x:c r="D22" s="39" t="n">
        <x:f>COUNTIFS('Dialogues'!$C$7:$C$9,"Prototype")</x:f>
        <x:v>0</x:v>
      </x:c>
      <x:c r="E22" s="39" t="n">
        <x:f>COUNTIFS('Dialogues'!$C$7:$C$9,"Intégré")</x:f>
        <x:v>0</x:v>
      </x:c>
      <x:c r="F22" s="39" t="n">
        <x:f>COUNTIFS('Dialogues'!$C$7:$C$9,"Validé")</x:f>
        <x:v>0</x:v>
      </x:c>
      <x:c r="G22" s="39" t="n">
        <x:f>COUNTIFS('Dialogues'!$D$7:$D$9,"Établi")</x:f>
        <x:v>0</x:v>
      </x:c>
      <x:c r="H22" s="39" t="n">
        <x:f>COUNTIFS('Dialogues'!$D$7:$D$9,"À vérifier")</x:f>
        <x:v>1</x:v>
      </x:c>
      <x:c r="I22" s="39" t="n">
        <x:f>COUNTIFS('Dialogues'!$D$7:$D$9,"Extrapolation")</x:f>
        <x:v>2</x:v>
      </x:c>
      <x:c r="J22" s="39" t="n">
        <x:f>COUNTIFS('Dialogues'!$D$7:$D$9,"Coupé attesté")</x:f>
        <x:v>0</x:v>
      </x:c>
      <x:c r="K22" s="39" t="n">
        <x:f>COUNTIFS('Dialogues'!$D$7:$D$9,"Concept abandonné")</x:f>
        <x:v>0</x:v>
      </x:c>
      <x:c r="L22" s="39" t="n">
        <x:f>COUNTIFS('Dialogues'!$D$7:$D$9,"Allégation écartée")</x:f>
        <x:v>0</x:v>
      </x:c>
      <x:c r="M22" s="39" t="n">
        <x:f>COUNTIFS('Dialogues'!$E$7:$E$9,"P0")</x:f>
        <x:v>0</x:v>
      </x:c>
    </x:row>
    <x:row r="23" ht="22" customHeight="1">
      <x:c r="A23" s="2" t="str">
        <x:v>Cinématiques</x:v>
      </x:c>
      <x:c r="B23" s="40" t="n">
        <x:f>COUNTA('Cinematiques'!$A$7:$A$9)</x:f>
        <x:v>3</x:v>
      </x:c>
      <x:c r="C23" s="40" t="n">
        <x:f>COUNTIFS('Cinematiques'!$C$7:$C$9,"Défini")</x:f>
        <x:v>3</x:v>
      </x:c>
      <x:c r="D23" s="40" t="n">
        <x:f>COUNTIFS('Cinematiques'!$C$7:$C$9,"Prototype")</x:f>
        <x:v>0</x:v>
      </x:c>
      <x:c r="E23" s="40" t="n">
        <x:f>COUNTIFS('Cinematiques'!$C$7:$C$9,"Intégré")</x:f>
        <x:v>0</x:v>
      </x:c>
      <x:c r="F23" s="40" t="n">
        <x:f>COUNTIFS('Cinematiques'!$C$7:$C$9,"Validé")</x:f>
        <x:v>0</x:v>
      </x:c>
      <x:c r="G23" s="40" t="n">
        <x:f>COUNTIFS('Cinematiques'!$D$7:$D$9,"Établi")</x:f>
        <x:v>0</x:v>
      </x:c>
      <x:c r="H23" s="40" t="n">
        <x:f>COUNTIFS('Cinematiques'!$D$7:$D$9,"À vérifier")</x:f>
        <x:v>1</x:v>
      </x:c>
      <x:c r="I23" s="40" t="n">
        <x:f>COUNTIFS('Cinematiques'!$D$7:$D$9,"Extrapolation")</x:f>
        <x:v>2</x:v>
      </x:c>
      <x:c r="J23" s="40" t="n">
        <x:f>COUNTIFS('Cinematiques'!$D$7:$D$9,"Coupé attesté")</x:f>
        <x:v>0</x:v>
      </x:c>
      <x:c r="K23" s="40" t="n">
        <x:f>COUNTIFS('Cinematiques'!$D$7:$D$9,"Concept abandonné")</x:f>
        <x:v>0</x:v>
      </x:c>
      <x:c r="L23" s="40" t="n">
        <x:f>COUNTIFS('Cinematiques'!$D$7:$D$9,"Allégation écartée")</x:f>
        <x:v>0</x:v>
      </x:c>
      <x:c r="M23" s="40" t="n">
        <x:f>COUNTIFS('Cinematiques'!$E$7:$E$9,"P0")</x:f>
        <x:v>0</x:v>
      </x:c>
    </x:row>
    <x:row r="24" ht="22" customHeight="1">
      <x:c r="A24" s="35" t="str">
        <x:v>Armes</x:v>
      </x:c>
      <x:c r="B24" s="39" t="n">
        <x:f>COUNTA('Armes'!$A$7:$A$8)</x:f>
        <x:v>2</x:v>
      </x:c>
      <x:c r="C24" s="39" t="n">
        <x:f>COUNTIFS('Armes'!$C$7:$C$8,"Défini")</x:f>
        <x:v>2</x:v>
      </x:c>
      <x:c r="D24" s="39" t="n">
        <x:f>COUNTIFS('Armes'!$C$7:$C$8,"Prototype")</x:f>
        <x:v>0</x:v>
      </x:c>
      <x:c r="E24" s="39" t="n">
        <x:f>COUNTIFS('Armes'!$C$7:$C$8,"Intégré")</x:f>
        <x:v>0</x:v>
      </x:c>
      <x:c r="F24" s="39" t="n">
        <x:f>COUNTIFS('Armes'!$C$7:$C$8,"Validé")</x:f>
        <x:v>0</x:v>
      </x:c>
      <x:c r="G24" s="39" t="n">
        <x:f>COUNTIFS('Armes'!$D$7:$D$8,"Établi")</x:f>
        <x:v>0</x:v>
      </x:c>
      <x:c r="H24" s="39" t="n">
        <x:f>COUNTIFS('Armes'!$D$7:$D$8,"À vérifier")</x:f>
        <x:v>1</x:v>
      </x:c>
      <x:c r="I24" s="39" t="n">
        <x:f>COUNTIFS('Armes'!$D$7:$D$8,"Extrapolation")</x:f>
        <x:v>1</x:v>
      </x:c>
      <x:c r="J24" s="39" t="n">
        <x:f>COUNTIFS('Armes'!$D$7:$D$8,"Coupé attesté")</x:f>
        <x:v>0</x:v>
      </x:c>
      <x:c r="K24" s="39" t="n">
        <x:f>COUNTIFS('Armes'!$D$7:$D$8,"Concept abandonné")</x:f>
        <x:v>0</x:v>
      </x:c>
      <x:c r="L24" s="39" t="n">
        <x:f>COUNTIFS('Armes'!$D$7:$D$8,"Allégation écartée")</x:f>
        <x:v>0</x:v>
      </x:c>
      <x:c r="M24" s="39" t="n">
        <x:f>COUNTIFS('Armes'!$E$7:$E$8,"P0")</x:f>
        <x:v>0</x:v>
      </x:c>
    </x:row>
    <x:row r="25" ht="22" customHeight="1">
      <x:c r="A25" s="2" t="str">
        <x:v>Armures et équipement</x:v>
      </x:c>
      <x:c r="B25" s="40" t="n">
        <x:f>COUNTA('Armures_equipement'!$A$7:$A$8)</x:f>
        <x:v>2</x:v>
      </x:c>
      <x:c r="C25" s="40" t="n">
        <x:f>COUNTIFS('Armures_equipement'!$C$7:$C$8,"Défini")</x:f>
        <x:v>2</x:v>
      </x:c>
      <x:c r="D25" s="40" t="n">
        <x:f>COUNTIFS('Armures_equipement'!$C$7:$C$8,"Prototype")</x:f>
        <x:v>0</x:v>
      </x:c>
      <x:c r="E25" s="40" t="n">
        <x:f>COUNTIFS('Armures_equipement'!$C$7:$C$8,"Intégré")</x:f>
        <x:v>0</x:v>
      </x:c>
      <x:c r="F25" s="40" t="n">
        <x:f>COUNTIFS('Armures_equipement'!$C$7:$C$8,"Validé")</x:f>
        <x:v>0</x:v>
      </x:c>
      <x:c r="G25" s="40" t="n">
        <x:f>COUNTIFS('Armures_equipement'!$D$7:$D$8,"Établi")</x:f>
        <x:v>0</x:v>
      </x:c>
      <x:c r="H25" s="40" t="n">
        <x:f>COUNTIFS('Armures_equipement'!$D$7:$D$8,"À vérifier")</x:f>
        <x:v>1</x:v>
      </x:c>
      <x:c r="I25" s="40" t="n">
        <x:f>COUNTIFS('Armures_equipement'!$D$7:$D$8,"Extrapolation")</x:f>
        <x:v>1</x:v>
      </x:c>
      <x:c r="J25" s="40" t="n">
        <x:f>COUNTIFS('Armures_equipement'!$D$7:$D$8,"Coupé attesté")</x:f>
        <x:v>0</x:v>
      </x:c>
      <x:c r="K25" s="40" t="n">
        <x:f>COUNTIFS('Armures_equipement'!$D$7:$D$8,"Concept abandonné")</x:f>
        <x:v>0</x:v>
      </x:c>
      <x:c r="L25" s="40" t="n">
        <x:f>COUNTIFS('Armures_equipement'!$D$7:$D$8,"Allégation écartée")</x:f>
        <x:v>0</x:v>
      </x:c>
      <x:c r="M25" s="40" t="n">
        <x:f>COUNTIFS('Armures_equipement'!$E$7:$E$8,"P0")</x:f>
        <x:v>0</x:v>
      </x:c>
    </x:row>
    <x:row r="26" ht="22" customHeight="1">
      <x:c r="A26" s="35" t="str">
        <x:v>Pouvoirs</x:v>
      </x:c>
      <x:c r="B26" s="39" t="n">
        <x:f>COUNTA('Pouvoirs'!$A$7:$A$8)</x:f>
        <x:v>2</x:v>
      </x:c>
      <x:c r="C26" s="39" t="n">
        <x:f>COUNTIFS('Pouvoirs'!$C$7:$C$8,"Défini")</x:f>
        <x:v>2</x:v>
      </x:c>
      <x:c r="D26" s="39" t="n">
        <x:f>COUNTIFS('Pouvoirs'!$C$7:$C$8,"Prototype")</x:f>
        <x:v>0</x:v>
      </x:c>
      <x:c r="E26" s="39" t="n">
        <x:f>COUNTIFS('Pouvoirs'!$C$7:$C$8,"Intégré")</x:f>
        <x:v>0</x:v>
      </x:c>
      <x:c r="F26" s="39" t="n">
        <x:f>COUNTIFS('Pouvoirs'!$C$7:$C$8,"Validé")</x:f>
        <x:v>0</x:v>
      </x:c>
      <x:c r="G26" s="39" t="n">
        <x:f>COUNTIFS('Pouvoirs'!$D$7:$D$8,"Établi")</x:f>
        <x:v>0</x:v>
      </x:c>
      <x:c r="H26" s="39" t="n">
        <x:f>COUNTIFS('Pouvoirs'!$D$7:$D$8,"À vérifier")</x:f>
        <x:v>2</x:v>
      </x:c>
      <x:c r="I26" s="39" t="n">
        <x:f>COUNTIFS('Pouvoirs'!$D$7:$D$8,"Extrapolation")</x:f>
        <x:v>0</x:v>
      </x:c>
      <x:c r="J26" s="39" t="n">
        <x:f>COUNTIFS('Pouvoirs'!$D$7:$D$8,"Coupé attesté")</x:f>
        <x:v>0</x:v>
      </x:c>
      <x:c r="K26" s="39" t="n">
        <x:f>COUNTIFS('Pouvoirs'!$D$7:$D$8,"Concept abandonné")</x:f>
        <x:v>0</x:v>
      </x:c>
      <x:c r="L26" s="39" t="n">
        <x:f>COUNTIFS('Pouvoirs'!$D$7:$D$8,"Allégation écartée")</x:f>
        <x:v>0</x:v>
      </x:c>
      <x:c r="M26" s="39" t="n">
        <x:f>COUNTIFS('Pouvoirs'!$E$7:$E$8,"P0")</x:f>
        <x:v>0</x:v>
      </x:c>
    </x:row>
    <x:row r="27" ht="22" customHeight="1">
      <x:c r="A27" s="2" t="str">
        <x:v>Movesets alliés</x:v>
      </x:c>
      <x:c r="B27" s="40" t="n">
        <x:f>COUNTA('Movesets_allies'!$A$7:$A$9)</x:f>
        <x:v>3</x:v>
      </x:c>
      <x:c r="C27" s="40" t="n">
        <x:f>COUNTIFS('Movesets_allies'!$C$7:$C$9,"Défini")</x:f>
        <x:v>3</x:v>
      </x:c>
      <x:c r="D27" s="40" t="n">
        <x:f>COUNTIFS('Movesets_allies'!$C$7:$C$9,"Prototype")</x:f>
        <x:v>0</x:v>
      </x:c>
      <x:c r="E27" s="40" t="n">
        <x:f>COUNTIFS('Movesets_allies'!$C$7:$C$9,"Intégré")</x:f>
        <x:v>0</x:v>
      </x:c>
      <x:c r="F27" s="40" t="n">
        <x:f>COUNTIFS('Movesets_allies'!$C$7:$C$9,"Validé")</x:f>
        <x:v>0</x:v>
      </x:c>
      <x:c r="G27" s="40" t="n">
        <x:f>COUNTIFS('Movesets_allies'!$D$7:$D$9,"Établi")</x:f>
        <x:v>0</x:v>
      </x:c>
      <x:c r="H27" s="40" t="n">
        <x:f>COUNTIFS('Movesets_allies'!$D$7:$D$9,"À vérifier")</x:f>
        <x:v>0</x:v>
      </x:c>
      <x:c r="I27" s="40" t="n">
        <x:f>COUNTIFS('Movesets_allies'!$D$7:$D$9,"Extrapolation")</x:f>
        <x:v>3</x:v>
      </x:c>
      <x:c r="J27" s="40" t="n">
        <x:f>COUNTIFS('Movesets_allies'!$D$7:$D$9,"Coupé attesté")</x:f>
        <x:v>0</x:v>
      </x:c>
      <x:c r="K27" s="40" t="n">
        <x:f>COUNTIFS('Movesets_allies'!$D$7:$D$9,"Concept abandonné")</x:f>
        <x:v>0</x:v>
      </x:c>
      <x:c r="L27" s="40" t="n">
        <x:f>COUNTIFS('Movesets_allies'!$D$7:$D$9,"Allégation écartée")</x:f>
        <x:v>0</x:v>
      </x:c>
      <x:c r="M27" s="40" t="n">
        <x:f>COUNTIFS('Movesets_allies'!$E$7:$E$9,"P0")</x:f>
        <x:v>0</x:v>
      </x:c>
    </x:row>
    <x:row r="28" ht="22" customHeight="1">
      <x:c r="A28" s="35" t="str">
        <x:v>Movesets ennemis</x:v>
      </x:c>
      <x:c r="B28" s="39" t="n">
        <x:f>COUNTA('Movesets_ennemis'!$A$7:$A$9)</x:f>
        <x:v>3</x:v>
      </x:c>
      <x:c r="C28" s="39" t="n">
        <x:f>COUNTIFS('Movesets_ennemis'!$C$7:$C$9,"Défini")</x:f>
        <x:v>3</x:v>
      </x:c>
      <x:c r="D28" s="39" t="n">
        <x:f>COUNTIFS('Movesets_ennemis'!$C$7:$C$9,"Prototype")</x:f>
        <x:v>0</x:v>
      </x:c>
      <x:c r="E28" s="39" t="n">
        <x:f>COUNTIFS('Movesets_ennemis'!$C$7:$C$9,"Intégré")</x:f>
        <x:v>0</x:v>
      </x:c>
      <x:c r="F28" s="39" t="n">
        <x:f>COUNTIFS('Movesets_ennemis'!$C$7:$C$9,"Validé")</x:f>
        <x:v>0</x:v>
      </x:c>
      <x:c r="G28" s="39" t="n">
        <x:f>COUNTIFS('Movesets_ennemis'!$D$7:$D$9,"Établi")</x:f>
        <x:v>0</x:v>
      </x:c>
      <x:c r="H28" s="39" t="n">
        <x:f>COUNTIFS('Movesets_ennemis'!$D$7:$D$9,"À vérifier")</x:f>
        <x:v>0</x:v>
      </x:c>
      <x:c r="I28" s="39" t="n">
        <x:f>COUNTIFS('Movesets_ennemis'!$D$7:$D$9,"Extrapolation")</x:f>
        <x:v>3</x:v>
      </x:c>
      <x:c r="J28" s="39" t="n">
        <x:f>COUNTIFS('Movesets_ennemis'!$D$7:$D$9,"Coupé attesté")</x:f>
        <x:v>0</x:v>
      </x:c>
      <x:c r="K28" s="39" t="n">
        <x:f>COUNTIFS('Movesets_ennemis'!$D$7:$D$9,"Concept abandonné")</x:f>
        <x:v>0</x:v>
      </x:c>
      <x:c r="L28" s="39" t="n">
        <x:f>COUNTIFS('Movesets_ennemis'!$D$7:$D$9,"Allégation écartée")</x:f>
        <x:v>0</x:v>
      </x:c>
      <x:c r="M28" s="39" t="n">
        <x:f>COUNTIFS('Movesets_ennemis'!$E$7:$E$9,"P0")</x:f>
        <x:v>0</x:v>
      </x:c>
    </x:row>
    <x:row r="29" ht="22" customHeight="1">
      <x:c r="A29" s="2" t="str">
        <x:v>Animations</x:v>
      </x:c>
      <x:c r="B29" s="40" t="n">
        <x:f>COUNTA('Animations'!$A$7:$A$9)</x:f>
        <x:v>3</x:v>
      </x:c>
      <x:c r="C29" s="40" t="n">
        <x:f>COUNTIFS('Animations'!$C$7:$C$9,"Défini")</x:f>
        <x:v>3</x:v>
      </x:c>
      <x:c r="D29" s="40" t="n">
        <x:f>COUNTIFS('Animations'!$C$7:$C$9,"Prototype")</x:f>
        <x:v>0</x:v>
      </x:c>
      <x:c r="E29" s="40" t="n">
        <x:f>COUNTIFS('Animations'!$C$7:$C$9,"Intégré")</x:f>
        <x:v>0</x:v>
      </x:c>
      <x:c r="F29" s="40" t="n">
        <x:f>COUNTIFS('Animations'!$C$7:$C$9,"Validé")</x:f>
        <x:v>0</x:v>
      </x:c>
      <x:c r="G29" s="40" t="n">
        <x:f>COUNTIFS('Animations'!$D$7:$D$9,"Établi")</x:f>
        <x:v>0</x:v>
      </x:c>
      <x:c r="H29" s="40" t="n">
        <x:f>COUNTIFS('Animations'!$D$7:$D$9,"À vérifier")</x:f>
        <x:v>0</x:v>
      </x:c>
      <x:c r="I29" s="40" t="n">
        <x:f>COUNTIFS('Animations'!$D$7:$D$9,"Extrapolation")</x:f>
        <x:v>3</x:v>
      </x:c>
      <x:c r="J29" s="40" t="n">
        <x:f>COUNTIFS('Animations'!$D$7:$D$9,"Coupé attesté")</x:f>
        <x:v>0</x:v>
      </x:c>
      <x:c r="K29" s="40" t="n">
        <x:f>COUNTIFS('Animations'!$D$7:$D$9,"Concept abandonné")</x:f>
        <x:v>0</x:v>
      </x:c>
      <x:c r="L29" s="40" t="n">
        <x:f>COUNTIFS('Animations'!$D$7:$D$9,"Allégation écartée")</x:f>
        <x:v>0</x:v>
      </x:c>
      <x:c r="M29" s="40" t="n">
        <x:f>COUNTIFS('Animations'!$E$7:$E$9,"P0")</x:f>
        <x:v>0</x:v>
      </x:c>
    </x:row>
    <x:row r="30" ht="22" customHeight="1">
      <x:c r="A30" s="35" t="str">
        <x:v>Sprites</x:v>
      </x:c>
      <x:c r="B30" s="39" t="n">
        <x:f>COUNTA('Sprites'!$A$7:$A$18)</x:f>
        <x:v>12</x:v>
      </x:c>
      <x:c r="C30" s="39" t="n">
        <x:f>COUNTIFS('Sprites'!$C$7:$C$18,"Défini")</x:f>
        <x:v>12</x:v>
      </x:c>
      <x:c r="D30" s="39" t="n">
        <x:f>COUNTIFS('Sprites'!$C$7:$C$18,"Prototype")</x:f>
        <x:v>0</x:v>
      </x:c>
      <x:c r="E30" s="39" t="n">
        <x:f>COUNTIFS('Sprites'!$C$7:$C$18,"Intégré")</x:f>
        <x:v>0</x:v>
      </x:c>
      <x:c r="F30" s="39" t="n">
        <x:f>COUNTIFS('Sprites'!$C$7:$C$18,"Validé")</x:f>
        <x:v>0</x:v>
      </x:c>
      <x:c r="G30" s="39" t="n">
        <x:f>COUNTIFS('Sprites'!$D$7:$D$18,"Établi")</x:f>
        <x:v>0</x:v>
      </x:c>
      <x:c r="H30" s="39" t="n">
        <x:f>COUNTIFS('Sprites'!$D$7:$D$18,"À vérifier")</x:f>
        <x:v>0</x:v>
      </x:c>
      <x:c r="I30" s="39" t="n">
        <x:f>COUNTIFS('Sprites'!$D$7:$D$18,"Extrapolation")</x:f>
        <x:v>12</x:v>
      </x:c>
      <x:c r="J30" s="39" t="n">
        <x:f>COUNTIFS('Sprites'!$D$7:$D$18,"Coupé attesté")</x:f>
        <x:v>0</x:v>
      </x:c>
      <x:c r="K30" s="39" t="n">
        <x:f>COUNTIFS('Sprites'!$D$7:$D$18,"Concept abandonné")</x:f>
        <x:v>0</x:v>
      </x:c>
      <x:c r="L30" s="39" t="n">
        <x:f>COUNTIFS('Sprites'!$D$7:$D$18,"Allégation écartée")</x:f>
        <x:v>0</x:v>
      </x:c>
      <x:c r="M30" s="39" t="n">
        <x:f>COUNTIFS('Sprites'!$E$7:$E$18,"P0")</x:f>
        <x:v>0</x:v>
      </x:c>
    </x:row>
    <x:row r="31" ht="22" customHeight="1">
      <x:c r="A31" s="2" t="str">
        <x:v>VFX</x:v>
      </x:c>
      <x:c r="B31" s="40" t="n">
        <x:f>COUNTA('VFX'!$A$7:$A$8)</x:f>
        <x:v>2</x:v>
      </x:c>
      <x:c r="C31" s="40" t="n">
        <x:f>COUNTIFS('VFX'!$C$7:$C$8,"Défini")</x:f>
        <x:v>2</x:v>
      </x:c>
      <x:c r="D31" s="40" t="n">
        <x:f>COUNTIFS('VFX'!$C$7:$C$8,"Prototype")</x:f>
        <x:v>0</x:v>
      </x:c>
      <x:c r="E31" s="40" t="n">
        <x:f>COUNTIFS('VFX'!$C$7:$C$8,"Intégré")</x:f>
        <x:v>0</x:v>
      </x:c>
      <x:c r="F31" s="40" t="n">
        <x:f>COUNTIFS('VFX'!$C$7:$C$8,"Validé")</x:f>
        <x:v>0</x:v>
      </x:c>
      <x:c r="G31" s="40" t="n">
        <x:f>COUNTIFS('VFX'!$D$7:$D$8,"Établi")</x:f>
        <x:v>0</x:v>
      </x:c>
      <x:c r="H31" s="40" t="n">
        <x:f>COUNTIFS('VFX'!$D$7:$D$8,"À vérifier")</x:f>
        <x:v>0</x:v>
      </x:c>
      <x:c r="I31" s="40" t="n">
        <x:f>COUNTIFS('VFX'!$D$7:$D$8,"Extrapolation")</x:f>
        <x:v>2</x:v>
      </x:c>
      <x:c r="J31" s="40" t="n">
        <x:f>COUNTIFS('VFX'!$D$7:$D$8,"Coupé attesté")</x:f>
        <x:v>0</x:v>
      </x:c>
      <x:c r="K31" s="40" t="n">
        <x:f>COUNTIFS('VFX'!$D$7:$D$8,"Concept abandonné")</x:f>
        <x:v>0</x:v>
      </x:c>
      <x:c r="L31" s="40" t="n">
        <x:f>COUNTIFS('VFX'!$D$7:$D$8,"Allégation écartée")</x:f>
        <x:v>0</x:v>
      </x:c>
      <x:c r="M31" s="40" t="n">
        <x:f>COUNTIFS('VFX'!$E$7:$E$8,"P0")</x:f>
        <x:v>0</x:v>
      </x:c>
    </x:row>
    <x:row r="32" ht="22" customHeight="1">
      <x:c r="A32" s="35" t="str">
        <x:v>Audio</x:v>
      </x:c>
      <x:c r="B32" s="39" t="n">
        <x:f>COUNTA('Audio'!$A$7:$A$9)</x:f>
        <x:v>3</x:v>
      </x:c>
      <x:c r="C32" s="39" t="n">
        <x:f>COUNTIFS('Audio'!$C$7:$C$9,"Défini")</x:f>
        <x:v>3</x:v>
      </x:c>
      <x:c r="D32" s="39" t="n">
        <x:f>COUNTIFS('Audio'!$C$7:$C$9,"Prototype")</x:f>
        <x:v>0</x:v>
      </x:c>
      <x:c r="E32" s="39" t="n">
        <x:f>COUNTIFS('Audio'!$C$7:$C$9,"Intégré")</x:f>
        <x:v>0</x:v>
      </x:c>
      <x:c r="F32" s="39" t="n">
        <x:f>COUNTIFS('Audio'!$C$7:$C$9,"Validé")</x:f>
        <x:v>0</x:v>
      </x:c>
      <x:c r="G32" s="39" t="n">
        <x:f>COUNTIFS('Audio'!$D$7:$D$9,"Établi")</x:f>
        <x:v>0</x:v>
      </x:c>
      <x:c r="H32" s="39" t="n">
        <x:f>COUNTIFS('Audio'!$D$7:$D$9,"À vérifier")</x:f>
        <x:v>0</x:v>
      </x:c>
      <x:c r="I32" s="39" t="n">
        <x:f>COUNTIFS('Audio'!$D$7:$D$9,"Extrapolation")</x:f>
        <x:v>3</x:v>
      </x:c>
      <x:c r="J32" s="39" t="n">
        <x:f>COUNTIFS('Audio'!$D$7:$D$9,"Coupé attesté")</x:f>
        <x:v>0</x:v>
      </x:c>
      <x:c r="K32" s="39" t="n">
        <x:f>COUNTIFS('Audio'!$D$7:$D$9,"Concept abandonné")</x:f>
        <x:v>0</x:v>
      </x:c>
      <x:c r="L32" s="39" t="n">
        <x:f>COUNTIFS('Audio'!$D$7:$D$9,"Allégation écartée")</x:f>
        <x:v>0</x:v>
      </x:c>
      <x:c r="M32" s="39" t="n">
        <x:f>COUNTIFS('Audio'!$E$7:$E$9,"P0")</x:f>
        <x:v>0</x:v>
      </x:c>
    </x:row>
    <x:row r="33" ht="22" customHeight="1">
      <x:c r="A33" s="2" t="str">
        <x:v>Systèmes et UI</x:v>
      </x:c>
      <x:c r="B33" s="40" t="n">
        <x:f>COUNTA('UI_systemes'!$A$7:$A$13)</x:f>
        <x:v>7</x:v>
      </x:c>
      <x:c r="C33" s="40" t="n">
        <x:f>COUNTIFS('UI_systemes'!$C$7:$C$13,"Défini")</x:f>
        <x:v>7</x:v>
      </x:c>
      <x:c r="D33" s="40" t="n">
        <x:f>COUNTIFS('UI_systemes'!$C$7:$C$13,"Prototype")</x:f>
        <x:v>0</x:v>
      </x:c>
      <x:c r="E33" s="40" t="n">
        <x:f>COUNTIFS('UI_systemes'!$C$7:$C$13,"Intégré")</x:f>
        <x:v>0</x:v>
      </x:c>
      <x:c r="F33" s="40" t="n">
        <x:f>COUNTIFS('UI_systemes'!$C$7:$C$13,"Validé")</x:f>
        <x:v>0</x:v>
      </x:c>
      <x:c r="G33" s="40" t="n">
        <x:f>COUNTIFS('UI_systemes'!$D$7:$D$13,"Établi")</x:f>
        <x:v>0</x:v>
      </x:c>
      <x:c r="H33" s="40" t="n">
        <x:f>COUNTIFS('UI_systemes'!$D$7:$D$13,"À vérifier")</x:f>
        <x:v>1</x:v>
      </x:c>
      <x:c r="I33" s="40" t="n">
        <x:f>COUNTIFS('UI_systemes'!$D$7:$D$13,"Extrapolation")</x:f>
        <x:v>5</x:v>
      </x:c>
      <x:c r="J33" s="40" t="n">
        <x:f>COUNTIFS('UI_systemes'!$D$7:$D$13,"Coupé attesté")</x:f>
        <x:v>0</x:v>
      </x:c>
      <x:c r="K33" s="40" t="n">
        <x:f>COUNTIFS('UI_systemes'!$D$7:$D$13,"Concept abandonné")</x:f>
        <x:v>1</x:v>
      </x:c>
      <x:c r="L33" s="40" t="n">
        <x:f>COUNTIFS('UI_systemes'!$D$7:$D$13,"Allégation écartée")</x:f>
        <x:v>0</x:v>
      </x:c>
      <x:c r="M33" s="40" t="n">
        <x:f>COUNTIFS('UI_systemes'!$E$7:$E$13,"P0")</x:f>
        <x:v>0</x:v>
      </x:c>
    </x:row>
    <x:row r="34" ht="22" customHeight="1">
      <x:c r="A34" s="35" t="str">
        <x:v>QA</x:v>
      </x:c>
      <x:c r="B34" s="39" t="n">
        <x:f>COUNTA('QA'!$A$7:$A$42)</x:f>
        <x:v>36</x:v>
      </x:c>
      <x:c r="C34" s="39" t="n">
        <x:f>COUNTIFS('QA'!$C$7:$C$42,"Défini")</x:f>
        <x:v>36</x:v>
      </x:c>
      <x:c r="D34" s="39" t="n">
        <x:f>COUNTIFS('QA'!$C$7:$C$42,"Prototype")</x:f>
        <x:v>0</x:v>
      </x:c>
      <x:c r="E34" s="39" t="n">
        <x:f>COUNTIFS('QA'!$C$7:$C$42,"Intégré")</x:f>
        <x:v>0</x:v>
      </x:c>
      <x:c r="F34" s="39" t="n">
        <x:f>COUNTIFS('QA'!$C$7:$C$42,"Validé")</x:f>
        <x:v>0</x:v>
      </x:c>
      <x:c r="G34" s="39" t="n">
        <x:f>COUNTIFS('QA'!$D$7:$D$42,"Établi")</x:f>
        <x:v>0</x:v>
      </x:c>
      <x:c r="H34" s="39" t="n">
        <x:f>COUNTIFS('QA'!$D$7:$D$42,"À vérifier")</x:f>
        <x:v>0</x:v>
      </x:c>
      <x:c r="I34" s="39" t="n">
        <x:f>COUNTIFS('QA'!$D$7:$D$42,"Extrapolation")</x:f>
        <x:v>36</x:v>
      </x:c>
      <x:c r="J34" s="39" t="n">
        <x:f>COUNTIFS('QA'!$D$7:$D$42,"Coupé attesté")</x:f>
        <x:v>0</x:v>
      </x:c>
      <x:c r="K34" s="39" t="n">
        <x:f>COUNTIFS('QA'!$D$7:$D$42,"Concept abandonné")</x:f>
        <x:v>0</x:v>
      </x:c>
      <x:c r="L34" s="39" t="n">
        <x:f>COUNTIFS('QA'!$D$7:$D$42,"Allégation écartée")</x:f>
        <x:v>0</x:v>
      </x:c>
      <x:c r="M34" s="39" t="n">
        <x:f>COUNTIFS('QA'!$E$7:$E$42,"P0")</x:f>
        <x:v>31</x:v>
      </x:c>
    </x:row>
    <x:row r="35" ht="22" customHeight="1">
      <x:c r="A35" s="2" t="str">
        <x:v>Continuité</x:v>
      </x:c>
      <x:c r="B35" s="40" t="n">
        <x:f>COUNTA('Continuite'!$A$7:$A$12)</x:f>
        <x:v>6</x:v>
      </x:c>
      <x:c r="C35" s="40" t="n">
        <x:f>COUNTIFS('Continuite'!$C$7:$C$12,"Défini")</x:f>
        <x:v>6</x:v>
      </x:c>
      <x:c r="D35" s="40" t="n">
        <x:f>COUNTIFS('Continuite'!$C$7:$C$12,"Prototype")</x:f>
        <x:v>0</x:v>
      </x:c>
      <x:c r="E35" s="40" t="n">
        <x:f>COUNTIFS('Continuite'!$C$7:$C$12,"Intégré")</x:f>
        <x:v>0</x:v>
      </x:c>
      <x:c r="F35" s="40" t="n">
        <x:f>COUNTIFS('Continuite'!$C$7:$C$12,"Validé")</x:f>
        <x:v>0</x:v>
      </x:c>
      <x:c r="G35" s="40" t="n">
        <x:f>COUNTIFS('Continuite'!$D$7:$D$12,"Établi")</x:f>
        <x:v>3</x:v>
      </x:c>
      <x:c r="H35" s="40" t="n">
        <x:f>COUNTIFS('Continuite'!$D$7:$D$12,"À vérifier")</x:f>
        <x:v>0</x:v>
      </x:c>
      <x:c r="I35" s="40" t="n">
        <x:f>COUNTIFS('Continuite'!$D$7:$D$12,"Extrapolation")</x:f>
        <x:v>2</x:v>
      </x:c>
      <x:c r="J35" s="40" t="n">
        <x:f>COUNTIFS('Continuite'!$D$7:$D$12,"Coupé attesté")</x:f>
        <x:v>0</x:v>
      </x:c>
      <x:c r="K35" s="40" t="n">
        <x:f>COUNTIFS('Continuite'!$D$7:$D$12,"Concept abandonné")</x:f>
        <x:v>0</x:v>
      </x:c>
      <x:c r="L35" s="40" t="n">
        <x:f>COUNTIFS('Continuite'!$D$7:$D$12,"Allégation écartée")</x:f>
        <x:v>1</x:v>
      </x:c>
      <x:c r="M35" s="40" t="n">
        <x:f>COUNTIFS('Continuite'!$E$7:$E$12,"P0")</x:f>
        <x:v>2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23" t="str">
        <x:v>TOTAL</x:v>
      </x:c>
      <x:c r="B37" s="41" t="n">
        <x:f>SUM(B10:B35)</x:f>
        <x:v>124</x:v>
      </x:c>
      <x:c r="C37" s="41" t="n">
        <x:f>SUM(C10:C35)</x:f>
        <x:v>124</x:v>
      </x:c>
      <x:c r="D37" s="41" t="n">
        <x:f>SUM(D10:D35)</x:f>
        <x:v>0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3</x:v>
      </x:c>
      <x:c r="H37" s="41" t="n">
        <x:f>SUM(H10:H35)</x:f>
        <x:v>25</x:v>
      </x:c>
      <x:c r="I37" s="41" t="n">
        <x:f>SUM(I10:I35)</x:f>
        <x:v>91</x:v>
      </x:c>
      <x:c r="J37" s="41" t="n">
        <x:f>SUM(J10:J35)</x:f>
        <x:v>0</x:v>
      </x:c>
      <x:c r="K37" s="41" t="n">
        <x:f>SUM(K10:K35)</x:f>
        <x:v>4</x:v>
      </x:c>
      <x:c r="L37" s="41" t="n">
        <x:f>SUM(L10:L35)</x:f>
        <x:v>1</x:v>
      </x:c>
      <x:c r="M37" s="41" t="n">
        <x:f>SUM(M10:M35)</x:f>
        <x:v>37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CUT-CASE-LILITH</x:v>
      </x:c>
      <x:c r="B7" s="9" t="str">
        <x:v>Lilith jouable à Horizon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Séquence envisagée signalée.</x:v>
      </x:c>
      <x:c r="G7" s="9" t="str">
        <x:v>Prologue d’évacuation civile avec options de mise à l’abri.</x:v>
      </x:c>
      <x:c r="H7" s="9" t="str">
        <x:v>Pas d’arsenal de Shepard attribué au personnage.</x:v>
      </x:c>
      <x:c r="I7" s="9" t="str">
        <x:v>Tenue coloniale à relever, gestes de fuite.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Lilith jouable à Horizon</x:v>
      </x:c>
      <x:c r="Q7" s="9" t="str">
        <x:v>CUT-ME2</x:v>
      </x:c>
      <x:c r="R7" s="20" t="str">
        <x:v>https://masseffect.fandom.com/wiki/Mass_Effect_2_Cut_Content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CUT-CASE-LEGION</x:v>
      </x:c>
      <x:c r="B8" s="7" t="str">
        <x:v>Acquisition précoce de Legion</x:v>
      </x:c>
      <x:c r="C8" s="15" t="str">
        <x:v>Défini</x:v>
      </x:c>
      <x:c r="D8" s="17" t="str">
        <x:v>À vérifier</x:v>
      </x:c>
      <x:c r="E8" s="17" t="str">
        <x:v>P0</x:v>
      </x:c>
      <x:c r="F8" s="7" t="str">
        <x:v>Ordre de recrutement antérieur signalé.</x:v>
      </x:c>
      <x:c r="G8" s="7" t="str">
        <x:v>Tester la présence de Legion dans les zones tôt accessibles.</x:v>
      </x:c>
      <x:c r="H8" s="7" t="str">
        <x:v>Chaque réaction exige une référence ; une ligne absente n’est pas remplacée par une imitation officielle.</x:v>
      </x:c>
      <x:c r="I8" s="7" t="str">
        <x:v>Sprite et portrait déjà définis dans le module ME2 à adapter.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Acquisition précoce de Legion</x:v>
      </x:c>
      <x:c r="Q8" s="7" t="str">
        <x:v>CUT-LEGION</x:v>
      </x:c>
      <x:c r="R8" s="21" t="str">
        <x:v>https://masseffect.fandom.com/wiki/Legion</x:v>
      </x:c>
      <x:c r="S8" s="21" t="str">
        <x:v>Piste issue d’index secondaires. Captures, fichiers ou témoignages primaires requis avant reclassification.</x:v>
      </x:c>
    </x:row>
    <x:row r="9" ht="44" customHeight="1">
      <x:c r="A9" s="18" t="str">
        <x:v>CUT-CHR-SHEPARD</x:v>
      </x:c>
      <x:c r="B9" s="9" t="str">
        <x:v>Shepard dans un profil alternatif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Personnage existant réutilisé dans une reconstruction.</x:v>
      </x:c>
      <x:c r="G9" s="9" t="str">
        <x:v>Conserver personnalisation, classe et genre de la sauvegarde.</x:v>
      </x:c>
      <x:c r="H9" s="9" t="str">
        <x:v>Aucune scène coupée ne force silencieusement l’identité du personnage.</x:v>
      </x:c>
      <x:c r="I9" s="9" t="str">
        <x:v>Portrait personnalisé.</x:v>
      </x:c>
      <x:c r="J9" s="9" t="str"/>
      <x:c r="K9" s="9" t="str"/>
      <x:c r="L9" s="9" t="str"/>
      <x:c r="M9" s="9" t="str"/>
      <x:c r="N9" s="9" t="str">
        <x:v>Le même profil traverse campagne publiée et module alternatif.</x:v>
      </x:c>
      <x:c r="O9" s="9" t="str"/>
      <x:c r="P9" s="9" t="str">
        <x:v>Conception du fan game</x:v>
      </x:c>
      <x:c r="Q9" s="9" t="str"/>
      <x:c r="R9" s="20" t="str"/>
      <x:c r="S9" s="20" t="str"/>
    </x:row>
    <x:row r="10" ht="44" customHeight="1">
      <x:c r="A10" s="19" t="str">
        <x:v>CUT-CHR-RESEARCHER</x:v>
      </x:c>
      <x:c r="B10" s="7" t="str">
        <x:v>Guide d’archive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Personnage original de médiation.</x:v>
      </x:c>
      <x:c r="G10" s="7" t="str">
        <x:v>Présenter les dossiers dans une salle d’archives facultative.</x:v>
      </x:c>
      <x:c r="H10" s="7" t="str">
        <x:v>Ne pas lui attribuer l’autorité de BioWare.</x:v>
      </x:c>
      <x:c r="I10" s="7" t="str">
        <x:v>Tenue d’archiviste et tablette.</x:v>
      </x:c>
      <x:c r="J10" s="7" t="str"/>
      <x:c r="K10" s="7" t="str"/>
      <x:c r="L10" s="7" t="str"/>
      <x:c r="M10" s="7" t="str"/>
      <x:c r="N10" s="7" t="str">
        <x:v>Ses propos distinguent document, hypothèse et reconstruction.</x:v>
      </x:c>
      <x:c r="O10" s="7" t="str"/>
      <x:c r="P10" s="7" t="str">
        <x:v>Conception du fan game</x:v>
      </x:c>
      <x:c r="Q10" s="7" t="str"/>
      <x:c r="R10" s="21" t="str"/>
      <x:c r="S10" s="21" t="str"/>
    </x:row>
  </x:sheetData>
  <x:conditionalFormatting sqref="D7:D10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10">
    <x:cfRule type="cellIs" dxfId="2" priority="3" operator="equal">
      <x:formula>"Validé"</x:formula>
    </x:cfRule>
  </x:conditionalFormatting>
  <x:conditionalFormatting sqref="E7:E10">
    <x:cfRule type="cellIs" dxfId="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e08d71d04340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CUT-NPC-CALESTON</x:v>
      </x:c>
      <x:c r="B7" s="9" t="str">
        <x:v>Habitants du hub de Caleston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Inventaire à établir.</x:v>
      </x:c>
      <x:c r="G7" s="9" t="str">
        <x:v>Créer une fiche par PNJ seulement après identification du nom et de sa source.</x:v>
      </x:c>
      <x:c r="H7" s="9" t="str">
        <x:v>Les figurants provisoires restent nommés figurants.</x:v>
      </x:c>
      <x:c r="I7" s="9" t="str">
        <x:v>Silhouettes de mineurs et marchands sans identité canonique inventée.</x:v>
      </x:c>
      <x:c r="J7" s="9" t="str"/>
      <x:c r="K7" s="9" t="str"/>
      <x:c r="L7" s="9" t="str"/>
      <x:c r="M7" s="9" t="str"/>
      <x:c r="N7" s="9" t="str">
        <x:v>Aucun prénom de remplissage n’apparaît comme personnage supprimé.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CUT-NPC-LILITH</x:v>
      </x:c>
      <x:c r="B8" s="7" t="str">
        <x:v>Habitants de l’évacuation Horizon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Figurants de reconstruction.</x:v>
      </x:c>
      <x:c r="G8" s="7" t="str">
        <x:v>Limiter les interactions à l’objectif de secours du module.</x:v>
      </x:c>
      <x:c r="H8" s="7" t="str">
        <x:v>Aucune liste de survivants non attestée.</x:v>
      </x:c>
      <x:c r="I8" s="7" t="str">
        <x:v>Tenues coloniales variées.</x:v>
      </x:c>
      <x:c r="J8" s="7" t="str"/>
      <x:c r="K8" s="7" t="str"/>
      <x:c r="L8" s="7" t="str"/>
      <x:c r="M8" s="7" t="str"/>
      <x:c r="N8" s="7" t="str">
        <x:v>Chaque figurant possède une route et une issue, même hors caméra.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8">
    <x:cfRule type="cellIs" dxfId="6" priority="3" operator="equal">
      <x:formula>"Validé"</x:formula>
    </x:cfRule>
  </x:conditionalFormatting>
  <x:conditionalFormatting sqref="E7:E8">
    <x:cfRule type="cellIs" dxfId="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ee632ea5c4d0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6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CUT-CASE-DARK</x:v>
      </x:c>
      <x:c r="B7" s="9" t="str">
        <x:v>Piste de l’énergie noire</x:v>
      </x:c>
      <x:c r="C7" s="15" t="str">
        <x:v>Défini</x:v>
      </x:c>
      <x:c r="D7" s="16" t="str">
        <x:v>Concept abandonné</x:v>
      </x:c>
      <x:c r="E7" s="16" t="str">
        <x:v>P0</x:v>
      </x:c>
      <x:c r="F7" s="9" t="str">
        <x:v>Idée décrite comme peu développée.</x:v>
      </x:c>
      <x:c r="G7" s="9" t="str">
        <x:v>Module hypothétique sur un phénomène stellaire.</x:v>
      </x:c>
      <x:c r="H7" s="9" t="str">
        <x:v>Aucune affirmation de vraie fin de la trilogie ; scénario fan intégralement annoncé.</x:v>
      </x:c>
      <x:c r="I7" s="9" t="str">
        <x:v>Soleil, instrument et couches de lumière.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Piste de l’énergie noire</x:v>
      </x:c>
      <x:c r="Q7" s="9" t="str">
        <x:v>CUT-DARK</x:v>
      </x:c>
      <x:c r="R7" s="20" t="str">
        <x:v>https://www.pcgamer.com/mass-effect-3-series-former-lead-writer-reveals-original-ending-ideas/</x:v>
      </x:c>
      <x:c r="S7" s="20" t="str">
        <x:v>Le niveau de preuve porte sur l’existence ou le statut de la piste, pas sur les détails du gameplay proposé.</x:v>
      </x:c>
    </x:row>
  </x:sheetData>
  <x:conditionalFormatting sqref="D7:D7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7">
    <x:cfRule type="cellIs" dxfId="10" priority="3" operator="equal">
      <x:formula>"Validé"</x:formula>
    </x:cfRule>
  </x:conditionalFormatting>
  <x:conditionalFormatting sqref="E7:E7">
    <x:cfRule type="cellIs" dxfId="11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7d6958546a49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CUT-CASE-CALESTON</x:v>
      </x:c>
      <x:c r="B7" s="9" t="str">
        <x:v>Caleston et Throw Down</x:v>
      </x:c>
      <x:c r="C7" s="15" t="str">
        <x:v>Défini</x:v>
      </x:c>
      <x:c r="D7" s="16" t="str">
        <x:v>À vérifier</x:v>
      </x:c>
      <x:c r="E7" s="16" t="str">
        <x:v>P0</x:v>
      </x:c>
      <x:c r="F7" s="9" t="str">
        <x:v>Hub abandonné répertorié.</x:v>
      </x:c>
      <x:c r="G7" s="9" t="str">
        <x:v>Reconstituer une place minière, une raffinerie et deux accès aux ruines.</x:v>
      </x:c>
      <x:c r="H7" s="9" t="str">
        <x:v>Carte alternative à Therum, sélection explicite avant campagne ; ne pas remplacer les sauvegardes de référence.</x:v>
      </x:c>
      <x:c r="I7" s="9" t="str">
        <x:v>Ciel jaune-vert et architecture industrielle à contrôler sur concepts.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Caleston et Throw Down</x:v>
      </x:c>
      <x:c r="Q7" s="9" t="str">
        <x:v>CUT-CALESTON</x:v>
      </x:c>
      <x:c r="R7" s="20" t="str">
        <x:v>https://masseffect.fandom.com/wiki/Caleston_(Cut)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CUT-CASE-MISERY</x:v>
      </x:c>
      <x:c r="B8" s="7" t="str">
        <x:v>Misery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Hub coupé signalé.</x:v>
      </x:c>
      <x:c r="G8" s="7" t="str">
        <x:v>Créer un petit avant-poste d’exploration à partir des plans attestés lorsqu’ils seront réunis.</x:v>
      </x:c>
      <x:c r="H8" s="7" t="str">
        <x:v>Quatre services séparés : cartographie, atelier, renseignements et contrats.</x:v>
      </x:c>
      <x:c r="I8" s="7" t="str">
        <x:v>Architecture modulaire basse, vue d’ensemble à relever dans les documents.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Misery</x:v>
      </x:c>
      <x:c r="Q8" s="7" t="str">
        <x:v>CUT-ME1</x:v>
      </x:c>
      <x:c r="R8" s="21" t="str">
        <x:v>https://masseffect.fandom.com/wiki/Mass_Effect_Cut_Content</x:v>
      </x:c>
      <x:c r="S8" s="21" t="str">
        <x:v>Piste issue d’index secondaires. Captures, fichiers ou témoignages primaires requis avant reclassification.</x:v>
      </x:c>
    </x:row>
  </x:sheetData>
  <x:conditionalFormatting sqref="D7:D8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8">
    <x:cfRule type="cellIs" dxfId="14" priority="3" operator="equal">
      <x:formula>"Validé"</x:formula>
    </x:cfRule>
  </x:conditionalFormatting>
  <x:conditionalFormatting sqref="E7:E8">
    <x:cfRule type="cellIs" dxfId="1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6b61924bac41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CUT-MAP-THROWDOWN</x:v>
      </x:c>
      <x:c r="B7" s="9" t="str">
        <x:v>Throw Down : blockout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Plan de reconstruction proposé.</x:v>
      </x:c>
      <x:c r="G7" s="9" t="str">
        <x:v>Place centrale, bar, comptoir administratif et descente vers raffinerie.</x:v>
      </x:c>
      <x:c r="H7" s="9" t="str">
        <x:v>Trois parcours possibles entre hub et objectif ; vues fixes au maximum de la lisibilité.</x:v>
      </x:c>
      <x:c r="I7" s="9" t="str">
        <x:v>Distances de travail à comparer aux concepts.</x:v>
      </x:c>
      <x:c r="J7" s="9" t="str"/>
      <x:c r="K7" s="9" t="str"/>
      <x:c r="L7" s="9" t="str"/>
      <x:c r="M7" s="9" t="str"/>
      <x:c r="N7" s="9" t="str">
        <x:v>Le plan est marqué reconstruction, avec éléments attestés différenciés.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CUT-MAP-HORIZON</x:v>
      </x:c>
      <x:c r="B8" s="7" t="str">
        <x:v>Horizon : évacuation civile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Plan original pour la piste Lilith.</x:v>
      </x:c>
      <x:c r="G8" s="7" t="str">
        <x:v>Maison, passage extérieur, abri et rupture du parcours.</x:v>
      </x:c>
      <x:c r="H8" s="7" t="str">
        <x:v>Éviter les combats de puissance qui contredisent la vulnérabilité d’un civil.</x:v>
      </x:c>
      <x:c r="I8" s="7" t="str">
        <x:v>Lumière du matin et intrusion froide.</x:v>
      </x:c>
      <x:c r="J8" s="7" t="str"/>
      <x:c r="K8" s="7" t="str"/>
      <x:c r="L8" s="7" t="str"/>
      <x:c r="M8" s="7" t="str"/>
      <x:c r="N8" s="7" t="str">
        <x:v>Le joueur comprend l’objectif sans arme ni barre de dégâts.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CUT-MAP-ILL</x:v>
      </x:c>
      <x:c r="B9" s="9" t="str">
        <x:v>Illium : toits alternatifs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Plan original.</x:v>
      </x:c>
      <x:c r="G9" s="9" t="str">
        <x:v>Trois terrasses, une passerelle, un abri contre les tirs et un point d’extraction.</x:v>
      </x:c>
      <x:c r="H9" s="9" t="str">
        <x:v>Les salves de l’aéronef sont annoncées avant la traversée.</x:v>
      </x:c>
      <x:c r="I9" s="9" t="str">
        <x:v>Ville lointaine 3D, garde-corps contrastés.</x:v>
      </x:c>
      <x:c r="J9" s="9" t="str"/>
      <x:c r="K9" s="9" t="str"/>
      <x:c r="L9" s="9" t="str"/>
      <x:c r="M9" s="9" t="str"/>
      <x:c r="N9" s="9" t="str">
        <x:v>Aucun saut exigeant une précision de plateforme incompatible avec les sprites.</x:v>
      </x:c>
      <x:c r="O9" s="9" t="str"/>
      <x:c r="P9" s="9" t="str">
        <x:v>Conception du fan game</x:v>
      </x:c>
      <x:c r="Q9" s="9" t="str"/>
      <x:c r="R9" s="20" t="str"/>
      <x:c r="S9" s="20" t="str"/>
    </x:row>
    <x:row r="10" ht="44" customHeight="1">
      <x:c r="A10" s="19" t="str">
        <x:v>CUT-MAP-ARCHIVE</x:v>
      </x:c>
      <x:c r="B10" s="7" t="str">
        <x:v>Salle des contenus coupés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Hub original du fan game.</x:v>
      </x:c>
      <x:c r="G10" s="7" t="str">
        <x:v>Bornes par jeu, vitrine des sources, accès aux simulations.</x:v>
      </x:c>
      <x:c r="H10" s="7" t="str">
        <x:v>Débloquer chaque simulation indépendamment du canon.</x:v>
      </x:c>
      <x:c r="I10" s="7" t="str">
        <x:v>Architecture sobre et panneaux datés.</x:v>
      </x:c>
      <x:c r="J10" s="7" t="str"/>
      <x:c r="K10" s="7" t="str"/>
      <x:c r="L10" s="7" t="str"/>
      <x:c r="M10" s="7" t="str"/>
      <x:c r="N10" s="7" t="str">
        <x:v>Le joueur peut quitter une simulation à tout moment sans perdre sa campagne.</x:v>
      </x:c>
      <x:c r="O10" s="7" t="str"/>
      <x:c r="P10" s="7" t="str">
        <x:v>Conception du fan game</x:v>
      </x:c>
      <x:c r="Q10" s="7" t="str"/>
      <x:c r="R10" s="21" t="str"/>
      <x:c r="S10" s="21" t="str"/>
    </x:row>
  </x:sheetData>
  <x:conditionalFormatting sqref="D7:D10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0">
    <x:cfRule type="cellIs" dxfId="18" priority="3" operator="equal">
      <x:formula>"Validé"</x:formula>
    </x:cfRule>
  </x:conditionalFormatting>
  <x:conditionalFormatting sqref="E7:E10">
    <x:cfRule type="cellIs" dxfId="1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1da3ea2e304a2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CUT-LNK-PROFILE</x:v>
      </x:c>
      <x:c r="B7" s="9" t="str">
        <x:v>Séparation des profils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Contrat de données proposé.</x:v>
      </x:c>
      <x:c r="G7" s="9" t="str">
        <x:v>Campagne de référence et reconstruction utilisent des espaces de drapeaux distincts.</x:v>
      </x:c>
      <x:c r="H7" s="9" t="str">
        <x:v>Clé proposed.&lt;module&gt; ; migration explicite seulement à une nouvelle partie.</x:v>
      </x:c>
      <x:c r="I7" s="9" t="str"/>
      <x:c r="J7" s="9" t="str"/>
      <x:c r="K7" s="9" t="str"/>
      <x:c r="L7" s="9" t="str"/>
      <x:c r="M7" s="9" t="str"/>
      <x:c r="N7" s="9" t="str">
        <x:v>Une survie alternative ne modifie pas les dialogues du profil de référence.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CUT-LNK-THERUM</x:v>
      </x:c>
      <x:c r="B8" s="7" t="str">
        <x:v>Therum ou Caleston alternatif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Embranchement de module.</x:v>
      </x:c>
      <x:c r="G8" s="7" t="str">
        <x:v>Choisir la variante avant la mission et afficher ses limites.</x:v>
      </x:c>
      <x:c r="H8" s="7" t="str">
        <x:v>Les deux routes attribuent une seule fois le recrutement de Liara.</x:v>
      </x:c>
      <x:c r="I8" s="7" t="str">
        <x:v>Carte avec noms complets.</x:v>
      </x:c>
      <x:c r="J8" s="7" t="str"/>
      <x:c r="K8" s="7" t="str"/>
      <x:c r="L8" s="7" t="str"/>
      <x:c r="M8" s="7" t="str"/>
      <x:c r="N8" s="7" t="str">
        <x:v>Impossible de recruter Liara deux fois en changeant de variante.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CUT-LNK-LEGION</x:v>
      </x:c>
      <x:c r="B9" s="9" t="str">
        <x:v>Ordre alternatif de recrutement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Graphe de progression proposé.</x:v>
      </x:c>
      <x:c r="G9" s="9" t="str">
        <x:v>Déclarer chaque mission accessible avec Legion et les réactions disponibles.</x:v>
      </x:c>
      <x:c r="H9" s="9" t="str">
        <x:v>Refuser les réactions non documentées ou les écrire comme adaptation.</x:v>
      </x:c>
      <x:c r="I9" s="9" t="str"/>
      <x:c r="J9" s="9" t="str"/>
      <x:c r="K9" s="9" t="str"/>
      <x:c r="L9" s="9" t="str"/>
      <x:c r="M9" s="9" t="str"/>
      <x:c r="N9" s="9" t="str">
        <x:v>Le journal indique quelle réaction est une reconstruction.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9">
    <x:cfRule type="cellIs" dxfId="22" priority="3" operator="equal">
      <x:formula>"Validé"</x:formula>
    </x:cfRule>
  </x:conditionalFormatting>
  <x:conditionalFormatting sqref="E7:E9">
    <x:cfRule type="cellIs" dxfId="2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f4bc60f90452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CUT-SET-REFINERY</x:v>
      </x:c>
      <x:c r="B7" s="9" t="str">
        <x:v>Raffinerie de Caleston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Décor de reconstruction.</x:v>
      </x:c>
      <x:c r="G7" s="9" t="str">
        <x:v>Modules de tuyaux, plateformes et cuves avec matière usée.</x:v>
      </x:c>
      <x:c r="H7" s="9" t="str">
        <x:v>Occlusion propre des personnages sur les deux niveaux.</x:v>
      </x:c>
      <x:c r="I7" s="9" t="str">
        <x:v>Soufre et métaux, palette finale à confronter aux concepts.</x:v>
      </x:c>
      <x:c r="J7" s="9" t="str"/>
      <x:c r="K7" s="9" t="str"/>
      <x:c r="L7" s="9" t="str"/>
      <x:c r="M7" s="9" t="str"/>
      <x:c r="N7" s="9" t="str">
        <x:v>Les images comparatives distinguent volumes documentés et volumes créés.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CUT-SET-MARS</x:v>
      </x:c>
      <x:c r="B8" s="7" t="str">
        <x:v>Fouille martienne alternative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Décor original pour piste abandonnée.</x:v>
      </x:c>
      <x:c r="G8" s="7" t="str">
        <x:v>Habitat pressurisé, déblai rouge et accès à vestiges.</x:v>
      </x:c>
      <x:c r="H8" s="7" t="str">
        <x:v>Ne pas réutiliser le plan ME3 comme preuve de l’ancien DLC.</x:v>
      </x:c>
      <x:c r="I8" s="7" t="str">
        <x:v>Terre rouge mate, lumière froide intérieure.</x:v>
      </x:c>
      <x:c r="J8" s="7" t="str"/>
      <x:c r="K8" s="7" t="str"/>
      <x:c r="L8" s="7" t="str"/>
      <x:c r="M8" s="7" t="str"/>
      <x:c r="N8" s="7" t="str">
        <x:v>Les fiches de référence ne fusionnent pas deux projets distincts.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CUT-SET-SIM</x:v>
      </x:c>
      <x:c r="B9" s="9" t="str">
        <x:v>Simulateur de Team Assault adapté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Décor original.</x:v>
      </x:c>
      <x:c r="G9" s="9" t="str">
        <x:v>Arène symétrique avec trois points et lignes de tir multiples.</x:v>
      </x:c>
      <x:c r="H9" s="9" t="str">
        <x:v>Miroir de gameplay possible sans dupliquer les éclairages.</x:v>
      </x:c>
      <x:c r="I9" s="9" t="str">
        <x:v>Matériaux neutres et codes d’équipe accompagnés de formes.</x:v>
      </x:c>
      <x:c r="J9" s="9" t="str"/>
      <x:c r="K9" s="9" t="str"/>
      <x:c r="L9" s="9" t="str"/>
      <x:c r="M9" s="9" t="str"/>
      <x:c r="N9" s="9" t="str">
        <x:v>Les deux départs ont des distances comparables aux objectifs.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9">
    <x:cfRule type="cellIs" dxfId="26" priority="3" operator="equal">
      <x:formula>"Validé"</x:formula>
    </x:cfRule>
  </x:conditionalFormatting>
  <x:conditionalFormatting sqref="E7:E9">
    <x:cfRule type="cellIs" dxfId="2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6603910ca443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CUT-CASE-MAKO</x:v>
      </x:c>
      <x:c r="B7" s="9" t="str">
        <x:v>Mako dans ME2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Présence envisagée répertoriée.</x:v>
      </x:c>
      <x:c r="G7" s="9" t="str">
        <x:v>Prototype de circulation terrestre facultatif, sans supprimer le Hammerhead.</x:v>
      </x:c>
      <x:c r="H7" s="9" t="str">
        <x:v>Accès par menu de modules alternatifs.</x:v>
      </x:c>
      <x:c r="I7" s="9" t="str">
        <x:v>Véhicule à six roues ; proportions à contrôler.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Mako dans ME2</x:v>
      </x:c>
      <x:c r="Q7" s="9" t="str">
        <x:v>CUT-ME2</x:v>
      </x:c>
      <x:c r="R7" s="20" t="str">
        <x:v>https://masseffect.fandom.com/wiki/Mass_Effect_2_Cut_Content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CUT-PRP-ARCHIVE</x:v>
      </x:c>
      <x:c r="B8" s="7" t="str">
        <x:v>Borne de provenance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Objet original.</x:v>
      </x:c>
      <x:c r="G8" s="7" t="str">
        <x:v>Afficher source, version et limite avant lancement d’une reconstruction.</x:v>
      </x:c>
      <x:c r="H8" s="7" t="str">
        <x:v>Conserver une URL consultable et une note courte.</x:v>
      </x:c>
      <x:c r="I8" s="7" t="str">
        <x:v>Tablette à trois sections textuelles.</x:v>
      </x:c>
      <x:c r="J8" s="7" t="str"/>
      <x:c r="K8" s="7" t="str"/>
      <x:c r="L8" s="7" t="str"/>
      <x:c r="M8" s="7" t="str"/>
      <x:c r="N8" s="7" t="str">
        <x:v>Aucun lien interne de l’outil d’auteur n’apparaît dans le jeu.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CUT-PRP-MAKO</x:v>
      </x:c>
      <x:c r="B9" s="9" t="str">
        <x:v>Mako : rig de démonstration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Livrable de prototype.</x:v>
      </x:c>
      <x:c r="G9" s="9" t="str">
        <x:v>Châssis 3D, roues animées et passagers en sprites.</x:v>
      </x:c>
      <x:c r="H9" s="9" t="str">
        <x:v>Suspension proposée indépendante de la physique originale.</x:v>
      </x:c>
      <x:c r="I9" s="9" t="str">
        <x:v>Six roues et masse du véhicule à comparer.</x:v>
      </x:c>
      <x:c r="J9" s="9" t="str"/>
      <x:c r="K9" s="9" t="str"/>
      <x:c r="L9" s="9" t="str"/>
      <x:c r="M9" s="9" t="str"/>
      <x:c r="N9" s="9" t="str">
        <x:v>La silhouette et les pivots restent stables sur une pente.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9">
    <x:cfRule type="cellIs" dxfId="30" priority="3" operator="equal">
      <x:formula>"Validé"</x:formula>
    </x:cfRule>
  </x:conditionalFormatting>
  <x:conditionalFormatting sqref="E7:E9">
    <x:cfRule type="cellIs" dxfId="3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4b6e37bf64de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CUT-CASE-CHANDANA</x:v>
      </x:c>
      <x:c r="B7" s="9" t="str">
        <x:v>Dr Chandana comme boss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Affrontement coupé signalé.</x:v>
      </x:c>
      <x:c r="G7" s="9" t="str">
        <x:v>Prototype facultatif de confrontation à distance.</x:v>
      </x:c>
      <x:c r="H7" s="9" t="str">
        <x:v>Ne pas présenter les phases imaginées comme des attaques récupérées.</x:v>
      </x:c>
      <x:c r="I7" s="9" t="str">
        <x:v>Silhouette et transformation non fabriquées comme canon.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Dr Chandana comme boss</x:v>
      </x:c>
      <x:c r="Q7" s="9" t="str">
        <x:v>CUT-ME2</x:v>
      </x:c>
      <x:c r="R7" s="20" t="str">
        <x:v>https://masseffect.fandom.com/wiki/Mass_Effect_2_Cut_Content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CUT-CASE-TIM</x:v>
      </x:c>
      <x:c r="B8" s="7" t="str">
        <x:v>Boss de l’Homme Trouble</x:v>
      </x:c>
      <x:c r="C8" s="15" t="str">
        <x:v>Défini</x:v>
      </x:c>
      <x:c r="D8" s="17" t="str">
        <x:v>Concept abandonné</x:v>
      </x:c>
      <x:c r="E8" s="17" t="str">
        <x:v>P0</x:v>
      </x:c>
      <x:c r="F8" s="7" t="str">
        <x:v>Boss abandonné annoncé dans Final Hours.</x:v>
      </x:c>
      <x:c r="G8" s="7" t="str">
        <x:v>Créer une épreuve optionnelle en simulation de combat.</x:v>
      </x:c>
      <x:c r="H8" s="7" t="str">
        <x:v>Conserver la confrontation publiée dans le profil de référence.</x:v>
      </x:c>
      <x:c r="I8" s="7" t="str">
        <x:v>Concept à examiner avant toute silhouette définitive.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Boss de l’Homme Trouble</x:v>
      </x:c>
      <x:c r="Q8" s="7" t="str">
        <x:v>CUT-FINAL</x:v>
      </x:c>
      <x:c r="R8" s="21" t="str">
        <x:v>https://www.me3finalhours.com/</x:v>
      </x:c>
      <x:c r="S8" s="21" t="str">
        <x:v>Le niveau de preuve porte sur l’existence ou le statut de la piste, pas sur les détails du gameplay proposé.</x:v>
      </x:c>
    </x:row>
  </x:sheetData>
  <x:conditionalFormatting sqref="D7:D8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8">
    <x:cfRule type="cellIs" dxfId="34" priority="3" operator="equal">
      <x:formula>"Validé"</x:formula>
    </x:cfRule>
  </x:conditionalFormatting>
  <x:conditionalFormatting sqref="E7:E8">
    <x:cfRule type="cellIs" dxfId="3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92cf3bad24ad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CUT-CASE-GANGS</x:v>
      </x:c>
      <x:c r="B7" s="9" t="str">
        <x:v>Caleston: Last Man Standing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Mission coupée répertoriée.</x:v>
      </x:c>
      <x:c r="G7" s="9" t="str">
        <x:v>Dessiner une structure d’enquête sur les groupes du hub.</x:v>
      </x:c>
      <x:c r="H7" s="9" t="str">
        <x:v>Proposer infiltration, médiation ou combat, en les distinguant des scripts récupérés.</x:v>
      </x:c>
      <x:c r="I7" s="9" t="str">
        <x:v>Place commune, bureaux et locaux de stockage.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Caleston: Last Man Standing</x:v>
      </x:c>
      <x:c r="Q7" s="9" t="str">
        <x:v>CUT-CALESTON</x:v>
      </x:c>
      <x:c r="R7" s="20" t="str">
        <x:v>https://masseffect.fandom.com/wiki/Caleston_(Cut)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CUT-CASE-X57</x:v>
      </x:c>
      <x:c r="B8" s="7" t="str">
        <x:v>UNC: Bring Down the Sky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Version antérieure à X57.</x:v>
      </x:c>
      <x:c r="G8" s="7" t="str">
        <x:v>Comparer fonctions de mission conservées et supprimées.</x:v>
      </x:c>
      <x:c r="H8" s="7" t="str">
        <x:v>Séparer deux modules pour éviter le doublon de récompenses et de décisions.</x:v>
      </x:c>
      <x:c r="I8" s="7" t="str">
        <x:v>Astéroïde et installations comparés aux niveaux publiés.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UNC: Bring Down the Sky</x:v>
      </x:c>
      <x:c r="Q8" s="7" t="str">
        <x:v>CUT-ME1</x:v>
      </x:c>
      <x:c r="R8" s="21" t="str">
        <x:v>https://masseffect.fandom.com/wiki/Mass_Effect_Cut_Content</x:v>
      </x:c>
      <x:c r="S8" s="21" t="str">
        <x:v>Piste issue d’index secondaires. Captures, fichiers ou témoignages primaires requis avant reclassification.</x:v>
      </x:c>
    </x:row>
    <x:row r="9" ht="44" customHeight="1">
      <x:c r="A9" s="18" t="str">
        <x:v>CUT-CASE-KASUMI</x:v>
      </x:c>
      <x:c r="B9" s="9" t="str">
        <x:v>Recrutement de Kasumi sur Illium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Variante de recrutement signalée.</x:v>
      </x:c>
      <x:c r="G9" s="9" t="str">
        <x:v>Parcours de toits et fuite avec tirs venus du ciel.</x:v>
      </x:c>
      <x:c r="H9" s="9" t="str">
        <x:v>Gardes de sécurité et accès ne changent pas le recrutement publié sans profil alternatif.</x:v>
      </x:c>
      <x:c r="I9" s="9" t="str">
        <x:v>Terrasses urbaines et passerelles.</x:v>
      </x:c>
      <x:c r="J9" s="9" t="str"/>
      <x:c r="K9" s="9" t="str"/>
      <x:c r="L9" s="9" t="str"/>
      <x:c r="M9" s="9" t="str">
        <x:v>Activation facultative dans un profil alternatif. La campagne de référence reste sélectionnable.</x:v>
      </x:c>
      <x:c r="N9" s="9" t="str">
        <x:v>La fiche cite une provenance et ne présente pas sa reconstruction comme un contenu final officiel.</x:v>
      </x:c>
      <x:c r="O9" s="9" t="str"/>
      <x:c r="P9" s="9" t="str">
        <x:v>Recrutement de Kasumi sur Illium</x:v>
      </x:c>
      <x:c r="Q9" s="9" t="str">
        <x:v>CUT-ME2</x:v>
      </x:c>
      <x:c r="R9" s="20" t="str">
        <x:v>https://masseffect.fandom.com/wiki/Mass_Effect_2_Cut_Content</x:v>
      </x:c>
      <x:c r="S9" s="20" t="str">
        <x:v>Piste issue d’index secondaires. Captures, fichiers ou témoignages primaires requis avant reclassification.</x:v>
      </x:c>
    </x:row>
    <x:row r="10" ht="44" customHeight="1">
      <x:c r="A10" s="19" t="str">
        <x:v>CUT-CASE-ZAEED</x:v>
      </x:c>
      <x:c r="B10" s="7" t="str">
        <x:v>Recrutement de Zaeed sur Korlus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Variante de recrutement signalée.</x:v>
      </x:c>
      <x:c r="G10" s="7" t="str">
        <x:v>Parcours d’épave, rencontre et extraction.</x:v>
      </x:c>
      <x:c r="H10" s="7" t="str">
        <x:v>Séparer ce recrutement de la mission de loyauté.</x:v>
      </x:c>
      <x:c r="I10" s="7" t="str">
        <x:v>Ferraille, grues et carcasses.</x:v>
      </x:c>
      <x:c r="J10" s="7" t="str"/>
      <x:c r="K10" s="7" t="str"/>
      <x:c r="L10" s="7" t="str"/>
      <x:c r="M10" s="7" t="str">
        <x:v>Activation facultative dans un profil alternatif. La campagne de référence reste sélectionnable.</x:v>
      </x:c>
      <x:c r="N10" s="7" t="str">
        <x:v>La fiche cite une provenance et ne présente pas sa reconstruction comme un contenu final officiel.</x:v>
      </x:c>
      <x:c r="O10" s="7" t="str"/>
      <x:c r="P10" s="7" t="str">
        <x:v>Recrutement de Zaeed sur Korlus</x:v>
      </x:c>
      <x:c r="Q10" s="7" t="str">
        <x:v>CUT-ME2</x:v>
      </x:c>
      <x:c r="R10" s="21" t="str">
        <x:v>https://masseffect.fandom.com/wiki/Mass_Effect_2_Cut_Content</x:v>
      </x:c>
      <x:c r="S10" s="21" t="str">
        <x:v>Piste issue d’index secondaires. Captures, fichiers ou témoignages primaires requis avant reclassification.</x:v>
      </x:c>
    </x:row>
  </x:sheetData>
  <x:conditionalFormatting sqref="D7:D10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0">
    <x:cfRule type="cellIs" dxfId="38" priority="3" operator="equal">
      <x:formula>"Validé"</x:formula>
    </x:cfRule>
  </x:conditionalFormatting>
  <x:conditionalFormatting sqref="E7:E10">
    <x:cfRule type="cellIs" dxfId="3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e4b3a0e1f0426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CUT-CASE-GLOBAL1</x:v>
      </x:c>
      <x:c r="B7" s="9" t="str">
        <x:v>Global Plot 1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Piste de mission inutilisée.</x:v>
      </x:c>
      <x:c r="G7" s="9" t="str">
        <x:v>Enquête optionnelle sur des sujets biotiques, avec preuves et issues de protection.</x:v>
      </x:c>
      <x:c r="H7" s="9" t="str">
        <x:v>Ne reprendre aucun nom ou dénouement absent d’une source vérifiée.</x:v>
      </x:c>
      <x:c r="I7" s="9" t="str">
        <x:v>Laboratoire et refuge conçus comme espaces contrastés.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Global Plot 1</x:v>
      </x:c>
      <x:c r="Q7" s="9" t="str">
        <x:v>CUT-ME1</x:v>
      </x:c>
      <x:c r="R7" s="20" t="str">
        <x:v>https://masseffect.fandom.com/wiki/Mass_Effect_Cut_Content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CUT-CASE-GLOBAL2</x:v>
      </x:c>
      <x:c r="B8" s="7" t="str">
        <x:v>Global Plot 2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Piste de mission inutilisée.</x:v>
      </x:c>
      <x:c r="G8" s="7" t="str">
        <x:v>Enquête économique sur un système automatisé, avec simulation abstraite.</x:v>
      </x:c>
      <x:c r="H8" s="7" t="str">
        <x:v>Les décisions portent sur des flux fictifs, sans règles financières réelles.</x:v>
      </x:c>
      <x:c r="I8" s="7" t="str">
        <x:v>Bureau de transactions, serveurs et cartes de données.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Global Plot 2</x:v>
      </x:c>
      <x:c r="Q8" s="7" t="str">
        <x:v>CUT-ME1</x:v>
      </x:c>
      <x:c r="R8" s="21" t="str">
        <x:v>https://masseffect.fandom.com/wiki/Mass_Effect_Cut_Content</x:v>
      </x:c>
      <x:c r="S8" s="21" t="str">
        <x:v>Piste issue d’index secondaires. Captures, fichiers ou témoignages primaires requis avant reclassification.</x:v>
      </x:c>
    </x:row>
    <x:row r="9" ht="44" customHeight="1">
      <x:c r="A9" s="18" t="str">
        <x:v>CUT-CASE-GLOBAL3</x:v>
      </x:c>
      <x:c r="B9" s="9" t="str">
        <x:v>Global Plot 3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Piste de conflit hanar/lystheni.</x:v>
      </x:c>
      <x:c r="G9" s="9" t="str">
        <x:v>Construire une médiation optionnelle en conservant un registre des inconnues.</x:v>
      </x:c>
      <x:c r="H9" s="9" t="str">
        <x:v>N’inventer ni culture complète ni position officielle des espèces.</x:v>
      </x:c>
      <x:c r="I9" s="9" t="str">
        <x:v>Deux ambassades temporaires, silhouettes à documenter.</x:v>
      </x:c>
      <x:c r="J9" s="9" t="str"/>
      <x:c r="K9" s="9" t="str"/>
      <x:c r="L9" s="9" t="str"/>
      <x:c r="M9" s="9" t="str">
        <x:v>Activation facultative dans un profil alternatif. La campagne de référence reste sélectionnable.</x:v>
      </x:c>
      <x:c r="N9" s="9" t="str">
        <x:v>La fiche cite une provenance et ne présente pas sa reconstruction comme un contenu final officiel.</x:v>
      </x:c>
      <x:c r="O9" s="9" t="str"/>
      <x:c r="P9" s="9" t="str">
        <x:v>Global Plot 3</x:v>
      </x:c>
      <x:c r="Q9" s="9" t="str">
        <x:v>CUT-ME1</x:v>
      </x:c>
      <x:c r="R9" s="20" t="str">
        <x:v>https://masseffect.fandom.com/wiki/Mass_Effect_Cut_Content</x:v>
      </x:c>
      <x:c r="S9" s="20" t="str">
        <x:v>Piste issue d’index secondaires. Captures, fichiers ou témoignages primaires requis avant reclassification.</x:v>
      </x:c>
    </x:row>
    <x:row r="10" ht="44" customHeight="1">
      <x:c r="A10" s="19" t="str">
        <x:v>CUT-CASE-REFINERY</x:v>
      </x:c>
      <x:c r="B10" s="7" t="str">
        <x:v>Caleston: Reactivate Production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Affectation coupée répertoriée.</x:v>
      </x:c>
      <x:c r="G10" s="7" t="str">
        <x:v>Réparer trois éléments de raffinerie avec accès interdépendants.</x:v>
      </x:c>
      <x:c r="H10" s="7" t="str">
        <x:v>Réglage original : une ressource d’alimentation partagée et trois sorties sûres.</x:v>
      </x:c>
      <x:c r="I10" s="7" t="str">
        <x:v>Pompes, valves et passerelles.</x:v>
      </x:c>
      <x:c r="J10" s="7" t="str"/>
      <x:c r="K10" s="7" t="str"/>
      <x:c r="L10" s="7" t="str"/>
      <x:c r="M10" s="7" t="str">
        <x:v>Activation facultative dans un profil alternatif. La campagne de référence reste sélectionnable.</x:v>
      </x:c>
      <x:c r="N10" s="7" t="str">
        <x:v>La fiche cite une provenance et ne présente pas sa reconstruction comme un contenu final officiel.</x:v>
      </x:c>
      <x:c r="O10" s="7" t="str"/>
      <x:c r="P10" s="7" t="str">
        <x:v>Caleston: Reactivate Production</x:v>
      </x:c>
      <x:c r="Q10" s="7" t="str">
        <x:v>CUT-CALESTON</x:v>
      </x:c>
      <x:c r="R10" s="21" t="str">
        <x:v>https://masseffect.fandom.com/wiki/Caleston_(Cut)</x:v>
      </x:c>
      <x:c r="S10" s="21" t="str">
        <x:v>Piste issue d’index secondaires. Captures, fichiers ou témoignages primaires requis avant reclassification.</x:v>
      </x:c>
    </x:row>
    <x:row r="11" ht="44" customHeight="1">
      <x:c r="A11" s="18" t="str">
        <x:v>CUT-CASE-MARS</x:v>
      </x:c>
      <x:c r="B11" s="9" t="str">
        <x:v>Projet DLC Mars</x:v>
      </x:c>
      <x:c r="C11" s="15" t="str">
        <x:v>Défini</x:v>
      </x:c>
      <x:c r="D11" s="16" t="str">
        <x:v>À vérifier</x:v>
      </x:c>
      <x:c r="E11" s="16" t="str">
        <x:v>P1</x:v>
      </x:c>
      <x:c r="F11" s="9" t="str">
        <x:v>Projet de DLC répertorié.</x:v>
      </x:c>
      <x:c r="G11" s="9" t="str">
        <x:v>Dossier d’un site de fouille, sans le confondre avec la mission Mars de ME3.</x:v>
      </x:c>
      <x:c r="H11" s="9" t="str">
        <x:v>Module autonome et chronologie dédiée.</x:v>
      </x:c>
      <x:c r="I11" s="9" t="str">
        <x:v>Dunes rouges, habitat pressurisé et fouille souterraine.</x:v>
      </x:c>
      <x:c r="J11" s="9" t="str"/>
      <x:c r="K11" s="9" t="str"/>
      <x:c r="L11" s="9" t="str"/>
      <x:c r="M11" s="9" t="str">
        <x:v>Activation facultative dans un profil alternatif. La campagne de référence reste sélectionnable.</x:v>
      </x:c>
      <x:c r="N11" s="9" t="str">
        <x:v>La fiche cite une provenance et ne présente pas sa reconstruction comme un contenu final officiel.</x:v>
      </x:c>
      <x:c r="O11" s="9" t="str"/>
      <x:c r="P11" s="9" t="str">
        <x:v>Projet DLC Mars</x:v>
      </x:c>
      <x:c r="Q11" s="9" t="str">
        <x:v>CUT-ME1</x:v>
      </x:c>
      <x:c r="R11" s="20" t="str">
        <x:v>https://masseffect.fandom.com/wiki/Mass_Effect_Cut_Content</x:v>
      </x:c>
      <x:c r="S11" s="20" t="str">
        <x:v>Piste issue d’index secondaires. Captures, fichiers ou témoignages primaires requis avant reclassification.</x:v>
      </x:c>
    </x:row>
    <x:row r="12" ht="44" customHeight="1">
      <x:c r="A12" s="19" t="str">
        <x:v>CUT-CASE-BRAIN</x:v>
      </x:c>
      <x:c r="B12" s="7" t="str">
        <x:v>Cerberus Brainchild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Projet de DLC répertorié.</x:v>
      </x:c>
      <x:c r="G12" s="7" t="str">
        <x:v>Dossier d’enquête séparé sur la structure de Cerberus envisagée à cette étape.</x:v>
      </x:c>
      <x:c r="H12" s="7" t="str">
        <x:v>Éviter de révéler rétroactivement des informations non connues de Shepard.</x:v>
      </x:c>
      <x:c r="I12" s="7" t="str">
        <x:v>Laboratoire discret et architecture civile.</x:v>
      </x:c>
      <x:c r="J12" s="7" t="str"/>
      <x:c r="K12" s="7" t="str"/>
      <x:c r="L12" s="7" t="str"/>
      <x:c r="M12" s="7" t="str">
        <x:v>Activation facultative dans un profil alternatif. La campagne de référence reste sélectionnable.</x:v>
      </x:c>
      <x:c r="N12" s="7" t="str">
        <x:v>La fiche cite une provenance et ne présente pas sa reconstruction comme un contenu final officiel.</x:v>
      </x:c>
      <x:c r="O12" s="7" t="str"/>
      <x:c r="P12" s="7" t="str">
        <x:v>Cerberus Brainchild</x:v>
      </x:c>
      <x:c r="Q12" s="7" t="str">
        <x:v>CUT-ME1</x:v>
      </x:c>
      <x:c r="R12" s="21" t="str">
        <x:v>https://masseffect.fandom.com/wiki/Mass_Effect_Cut_Content</x:v>
      </x:c>
      <x:c r="S12" s="21" t="str">
        <x:v>Piste issue d’index secondaires. Captures, fichiers ou témoignages primaires requis avant reclassification.</x:v>
      </x:c>
    </x:row>
    <x:row r="13" ht="44" customHeight="1">
      <x:c r="A13" s="18" t="str">
        <x:v>CUT-CASE-CORP</x:v>
      </x:c>
      <x:c r="B13" s="9" t="str">
        <x:v>Evil Corp</x:v>
      </x:c>
      <x:c r="C13" s="15" t="str">
        <x:v>Défini</x:v>
      </x:c>
      <x:c r="D13" s="16" t="str">
        <x:v>À vérifier</x:v>
      </x:c>
      <x:c r="E13" s="16" t="str">
        <x:v>P1</x:v>
      </x:c>
      <x:c r="F13" s="9" t="str">
        <x:v>Nom de travail de DLC répertorié.</x:v>
      </x:c>
      <x:c r="G13" s="9" t="str">
        <x:v>Concevoir un audit narratif de société fictive et des choix d’exposition des preuves.</x:v>
      </x:c>
      <x:c r="H13" s="9" t="str">
        <x:v>Aucune identité de PNJ ajoutée sans marquage original.</x:v>
      </x:c>
      <x:c r="I13" s="9" t="str">
        <x:v>Campus d’entreprise et aile de recherche.</x:v>
      </x:c>
      <x:c r="J13" s="9" t="str"/>
      <x:c r="K13" s="9" t="str"/>
      <x:c r="L13" s="9" t="str"/>
      <x:c r="M13" s="9" t="str">
        <x:v>Activation facultative dans un profil alternatif. La campagne de référence reste sélectionnable.</x:v>
      </x:c>
      <x:c r="N13" s="9" t="str">
        <x:v>La fiche cite une provenance et ne présente pas sa reconstruction comme un contenu final officiel.</x:v>
      </x:c>
      <x:c r="O13" s="9" t="str"/>
      <x:c r="P13" s="9" t="str">
        <x:v>Evil Corp</x:v>
      </x:c>
      <x:c r="Q13" s="9" t="str">
        <x:v>CUT-ME1</x:v>
      </x:c>
      <x:c r="R13" s="20" t="str">
        <x:v>https://masseffect.fandom.com/wiki/Mass_Effect_Cut_Content</x:v>
      </x:c>
      <x:c r="S13" s="20" t="str">
        <x:v>Piste issue d’index secondaires. Captures, fichiers ou témoignages primaires requis avant reclassification.</x:v>
      </x:c>
    </x:row>
  </x:sheetData>
  <x:conditionalFormatting sqref="D7:D13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3">
    <x:cfRule type="cellIs" dxfId="42" priority="3" operator="equal">
      <x:formula>"Validé"</x:formula>
    </x:cfRule>
  </x:conditionalFormatting>
  <x:conditionalFormatting sqref="E7:E13">
    <x:cfRule type="cellIs" dxfId="43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5024ad2ae1444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115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CUT-CASE-NIKET</x:v>
      </x:c>
      <x:c r="B7" s="9" t="str">
        <x:v>Niket peut survivre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Issue inutilisée suggérée par données.</x:v>
      </x:c>
      <x:c r="G7" s="9" t="str">
        <x:v>Créer un embranchement alternatif isolé.</x:v>
      </x:c>
      <x:c r="H7" s="9" t="str">
        <x:v>La survie reste dans un espace de sauvegarde distinct, sans prétendre au canon publié.</x:v>
      </x:c>
      <x:c r="I7" s="9" t="str">
        <x:v>Portrait de sortie et réaction de Miranda.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Niket peut survivre</x:v>
      </x:c>
      <x:c r="Q7" s="9" t="str">
        <x:v>CUT-ME2</x:v>
      </x:c>
      <x:c r="R7" s="20" t="str">
        <x:v>https://masseffect.fandom.com/wiki/Mass_Effect_2_Cut_Content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CUT-CASE-JACK</x:v>
      </x:c>
      <x:c r="B8" s="7" t="str">
        <x:v>Romance de Jack et Shepard féminin</x:v>
      </x:c>
      <x:c r="C8" s="15" t="str">
        <x:v>Défini</x:v>
      </x:c>
      <x:c r="D8" s="17" t="str">
        <x:v>Concept abandonné</x:v>
      </x:c>
      <x:c r="E8" s="17" t="str">
        <x:v>P1</x:v>
      </x:c>
      <x:c r="F8" s="7" t="str">
        <x:v>Restriction tardive décrite par son scénariste.</x:v>
      </x:c>
      <x:c r="G8" s="7" t="str">
        <x:v>Écrire une branche consentie avec scènes originales et drapeaux séparés.</x:v>
      </x:c>
      <x:c r="H8" s="7" t="str">
        <x:v>Ne pas considérer toutes les répliques doublées comme une romance finalisée.</x:v>
      </x:c>
      <x:c r="I8" s="7" t="str">
        <x:v>Expressions et gestuelle sans scène explicite nécessaire.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Romance de Jack et Shepard féminin</x:v>
      </x:c>
      <x:c r="Q8" s="7" t="str">
        <x:v>CUT-JACK</x:v>
      </x:c>
      <x:c r="R8" s="21" t="str">
        <x:v>https://www.gamespot.com/articles/mass-effect-2s-jack-was-supposed-to-be-pansexual-until-fox-news-got-in-the-way/1100-6486662/</x:v>
      </x:c>
      <x:c r="S8" s="21" t="str">
        <x:v>Le niveau de preuve porte sur l’existence ou le statut de la piste, pas sur les détails du gameplay proposé.</x:v>
      </x:c>
    </x:row>
  </x:sheetData>
  <x:conditionalFormatting sqref="D7:D8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8">
    <x:cfRule type="cellIs" dxfId="46" priority="3" operator="equal">
      <x:formula>"Validé"</x:formula>
    </x:cfRule>
  </x:conditionalFormatting>
  <x:conditionalFormatting sqref="E7:E8">
    <x:cfRule type="cellIs" dxfId="4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dd1ac3fc224d1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CUT-CASE-MORDINGRUNT</x:v>
      </x:c>
      <x:c r="B7" s="9" t="str">
        <x:v>Confrontation Mordin et Grunt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Échange abandonné signalé.</x:v>
      </x:c>
      <x:c r="G7" s="9" t="str">
        <x:v>Écrire une scène originale clairement indiquée comme reconstruction.</x:v>
      </x:c>
      <x:c r="H7" s="9" t="str">
        <x:v>Conditions de loyauté distinctes, médiation et tensions locales.</x:v>
      </x:c>
      <x:c r="I7" s="9" t="str">
        <x:v>Salon Normandy avec positions de dialogue stables.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Confrontation Mordin et Grunt</x:v>
      </x:c>
      <x:c r="Q7" s="9" t="str">
        <x:v>CUT-ME2</x:v>
      </x:c>
      <x:c r="R7" s="20" t="str">
        <x:v>https://masseffect.fandom.com/wiki/Mass_Effect_2_Cut_Content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CUT-DIA-SOURCE</x:v>
      </x:c>
      <x:c r="B8" s="7" t="str">
        <x:v>Du fragment au dialogue jouable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Méthode de reconstruction.</x:v>
      </x:c>
      <x:c r="G8" s="7" t="str">
        <x:v>Lister ce qui est attesté, ce qui manque et les raccords écrits pour le fan game.</x:v>
      </x:c>
      <x:c r="H8" s="7" t="str">
        <x:v>Ne pas remplir un trou avec une citation inventée.</x:v>
      </x:c>
      <x:c r="I8" s="7" t="str"/>
      <x:c r="J8" s="7" t="str"/>
      <x:c r="K8" s="7" t="str"/>
      <x:c r="L8" s="7" t="str"/>
      <x:c r="M8" s="7" t="str"/>
      <x:c r="N8" s="7" t="str">
        <x:v>Chaque raccord créé est traçable dans la fiche.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CUT-DIA-CONSENT</x:v>
      </x:c>
      <x:c r="B9" s="9" t="str">
        <x:v>Branche de romance alternative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Écriture originale.</x:v>
      </x:c>
      <x:c r="G9" s="9" t="str">
        <x:v>Inclure progression, consentement, refus et poursuite de l’amitié.</x:v>
      </x:c>
      <x:c r="H9" s="9" t="str">
        <x:v>Un refus bloque la relance automatique et conserve les missions communes.</x:v>
      </x:c>
      <x:c r="I9" s="9" t="str">
        <x:v>Portraits sobres et cadrage respectueux.</x:v>
      </x:c>
      <x:c r="J9" s="9" t="str"/>
      <x:c r="K9" s="9" t="str"/>
      <x:c r="L9" s="9" t="str"/>
      <x:c r="M9" s="9" t="str"/>
      <x:c r="N9" s="9" t="str">
        <x:v>Les quatre chemins fonctionnent sans bloquer la loyauté.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9">
    <x:cfRule type="cellIs" dxfId="50" priority="3" operator="equal">
      <x:formula>"Validé"</x:formula>
    </x:cfRule>
  </x:conditionalFormatting>
  <x:conditionalFormatting sqref="E7:E9">
    <x:cfRule type="cellIs" dxfId="5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76b661e32043e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8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CUT-CASE-ANDERSON</x:v>
      </x:c>
      <x:c r="B7" s="9" t="str">
        <x:v>Scène finale d’Anderson raccourcie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Raccourcissement attribué à Mac Walters par une transcription secondaire à contrôler.</x:v>
      </x:c>
      <x:c r="G7" s="9" t="str">
        <x:v>Montage alternatif à documenter avec repères de séquence.</x:v>
      </x:c>
      <x:c r="H7" s="9" t="str">
        <x:v>Ne pas copier une transcription complète ; écrire un storyboard de production.</x:v>
      </x:c>
      <x:c r="I7" s="9" t="str">
        <x:v>Cadre, pauses et durée à comparer aux prises originales.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Scène finale d’Anderson raccourcie</x:v>
      </x:c>
      <x:c r="Q7" s="9" t="str">
        <x:v>CUT-ANDERSON</x:v>
      </x:c>
      <x:c r="R7" s="20" t="str">
        <x:v>https://masseffect.fandom.com/wiki/The_Final_Hours_of_Mass_Effect_3/Chapter_10:_The_Darkest_Hours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CUT-CIN-COMPARE</x:v>
      </x:c>
      <x:c r="B8" s="7" t="str">
        <x:v>Avant, version publiée, reconstruction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Présentation de production.</x:v>
      </x:c>
      <x:c r="G8" s="7" t="str">
        <x:v>Comparer trois storyboards légendés, sans copier les scènes intégrales.</x:v>
      </x:c>
      <x:c r="H8" s="7" t="str">
        <x:v>Chaque vignette donne sa source ou son auteur.</x:v>
      </x:c>
      <x:c r="I8" s="7" t="str">
        <x:v>Mêmes cadrages de comparaison quand ils sont disponibles.</x:v>
      </x:c>
      <x:c r="J8" s="7" t="str"/>
      <x:c r="K8" s="7" t="str"/>
      <x:c r="L8" s="7" t="str"/>
      <x:c r="M8" s="7" t="str"/>
      <x:c r="N8" s="7" t="str">
        <x:v>Une différence ne disparaît pas derrière une mention vague de fidélité.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CUT-CIN-HORIZON</x:v>
      </x:c>
      <x:c r="B9" s="9" t="str">
        <x:v>Introduction civile alternative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Storyboard original.</x:v>
      </x:c>
      <x:c r="G9" s="9" t="str">
        <x:v>Plan du quartier, perception du danger, course vers abri, raccord de campagne.</x:v>
      </x:c>
      <x:c r="H9" s="9" t="str">
        <x:v>Durée et dialogues créés pour ce projet.</x:v>
      </x:c>
      <x:c r="I9" s="9" t="str">
        <x:v>Caméra proche du sol, pas de regard omniscient sur le plan ennemi.</x:v>
      </x:c>
      <x:c r="J9" s="9" t="str"/>
      <x:c r="K9" s="9" t="str"/>
      <x:c r="L9" s="9" t="str"/>
      <x:c r="M9" s="9" t="str"/>
      <x:c r="N9" s="9" t="str">
        <x:v>La scène ne révèle pas des informations que le personnage ne pouvait pas connaître.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9">
    <x:cfRule type="cellIs" dxfId="54" priority="3" operator="equal">
      <x:formula>"Validé"</x:formula>
    </x:cfRule>
  </x:conditionalFormatting>
  <x:conditionalFormatting sqref="E7:E9">
    <x:cfRule type="cellIs" dxfId="5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ef69bb440a473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CUT-WPN-JAVELIN</x:v>
      </x:c>
      <x:c r="B7" s="9" t="str">
        <x:v>Entrée de codex Javelin inutilisée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Entrée mentionnée par l’index ME1.</x:v>
      </x:c>
      <x:c r="G7" s="9" t="str">
        <x:v>Créer une fiche de recherche avant de concevoir une arme.</x:v>
      </x:c>
      <x:c r="H7" s="9" t="str">
        <x:v>Ne pas conclure qu’il s’agit du fusil Javelin publié ultérieurement.</x:v>
      </x:c>
      <x:c r="I7" s="9" t="str">
        <x:v>Aucune silhouette officielle attribuée sans preuve.</x:v>
      </x:c>
      <x:c r="J7" s="9" t="str"/>
      <x:c r="K7" s="9" t="str"/>
      <x:c r="L7" s="9" t="str"/>
      <x:c r="M7" s="9" t="str"/>
      <x:c r="N7" s="9" t="str">
        <x:v>Une homonymie ne devient pas une identité d’objet.</x:v>
      </x:c>
      <x:c r="O7" s="9" t="str"/>
      <x:c r="P7" s="9" t="str">
        <x:v>Conception du fan game</x:v>
      </x:c>
      <x:c r="Q7" s="9" t="str">
        <x:v>CUT-ME1</x:v>
      </x:c>
      <x:c r="R7" s="20" t="str">
        <x:v>https://masseffect.fandom.com/wiki/Mass_Effect_Cut_Content</x:v>
      </x:c>
      <x:c r="S7" s="20" t="str"/>
    </x:row>
    <x:row r="8" ht="44" customHeight="1">
      <x:c r="A8" s="19" t="str">
        <x:v>CUT-WPN-SIM</x:v>
      </x:c>
      <x:c r="B8" s="7" t="str">
        <x:v>Armes du prototype Team Assault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Inventaire non relevé dans ce dossier.</x:v>
      </x:c>
      <x:c r="G8" s="7" t="str">
        <x:v>Utiliser des armes de test explicitement génériques pour l’arène.</x:v>
      </x:c>
      <x:c r="H8" s="7" t="str">
        <x:v>Pas de modèle, cadence ou équilibrage récupéré prétendu.</x:v>
      </x:c>
      <x:c r="I8" s="7" t="str">
        <x:v>Fusils simples distingués par longueur et portée proposée.</x:v>
      </x:c>
      <x:c r="J8" s="7" t="str"/>
      <x:c r="K8" s="7" t="str"/>
      <x:c r="L8" s="7" t="str"/>
      <x:c r="M8" s="7" t="str"/>
      <x:c r="N8" s="7" t="str">
        <x:v>Le menu affiche arme de simulation jusqu’à identification primaire.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8">
    <x:cfRule type="cellIs" dxfId="58" priority="3" operator="equal">
      <x:formula>"Validé"</x:formula>
    </x:cfRule>
  </x:conditionalFormatting>
  <x:conditionalFormatting sqref="E7:E8">
    <x:cfRule type="cellIs" dxfId="5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7dd449891c4f56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CUT-EQ-VEHICLE</x:v>
      </x:c>
      <x:c r="B7" s="9" t="str">
        <x:v>Améliorations de véhicule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Piste d’équipement signalée.</x:v>
      </x:c>
      <x:c r="G7" s="9" t="str">
        <x:v>Séparer blindage et boucliers dans un prototype local.</x:v>
      </x:c>
      <x:c r="H7" s="9" t="str">
        <x:v>Réglages proposés ; aucune économie prétendument restaurée.</x:v>
      </x:c>
      <x:c r="I7" s="9" t="str">
        <x:v>Icônes véhicule lisibles.</x:v>
      </x:c>
      <x:c r="J7" s="9" t="str"/>
      <x:c r="K7" s="9" t="str"/>
      <x:c r="L7" s="9" t="str"/>
      <x:c r="M7" s="9" t="str"/>
      <x:c r="N7" s="9" t="str">
        <x:v>Le catalogue note le fichier ou document qui confirmerait chaque modificateur.</x:v>
      </x:c>
      <x:c r="O7" s="9" t="str"/>
      <x:c r="P7" s="9" t="str">
        <x:v>Conception du fan game</x:v>
      </x:c>
      <x:c r="Q7" s="9" t="str">
        <x:v>CUT-ME1</x:v>
      </x:c>
      <x:c r="R7" s="20" t="str">
        <x:v>https://masseffect.fandom.com/wiki/Mass_Effect_Cut_Content</x:v>
      </x:c>
      <x:c r="S7" s="20" t="str"/>
    </x:row>
    <x:row r="8" ht="44" customHeight="1">
      <x:c r="A8" s="19" t="str">
        <x:v>CUT-EQ-PROVENANCE</x:v>
      </x:c>
      <x:c r="B8" s="7" t="str">
        <x:v>Identifiant de version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Outil de production.</x:v>
      </x:c>
      <x:c r="G8" s="7" t="str">
        <x:v>Associer un manifeste de référence à chaque asset reconstruit.</x:v>
      </x:c>
      <x:c r="H8" s="7" t="str">
        <x:v>Version de jeu, langue, numéro de séquence et nature du travail.</x:v>
      </x:c>
      <x:c r="I8" s="7" t="str"/>
      <x:c r="J8" s="7" t="str"/>
      <x:c r="K8" s="7" t="str"/>
      <x:c r="L8" s="7" t="str"/>
      <x:c r="M8" s="7" t="str"/>
      <x:c r="N8" s="7" t="str">
        <x:v>On peut retrouver l’origine d’un asset sans ouvrir son fichier graphique.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8">
    <x:cfRule type="cellIs" dxfId="62" priority="3" operator="equal">
      <x:formula>"Validé"</x:formula>
    </x:cfRule>
  </x:conditionalFormatting>
  <x:conditionalFormatting sqref="E7:E8">
    <x:cfRule type="cellIs" dxfId="6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9d91fbd8fa4e2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CUT-CASE-ROUT</x:v>
      </x:c>
      <x:c r="B7" s="9" t="str">
        <x:v>Rout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Talent inutilisé répertorié.</x:v>
      </x:c>
      <x:c r="G7" s="9" t="str">
        <x:v>Définir une variante de démoralisation uniquement comme hypothèse de gameplay.</x:v>
      </x:c>
      <x:c r="H7" s="9" t="str">
        <x:v>Valeur proposée : retarder une action légère ; immunité des boss affichée.</x:v>
      </x:c>
      <x:c r="I7" s="9" t="str">
        <x:v>Onde courte et réaction de recul.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Rout</x:v>
      </x:c>
      <x:c r="Q7" s="9" t="str">
        <x:v>CUT-ME1</x:v>
      </x:c>
      <x:c r="R7" s="20" t="str">
        <x:v>https://masseffect.fandom.com/wiki/Mass_Effect_Cut_Content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CUT-CASE-CAMO</x:v>
      </x:c>
      <x:c r="B8" s="7" t="str">
        <x:v>Camouflage de ME1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Talent inutilisé répertorié.</x:v>
      </x:c>
      <x:c r="G8" s="7" t="str">
        <x:v>Tester une furtivité courte compatible avec caméra fixe.</x:v>
      </x:c>
      <x:c r="H8" s="7" t="str">
        <x:v>Ne pas importer automatiquement les règles du camouflage de ME2.</x:v>
      </x:c>
      <x:c r="I8" s="7" t="str">
        <x:v>Liseré de silhouette et désaturation.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Camouflage de ME1</x:v>
      </x:c>
      <x:c r="Q8" s="7" t="str">
        <x:v>CUT-ME1</x:v>
      </x:c>
      <x:c r="R8" s="21" t="str">
        <x:v>https://masseffect.fandom.com/wiki/Mass_Effect_Cut_Content</x:v>
      </x:c>
      <x:c r="S8" s="21" t="str">
        <x:v>Piste issue d’index secondaires. Captures, fichiers ou témoignages primaires requis avant reclassification.</x:v>
      </x:c>
    </x:row>
  </x:sheetData>
  <x:conditionalFormatting sqref="D7:D8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8">
    <x:cfRule type="cellIs" dxfId="66" priority="3" operator="equal">
      <x:formula>"Validé"</x:formula>
    </x:cfRule>
  </x:conditionalFormatting>
  <x:conditionalFormatting sqref="E7:E8">
    <x:cfRule type="cellIs" dxfId="6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37751ad4f40a1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CUT-MOV-LILITH</x:v>
      </x:c>
      <x:c r="B7" s="9" t="str">
        <x:v>Évacuer un voisin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originale pour la piste Lilith.</x:v>
      </x:c>
      <x:c r="G7" s="9" t="str">
        <x:v>Choisir entre avertir, déplacer un obstacle et rejoindre l’abri.</x:v>
      </x:c>
      <x:c r="H7" s="9" t="str">
        <x:v>Pas d’attaque biotique attribuée sans source.</x:v>
      </x:c>
      <x:c r="I7" s="9" t="str">
        <x:v>Bras tendu, geste de guidage et posture basse.</x:v>
      </x:c>
      <x:c r="J7" s="9" t="str"/>
      <x:c r="K7" s="9" t="str"/>
      <x:c r="L7" s="9" t="str"/>
      <x:c r="M7" s="9" t="str"/>
      <x:c r="N7" s="9" t="str">
        <x:v>Chaque commande explique son effet avant la validation.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CUT-MOV-LEGION</x:v>
      </x:c>
      <x:c r="B8" s="7" t="str">
        <x:v>Analyse anticipée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originale pour un Legion recruté tôt.</x:v>
      </x:c>
      <x:c r="G8" s="7" t="str">
        <x:v>Révéler une route de tir à un allié.</x:v>
      </x:c>
      <x:c r="H8" s="7" t="str">
        <x:v>Aucune nouvelle capacité n’est qualifiée de retrouvée.</x:v>
      </x:c>
      <x:c r="I8" s="7" t="str">
        <x:v>Lumière optique et panneau de visée.</x:v>
      </x:c>
      <x:c r="J8" s="7" t="str"/>
      <x:c r="K8" s="7" t="str"/>
      <x:c r="L8" s="7" t="str"/>
      <x:c r="M8" s="7" t="str"/>
      <x:c r="N8" s="7" t="str">
        <x:v>Une cible hors champ n’est pas endommagée par le seul diagnostic.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CUT-MOV-INTERRUPT</x:v>
      </x:c>
      <x:c r="B9" s="9" t="str">
        <x:v>Intervenir dans une conversation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Prototype d’action.</x:v>
      </x:c>
      <x:c r="G9" s="9" t="str">
        <x:v>Prévisualiser intention et temps disponible.</x:v>
      </x:c>
      <x:c r="H9" s="9" t="str">
        <x:v>Option sans limite de temps pour accessibilité.</x:v>
      </x:c>
      <x:c r="I9" s="9" t="str">
        <x:v>Geste court puis reprise de l’écoute.</x:v>
      </x:c>
      <x:c r="J9" s="9" t="str"/>
      <x:c r="K9" s="9" t="str"/>
      <x:c r="L9" s="9" t="str"/>
      <x:c r="M9" s="9" t="str"/>
      <x:c r="N9" s="9" t="str">
        <x:v>Une interruption ne supprime pas une réponse nécessaire à la quête.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9">
    <x:cfRule type="cellIs" dxfId="70" priority="3" operator="equal">
      <x:formula>"Validé"</x:formula>
    </x:cfRule>
  </x:conditionalFormatting>
  <x:conditionalFormatting sqref="E7:E9">
    <x:cfRule type="cellIs" dxfId="7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07070c0ca94d1a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CUT-EMV-TIM</x:v>
      </x:c>
      <x:c r="B7" s="9" t="str">
        <x:v>Simulation du boss abandonné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Moveset original, non retrouvé.</x:v>
      </x:c>
      <x:c r="G7" s="9" t="str">
        <x:v>Trois phases abstraites : pression, rupture de soutien, fenêtre finale.</x:v>
      </x:c>
      <x:c r="H7" s="9" t="str">
        <x:v>Signaler chaque transition ; éviter les attaques punitives sans contre.</x:v>
      </x:c>
      <x:c r="I7" s="9" t="str">
        <x:v>Silhouette provisoire jusqu’à étude des concepts.</x:v>
      </x:c>
      <x:c r="J7" s="9" t="str"/>
      <x:c r="K7" s="9" t="str"/>
      <x:c r="L7" s="9" t="str"/>
      <x:c r="M7" s="9" t="str"/>
      <x:c r="N7" s="9" t="str">
        <x:v>Le titre du combat mentionne la reconstruction.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CUT-EMV-CHANDANA</x:v>
      </x:c>
      <x:c r="B8" s="7" t="str">
        <x:v>Épreuve du chercheur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Moveset original pour piste de boss.</x:v>
      </x:c>
      <x:c r="G8" s="7" t="str">
        <x:v>Attaques via dispositifs environnants plutôt qu’un pouvoir attribué sans preuve.</x:v>
      </x:c>
      <x:c r="H8" s="7" t="str">
        <x:v>Couper deux relais, puis atteindre un dialogue de sortie.</x:v>
      </x:c>
      <x:c r="I8" s="7" t="str">
        <x:v>Consoles et signaux au sol.</x:v>
      </x:c>
      <x:c r="J8" s="7" t="str"/>
      <x:c r="K8" s="7" t="str"/>
      <x:c r="L8" s="7" t="str"/>
      <x:c r="M8" s="7" t="str"/>
      <x:c r="N8" s="7" t="str">
        <x:v>Le boss ne reste pas invincible après destruction des relais.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CUT-EMV-GUNSHIP</x:v>
      </x:c>
      <x:c r="B9" s="9" t="str">
        <x:v>Poursuite aérienne sur Illium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Moveset original de poursuite.</x:v>
      </x:c>
      <x:c r="G9" s="9" t="str">
        <x:v>Balayage horizontal, pause d’observation, salve ciblée.</x:v>
      </x:c>
      <x:c r="H9" s="9" t="str">
        <x:v>Le joueur passe d’un abri au suivant pendant la pause.</x:v>
      </x:c>
      <x:c r="I9" s="9" t="str">
        <x:v>Faisceau d’alerte large.</x:v>
      </x:c>
      <x:c r="J9" s="9" t="str"/>
      <x:c r="K9" s="9" t="str"/>
      <x:c r="L9" s="9" t="str"/>
      <x:c r="M9" s="9" t="str"/>
      <x:c r="N9" s="9" t="str">
        <x:v>Toutes les plateformes possèdent un abri utilisable.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9">
    <x:cfRule type="cellIs" dxfId="74" priority="3" operator="equal">
      <x:formula>"Validé"</x:formula>
    </x:cfRule>
  </x:conditionalFormatting>
  <x:conditionalFormatting sqref="E7:E9">
    <x:cfRule type="cellIs" dxfId="7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0eacb5aa4e4865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CUT-ANM-RECOVER</x:v>
      </x:c>
      <x:c r="B7" s="9" t="str">
        <x:v>Animation retrouvée ou refaite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Règle de nomenclature.</x:v>
      </x:c>
      <x:c r="G7" s="9" t="str">
        <x:v>Nommer original documenté, restauration partielle ou animation nouvelle.</x:v>
      </x:c>
      <x:c r="H7" s="9" t="str">
        <x:v>Conserver les versions sans écraser la trace de provenance.</x:v>
      </x:c>
      <x:c r="I7" s="9" t="str">
        <x:v>Contact sheet avec pivots et silhouette.</x:v>
      </x:c>
      <x:c r="J7" s="9" t="str"/>
      <x:c r="K7" s="9" t="str"/>
      <x:c r="L7" s="9" t="str"/>
      <x:c r="M7" s="9" t="str"/>
      <x:c r="N7" s="9" t="str">
        <x:v>Aucun rendu neuf n’est présenté comme un asset extrait.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CUT-ANM-ANDERSON</x:v>
      </x:c>
      <x:c r="B8" s="7" t="str">
        <x:v>Pauses et regards du montage alternatif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Plan de travail proposé.</x:v>
      </x:c>
      <x:c r="G8" s="7" t="str">
        <x:v>Chronométrer les gestes observés, puis dessiner une adaptation abrégée.</x:v>
      </x:c>
      <x:c r="H8" s="7" t="str">
        <x:v>Pas d’invention de durée officielle.</x:v>
      </x:c>
      <x:c r="I8" s="7" t="str">
        <x:v>Positions assises, regard et respiration.</x:v>
      </x:c>
      <x:c r="J8" s="7" t="str"/>
      <x:c r="K8" s="7" t="str"/>
      <x:c r="L8" s="7" t="str"/>
      <x:c r="M8" s="7" t="str"/>
      <x:c r="N8" s="7" t="str">
        <x:v>Le storyboard cite la version examinée pour chaque timing.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CUT-ANM-MAKO</x:v>
      </x:c>
      <x:c r="B9" s="9" t="str">
        <x:v>Suspension et tourelle du Mako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Animation de reconstruction.</x:v>
      </x:c>
      <x:c r="G9" s="9" t="str">
        <x:v>Axes de roues, débattement limité et rotation indépendante.</x:v>
      </x:c>
      <x:c r="H9" s="9" t="str">
        <x:v>Vérifier que la tourelle ne tourne pas dans la cabine.</x:v>
      </x:c>
      <x:c r="I9" s="9" t="str">
        <x:v>Ombres de contact sous chaque roue.</x:v>
      </x:c>
      <x:c r="J9" s="9" t="str"/>
      <x:c r="K9" s="9" t="str"/>
      <x:c r="L9" s="9" t="str"/>
      <x:c r="M9" s="9" t="str"/>
      <x:c r="N9" s="9" t="str">
        <x:v>Aucun flottement durable après l’arrêt.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9">
    <x:cfRule type="cellIs" dxfId="78" priority="3" operator="equal">
      <x:formula>"Validé"</x:formula>
    </x:cfRule>
  </x:conditionalFormatting>
  <x:conditionalFormatting sqref="E7:E9">
    <x:cfRule type="cellIs" dxfId="79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b0d5b88104681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8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CUT-SPR-LILITH</x:v>
      </x:c>
      <x:c r="B7" s="9" t="str">
        <x:v>Lilith : atlas civil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Livrable original.</x:v>
      </x:c>
      <x:c r="G7" s="9" t="str">
        <x:v>Marche, course, alerte, aide et refuge ; pas de poses armées sans source.</x:v>
      </x:c>
      <x:c r="H7" s="9" t="str">
        <x:v>Réglage proposé : 8 directions de déplacement.</x:v>
      </x:c>
      <x:c r="I7" s="9" t="str">
        <x:v>Costume à vérifier sur la version publiée avant production.</x:v>
      </x:c>
      <x:c r="J7" s="9" t="str"/>
      <x:c r="K7" s="9" t="str"/>
      <x:c r="L7" s="9" t="str"/>
      <x:c r="M7" s="9" t="str"/>
      <x:c r="N7" s="9" t="str">
        <x:v>Chaque pose reste cohérente avec le rôle de civil.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CUT-SPR-CALESTON</x:v>
      </x:c>
      <x:c r="B8" s="7" t="str">
        <x:v>Figurants miniers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Livrable original.</x:v>
      </x:c>
      <x:c r="G8" s="7" t="str">
        <x:v>Trois tenues de travail et variantes de port d’outil.</x:v>
      </x:c>
      <x:c r="H8" s="7" t="str">
        <x:v>Aucun nom de personnage officiel attribué aux variantes génériques.</x:v>
      </x:c>
      <x:c r="I8" s="7" t="str">
        <x:v>Palette charbon, jaune de travail et poussière.</x:v>
      </x:c>
      <x:c r="J8" s="7" t="str"/>
      <x:c r="K8" s="7" t="str"/>
      <x:c r="L8" s="7" t="str"/>
      <x:c r="M8" s="7" t="str"/>
      <x:c r="N8" s="7" t="str">
        <x:v>Silhouettes lisibles sans recycler le même visage.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CUT-SPR-LEGION</x:v>
      </x:c>
      <x:c r="B9" s="9" t="str">
        <x:v>Legion : réactions supplémentaires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Livrable original.</x:v>
      </x:c>
      <x:c r="G9" s="9" t="str">
        <x:v>Poses d’observation et portraits pour scènes alternatives.</x:v>
      </x:c>
      <x:c r="H9" s="9" t="str">
        <x:v>Pas de variation de corps liée à une ligne vocale inexistante.</x:v>
      </x:c>
      <x:c r="I9" s="9" t="str">
        <x:v>Capteur, câbles et asymétrie à comparer aux références.</x:v>
      </x:c>
      <x:c r="J9" s="9" t="str"/>
      <x:c r="K9" s="9" t="str"/>
      <x:c r="L9" s="9" t="str"/>
      <x:c r="M9" s="9" t="str"/>
      <x:c r="N9" s="9" t="str">
        <x:v>Les portraits restent conformes au modèle utilisé dans ME2.</x:v>
      </x:c>
      <x:c r="O9" s="9" t="str"/>
      <x:c r="P9" s="9" t="str">
        <x:v>Conception du fan game</x:v>
      </x:c>
      <x:c r="Q9" s="9" t="str"/>
      <x:c r="R9" s="20" t="str"/>
      <x:c r="S9" s="20" t="str"/>
    </x:row>
    <x:row r="10" ht="44" customHeight="1">
      <x:c r="A10" s="19" t="str">
        <x:v>CUT-SPR-ARCHIVE</x:v>
      </x:c>
      <x:c r="B10" s="7" t="str">
        <x:v>Panneaux et vignettes du dossier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Livrable original.</x:v>
      </x:c>
      <x:c r="G10" s="7" t="str">
        <x:v>Une vignette par type de preuve, accompagnée d’un libellé.</x:v>
      </x:c>
      <x:c r="H10" s="7" t="str">
        <x:v>Ne pas utiliser la couleur comme seul niveau de preuve.</x:v>
      </x:c>
      <x:c r="I10" s="7" t="str">
        <x:v>Document, voix, plan, concept, prototype.</x:v>
      </x:c>
      <x:c r="J10" s="7" t="str"/>
      <x:c r="K10" s="7" t="str"/>
      <x:c r="L10" s="7" t="str"/>
      <x:c r="M10" s="7" t="str"/>
      <x:c r="N10" s="7" t="str">
        <x:v>Le sens des icônes est expliqué dans l’interface.</x:v>
      </x:c>
      <x:c r="O10" s="7" t="str"/>
      <x:c r="P10" s="7" t="str">
        <x:v>Conception du fan game</x:v>
      </x:c>
      <x:c r="Q10" s="7" t="str"/>
      <x:c r="R10" s="21" t="str"/>
      <x:c r="S10" s="21" t="str"/>
    </x:row>
    <x:row r="11" ht="54" customHeight="1">
      <x:c r="A11" s="18" t="str">
        <x:v>CUT-ASSET-CASE-LILITH</x:v>
      </x:c>
      <x:c r="B11" s="9" t="str">
        <x:v>Atlas d’évacuation : Lilith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Livrable graphique proposé.</x:v>
      </x:c>
      <x:c r="G11" s="9" t="str">
        <x:v>Construire les poses civiles nécessaires au secours et à la fuite.</x:v>
      </x:c>
      <x:c r="H11" s="9" t="str">
        <x:v>Attente, alerte, marche, course, appel, aide et mise à l’abri ; aucune pose armée ni attaque ajoutée.</x:v>
      </x:c>
      <x:c r="I11" s="9" t="str">
        <x:v>Tenue coloniale à relever, gestes de fuite.</x:v>
      </x:c>
      <x:c r="J11" s="9" t="str">
        <x:v>Huit directions pour marche et course ; gestes d’aide en trois-quarts et transition vers le refuge.</x:v>
      </x:c>
      <x:c r="K11" s="9" t="str"/>
      <x:c r="L11" s="9" t="str">
        <x:v>Livrable prévu : atlas cut_case-lilith, métadonnées des pivots et fichier de référence visuelle.</x:v>
      </x:c>
      <x:c r="M11" s="9" t="str">
        <x:v>Référence visuelle validée avant les variantes. Les cases manquantes sont suivies explicitement.</x:v>
      </x:c>
      <x:c r="N11" s="9" t="str">
        <x:v>La silhouette reste civile ; chaque geste correspond à une commande d’évacuation et conserve le pivot aux pieds.</x:v>
      </x:c>
      <x:c r="O11" s="9" t="str">
        <x:v>CUT-CASE-LILITH</x:v>
      </x:c>
      <x:c r="P11" s="9" t="str">
        <x:v>Conception du fan game</x:v>
      </x:c>
      <x:c r="Q11" s="9" t="str"/>
      <x:c r="R11" s="20" t="str"/>
      <x:c r="S11" s="20" t="str">
        <x:v>Fiche de production uniquement. Aucun sprite supplémentaire n’a été généré par ce classeur.</x:v>
      </x:c>
    </x:row>
    <x:row r="12" ht="68" customHeight="1">
      <x:c r="A12" s="19" t="str">
        <x:v>CUT-ASSET-CASE-CHANDANA</x:v>
      </x:c>
      <x:c r="B12" s="7" t="str">
        <x:v>Atlas de combat : Dr Chandana comme boss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Livrable graphique proposé.</x:v>
      </x:c>
      <x:c r="G12" s="7" t="str">
        <x:v>Construire les poses de Dr Chandana comme boss nécessaires à sa boucle de combat.</x:v>
      </x:c>
      <x:c r="H12" s="7" t="str">
        <x:v>Proposition : attente, anticipation, attaque, impact, rupture et sortie. La boucle à rendre lisible est : Ne pas présenter les phases imaginées comme des attaques récupérées.</x:v>
      </x:c>
      <x:c r="I12" s="7" t="str">
        <x:v>Silhouette et transformation non fabriquées comme canon.</x:v>
      </x:c>
      <x:c r="J12" s="7" t="str">
        <x:v>Huit directions pour les unités mobiles ; vue fixe possible pour un boss ancré. Événements d’impact séparés des poses.</x:v>
      </x:c>
      <x:c r="K12" s="7" t="str"/>
      <x:c r="L12" s="7" t="str">
        <x:v>Livrable prévu : atlas cut_case-chandana, métadonnées des pivots et fichier de référence visuelle.</x:v>
      </x:c>
      <x:c r="M12" s="7" t="str">
        <x:v>Référence visuelle validée avant les variantes. Les cases manquantes sont suivies explicitement.</x:v>
      </x:c>
      <x:c r="N12" s="7" t="str">
        <x:v>Le télégraphe de Dr Chandana comme boss reste identifiable en silhouette ; aucune pose ne change le pivot aux pieds.</x:v>
      </x:c>
      <x:c r="O12" s="7" t="str">
        <x:v>CUT-CASE-CHANDANA</x:v>
      </x:c>
      <x:c r="P12" s="7" t="str">
        <x:v>Conception du fan game</x:v>
      </x:c>
      <x:c r="Q12" s="7" t="str"/>
      <x:c r="R12" s="21" t="str"/>
      <x:c r="S12" s="21" t="str">
        <x:v>Fiche de production uniquement. Aucun sprite supplémentaire n’a été généré par ce classeur.</x:v>
      </x:c>
    </x:row>
    <x:row r="13" ht="68" customHeight="1">
      <x:c r="A13" s="18" t="str">
        <x:v>CUT-ASSET-CASE-LEGION</x:v>
      </x:c>
      <x:c r="B13" s="9" t="str">
        <x:v>Atlas de combat : Acquisition précoce de Legion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Livrable graphique proposé.</x:v>
      </x:c>
      <x:c r="G13" s="9" t="str">
        <x:v>Construire les poses de Acquisition précoce de Legion nécessaires à sa boucle de combat.</x:v>
      </x:c>
      <x:c r="H13" s="9" t="str">
        <x:v>Proposition : attente, anticipation, attaque, impact, rupture et sortie. La boucle à rendre lisible est : Chaque réaction exige une référence ; une ligne absente n’est pas remplacée par une imitation officielle.</x:v>
      </x:c>
      <x:c r="I13" s="9" t="str">
        <x:v>Sprite et portrait déjà définis dans le module ME2 à adapter.</x:v>
      </x:c>
      <x:c r="J13" s="9" t="str">
        <x:v>Huit directions pour les unités mobiles ; vue fixe possible pour un boss ancré. Événements d’impact séparés des poses.</x:v>
      </x:c>
      <x:c r="K13" s="9" t="str"/>
      <x:c r="L13" s="9" t="str">
        <x:v>Livrable prévu : atlas cut_case-legion, métadonnées des pivots et fichier de référence visuelle.</x:v>
      </x:c>
      <x:c r="M13" s="9" t="str">
        <x:v>Référence visuelle validée avant les variantes. Les cases manquantes sont suivies explicitement.</x:v>
      </x:c>
      <x:c r="N13" s="9" t="str">
        <x:v>Le télégraphe de Acquisition précoce de Legion reste identifiable en silhouette ; aucune pose ne change le pivot aux pieds.</x:v>
      </x:c>
      <x:c r="O13" s="9" t="str">
        <x:v>CUT-CASE-LEGION</x:v>
      </x:c>
      <x:c r="P13" s="9" t="str">
        <x:v>Conception du fan game</x:v>
      </x:c>
      <x:c r="Q13" s="9" t="str"/>
      <x:c r="R13" s="20" t="str"/>
      <x:c r="S13" s="20" t="str">
        <x:v>Fiche de production uniquement. Aucun sprite supplémentaire n’a été généré par ce classeur.</x:v>
      </x:c>
    </x:row>
    <x:row r="14" ht="68" customHeight="1">
      <x:c r="A14" s="19" t="str">
        <x:v>CUT-ASSET-CASE-TIM</x:v>
      </x:c>
      <x:c r="B14" s="7" t="str">
        <x:v>Atlas de combat : Boss de l’Homme Trouble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Livrable graphique proposé.</x:v>
      </x:c>
      <x:c r="G14" s="7" t="str">
        <x:v>Construire les poses de Boss de l’Homme Trouble nécessaires à sa boucle de combat.</x:v>
      </x:c>
      <x:c r="H14" s="7" t="str">
        <x:v>Proposition : attente, anticipation, attaque, impact, rupture et sortie. La boucle à rendre lisible est : Conserver la confrontation publiée dans le profil de référence.</x:v>
      </x:c>
      <x:c r="I14" s="7" t="str">
        <x:v>Concept à examiner avant toute silhouette définitive.</x:v>
      </x:c>
      <x:c r="J14" s="7" t="str">
        <x:v>Huit directions pour les unités mobiles ; vue fixe possible pour un boss ancré. Événements d’impact séparés des poses.</x:v>
      </x:c>
      <x:c r="K14" s="7" t="str"/>
      <x:c r="L14" s="7" t="str">
        <x:v>Livrable prévu : atlas cut_case-tim, métadonnées des pivots et fichier de référence visuelle.</x:v>
      </x:c>
      <x:c r="M14" s="7" t="str">
        <x:v>Référence visuelle validée avant les variantes. Les cases manquantes sont suivies explicitement.</x:v>
      </x:c>
      <x:c r="N14" s="7" t="str">
        <x:v>Le télégraphe de Boss de l’Homme Trouble reste identifiable en silhouette ; aucune pose ne change le pivot aux pieds.</x:v>
      </x:c>
      <x:c r="O14" s="7" t="str">
        <x:v>CUT-CASE-TIM</x:v>
      </x:c>
      <x:c r="P14" s="7" t="str">
        <x:v>Conception du fan game</x:v>
      </x:c>
      <x:c r="Q14" s="7" t="str"/>
      <x:c r="R14" s="21" t="str"/>
      <x:c r="S14" s="21" t="str">
        <x:v>Fiche de production uniquement. Aucun sprite supplémentaire n’a été généré par ce classeur.</x:v>
      </x:c>
    </x:row>
    <x:row r="15" ht="68" customHeight="1">
      <x:c r="A15" s="18" t="str">
        <x:v>CUT-ASSET-CHR-SHEPARD</x:v>
      </x:c>
      <x:c r="B15" s="9" t="str">
        <x:v>Atlas de combat : Shepard dans un profil alternatif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Livrable graphique proposé.</x:v>
      </x:c>
      <x:c r="G15" s="9" t="str">
        <x:v>Construire les poses de Shepard dans un profil alternatif nécessaires à sa boucle de combat.</x:v>
      </x:c>
      <x:c r="H15" s="9" t="str">
        <x:v>Proposition : attente, anticipation, attaque, impact, rupture et sortie. La boucle à rendre lisible est : Aucune scène coupée ne force silencieusement l’identité du personnage.</x:v>
      </x:c>
      <x:c r="I15" s="9" t="str">
        <x:v>Portrait personnalisé.</x:v>
      </x:c>
      <x:c r="J15" s="9" t="str">
        <x:v>Huit directions pour les unités mobiles ; vue fixe possible pour un boss ancré. Événements d’impact séparés des poses.</x:v>
      </x:c>
      <x:c r="K15" s="9" t="str"/>
      <x:c r="L15" s="9" t="str">
        <x:v>Livrable prévu : atlas cut_chr-shepard, métadonnées des pivots et fichier de référence visuelle.</x:v>
      </x:c>
      <x:c r="M15" s="9" t="str">
        <x:v>Référence visuelle validée avant les variantes. Les cases manquantes sont suivies explicitement.</x:v>
      </x:c>
      <x:c r="N15" s="9" t="str">
        <x:v>Le télégraphe de Shepard dans un profil alternatif reste identifiable en silhouette ; aucune pose ne change le pivot aux pieds.</x:v>
      </x:c>
      <x:c r="O15" s="9" t="str">
        <x:v>CUT-CHR-SHEPARD</x:v>
      </x:c>
      <x:c r="P15" s="9" t="str">
        <x:v>Conception du fan game</x:v>
      </x:c>
      <x:c r="Q15" s="9" t="str"/>
      <x:c r="R15" s="20" t="str"/>
      <x:c r="S15" s="20" t="str">
        <x:v>Fiche de production uniquement. Aucun sprite supplémentaire n’a été généré par ce classeur.</x:v>
      </x:c>
    </x:row>
    <x:row r="16" ht="44" customHeight="1">
      <x:c r="A16" s="19" t="str">
        <x:v>CUT-ASSET-CHR-RESEARCHER</x:v>
      </x:c>
      <x:c r="B16" s="7" t="str">
        <x:v>Atlas de médiation : Guide d’archive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Livrable graphique proposé.</x:v>
      </x:c>
      <x:c r="G16" s="7" t="str">
        <x:v>Dessiner les poses de consultation, présentation et dialogue du guide.</x:v>
      </x:c>
      <x:c r="H16" s="7" t="str">
        <x:v>Attente, marche, lecture de tablette, désignation de document et écoute ; aucune boucle de combat.</x:v>
      </x:c>
      <x:c r="I16" s="7" t="str">
        <x:v>Tenue d’archiviste et tablette.</x:v>
      </x:c>
      <x:c r="J16" s="7" t="str">
        <x:v>Quatre directions de marche et gestes courts au pupitre, synchronisés avec le document consulté.</x:v>
      </x:c>
      <x:c r="K16" s="7" t="str"/>
      <x:c r="L16" s="7" t="str">
        <x:v>Livrable prévu : atlas cut_chr-researcher, métadonnées des pivots et fichier de référence visuelle.</x:v>
      </x:c>
      <x:c r="M16" s="7" t="str">
        <x:v>Référence visuelle validée avant les variantes. Les cases manquantes sont suivies explicitement.</x:v>
      </x:c>
      <x:c r="N16" s="7" t="str">
        <x:v>Chaque pose sert la médiation et ne suggère ni fonction combattante ni autorité officielle.</x:v>
      </x:c>
      <x:c r="O16" s="7" t="str">
        <x:v>CUT-CHR-RESEARCHER</x:v>
      </x:c>
      <x:c r="P16" s="7" t="str">
        <x:v>Conception du fan game</x:v>
      </x:c>
      <x:c r="Q16" s="7" t="str"/>
      <x:c r="R16" s="21" t="str"/>
      <x:c r="S16" s="21" t="str">
        <x:v>Fiche de production uniquement. Aucun sprite supplémentaire n’a été généré par ce classeur.</x:v>
      </x:c>
    </x:row>
    <x:row r="17" ht="54" customHeight="1">
      <x:c r="A17" s="18" t="str">
        <x:v>CUT-ASSET-NPC-CALESTON</x:v>
      </x:c>
      <x:c r="B17" s="9" t="str">
        <x:v>Portraits : Habitants du hub de Caleston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Livrable graphique proposé.</x:v>
      </x:c>
      <x:c r="G17" s="9" t="str">
        <x:v>Dessiner Habitants du hub de Caleston en face et trois-quarts avec expressions liées à ses échanges.</x:v>
      </x:c>
      <x:c r="H17" s="9" t="str">
        <x:v>Proposition : neutre, désaccord, alerte et conclusion. Ne pas fabriquer une réaction absente du scénario.</x:v>
      </x:c>
      <x:c r="I17" s="9" t="str">
        <x:v>Silhouettes de mineurs et marchands sans identité canonique inventée.</x:v>
      </x:c>
      <x:c r="J17" s="9" t="str">
        <x:v>Transitions discrètes entre expressions ; pas de déplacement du cadre.</x:v>
      </x:c>
      <x:c r="K17" s="9" t="str"/>
      <x:c r="L17" s="9" t="str">
        <x:v>Livrable prévu : atlas cut_npc-caleston, métadonnées des pivots et fichier de référence visuelle.</x:v>
      </x:c>
      <x:c r="M17" s="9" t="str">
        <x:v>Référence visuelle validée avant les variantes. Les cases manquantes sont suivies explicitement.</x:v>
      </x:c>
      <x:c r="N17" s="9" t="str">
        <x:v>Le nom Habitants du hub de Caleston reste identifiable à petite taille et les expressions ne modifient pas les traits.</x:v>
      </x:c>
      <x:c r="O17" s="9" t="str">
        <x:v>CUT-NPC-CALESTON</x:v>
      </x:c>
      <x:c r="P17" s="9" t="str">
        <x:v>Conception du fan game</x:v>
      </x:c>
      <x:c r="Q17" s="9" t="str"/>
      <x:c r="R17" s="20" t="str"/>
      <x:c r="S17" s="20" t="str">
        <x:v>Fiche de production uniquement. Aucun sprite supplémentaire n’a été généré par ce classeur.</x:v>
      </x:c>
    </x:row>
    <x:row r="18" ht="54" customHeight="1">
      <x:c r="A18" s="19" t="str">
        <x:v>CUT-ASSET-NPC-LILITH</x:v>
      </x:c>
      <x:c r="B18" s="7" t="str">
        <x:v>Portraits : Habitants de l’évacuation Horizon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Livrable graphique proposé.</x:v>
      </x:c>
      <x:c r="G18" s="7" t="str">
        <x:v>Dessiner Habitants de l’évacuation Horizon en face et trois-quarts avec expressions liées à ses échanges.</x:v>
      </x:c>
      <x:c r="H18" s="7" t="str">
        <x:v>Proposition : neutre, désaccord, alerte et conclusion. Ne pas fabriquer une réaction absente du scénario.</x:v>
      </x:c>
      <x:c r="I18" s="7" t="str">
        <x:v>Tenues coloniales variées.</x:v>
      </x:c>
      <x:c r="J18" s="7" t="str">
        <x:v>Transitions discrètes entre expressions ; pas de déplacement du cadre.</x:v>
      </x:c>
      <x:c r="K18" s="7" t="str"/>
      <x:c r="L18" s="7" t="str">
        <x:v>Livrable prévu : atlas cut_npc-lilith, métadonnées des pivots et fichier de référence visuelle.</x:v>
      </x:c>
      <x:c r="M18" s="7" t="str">
        <x:v>Référence visuelle validée avant les variantes. Les cases manquantes sont suivies explicitement.</x:v>
      </x:c>
      <x:c r="N18" s="7" t="str">
        <x:v>Le nom Habitants de l’évacuation Horizon reste identifiable à petite taille et les expressions ne modifient pas les traits.</x:v>
      </x:c>
      <x:c r="O18" s="7" t="str">
        <x:v>CUT-NPC-LILITH</x:v>
      </x:c>
      <x:c r="P18" s="7" t="str">
        <x:v>Conception du fan game</x:v>
      </x:c>
      <x:c r="Q18" s="7" t="str"/>
      <x:c r="R18" s="21" t="str"/>
      <x:c r="S18" s="21" t="str">
        <x:v>Fiche de production uniquement. Aucun sprite supplémentaire n’a été généré par ce classeur.</x:v>
      </x:c>
    </x:row>
  </x:sheetData>
  <x:conditionalFormatting sqref="D7:D18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8">
    <x:cfRule type="cellIs" dxfId="82" priority="3" operator="equal">
      <x:formula>"Validé"</x:formula>
    </x:cfRule>
  </x:conditionalFormatting>
  <x:conditionalFormatting sqref="E7:E18">
    <x:cfRule type="cellIs" dxfId="83" priority="4" operator="equal">
      <x:formula>"P0"</x:formula>
    </x:cfRule>
  </x:conditionalFormatting>
  <x:dataValidations count="3">
    <x:dataValidation type="list" sqref="C7:C18">
      <x:formula1>"Défini,Prototype,Intégré,Validé"</x:formula1>
    </x:dataValidation>
    <x:dataValidation type="list" sqref="D7:D18">
      <x:formula1>"Établi,À vérifier,Extrapolation,Coupé attesté,Concept abandonné,Allégation écartée"</x:formula1>
    </x:dataValidation>
    <x:dataValidation type="list" sqref="E7:E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4f7c8fab024cb8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CUT-VFX-DARK</x:v>
      </x:c>
      <x:c r="B7" s="9" t="str">
        <x:v>Anomalie d’énergie noire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original d’une hypothèse.</x:v>
      </x:c>
      <x:c r="G7" s="9" t="str">
        <x:v>Déformations lentes autour d’un instrument de mesure.</x:v>
      </x:c>
      <x:c r="H7" s="9" t="str">
        <x:v>Aucune représentation physique certifiée ni explication canonique inventée.</x:v>
      </x:c>
      <x:c r="I7" s="9" t="str">
        <x:v>Contours bleu sombre et repères stables.</x:v>
      </x:c>
      <x:c r="J7" s="9" t="str"/>
      <x:c r="K7" s="9" t="str"/>
      <x:c r="L7" s="9" t="str"/>
      <x:c r="M7" s="9" t="str"/>
      <x:c r="N7" s="9" t="str">
        <x:v>La scène reste compréhensible effets désactivés.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CUT-VFX-SIM</x:v>
      </x:c>
      <x:c r="B8" s="7" t="str">
        <x:v>Identification des simulations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d’interface original.</x:v>
      </x:c>
      <x:c r="G8" s="7" t="str">
        <x:v>Afficher un cadre discret à l’entrée du module alternatif.</x:v>
      </x:c>
      <x:c r="H8" s="7" t="str">
        <x:v>Le cadre ne gêne pas la zone de combat.</x:v>
      </x:c>
      <x:c r="I8" s="7" t="str">
        <x:v>Marquage Simulation et date du dossier.</x:v>
      </x:c>
      <x:c r="J8" s="7" t="str"/>
      <x:c r="K8" s="7" t="str"/>
      <x:c r="L8" s="7" t="str"/>
      <x:c r="M8" s="7" t="str"/>
      <x:c r="N8" s="7" t="str">
        <x:v>Le joueur ne peut confondre la simulation avec une scène publiée.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8">
    <x:cfRule type="cellIs" dxfId="86" priority="3" operator="equal">
      <x:formula>"Validé"</x:formula>
    </x:cfRule>
  </x:conditionalFormatting>
  <x:conditionalFormatting sqref="E7:E8">
    <x:cfRule type="cellIs" dxfId="8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254b8ff6a948b5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CUT-AUD-UNUSED</x:v>
      </x:c>
      <x:c r="B7" s="9" t="str">
        <x:v>Répliques inutilisées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Règle de travail audio.</x:v>
      </x:c>
      <x:c r="G7" s="9" t="str">
        <x:v>Identifier locuteur, langue, contexte et version avant toute utilisation.</x:v>
      </x:c>
      <x:c r="H7" s="9" t="str">
        <x:v>Une ligne enregistrée ne prouve pas une scène achevée.</x:v>
      </x:c>
      <x:c r="I7" s="9" t="str"/>
      <x:c r="J7" s="9" t="str"/>
      <x:c r="K7" s="9" t="str"/>
      <x:c r="L7" s="9" t="str"/>
      <x:c r="M7" s="9" t="str"/>
      <x:c r="N7" s="9" t="str">
        <x:v>Chaque réplique de production porte une référence ou la mention texte original.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CUT-AUD-NEW</x:v>
      </x:c>
      <x:c r="B8" s="7" t="str">
        <x:v>Voix des reconstructions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sonore originale.</x:v>
      </x:c>
      <x:c r="G8" s="7" t="str">
        <x:v>Écrire et enregistrer de courtes situations adaptées au module.</x:v>
      </x:c>
      <x:c r="H8" s="7" t="str">
        <x:v>Pas de voix officielle fabriquée ou revendiquée.</x:v>
      </x:c>
      <x:c r="I8" s="7" t="str"/>
      <x:c r="J8" s="7" t="str"/>
      <x:c r="K8" s="7" t="str"/>
      <x:c r="L8" s="7" t="str"/>
      <x:c r="M8" s="7" t="str"/>
      <x:c r="N8" s="7" t="str">
        <x:v>Les crédits distinguent création du projet et référence historique.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CUT-AUD-CALESTON</x:v>
      </x:c>
      <x:c r="B9" s="9" t="str">
        <x:v>Ambiance minière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sonore originale.</x:v>
      </x:c>
      <x:c r="G9" s="9" t="str">
        <x:v>Moteurs éloignés, frappes métalliques et foule sourde.</x:v>
      </x:c>
      <x:c r="H9" s="9" t="str">
        <x:v>Diminuer le fond pendant l’enquête.</x:v>
      </x:c>
      <x:c r="I9" s="9" t="str"/>
      <x:c r="J9" s="9" t="str"/>
      <x:c r="K9" s="9" t="str"/>
      <x:c r="L9" s="9" t="str"/>
      <x:c r="M9" s="9" t="str"/>
      <x:c r="N9" s="9" t="str">
        <x:v>Aucune boucle n’est attribuée à une musique coupée non retrouvée.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9">
    <x:cfRule type="cellIs" dxfId="90" priority="3" operator="equal">
      <x:formula>"Validé"</x:formula>
    </x:cfRule>
  </x:conditionalFormatting>
  <x:conditionalFormatting sqref="E7:E9">
    <x:cfRule type="cellIs" dxfId="9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529d95a50d4065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CUT-CASE-INTERRUPT</x:v>
      </x:c>
      <x:c r="B7" s="9" t="str">
        <x:v>Interruptions de ME1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Mécanique ancienne signalée.</x:v>
      </x:c>
      <x:c r="G7" s="9" t="str">
        <x:v>Tester une interruption de conversation avec aperçu d’intention.</x:v>
      </x:c>
      <x:c r="H7" s="9" t="str">
        <x:v>Distinguer cette version des interruptions contextuelles de ME2.</x:v>
      </x:c>
      <x:c r="I7" s="9" t="str">
        <x:v>Prompt court, discret et accessible.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Interruptions de ME1</x:v>
      </x:c>
      <x:c r="Q7" s="9" t="str">
        <x:v>CUT-ME1</x:v>
      </x:c>
      <x:c r="R7" s="20" t="str">
        <x:v>https://masseffect.fandom.com/wiki/Mass_Effect_Cut_Content</x:v>
      </x:c>
      <x:c r="S7" s="20" t="str">
        <x:v>Piste issue d’index secondaires. Captures, fichiers ou témoignages primaires requis avant reclassification.</x:v>
      </x:c>
    </x:row>
    <x:row r="8" ht="44" customHeight="1">
      <x:c r="A8" s="19" t="str">
        <x:v>CUT-CASE-TEAM</x:v>
      </x:c>
      <x:c r="B8" s="7" t="str">
        <x:v>Mass Effect Team Assault</x:v>
      </x:c>
      <x:c r="C8" s="15" t="str">
        <x:v>Défini</x:v>
      </x:c>
      <x:c r="D8" s="17" t="str">
        <x:v>Concept abandonné</x:v>
      </x:c>
      <x:c r="E8" s="17" t="str">
        <x:v>P1</x:v>
      </x:c>
      <x:c r="F8" s="7" t="str">
        <x:v>Prototype FPS non terminé.</x:v>
      </x:c>
      <x:c r="G8" s="7" t="str">
        <x:v>Proposer une arène tactique à équipes comme adaptation de l’idée.</x:v>
      </x:c>
      <x:c r="H8" s="7" t="str">
        <x:v>Ce prototype ne devient pas un jeu publié ni une campagne retrouvée.</x:v>
      </x:c>
      <x:c r="I8" s="7" t="str">
        <x:v>Points de capture et silhouettes de classes.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Mass Effect Team Assault</x:v>
      </x:c>
      <x:c r="Q8" s="7" t="str">
        <x:v>CUT-FINAL</x:v>
      </x:c>
      <x:c r="R8" s="21" t="str">
        <x:v>https://www.me3finalhours.com/</x:v>
      </x:c>
      <x:c r="S8" s="21" t="str">
        <x:v>Le niveau de preuve porte sur l’existence ou le statut de la piste, pas sur les détails du gameplay proposé.</x:v>
      </x:c>
    </x:row>
    <x:row r="9" ht="44" customHeight="1">
      <x:c r="A9" s="18" t="str">
        <x:v>CUT-SYS-ATB</x:v>
      </x:c>
      <x:c r="B9" s="9" t="str">
        <x:v>ATB avec pause des commandes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Système original du fan game.</x:v>
      </x:c>
      <x:c r="G9" s="9" t="str">
        <x:v>Garder une jauge par acteur, la chronologie des attaques et un mode Attente.</x:v>
      </x:c>
      <x:c r="H9" s="9" t="str">
        <x:v>Réglage proposé : une commande consomme une jauge pleine. Une anticipation ennemie engagée reste visible.</x:v>
      </x:c>
      <x:c r="I9" s="9" t="str">
        <x:v>Barre bleu acier pour attente, icône et libellé pour interruption.</x:v>
      </x:c>
      <x:c r="J9" s="9" t="str"/>
      <x:c r="K9" s="9" t="str"/>
      <x:c r="L9" s="9" t="str"/>
      <x:c r="M9" s="9" t="str"/>
      <x:c r="N9" s="9" t="str">
        <x:v>Changer de mode ne crée ni double tour ni perte de commande.</x:v>
      </x:c>
      <x:c r="O9" s="9" t="str"/>
      <x:c r="P9" s="9" t="str">
        <x:v>Conception du fan game</x:v>
      </x:c>
      <x:c r="Q9" s="9" t="str"/>
      <x:c r="R9" s="20" t="str"/>
      <x:c r="S9" s="20" t="str"/>
    </x:row>
    <x:row r="10" ht="54" customHeight="1">
      <x:c r="A10" s="19" t="str">
        <x:v>CUT-SYS-SAVE</x:v>
      </x:c>
      <x:c r="B10" s="7" t="str">
        <x:v>Sauvegarde de campagne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Schéma de sauvegarde proposé.</x:v>
      </x:c>
      <x:c r="G10" s="7" t="str">
        <x:v>Séparer drapeaux de référence, variantes et simulations. Conserver version de dossier, sources validées et choix d’activation.</x:v>
      </x:c>
      <x:c r="H10" s="7" t="str">
        <x:v>Versionner les états de mission, l’inventaire, les choix et le point de retour.</x:v>
      </x:c>
      <x:c r="I10" s="7" t="str">
        <x:v>Menu à trois emplacements avec chapitre et objectif.</x:v>
      </x:c>
      <x:c r="J10" s="7" t="str"/>
      <x:c r="K10" s="7" t="str"/>
      <x:c r="L10" s="7" t="str"/>
      <x:c r="M10" s="7" t="str"/>
      <x:c r="N10" s="7" t="str">
        <x:v>Charger avant et après un embranchement restitue le même état.</x:v>
      </x:c>
      <x:c r="O10" s="7" t="str"/>
      <x:c r="P10" s="7" t="str">
        <x:v>Conception du fan game</x:v>
      </x:c>
      <x:c r="Q10" s="7" t="str"/>
      <x:c r="R10" s="21" t="str"/>
      <x:c r="S10" s="21" t="str"/>
    </x:row>
    <x:row r="11" ht="44" customHeight="1">
      <x:c r="A11" s="18" t="str">
        <x:v>CUT-SYS-CAMERA</x:v>
      </x:c>
      <x:c r="B11" s="9" t="str">
        <x:v>Caméras fixes et sprites dans le décor 3D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Règle de présentation proposée.</x:v>
      </x:c>
      <x:c r="G11" s="9" t="str">
        <x:v>Conserver la mise en scène propre à contenus coupés.</x:v>
      </x:c>
      <x:c r="H11" s="9" t="str">
        <x:v>Calculer la direction du sprite dans le repère caméra. Conserver les axes de déplacement lors des raccords.</x:v>
      </x:c>
      <x:c r="I11" s="9" t="str">
        <x:v>Perspective douce, contours lisibles, profondeur et ombres de contact.</x:v>
      </x:c>
      <x:c r="J11" s="9" t="str"/>
      <x:c r="K11" s="9" t="str"/>
      <x:c r="L11" s="9" t="str"/>
      <x:c r="M11" s="9" t="str"/>
      <x:c r="N11" s="9" t="str">
        <x:v>Un personnage derrière un pilier disparaît proprement sans passer devant le sol.</x:v>
      </x:c>
      <x:c r="O11" s="9" t="str"/>
      <x:c r="P11" s="9" t="str">
        <x:v>Conception du fan game</x:v>
      </x:c>
      <x:c r="Q11" s="9" t="str"/>
      <x:c r="R11" s="20" t="str"/>
      <x:c r="S11" s="20" t="str"/>
    </x:row>
    <x:row r="12" ht="44" customHeight="1">
      <x:c r="A12" s="19" t="str">
        <x:v>CUT-SYS-ACCESS</x:v>
      </x:c>
      <x:c r="B12" s="7" t="str">
        <x:v>Commandes et lisibilité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Spécification d’accès au jeu.</x:v>
      </x:c>
      <x:c r="G12" s="7" t="str">
        <x:v>Clavier, manette et interface tactile facultative.</x:v>
      </x:c>
      <x:c r="H12" s="7" t="str">
        <x:v>Reconfigurer les touches, accélérer les animations, afficher les résistances par texte.</x:v>
      </x:c>
      <x:c r="I12" s="7" t="str">
        <x:v>Contraste des textes, taille réglable, réduction du flash et du mouvement.</x:v>
      </x:c>
      <x:c r="J12" s="7" t="str"/>
      <x:c r="K12" s="7" t="str"/>
      <x:c r="L12" s="7" t="str"/>
      <x:c r="M12" s="7" t="str"/>
      <x:c r="N12" s="7" t="str">
        <x:v>Toutes les commandes et le journal restent utilisables sans souris.</x:v>
      </x:c>
      <x:c r="O12" s="7" t="str"/>
      <x:c r="P12" s="7" t="str">
        <x:v>Conception du fan game</x:v>
      </x:c>
      <x:c r="Q12" s="7" t="str"/>
      <x:c r="R12" s="21" t="str"/>
      <x:c r="S12" s="21" t="str"/>
    </x:row>
    <x:row r="13" ht="44" customHeight="1">
      <x:c r="A13" s="18" t="str">
        <x:v>CUT-SYS-SOURCES</x:v>
      </x:c>
      <x:c r="B13" s="9" t="str">
        <x:v>Registre de références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Suivi de production.</x:v>
      </x:c>
      <x:c r="G13" s="9" t="str">
        <x:v>Conserver les références visuelles et leur provenance par asset.</x:v>
      </x:c>
      <x:c r="H13" s="9" t="str">
        <x:v>Un élément change de statut uniquement après contrôle documenté.</x:v>
      </x:c>
      <x:c r="I13" s="9" t="str">
        <x:v>Guide lisible avec source et limite de couverture.</x:v>
      </x:c>
      <x:c r="J13" s="9" t="str"/>
      <x:c r="K13" s="9" t="str"/>
      <x:c r="L13" s="9" t="str"/>
      <x:c r="M13" s="9" t="str"/>
      <x:c r="N13" s="9" t="str">
        <x:v>Aucune fiche de conception n’est automatiquement marquée Intégré.</x:v>
      </x:c>
      <x:c r="O13" s="9" t="str"/>
      <x:c r="P13" s="9" t="str">
        <x:v>Conception du fan game</x:v>
      </x:c>
      <x:c r="Q13" s="9" t="str"/>
      <x:c r="R13" s="20" t="str"/>
      <x:c r="S13" s="20" t="str"/>
    </x:row>
  </x:sheetData>
  <x:conditionalFormatting sqref="D7:D13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3">
    <x:cfRule type="cellIs" dxfId="94" priority="3" operator="equal">
      <x:formula>"Validé"</x:formula>
    </x:cfRule>
  </x:conditionalFormatting>
  <x:conditionalFormatting sqref="E7:E13">
    <x:cfRule type="cellIs" dxfId="95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77ad0136b348d5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115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CUT-QA-CALESTON</x:v>
      </x:c>
      <x:c r="B7" s="9" t="str">
        <x:v>Vérifier : Caleston et Throw Down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Tâche de contrôle de provenance.</x:v>
      </x:c>
      <x:c r="G7" s="9" t="str">
        <x:v>Retrouver les pièces qui justifient Caleston et Throw Down, relever version, date et segment exact.</x:v>
      </x:c>
      <x:c r="H7" s="9" t="str">
        <x:v>Comparer source primaire, état publié et proposition du projet. Documenter tout écart.</x:v>
      </x:c>
      <x:c r="I7" s="9" t="str"/>
      <x:c r="J7" s="9" t="str"/>
      <x:c r="K7" s="9" t="str"/>
      <x:c r="L7" s="9" t="str"/>
      <x:c r="M7" s="9" t="str">
        <x:v>La vérification porte sur une œuvre ou un fichier légalement accessible ; le catalogue ne fournit aucun binaire extrait.</x:v>
      </x:c>
      <x:c r="N7" s="9" t="str">
        <x:v>Le registre contient référence précise, pièce contrôlée, conclusion et limites.</x:v>
      </x:c>
      <x:c r="O7" s="9" t="str">
        <x:v>CUT-CASE-CALESTON</x:v>
      </x:c>
      <x:c r="P7" s="9" t="str">
        <x:v>Caleston et Throw Down</x:v>
      </x:c>
      <x:c r="Q7" s="9" t="str">
        <x:v>CUT-CALESTON</x:v>
      </x:c>
      <x:c r="R7" s="20" t="str">
        <x:v>https://masseffect.fandom.com/wiki/Caleston_(Cut)</x:v>
      </x:c>
      <x:c r="S7" s="20" t="str"/>
    </x:row>
    <x:row r="8" ht="54" customHeight="1">
      <x:c r="A8" s="19" t="str">
        <x:v>CUT-QA-MISERY</x:v>
      </x:c>
      <x:c r="B8" s="7" t="str">
        <x:v>Vérifier : Misery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Tâche de contrôle de provenance.</x:v>
      </x:c>
      <x:c r="G8" s="7" t="str">
        <x:v>Retrouver les pièces qui justifient Misery, relever version, date et segment exact.</x:v>
      </x:c>
      <x:c r="H8" s="7" t="str">
        <x:v>Comparer source primaire, état publié et proposition du projet. Documenter tout écart.</x:v>
      </x:c>
      <x:c r="I8" s="7" t="str"/>
      <x:c r="J8" s="7" t="str"/>
      <x:c r="K8" s="7" t="str"/>
      <x:c r="L8" s="7" t="str"/>
      <x:c r="M8" s="7" t="str">
        <x:v>La vérification porte sur une œuvre ou un fichier légalement accessible ; le catalogue ne fournit aucun binaire extrait.</x:v>
      </x:c>
      <x:c r="N8" s="7" t="str">
        <x:v>Le registre contient référence précise, pièce contrôlée, conclusion et limites.</x:v>
      </x:c>
      <x:c r="O8" s="7" t="str">
        <x:v>CUT-CASE-MISERY</x:v>
      </x:c>
      <x:c r="P8" s="7" t="str">
        <x:v>Misery</x:v>
      </x:c>
      <x:c r="Q8" s="7" t="str">
        <x:v>CUT-ME1</x:v>
      </x:c>
      <x:c r="R8" s="21" t="str">
        <x:v>https://masseffect.fandom.com/wiki/Mass_Effect_Cut_Content</x:v>
      </x:c>
      <x:c r="S8" s="21" t="str"/>
    </x:row>
    <x:row r="9" ht="54" customHeight="1">
      <x:c r="A9" s="18" t="str">
        <x:v>CUT-QA-GLOBAL1</x:v>
      </x:c>
      <x:c r="B9" s="9" t="str">
        <x:v>Vérifier : Global Plot 1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Tâche de contrôle de provenance.</x:v>
      </x:c>
      <x:c r="G9" s="9" t="str">
        <x:v>Retrouver les pièces qui justifient Global Plot 1, relever version, date et segment exact.</x:v>
      </x:c>
      <x:c r="H9" s="9" t="str">
        <x:v>Comparer source primaire, état publié et proposition du projet. Documenter tout écart.</x:v>
      </x:c>
      <x:c r="I9" s="9" t="str"/>
      <x:c r="J9" s="9" t="str"/>
      <x:c r="K9" s="9" t="str"/>
      <x:c r="L9" s="9" t="str"/>
      <x:c r="M9" s="9" t="str">
        <x:v>La vérification porte sur une œuvre ou un fichier légalement accessible ; le catalogue ne fournit aucun binaire extrait.</x:v>
      </x:c>
      <x:c r="N9" s="9" t="str">
        <x:v>Le registre contient référence précise, pièce contrôlée, conclusion et limites.</x:v>
      </x:c>
      <x:c r="O9" s="9" t="str">
        <x:v>CUT-CASE-GLOBAL1</x:v>
      </x:c>
      <x:c r="P9" s="9" t="str">
        <x:v>Global Plot 1</x:v>
      </x:c>
      <x:c r="Q9" s="9" t="str">
        <x:v>CUT-ME1</x:v>
      </x:c>
      <x:c r="R9" s="20" t="str">
        <x:v>https://masseffect.fandom.com/wiki/Mass_Effect_Cut_Content</x:v>
      </x:c>
      <x:c r="S9" s="20" t="str"/>
    </x:row>
    <x:row r="10" ht="54" customHeight="1">
      <x:c r="A10" s="19" t="str">
        <x:v>CUT-QA-GLOBAL2</x:v>
      </x:c>
      <x:c r="B10" s="7" t="str">
        <x:v>Vérifier : Global Plot 2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Tâche de contrôle de provenance.</x:v>
      </x:c>
      <x:c r="G10" s="7" t="str">
        <x:v>Retrouver les pièces qui justifient Global Plot 2, relever version, date et segment exact.</x:v>
      </x:c>
      <x:c r="H10" s="7" t="str">
        <x:v>Comparer source primaire, état publié et proposition du projet. Documenter tout écart.</x:v>
      </x:c>
      <x:c r="I10" s="7" t="str"/>
      <x:c r="J10" s="7" t="str"/>
      <x:c r="K10" s="7" t="str"/>
      <x:c r="L10" s="7" t="str"/>
      <x:c r="M10" s="7" t="str">
        <x:v>La vérification porte sur une œuvre ou un fichier légalement accessible ; le catalogue ne fournit aucun binaire extrait.</x:v>
      </x:c>
      <x:c r="N10" s="7" t="str">
        <x:v>Le registre contient référence précise, pièce contrôlée, conclusion et limites.</x:v>
      </x:c>
      <x:c r="O10" s="7" t="str">
        <x:v>CUT-CASE-GLOBAL2</x:v>
      </x:c>
      <x:c r="P10" s="7" t="str">
        <x:v>Global Plot 2</x:v>
      </x:c>
      <x:c r="Q10" s="7" t="str">
        <x:v>CUT-ME1</x:v>
      </x:c>
      <x:c r="R10" s="21" t="str">
        <x:v>https://masseffect.fandom.com/wiki/Mass_Effect_Cut_Content</x:v>
      </x:c>
      <x:c r="S10" s="21" t="str"/>
    </x:row>
    <x:row r="11" ht="54" customHeight="1">
      <x:c r="A11" s="18" t="str">
        <x:v>CUT-QA-GLOBAL3</x:v>
      </x:c>
      <x:c r="B11" s="9" t="str">
        <x:v>Vérifier : Global Plot 3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Tâche de contrôle de provenance.</x:v>
      </x:c>
      <x:c r="G11" s="9" t="str">
        <x:v>Retrouver les pièces qui justifient Global Plot 3, relever version, date et segment exact.</x:v>
      </x:c>
      <x:c r="H11" s="9" t="str">
        <x:v>Comparer source primaire, état publié et proposition du projet. Documenter tout écart.</x:v>
      </x:c>
      <x:c r="I11" s="9" t="str"/>
      <x:c r="J11" s="9" t="str"/>
      <x:c r="K11" s="9" t="str"/>
      <x:c r="L11" s="9" t="str"/>
      <x:c r="M11" s="9" t="str">
        <x:v>La vérification porte sur une œuvre ou un fichier légalement accessible ; le catalogue ne fournit aucun binaire extrait.</x:v>
      </x:c>
      <x:c r="N11" s="9" t="str">
        <x:v>Le registre contient référence précise, pièce contrôlée, conclusion et limites.</x:v>
      </x:c>
      <x:c r="O11" s="9" t="str">
        <x:v>CUT-CASE-GLOBAL3</x:v>
      </x:c>
      <x:c r="P11" s="9" t="str">
        <x:v>Global Plot 3</x:v>
      </x:c>
      <x:c r="Q11" s="9" t="str">
        <x:v>CUT-ME1</x:v>
      </x:c>
      <x:c r="R11" s="20" t="str">
        <x:v>https://masseffect.fandom.com/wiki/Mass_Effect_Cut_Content</x:v>
      </x:c>
      <x:c r="S11" s="20" t="str"/>
    </x:row>
    <x:row r="12" ht="54" customHeight="1">
      <x:c r="A12" s="19" t="str">
        <x:v>CUT-QA-REFINERY</x:v>
      </x:c>
      <x:c r="B12" s="7" t="str">
        <x:v>Vérifier : Caleston: Reactivate Production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Tâche de contrôle de provenance.</x:v>
      </x:c>
      <x:c r="G12" s="7" t="str">
        <x:v>Retrouver les pièces qui justifient Caleston: Reactivate Production, relever version, date et segment exact.</x:v>
      </x:c>
      <x:c r="H12" s="7" t="str">
        <x:v>Comparer source primaire, état publié et proposition du projet. Documenter tout écart.</x:v>
      </x:c>
      <x:c r="I12" s="7" t="str"/>
      <x:c r="J12" s="7" t="str"/>
      <x:c r="K12" s="7" t="str"/>
      <x:c r="L12" s="7" t="str"/>
      <x:c r="M12" s="7" t="str">
        <x:v>La vérification porte sur une œuvre ou un fichier légalement accessible ; le catalogue ne fournit aucun binaire extrait.</x:v>
      </x:c>
      <x:c r="N12" s="7" t="str">
        <x:v>Le registre contient référence précise, pièce contrôlée, conclusion et limites.</x:v>
      </x:c>
      <x:c r="O12" s="7" t="str">
        <x:v>CUT-CASE-REFINERY</x:v>
      </x:c>
      <x:c r="P12" s="7" t="str">
        <x:v>Caleston: Reactivate Production</x:v>
      </x:c>
      <x:c r="Q12" s="7" t="str">
        <x:v>CUT-CALESTON</x:v>
      </x:c>
      <x:c r="R12" s="21" t="str">
        <x:v>https://masseffect.fandom.com/wiki/Caleston_(Cut)</x:v>
      </x:c>
      <x:c r="S12" s="21" t="str"/>
    </x:row>
    <x:row r="13" ht="54" customHeight="1">
      <x:c r="A13" s="18" t="str">
        <x:v>CUT-QA-GANGS</x:v>
      </x:c>
      <x:c r="B13" s="9" t="str">
        <x:v>Vérifier : Caleston: Last Man Standing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Tâche de contrôle de provenance.</x:v>
      </x:c>
      <x:c r="G13" s="9" t="str">
        <x:v>Retrouver les pièces qui justifient Caleston: Last Man Standing, relever version, date et segment exact.</x:v>
      </x:c>
      <x:c r="H13" s="9" t="str">
        <x:v>Comparer source primaire, état publié et proposition du projet. Documenter tout écart.</x:v>
      </x:c>
      <x:c r="I13" s="9" t="str"/>
      <x:c r="J13" s="9" t="str"/>
      <x:c r="K13" s="9" t="str"/>
      <x:c r="L13" s="9" t="str"/>
      <x:c r="M13" s="9" t="str">
        <x:v>La vérification porte sur une œuvre ou un fichier légalement accessible ; le catalogue ne fournit aucun binaire extrait.</x:v>
      </x:c>
      <x:c r="N13" s="9" t="str">
        <x:v>Le registre contient référence précise, pièce contrôlée, conclusion et limites.</x:v>
      </x:c>
      <x:c r="O13" s="9" t="str">
        <x:v>CUT-CASE-GANGS</x:v>
      </x:c>
      <x:c r="P13" s="9" t="str">
        <x:v>Caleston: Last Man Standing</x:v>
      </x:c>
      <x:c r="Q13" s="9" t="str">
        <x:v>CUT-CALESTON</x:v>
      </x:c>
      <x:c r="R13" s="20" t="str">
        <x:v>https://masseffect.fandom.com/wiki/Caleston_(Cut)</x:v>
      </x:c>
      <x:c r="S13" s="20" t="str"/>
    </x:row>
    <x:row r="14" ht="54" customHeight="1">
      <x:c r="A14" s="19" t="str">
        <x:v>CUT-QA-MARS</x:v>
      </x:c>
      <x:c r="B14" s="7" t="str">
        <x:v>Vérifier : Projet DLC Mars</x:v>
      </x:c>
      <x:c r="C14" s="15" t="str">
        <x:v>Défini</x:v>
      </x:c>
      <x:c r="D14" s="17" t="str">
        <x:v>Extrapolation</x:v>
      </x:c>
      <x:c r="E14" s="17" t="str">
        <x:v>P0</x:v>
      </x:c>
      <x:c r="F14" s="7" t="str">
        <x:v>Tâche de contrôle de provenance.</x:v>
      </x:c>
      <x:c r="G14" s="7" t="str">
        <x:v>Retrouver les pièces qui justifient Projet DLC Mars, relever version, date et segment exact.</x:v>
      </x:c>
      <x:c r="H14" s="7" t="str">
        <x:v>Comparer source primaire, état publié et proposition du projet. Documenter tout écart.</x:v>
      </x:c>
      <x:c r="I14" s="7" t="str"/>
      <x:c r="J14" s="7" t="str"/>
      <x:c r="K14" s="7" t="str"/>
      <x:c r="L14" s="7" t="str"/>
      <x:c r="M14" s="7" t="str">
        <x:v>La vérification porte sur une œuvre ou un fichier légalement accessible ; le catalogue ne fournit aucun binaire extrait.</x:v>
      </x:c>
      <x:c r="N14" s="7" t="str">
        <x:v>Le registre contient référence précise, pièce contrôlée, conclusion et limites.</x:v>
      </x:c>
      <x:c r="O14" s="7" t="str">
        <x:v>CUT-CASE-MARS</x:v>
      </x:c>
      <x:c r="P14" s="7" t="str">
        <x:v>Projet DLC Mars</x:v>
      </x:c>
      <x:c r="Q14" s="7" t="str">
        <x:v>CUT-ME1</x:v>
      </x:c>
      <x:c r="R14" s="21" t="str">
        <x:v>https://masseffect.fandom.com/wiki/Mass_Effect_Cut_Content</x:v>
      </x:c>
      <x:c r="S14" s="21" t="str"/>
    </x:row>
    <x:row r="15" ht="54" customHeight="1">
      <x:c r="A15" s="18" t="str">
        <x:v>CUT-QA-BRAIN</x:v>
      </x:c>
      <x:c r="B15" s="9" t="str">
        <x:v>Vérifier : Cerberus Brainchild</x:v>
      </x:c>
      <x:c r="C15" s="15" t="str">
        <x:v>Défini</x:v>
      </x:c>
      <x:c r="D15" s="16" t="str">
        <x:v>Extrapolation</x:v>
      </x:c>
      <x:c r="E15" s="16" t="str">
        <x:v>P0</x:v>
      </x:c>
      <x:c r="F15" s="9" t="str">
        <x:v>Tâche de contrôle de provenance.</x:v>
      </x:c>
      <x:c r="G15" s="9" t="str">
        <x:v>Retrouver les pièces qui justifient Cerberus Brainchild, relever version, date et segment exact.</x:v>
      </x:c>
      <x:c r="H15" s="9" t="str">
        <x:v>Comparer source primaire, état publié et proposition du projet. Documenter tout écart.</x:v>
      </x:c>
      <x:c r="I15" s="9" t="str"/>
      <x:c r="J15" s="9" t="str"/>
      <x:c r="K15" s="9" t="str"/>
      <x:c r="L15" s="9" t="str"/>
      <x:c r="M15" s="9" t="str">
        <x:v>La vérification porte sur une œuvre ou un fichier légalement accessible ; le catalogue ne fournit aucun binaire extrait.</x:v>
      </x:c>
      <x:c r="N15" s="9" t="str">
        <x:v>Le registre contient référence précise, pièce contrôlée, conclusion et limites.</x:v>
      </x:c>
      <x:c r="O15" s="9" t="str">
        <x:v>CUT-CASE-BRAIN</x:v>
      </x:c>
      <x:c r="P15" s="9" t="str">
        <x:v>Cerberus Brainchild</x:v>
      </x:c>
      <x:c r="Q15" s="9" t="str">
        <x:v>CUT-ME1</x:v>
      </x:c>
      <x:c r="R15" s="20" t="str">
        <x:v>https://masseffect.fandom.com/wiki/Mass_Effect_Cut_Content</x:v>
      </x:c>
      <x:c r="S15" s="20" t="str"/>
    </x:row>
    <x:row r="16" ht="54" customHeight="1">
      <x:c r="A16" s="19" t="str">
        <x:v>CUT-QA-CORP</x:v>
      </x:c>
      <x:c r="B16" s="7" t="str">
        <x:v>Vérifier : Evil Corp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Tâche de contrôle de provenance.</x:v>
      </x:c>
      <x:c r="G16" s="7" t="str">
        <x:v>Retrouver les pièces qui justifient Evil Corp, relever version, date et segment exact.</x:v>
      </x:c>
      <x:c r="H16" s="7" t="str">
        <x:v>Comparer source primaire, état publié et proposition du projet. Documenter tout écart.</x:v>
      </x:c>
      <x:c r="I16" s="7" t="str"/>
      <x:c r="J16" s="7" t="str"/>
      <x:c r="K16" s="7" t="str"/>
      <x:c r="L16" s="7" t="str"/>
      <x:c r="M16" s="7" t="str">
        <x:v>La vérification porte sur une œuvre ou un fichier légalement accessible ; le catalogue ne fournit aucun binaire extrait.</x:v>
      </x:c>
      <x:c r="N16" s="7" t="str">
        <x:v>Le registre contient référence précise, pièce contrôlée, conclusion et limites.</x:v>
      </x:c>
      <x:c r="O16" s="7" t="str">
        <x:v>CUT-CASE-CORP</x:v>
      </x:c>
      <x:c r="P16" s="7" t="str">
        <x:v>Evil Corp</x:v>
      </x:c>
      <x:c r="Q16" s="7" t="str">
        <x:v>CUT-ME1</x:v>
      </x:c>
      <x:c r="R16" s="21" t="str">
        <x:v>https://masseffect.fandom.com/wiki/Mass_Effect_Cut_Content</x:v>
      </x:c>
      <x:c r="S16" s="21" t="str"/>
    </x:row>
    <x:row r="17" ht="54" customHeight="1">
      <x:c r="A17" s="18" t="str">
        <x:v>CUT-QA-X57</x:v>
      </x:c>
      <x:c r="B17" s="9" t="str">
        <x:v>Vérifier : UNC: Bring Down the Sky</x:v>
      </x:c>
      <x:c r="C17" s="15" t="str">
        <x:v>Défini</x:v>
      </x:c>
      <x:c r="D17" s="16" t="str">
        <x:v>Extrapolation</x:v>
      </x:c>
      <x:c r="E17" s="16" t="str">
        <x:v>P0</x:v>
      </x:c>
      <x:c r="F17" s="9" t="str">
        <x:v>Tâche de contrôle de provenance.</x:v>
      </x:c>
      <x:c r="G17" s="9" t="str">
        <x:v>Retrouver les pièces qui justifient UNC: Bring Down the Sky, relever version, date et segment exact.</x:v>
      </x:c>
      <x:c r="H17" s="9" t="str">
        <x:v>Comparer source primaire, état publié et proposition du projet. Documenter tout écart.</x:v>
      </x:c>
      <x:c r="I17" s="9" t="str"/>
      <x:c r="J17" s="9" t="str"/>
      <x:c r="K17" s="9" t="str"/>
      <x:c r="L17" s="9" t="str"/>
      <x:c r="M17" s="9" t="str">
        <x:v>La vérification porte sur une œuvre ou un fichier légalement accessible ; le catalogue ne fournit aucun binaire extrait.</x:v>
      </x:c>
      <x:c r="N17" s="9" t="str">
        <x:v>Le registre contient référence précise, pièce contrôlée, conclusion et limites.</x:v>
      </x:c>
      <x:c r="O17" s="9" t="str">
        <x:v>CUT-CASE-X57</x:v>
      </x:c>
      <x:c r="P17" s="9" t="str">
        <x:v>UNC: Bring Down the Sky</x:v>
      </x:c>
      <x:c r="Q17" s="9" t="str">
        <x:v>CUT-ME1</x:v>
      </x:c>
      <x:c r="R17" s="20" t="str">
        <x:v>https://masseffect.fandom.com/wiki/Mass_Effect_Cut_Content</x:v>
      </x:c>
      <x:c r="S17" s="20" t="str"/>
    </x:row>
    <x:row r="18" ht="54" customHeight="1">
      <x:c r="A18" s="19" t="str">
        <x:v>CUT-QA-INTERRUPT</x:v>
      </x:c>
      <x:c r="B18" s="7" t="str">
        <x:v>Vérifier : Interruptions de ME1</x:v>
      </x:c>
      <x:c r="C18" s="15" t="str">
        <x:v>Défini</x:v>
      </x:c>
      <x:c r="D18" s="17" t="str">
        <x:v>Extrapolation</x:v>
      </x:c>
      <x:c r="E18" s="17" t="str">
        <x:v>P0</x:v>
      </x:c>
      <x:c r="F18" s="7" t="str">
        <x:v>Tâche de contrôle de provenance.</x:v>
      </x:c>
      <x:c r="G18" s="7" t="str">
        <x:v>Retrouver les pièces qui justifient Interruptions de ME1, relever version, date et segment exact.</x:v>
      </x:c>
      <x:c r="H18" s="7" t="str">
        <x:v>Comparer source primaire, état publié et proposition du projet. Documenter tout écart.</x:v>
      </x:c>
      <x:c r="I18" s="7" t="str"/>
      <x:c r="J18" s="7" t="str"/>
      <x:c r="K18" s="7" t="str"/>
      <x:c r="L18" s="7" t="str"/>
      <x:c r="M18" s="7" t="str">
        <x:v>La vérification porte sur une œuvre ou un fichier légalement accessible ; le catalogue ne fournit aucun binaire extrait.</x:v>
      </x:c>
      <x:c r="N18" s="7" t="str">
        <x:v>Le registre contient référence précise, pièce contrôlée, conclusion et limites.</x:v>
      </x:c>
      <x:c r="O18" s="7" t="str">
        <x:v>CUT-CASE-INTERRUPT</x:v>
      </x:c>
      <x:c r="P18" s="7" t="str">
        <x:v>Interruptions de ME1</x:v>
      </x:c>
      <x:c r="Q18" s="7" t="str">
        <x:v>CUT-ME1</x:v>
      </x:c>
      <x:c r="R18" s="21" t="str">
        <x:v>https://masseffect.fandom.com/wiki/Mass_Effect_Cut_Content</x:v>
      </x:c>
      <x:c r="S18" s="21" t="str"/>
    </x:row>
    <x:row r="19" ht="54" customHeight="1">
      <x:c r="A19" s="18" t="str">
        <x:v>CUT-QA-ROUT</x:v>
      </x:c>
      <x:c r="B19" s="9" t="str">
        <x:v>Vérifier : Rout</x:v>
      </x:c>
      <x:c r="C19" s="15" t="str">
        <x:v>Défini</x:v>
      </x:c>
      <x:c r="D19" s="16" t="str">
        <x:v>Extrapolation</x:v>
      </x:c>
      <x:c r="E19" s="16" t="str">
        <x:v>P0</x:v>
      </x:c>
      <x:c r="F19" s="9" t="str">
        <x:v>Tâche de contrôle de provenance.</x:v>
      </x:c>
      <x:c r="G19" s="9" t="str">
        <x:v>Retrouver les pièces qui justifient Rout, relever version, date et segment exact.</x:v>
      </x:c>
      <x:c r="H19" s="9" t="str">
        <x:v>Comparer source primaire, état publié et proposition du projet. Documenter tout écart.</x:v>
      </x:c>
      <x:c r="I19" s="9" t="str"/>
      <x:c r="J19" s="9" t="str"/>
      <x:c r="K19" s="9" t="str"/>
      <x:c r="L19" s="9" t="str"/>
      <x:c r="M19" s="9" t="str">
        <x:v>La vérification porte sur une œuvre ou un fichier légalement accessible ; le catalogue ne fournit aucun binaire extrait.</x:v>
      </x:c>
      <x:c r="N19" s="9" t="str">
        <x:v>Le registre contient référence précise, pièce contrôlée, conclusion et limites.</x:v>
      </x:c>
      <x:c r="O19" s="9" t="str">
        <x:v>CUT-CASE-ROUT</x:v>
      </x:c>
      <x:c r="P19" s="9" t="str">
        <x:v>Rout</x:v>
      </x:c>
      <x:c r="Q19" s="9" t="str">
        <x:v>CUT-ME1</x:v>
      </x:c>
      <x:c r="R19" s="20" t="str">
        <x:v>https://masseffect.fandom.com/wiki/Mass_Effect_Cut_Content</x:v>
      </x:c>
      <x:c r="S19" s="20" t="str"/>
    </x:row>
    <x:row r="20" ht="54" customHeight="1">
      <x:c r="A20" s="19" t="str">
        <x:v>CUT-QA-CAMO</x:v>
      </x:c>
      <x:c r="B20" s="7" t="str">
        <x:v>Vérifier : Camouflage de ME1</x:v>
      </x:c>
      <x:c r="C20" s="15" t="str">
        <x:v>Défini</x:v>
      </x:c>
      <x:c r="D20" s="17" t="str">
        <x:v>Extrapolation</x:v>
      </x:c>
      <x:c r="E20" s="17" t="str">
        <x:v>P0</x:v>
      </x:c>
      <x:c r="F20" s="7" t="str">
        <x:v>Tâche de contrôle de provenance.</x:v>
      </x:c>
      <x:c r="G20" s="7" t="str">
        <x:v>Retrouver les pièces qui justifient Camouflage de ME1, relever version, date et segment exact.</x:v>
      </x:c>
      <x:c r="H20" s="7" t="str">
        <x:v>Comparer source primaire, état publié et proposition du projet. Documenter tout écart.</x:v>
      </x:c>
      <x:c r="I20" s="7" t="str"/>
      <x:c r="J20" s="7" t="str"/>
      <x:c r="K20" s="7" t="str"/>
      <x:c r="L20" s="7" t="str"/>
      <x:c r="M20" s="7" t="str">
        <x:v>La vérification porte sur une œuvre ou un fichier légalement accessible ; le catalogue ne fournit aucun binaire extrait.</x:v>
      </x:c>
      <x:c r="N20" s="7" t="str">
        <x:v>Le registre contient référence précise, pièce contrôlée, conclusion et limites.</x:v>
      </x:c>
      <x:c r="O20" s="7" t="str">
        <x:v>CUT-CASE-CAMO</x:v>
      </x:c>
      <x:c r="P20" s="7" t="str">
        <x:v>Camouflage de ME1</x:v>
      </x:c>
      <x:c r="Q20" s="7" t="str">
        <x:v>CUT-ME1</x:v>
      </x:c>
      <x:c r="R20" s="21" t="str">
        <x:v>https://masseffect.fandom.com/wiki/Mass_Effect_Cut_Content</x:v>
      </x:c>
      <x:c r="S20" s="21" t="str"/>
    </x:row>
    <x:row r="21" ht="54" customHeight="1">
      <x:c r="A21" s="18" t="str">
        <x:v>CUT-QA-LILITH</x:v>
      </x:c>
      <x:c r="B21" s="9" t="str">
        <x:v>Vérifier : Lilith jouable à Horizon</x:v>
      </x:c>
      <x:c r="C21" s="15" t="str">
        <x:v>Défini</x:v>
      </x:c>
      <x:c r="D21" s="16" t="str">
        <x:v>Extrapolation</x:v>
      </x:c>
      <x:c r="E21" s="16" t="str">
        <x:v>P0</x:v>
      </x:c>
      <x:c r="F21" s="9" t="str">
        <x:v>Tâche de contrôle de provenance.</x:v>
      </x:c>
      <x:c r="G21" s="9" t="str">
        <x:v>Retrouver les pièces qui justifient Lilith jouable à Horizon, relever version, date et segment exact.</x:v>
      </x:c>
      <x:c r="H21" s="9" t="str">
        <x:v>Comparer source primaire, état publié et proposition du projet. Documenter tout écart.</x:v>
      </x:c>
      <x:c r="I21" s="9" t="str"/>
      <x:c r="J21" s="9" t="str"/>
      <x:c r="K21" s="9" t="str"/>
      <x:c r="L21" s="9" t="str"/>
      <x:c r="M21" s="9" t="str">
        <x:v>La vérification porte sur une œuvre ou un fichier légalement accessible ; le catalogue ne fournit aucun binaire extrait.</x:v>
      </x:c>
      <x:c r="N21" s="9" t="str">
        <x:v>Le registre contient référence précise, pièce contrôlée, conclusion et limites.</x:v>
      </x:c>
      <x:c r="O21" s="9" t="str">
        <x:v>CUT-CASE-LILITH</x:v>
      </x:c>
      <x:c r="P21" s="9" t="str">
        <x:v>Lilith jouable à Horizon</x:v>
      </x:c>
      <x:c r="Q21" s="9" t="str">
        <x:v>CUT-ME2</x:v>
      </x:c>
      <x:c r="R21" s="20" t="str">
        <x:v>https://masseffect.fandom.com/wiki/Mass_Effect_2_Cut_Content</x:v>
      </x:c>
      <x:c r="S21" s="20" t="str"/>
    </x:row>
    <x:row r="22" ht="54" customHeight="1">
      <x:c r="A22" s="19" t="str">
        <x:v>CUT-QA-CHANDANA</x:v>
      </x:c>
      <x:c r="B22" s="7" t="str">
        <x:v>Vérifier : Dr Chandana comme boss</x:v>
      </x:c>
      <x:c r="C22" s="15" t="str">
        <x:v>Défini</x:v>
      </x:c>
      <x:c r="D22" s="17" t="str">
        <x:v>Extrapolation</x:v>
      </x:c>
      <x:c r="E22" s="17" t="str">
        <x:v>P0</x:v>
      </x:c>
      <x:c r="F22" s="7" t="str">
        <x:v>Tâche de contrôle de provenance.</x:v>
      </x:c>
      <x:c r="G22" s="7" t="str">
        <x:v>Retrouver les pièces qui justifient Dr Chandana comme boss, relever version, date et segment exact.</x:v>
      </x:c>
      <x:c r="H22" s="7" t="str">
        <x:v>Comparer source primaire, état publié et proposition du projet. Documenter tout écart.</x:v>
      </x:c>
      <x:c r="I22" s="7" t="str"/>
      <x:c r="J22" s="7" t="str"/>
      <x:c r="K22" s="7" t="str"/>
      <x:c r="L22" s="7" t="str"/>
      <x:c r="M22" s="7" t="str">
        <x:v>La vérification porte sur une œuvre ou un fichier légalement accessible ; le catalogue ne fournit aucun binaire extrait.</x:v>
      </x:c>
      <x:c r="N22" s="7" t="str">
        <x:v>Le registre contient référence précise, pièce contrôlée, conclusion et limites.</x:v>
      </x:c>
      <x:c r="O22" s="7" t="str">
        <x:v>CUT-CASE-CHANDANA</x:v>
      </x:c>
      <x:c r="P22" s="7" t="str">
        <x:v>Dr Chandana comme boss</x:v>
      </x:c>
      <x:c r="Q22" s="7" t="str">
        <x:v>CUT-ME2</x:v>
      </x:c>
      <x:c r="R22" s="21" t="str">
        <x:v>https://masseffect.fandom.com/wiki/Mass_Effect_2_Cut_Content</x:v>
      </x:c>
      <x:c r="S22" s="21" t="str"/>
    </x:row>
    <x:row r="23" ht="54" customHeight="1">
      <x:c r="A23" s="18" t="str">
        <x:v>CUT-QA-KASUMI</x:v>
      </x:c>
      <x:c r="B23" s="9" t="str">
        <x:v>Vérifier : Recrutement de Kasumi sur Illium</x:v>
      </x:c>
      <x:c r="C23" s="15" t="str">
        <x:v>Défini</x:v>
      </x:c>
      <x:c r="D23" s="16" t="str">
        <x:v>Extrapolation</x:v>
      </x:c>
      <x:c r="E23" s="16" t="str">
        <x:v>P0</x:v>
      </x:c>
      <x:c r="F23" s="9" t="str">
        <x:v>Tâche de contrôle de provenance.</x:v>
      </x:c>
      <x:c r="G23" s="9" t="str">
        <x:v>Retrouver les pièces qui justifient Recrutement de Kasumi sur Illium, relever version, date et segment exact.</x:v>
      </x:c>
      <x:c r="H23" s="9" t="str">
        <x:v>Comparer source primaire, état publié et proposition du projet. Documenter tout écart.</x:v>
      </x:c>
      <x:c r="I23" s="9" t="str"/>
      <x:c r="J23" s="9" t="str"/>
      <x:c r="K23" s="9" t="str"/>
      <x:c r="L23" s="9" t="str"/>
      <x:c r="M23" s="9" t="str">
        <x:v>La vérification porte sur une œuvre ou un fichier légalement accessible ; le catalogue ne fournit aucun binaire extrait.</x:v>
      </x:c>
      <x:c r="N23" s="9" t="str">
        <x:v>Le registre contient référence précise, pièce contrôlée, conclusion et limites.</x:v>
      </x:c>
      <x:c r="O23" s="9" t="str">
        <x:v>CUT-CASE-KASUMI</x:v>
      </x:c>
      <x:c r="P23" s="9" t="str">
        <x:v>Recrutement de Kasumi sur Illium</x:v>
      </x:c>
      <x:c r="Q23" s="9" t="str">
        <x:v>CUT-ME2</x:v>
      </x:c>
      <x:c r="R23" s="20" t="str">
        <x:v>https://masseffect.fandom.com/wiki/Mass_Effect_2_Cut_Content</x:v>
      </x:c>
      <x:c r="S23" s="20" t="str"/>
    </x:row>
    <x:row r="24" ht="54" customHeight="1">
      <x:c r="A24" s="19" t="str">
        <x:v>CUT-QA-ZAEED</x:v>
      </x:c>
      <x:c r="B24" s="7" t="str">
        <x:v>Vérifier : Recrutement de Zaeed sur Korlus</x:v>
      </x:c>
      <x:c r="C24" s="15" t="str">
        <x:v>Défini</x:v>
      </x:c>
      <x:c r="D24" s="17" t="str">
        <x:v>Extrapolation</x:v>
      </x:c>
      <x:c r="E24" s="17" t="str">
        <x:v>P0</x:v>
      </x:c>
      <x:c r="F24" s="7" t="str">
        <x:v>Tâche de contrôle de provenance.</x:v>
      </x:c>
      <x:c r="G24" s="7" t="str">
        <x:v>Retrouver les pièces qui justifient Recrutement de Zaeed sur Korlus, relever version, date et segment exact.</x:v>
      </x:c>
      <x:c r="H24" s="7" t="str">
        <x:v>Comparer source primaire, état publié et proposition du projet. Documenter tout écart.</x:v>
      </x:c>
      <x:c r="I24" s="7" t="str"/>
      <x:c r="J24" s="7" t="str"/>
      <x:c r="K24" s="7" t="str"/>
      <x:c r="L24" s="7" t="str"/>
      <x:c r="M24" s="7" t="str">
        <x:v>La vérification porte sur une œuvre ou un fichier légalement accessible ; le catalogue ne fournit aucun binaire extrait.</x:v>
      </x:c>
      <x:c r="N24" s="7" t="str">
        <x:v>Le registre contient référence précise, pièce contrôlée, conclusion et limites.</x:v>
      </x:c>
      <x:c r="O24" s="7" t="str">
        <x:v>CUT-CASE-ZAEED</x:v>
      </x:c>
      <x:c r="P24" s="7" t="str">
        <x:v>Recrutement de Zaeed sur Korlus</x:v>
      </x:c>
      <x:c r="Q24" s="7" t="str">
        <x:v>CUT-ME2</x:v>
      </x:c>
      <x:c r="R24" s="21" t="str">
        <x:v>https://masseffect.fandom.com/wiki/Mass_Effect_2_Cut_Content</x:v>
      </x:c>
      <x:c r="S24" s="21" t="str"/>
    </x:row>
    <x:row r="25" ht="54" customHeight="1">
      <x:c r="A25" s="18" t="str">
        <x:v>CUT-QA-NIKET</x:v>
      </x:c>
      <x:c r="B25" s="9" t="str">
        <x:v>Vérifier : Niket peut survivre</x:v>
      </x:c>
      <x:c r="C25" s="15" t="str">
        <x:v>Défini</x:v>
      </x:c>
      <x:c r="D25" s="16" t="str">
        <x:v>Extrapolation</x:v>
      </x:c>
      <x:c r="E25" s="16" t="str">
        <x:v>P0</x:v>
      </x:c>
      <x:c r="F25" s="9" t="str">
        <x:v>Tâche de contrôle de provenance.</x:v>
      </x:c>
      <x:c r="G25" s="9" t="str">
        <x:v>Retrouver les pièces qui justifient Niket peut survivre, relever version, date et segment exact.</x:v>
      </x:c>
      <x:c r="H25" s="9" t="str">
        <x:v>Comparer source primaire, état publié et proposition du projet. Documenter tout écart.</x:v>
      </x:c>
      <x:c r="I25" s="9" t="str"/>
      <x:c r="J25" s="9" t="str"/>
      <x:c r="K25" s="9" t="str"/>
      <x:c r="L25" s="9" t="str"/>
      <x:c r="M25" s="9" t="str">
        <x:v>La vérification porte sur une œuvre ou un fichier légalement accessible ; le catalogue ne fournit aucun binaire extrait.</x:v>
      </x:c>
      <x:c r="N25" s="9" t="str">
        <x:v>Le registre contient référence précise, pièce contrôlée, conclusion et limites.</x:v>
      </x:c>
      <x:c r="O25" s="9" t="str">
        <x:v>CUT-CASE-NIKET</x:v>
      </x:c>
      <x:c r="P25" s="9" t="str">
        <x:v>Niket peut survivre</x:v>
      </x:c>
      <x:c r="Q25" s="9" t="str">
        <x:v>CUT-ME2</x:v>
      </x:c>
      <x:c r="R25" s="20" t="str">
        <x:v>https://masseffect.fandom.com/wiki/Mass_Effect_2_Cut_Content</x:v>
      </x:c>
      <x:c r="S25" s="20" t="str"/>
    </x:row>
    <x:row r="26" ht="54" customHeight="1">
      <x:c r="A26" s="19" t="str">
        <x:v>CUT-QA-LEGION</x:v>
      </x:c>
      <x:c r="B26" s="7" t="str">
        <x:v>Vérifier : Acquisition précoce de Legion</x:v>
      </x:c>
      <x:c r="C26" s="15" t="str">
        <x:v>Défini</x:v>
      </x:c>
      <x:c r="D26" s="17" t="str">
        <x:v>Extrapolation</x:v>
      </x:c>
      <x:c r="E26" s="17" t="str">
        <x:v>P0</x:v>
      </x:c>
      <x:c r="F26" s="7" t="str">
        <x:v>Tâche de contrôle de provenance.</x:v>
      </x:c>
      <x:c r="G26" s="7" t="str">
        <x:v>Retrouver les pièces qui justifient Acquisition précoce de Legion, relever version, date et segment exact.</x:v>
      </x:c>
      <x:c r="H26" s="7" t="str">
        <x:v>Comparer source primaire, état publié et proposition du projet. Documenter tout écart.</x:v>
      </x:c>
      <x:c r="I26" s="7" t="str"/>
      <x:c r="J26" s="7" t="str"/>
      <x:c r="K26" s="7" t="str"/>
      <x:c r="L26" s="7" t="str"/>
      <x:c r="M26" s="7" t="str">
        <x:v>La vérification porte sur une œuvre ou un fichier légalement accessible ; le catalogue ne fournit aucun binaire extrait.</x:v>
      </x:c>
      <x:c r="N26" s="7" t="str">
        <x:v>Le registre contient référence précise, pièce contrôlée, conclusion et limites.</x:v>
      </x:c>
      <x:c r="O26" s="7" t="str">
        <x:v>CUT-CASE-LEGION</x:v>
      </x:c>
      <x:c r="P26" s="7" t="str">
        <x:v>Acquisition précoce de Legion</x:v>
      </x:c>
      <x:c r="Q26" s="7" t="str">
        <x:v>CUT-LEGION</x:v>
      </x:c>
      <x:c r="R26" s="21" t="str">
        <x:v>https://masseffect.fandom.com/wiki/Legion</x:v>
      </x:c>
      <x:c r="S26" s="21" t="str"/>
    </x:row>
    <x:row r="27" ht="54" customHeight="1">
      <x:c r="A27" s="18" t="str">
        <x:v>CUT-QA-MORDINGRUNT</x:v>
      </x:c>
      <x:c r="B27" s="9" t="str">
        <x:v>Vérifier : Confrontation Mordin et Grunt</x:v>
      </x:c>
      <x:c r="C27" s="15" t="str">
        <x:v>Défini</x:v>
      </x:c>
      <x:c r="D27" s="16" t="str">
        <x:v>Extrapolation</x:v>
      </x:c>
      <x:c r="E27" s="16" t="str">
        <x:v>P0</x:v>
      </x:c>
      <x:c r="F27" s="9" t="str">
        <x:v>Tâche de contrôle de provenance.</x:v>
      </x:c>
      <x:c r="G27" s="9" t="str">
        <x:v>Retrouver les pièces qui justifient Confrontation Mordin et Grunt, relever version, date et segment exact.</x:v>
      </x:c>
      <x:c r="H27" s="9" t="str">
        <x:v>Comparer source primaire, état publié et proposition du projet. Documenter tout écart.</x:v>
      </x:c>
      <x:c r="I27" s="9" t="str"/>
      <x:c r="J27" s="9" t="str"/>
      <x:c r="K27" s="9" t="str"/>
      <x:c r="L27" s="9" t="str"/>
      <x:c r="M27" s="9" t="str">
        <x:v>La vérification porte sur une œuvre ou un fichier légalement accessible ; le catalogue ne fournit aucun binaire extrait.</x:v>
      </x:c>
      <x:c r="N27" s="9" t="str">
        <x:v>Le registre contient référence précise, pièce contrôlée, conclusion et limites.</x:v>
      </x:c>
      <x:c r="O27" s="9" t="str">
        <x:v>CUT-CASE-MORDINGRUNT</x:v>
      </x:c>
      <x:c r="P27" s="9" t="str">
        <x:v>Confrontation Mordin et Grunt</x:v>
      </x:c>
      <x:c r="Q27" s="9" t="str">
        <x:v>CUT-ME2</x:v>
      </x:c>
      <x:c r="R27" s="20" t="str">
        <x:v>https://masseffect.fandom.com/wiki/Mass_Effect_2_Cut_Content</x:v>
      </x:c>
      <x:c r="S27" s="20" t="str"/>
    </x:row>
    <x:row r="28" ht="54" customHeight="1">
      <x:c r="A28" s="19" t="str">
        <x:v>CUT-QA-MAKO</x:v>
      </x:c>
      <x:c r="B28" s="7" t="str">
        <x:v>Vérifier : Mako dans ME2</x:v>
      </x:c>
      <x:c r="C28" s="15" t="str">
        <x:v>Défini</x:v>
      </x:c>
      <x:c r="D28" s="17" t="str">
        <x:v>Extrapolation</x:v>
      </x:c>
      <x:c r="E28" s="17" t="str">
        <x:v>P0</x:v>
      </x:c>
      <x:c r="F28" s="7" t="str">
        <x:v>Tâche de contrôle de provenance.</x:v>
      </x:c>
      <x:c r="G28" s="7" t="str">
        <x:v>Retrouver les pièces qui justifient Mako dans ME2, relever version, date et segment exact.</x:v>
      </x:c>
      <x:c r="H28" s="7" t="str">
        <x:v>Comparer source primaire, état publié et proposition du projet. Documenter tout écart.</x:v>
      </x:c>
      <x:c r="I28" s="7" t="str"/>
      <x:c r="J28" s="7" t="str"/>
      <x:c r="K28" s="7" t="str"/>
      <x:c r="L28" s="7" t="str"/>
      <x:c r="M28" s="7" t="str">
        <x:v>La vérification porte sur une œuvre ou un fichier légalement accessible ; le catalogue ne fournit aucun binaire extrait.</x:v>
      </x:c>
      <x:c r="N28" s="7" t="str">
        <x:v>Le registre contient référence précise, pièce contrôlée, conclusion et limites.</x:v>
      </x:c>
      <x:c r="O28" s="7" t="str">
        <x:v>CUT-CASE-MAKO</x:v>
      </x:c>
      <x:c r="P28" s="7" t="str">
        <x:v>Mako dans ME2</x:v>
      </x:c>
      <x:c r="Q28" s="7" t="str">
        <x:v>CUT-ME2</x:v>
      </x:c>
      <x:c r="R28" s="21" t="str">
        <x:v>https://masseffect.fandom.com/wiki/Mass_Effect_2_Cut_Content</x:v>
      </x:c>
      <x:c r="S28" s="21" t="str"/>
    </x:row>
    <x:row r="29" ht="54" customHeight="1">
      <x:c r="A29" s="18" t="str">
        <x:v>CUT-QA-JACK</x:v>
      </x:c>
      <x:c r="B29" s="9" t="str">
        <x:v>Vérifier : Romance de Jack et Shepard féminin</x:v>
      </x:c>
      <x:c r="C29" s="15" t="str">
        <x:v>Défini</x:v>
      </x:c>
      <x:c r="D29" s="16" t="str">
        <x:v>Extrapolation</x:v>
      </x:c>
      <x:c r="E29" s="16" t="str">
        <x:v>P0</x:v>
      </x:c>
      <x:c r="F29" s="9" t="str">
        <x:v>Tâche de contrôle de provenance.</x:v>
      </x:c>
      <x:c r="G29" s="9" t="str">
        <x:v>Retrouver les pièces qui justifient Romance de Jack et Shepard féminin, relever version, date et segment exact.</x:v>
      </x:c>
      <x:c r="H29" s="9" t="str">
        <x:v>Comparer source primaire, état publié et proposition du projet. Documenter tout écart.</x:v>
      </x:c>
      <x:c r="I29" s="9" t="str"/>
      <x:c r="J29" s="9" t="str"/>
      <x:c r="K29" s="9" t="str"/>
      <x:c r="L29" s="9" t="str"/>
      <x:c r="M29" s="9" t="str">
        <x:v>La vérification porte sur une œuvre ou un fichier légalement accessible ; le catalogue ne fournit aucun binaire extrait.</x:v>
      </x:c>
      <x:c r="N29" s="9" t="str">
        <x:v>Le registre contient référence précise, pièce contrôlée, conclusion et limites.</x:v>
      </x:c>
      <x:c r="O29" s="9" t="str">
        <x:v>CUT-CASE-JACK</x:v>
      </x:c>
      <x:c r="P29" s="9" t="str">
        <x:v>Romance de Jack et Shepard féminin</x:v>
      </x:c>
      <x:c r="Q29" s="9" t="str">
        <x:v>CUT-JACK</x:v>
      </x:c>
      <x:c r="R29" s="20" t="str">
        <x:v>https://www.gamespot.com/articles/mass-effect-2s-jack-was-supposed-to-be-pansexual-until-fox-news-got-in-the-way/1100-6486662/</x:v>
      </x:c>
      <x:c r="S29" s="20" t="str"/>
    </x:row>
    <x:row r="30" ht="54" customHeight="1">
      <x:c r="A30" s="19" t="str">
        <x:v>CUT-QA-DARK</x:v>
      </x:c>
      <x:c r="B30" s="7" t="str">
        <x:v>Vérifier : Piste de l’énergie noire</x:v>
      </x:c>
      <x:c r="C30" s="15" t="str">
        <x:v>Défini</x:v>
      </x:c>
      <x:c r="D30" s="17" t="str">
        <x:v>Extrapolation</x:v>
      </x:c>
      <x:c r="E30" s="17" t="str">
        <x:v>P0</x:v>
      </x:c>
      <x:c r="F30" s="7" t="str">
        <x:v>Tâche de contrôle de provenance.</x:v>
      </x:c>
      <x:c r="G30" s="7" t="str">
        <x:v>Retrouver les pièces qui justifient Piste de l’énergie noire, relever version, date et segment exact.</x:v>
      </x:c>
      <x:c r="H30" s="7" t="str">
        <x:v>Comparer source primaire, état publié et proposition du projet. Documenter tout écart.</x:v>
      </x:c>
      <x:c r="I30" s="7" t="str"/>
      <x:c r="J30" s="7" t="str"/>
      <x:c r="K30" s="7" t="str"/>
      <x:c r="L30" s="7" t="str"/>
      <x:c r="M30" s="7" t="str">
        <x:v>La vérification porte sur une œuvre ou un fichier légalement accessible ; le catalogue ne fournit aucun binaire extrait.</x:v>
      </x:c>
      <x:c r="N30" s="7" t="str">
        <x:v>Le registre contient référence précise, pièce contrôlée, conclusion et limites.</x:v>
      </x:c>
      <x:c r="O30" s="7" t="str">
        <x:v>CUT-CASE-DARK</x:v>
      </x:c>
      <x:c r="P30" s="7" t="str">
        <x:v>Piste de l’énergie noire</x:v>
      </x:c>
      <x:c r="Q30" s="7" t="str">
        <x:v>CUT-DARK</x:v>
      </x:c>
      <x:c r="R30" s="21" t="str">
        <x:v>https://www.pcgamer.com/mass-effect-3-series-former-lead-writer-reveals-original-ending-ideas/</x:v>
      </x:c>
      <x:c r="S30" s="21" t="str"/>
    </x:row>
    <x:row r="31" ht="54" customHeight="1">
      <x:c r="A31" s="18" t="str">
        <x:v>CUT-QA-TIM</x:v>
      </x:c>
      <x:c r="B31" s="9" t="str">
        <x:v>Vérifier : Boss de l’Homme Trouble</x:v>
      </x:c>
      <x:c r="C31" s="15" t="str">
        <x:v>Défini</x:v>
      </x:c>
      <x:c r="D31" s="16" t="str">
        <x:v>Extrapolation</x:v>
      </x:c>
      <x:c r="E31" s="16" t="str">
        <x:v>P0</x:v>
      </x:c>
      <x:c r="F31" s="9" t="str">
        <x:v>Tâche de contrôle de provenance.</x:v>
      </x:c>
      <x:c r="G31" s="9" t="str">
        <x:v>Retrouver les pièces qui justifient Boss de l’Homme Trouble, relever version, date et segment exact.</x:v>
      </x:c>
      <x:c r="H31" s="9" t="str">
        <x:v>Comparer source primaire, état publié et proposition du projet. Documenter tout écart.</x:v>
      </x:c>
      <x:c r="I31" s="9" t="str"/>
      <x:c r="J31" s="9" t="str"/>
      <x:c r="K31" s="9" t="str"/>
      <x:c r="L31" s="9" t="str"/>
      <x:c r="M31" s="9" t="str">
        <x:v>La vérification porte sur une œuvre ou un fichier légalement accessible ; le catalogue ne fournit aucun binaire extrait.</x:v>
      </x:c>
      <x:c r="N31" s="9" t="str">
        <x:v>Le registre contient référence précise, pièce contrôlée, conclusion et limites.</x:v>
      </x:c>
      <x:c r="O31" s="9" t="str">
        <x:v>CUT-CASE-TIM</x:v>
      </x:c>
      <x:c r="P31" s="9" t="str">
        <x:v>Boss de l’Homme Trouble</x:v>
      </x:c>
      <x:c r="Q31" s="9" t="str">
        <x:v>CUT-FINAL</x:v>
      </x:c>
      <x:c r="R31" s="20" t="str">
        <x:v>https://www.me3finalhours.com/</x:v>
      </x:c>
      <x:c r="S31" s="20" t="str"/>
    </x:row>
    <x:row r="32" ht="54" customHeight="1">
      <x:c r="A32" s="19" t="str">
        <x:v>CUT-QA-TEAM</x:v>
      </x:c>
      <x:c r="B32" s="7" t="str">
        <x:v>Vérifier : Mass Effect Team Assault</x:v>
      </x:c>
      <x:c r="C32" s="15" t="str">
        <x:v>Défini</x:v>
      </x:c>
      <x:c r="D32" s="17" t="str">
        <x:v>Extrapolation</x:v>
      </x:c>
      <x:c r="E32" s="17" t="str">
        <x:v>P0</x:v>
      </x:c>
      <x:c r="F32" s="7" t="str">
        <x:v>Tâche de contrôle de provenance.</x:v>
      </x:c>
      <x:c r="G32" s="7" t="str">
        <x:v>Retrouver les pièces qui justifient Mass Effect Team Assault, relever version, date et segment exact.</x:v>
      </x:c>
      <x:c r="H32" s="7" t="str">
        <x:v>Comparer source primaire, état publié et proposition du projet. Documenter tout écart.</x:v>
      </x:c>
      <x:c r="I32" s="7" t="str"/>
      <x:c r="J32" s="7" t="str"/>
      <x:c r="K32" s="7" t="str"/>
      <x:c r="L32" s="7" t="str"/>
      <x:c r="M32" s="7" t="str">
        <x:v>La vérification porte sur une œuvre ou un fichier légalement accessible ; le catalogue ne fournit aucun binaire extrait.</x:v>
      </x:c>
      <x:c r="N32" s="7" t="str">
        <x:v>Le registre contient référence précise, pièce contrôlée, conclusion et limites.</x:v>
      </x:c>
      <x:c r="O32" s="7" t="str">
        <x:v>CUT-CASE-TEAM</x:v>
      </x:c>
      <x:c r="P32" s="7" t="str">
        <x:v>Mass Effect Team Assault</x:v>
      </x:c>
      <x:c r="Q32" s="7" t="str">
        <x:v>CUT-FINAL</x:v>
      </x:c>
      <x:c r="R32" s="21" t="str">
        <x:v>https://www.me3finalhours.com/</x:v>
      </x:c>
      <x:c r="S32" s="21" t="str"/>
    </x:row>
    <x:row r="33" ht="54" customHeight="1">
      <x:c r="A33" s="18" t="str">
        <x:v>CUT-QA-ANDERSON</x:v>
      </x:c>
      <x:c r="B33" s="9" t="str">
        <x:v>Vérifier : Scène finale d’Anderson raccourcie</x:v>
      </x:c>
      <x:c r="C33" s="15" t="str">
        <x:v>Défini</x:v>
      </x:c>
      <x:c r="D33" s="16" t="str">
        <x:v>Extrapolation</x:v>
      </x:c>
      <x:c r="E33" s="16" t="str">
        <x:v>P0</x:v>
      </x:c>
      <x:c r="F33" s="9" t="str">
        <x:v>Tâche de contrôle de provenance.</x:v>
      </x:c>
      <x:c r="G33" s="9" t="str">
        <x:v>Retrouver les pièces qui justifient Scène finale d’Anderson raccourcie, relever version, date et segment exact.</x:v>
      </x:c>
      <x:c r="H33" s="9" t="str">
        <x:v>Comparer source primaire, état publié et proposition du projet. Documenter tout écart.</x:v>
      </x:c>
      <x:c r="I33" s="9" t="str"/>
      <x:c r="J33" s="9" t="str"/>
      <x:c r="K33" s="9" t="str"/>
      <x:c r="L33" s="9" t="str"/>
      <x:c r="M33" s="9" t="str">
        <x:v>La vérification porte sur une œuvre ou un fichier légalement accessible ; le catalogue ne fournit aucun binaire extrait.</x:v>
      </x:c>
      <x:c r="N33" s="9" t="str">
        <x:v>Le registre contient référence précise, pièce contrôlée, conclusion et limites.</x:v>
      </x:c>
      <x:c r="O33" s="9" t="str">
        <x:v>CUT-CASE-ANDERSON</x:v>
      </x:c>
      <x:c r="P33" s="9" t="str">
        <x:v>Scène finale d’Anderson raccourcie</x:v>
      </x:c>
      <x:c r="Q33" s="9" t="str">
        <x:v>CUT-ANDERSON</x:v>
      </x:c>
      <x:c r="R33" s="20" t="str">
        <x:v>https://masseffect.fandom.com/wiki/The_Final_Hours_of_Mass_Effect_3/Chapter_10:_The_Darkest_Hours</x:v>
      </x:c>
      <x:c r="S33" s="20" t="str"/>
    </x:row>
    <x:row r="34" ht="54" customHeight="1">
      <x:c r="A34" s="19" t="str">
        <x:v>CUT-QA-PINNACLE</x:v>
      </x:c>
      <x:c r="B34" s="7" t="str">
        <x:v>Vérifier : Pinnacle Station dans Legendary Edition</x:v>
      </x:c>
      <x:c r="C34" s="15" t="str">
        <x:v>Défini</x:v>
      </x:c>
      <x:c r="D34" s="17" t="str">
        <x:v>Extrapolation</x:v>
      </x:c>
      <x:c r="E34" s="17" t="str">
        <x:v>P0</x:v>
      </x:c>
      <x:c r="F34" s="7" t="str">
        <x:v>Tâche de contrôle de provenance.</x:v>
      </x:c>
      <x:c r="G34" s="7" t="str">
        <x:v>Retrouver les pièces qui justifient Pinnacle Station dans Legendary Edition, relever version, date et segment exact.</x:v>
      </x:c>
      <x:c r="H34" s="7" t="str">
        <x:v>Comparer source primaire, état publié et proposition du projet. Documenter tout écart.</x:v>
      </x:c>
      <x:c r="I34" s="7" t="str"/>
      <x:c r="J34" s="7" t="str"/>
      <x:c r="K34" s="7" t="str"/>
      <x:c r="L34" s="7" t="str"/>
      <x:c r="M34" s="7" t="str">
        <x:v>La vérification porte sur une œuvre ou un fichier légalement accessible ; le catalogue ne fournit aucun binaire extrait.</x:v>
      </x:c>
      <x:c r="N34" s="7" t="str">
        <x:v>Le registre contient référence précise, pièce contrôlée, conclusion et limites.</x:v>
      </x:c>
      <x:c r="O34" s="7" t="str">
        <x:v>CUT-CASE-PINNACLE</x:v>
      </x:c>
      <x:c r="P34" s="7" t="str">
        <x:v>Pinnacle Station dans Legendary Edition</x:v>
      </x:c>
      <x:c r="Q34" s="7" t="str">
        <x:v>CUT-PINNACLE</x:v>
      </x:c>
      <x:c r="R34" s="21" t="str">
        <x:v>https://www.gamespot.com/articles/why-mass-effects-pinnacle-station-isnt-in-the-legendary-edition/1100-6487087/</x:v>
      </x:c>
      <x:c r="S34" s="21" t="str"/>
    </x:row>
    <x:row r="35" ht="54" customHeight="1">
      <x:c r="A35" s="18" t="str">
        <x:v>CUT-QA-ARK</x:v>
      </x:c>
      <x:c r="B35" s="9" t="str">
        <x:v>Vérifier : Arche quarienne et contenu solo Andromeda</x:v>
      </x:c>
      <x:c r="C35" s="15" t="str">
        <x:v>Défini</x:v>
      </x:c>
      <x:c r="D35" s="16" t="str">
        <x:v>Extrapolation</x:v>
      </x:c>
      <x:c r="E35" s="16" t="str">
        <x:v>P0</x:v>
      </x:c>
      <x:c r="F35" s="9" t="str">
        <x:v>Tâche de contrôle de provenance.</x:v>
      </x:c>
      <x:c r="G35" s="9" t="str">
        <x:v>Retrouver les pièces qui justifient Arche quarienne et contenu solo Andromeda, relever version, date et segment exact.</x:v>
      </x:c>
      <x:c r="H35" s="9" t="str">
        <x:v>Comparer source primaire, état publié et proposition du projet. Documenter tout écart.</x:v>
      </x:c>
      <x:c r="I35" s="9" t="str"/>
      <x:c r="J35" s="9" t="str"/>
      <x:c r="K35" s="9" t="str"/>
      <x:c r="L35" s="9" t="str"/>
      <x:c r="M35" s="9" t="str">
        <x:v>La vérification porte sur une œuvre ou un fichier légalement accessible ; le catalogue ne fournit aucun binaire extrait.</x:v>
      </x:c>
      <x:c r="N35" s="9" t="str">
        <x:v>Le registre contient référence précise, pièce contrôlée, conclusion et limites.</x:v>
      </x:c>
      <x:c r="O35" s="9" t="str">
        <x:v>CUT-CASE-ARK</x:v>
      </x:c>
      <x:c r="P35" s="9" t="str">
        <x:v>Arche quarienne et contenu solo Andromeda</x:v>
      </x:c>
      <x:c r="Q35" s="9" t="str">
        <x:v>CUT-ARK</x:v>
      </x:c>
      <x:c r="R35" s="20" t="str">
        <x:v>https://blog.bioware.com/2017/08/19/mass-effect-andromeda/</x:v>
      </x:c>
      <x:c r="S35" s="20" t="str"/>
    </x:row>
    <x:row r="36" ht="54" customHeight="1">
      <x:c r="A36" s="19" t="str">
        <x:v>CUT-QA-INDOC</x:v>
      </x:c>
      <x:c r="B36" s="7" t="str">
        <x:v>Vérifier : Théorie de l’endoctrinement comme fin coupée</x:v>
      </x:c>
      <x:c r="C36" s="15" t="str">
        <x:v>Défini</x:v>
      </x:c>
      <x:c r="D36" s="17" t="str">
        <x:v>Extrapolation</x:v>
      </x:c>
      <x:c r="E36" s="17" t="str">
        <x:v>P0</x:v>
      </x:c>
      <x:c r="F36" s="7" t="str">
        <x:v>Tâche de contrôle de provenance.</x:v>
      </x:c>
      <x:c r="G36" s="7" t="str">
        <x:v>Retrouver les pièces qui justifient Théorie de l’endoctrinement comme fin coupée, relever version, date et segment exact.</x:v>
      </x:c>
      <x:c r="H36" s="7" t="str">
        <x:v>Contrôler qu’aucune branche de production ne réintroduit cette hypothèse comme fait.</x:v>
      </x:c>
      <x:c r="I36" s="7" t="str"/>
      <x:c r="J36" s="7" t="str"/>
      <x:c r="K36" s="7" t="str"/>
      <x:c r="L36" s="7" t="str"/>
      <x:c r="M36" s="7" t="str">
        <x:v>La vérification porte sur une œuvre ou un fichier légalement accessible ; le catalogue ne fournit aucun binaire extrait.</x:v>
      </x:c>
      <x:c r="N36" s="7" t="str">
        <x:v>Le registre contient référence précise, pièce contrôlée, conclusion et limites.</x:v>
      </x:c>
      <x:c r="O36" s="7" t="str">
        <x:v>CUT-CASE-INDOC</x:v>
      </x:c>
      <x:c r="P36" s="7" t="str">
        <x:v>Théorie de l’endoctrinement comme fin coupée</x:v>
      </x:c>
      <x:c r="Q36" s="7" t="str">
        <x:v>CUT-INDOC</x:v>
      </x:c>
      <x:c r="R36" s="21" t="str">
        <x:v>https://www.gamesradar.com/mass-effect-3s-indoctrination-fan-theory-is-incorrect-but-the-devs-love-it/</x:v>
      </x:c>
      <x:c r="S36" s="21" t="str"/>
    </x:row>
    <x:row r="37" ht="54" customHeight="1">
      <x:c r="A37" s="18" t="str">
        <x:v>CUT-QA-ME4</x:v>
      </x:c>
      <x:c r="B37" s="9" t="str">
        <x:v>Vérifier : Annulation du prochain projet</x:v>
      </x:c>
      <x:c r="C37" s="15" t="str">
        <x:v>Défini</x:v>
      </x:c>
      <x:c r="D37" s="16" t="str">
        <x:v>Extrapolation</x:v>
      </x:c>
      <x:c r="E37" s="16" t="str">
        <x:v>P0</x:v>
      </x:c>
      <x:c r="F37" s="9" t="str">
        <x:v>Tâche de contrôle de provenance.</x:v>
      </x:c>
      <x:c r="G37" s="9" t="str">
        <x:v>Retrouver les pièces qui justifient Annulation du prochain projet, relever version, date et segment exact.</x:v>
      </x:c>
      <x:c r="H37" s="9" t="str">
        <x:v>Comparer source primaire, état publié et proposition du projet. Documenter tout écart.</x:v>
      </x:c>
      <x:c r="I37" s="9" t="str"/>
      <x:c r="J37" s="9" t="str"/>
      <x:c r="K37" s="9" t="str"/>
      <x:c r="L37" s="9" t="str"/>
      <x:c r="M37" s="9" t="str">
        <x:v>La vérification porte sur une œuvre ou un fichier légalement accessible ; le catalogue ne fournit aucun binaire extrait.</x:v>
      </x:c>
      <x:c r="N37" s="9" t="str">
        <x:v>Le registre contient référence précise, pièce contrôlée, conclusion et limites.</x:v>
      </x:c>
      <x:c r="O37" s="9" t="str">
        <x:v>CUT-CASE-ME4</x:v>
      </x:c>
      <x:c r="P37" s="9" t="str">
        <x:v>Annulation du prochain projet</x:v>
      </x:c>
      <x:c r="Q37" s="9" t="str">
        <x:v>CUT-STOP</x:v>
      </x:c>
      <x:c r="R37" s="20" t="str">
        <x:v>https://www.ea.com/news/building-eas-next-chapter</x:v>
      </x:c>
      <x:c r="S37" s="20" t="str"/>
    </x:row>
    <x:row r="38" ht="44" customHeight="1">
      <x:c r="A38" s="19" t="str">
        <x:v>CUT-QA-PATH</x:v>
      </x:c>
      <x:c r="B38" s="7" t="str">
        <x:v>Parcours de bout en bout</x:v>
      </x:c>
      <x:c r="C38" s="15" t="str">
        <x:v>Défini</x:v>
      </x:c>
      <x:c r="D38" s="17" t="str">
        <x:v>Extrapolation</x:v>
      </x:c>
      <x:c r="E38" s="17" t="str">
        <x:v>P1</x:v>
      </x:c>
      <x:c r="F38" s="7" t="str">
        <x:v>Scénario de recette proposé.</x:v>
      </x:c>
      <x:c r="G38" s="7" t="str">
        <x:v>Exécuter le parcours prévu de contenus coupés.</x:v>
      </x:c>
      <x:c r="H38" s="7" t="str">
        <x:v>Tester une victoire, une défaite puis un rechargement dans chaque chapitre.</x:v>
      </x:c>
      <x:c r="I38" s="7" t="str"/>
      <x:c r="J38" s="7" t="str"/>
      <x:c r="K38" s="7" t="str"/>
      <x:c r="L38" s="7" t="str"/>
      <x:c r="M38" s="7" t="str"/>
      <x:c r="N38" s="7" t="str">
        <x:v>Chaque objectif peut se terminer sans commande de débogage.</x:v>
      </x:c>
      <x:c r="O38" s="7" t="str"/>
      <x:c r="P38" s="7" t="str">
        <x:v>Conception du fan game</x:v>
      </x:c>
      <x:c r="Q38" s="7" t="str"/>
      <x:c r="R38" s="21" t="str"/>
      <x:c r="S38" s="21" t="str"/>
    </x:row>
    <x:row r="39" ht="54" customHeight="1">
      <x:c r="A39" s="18" t="str">
        <x:v>CUT-QA-BRANCH</x:v>
      </x:c>
      <x:c r="B39" s="9" t="str">
        <x:v>Choix et états persistants</x:v>
      </x:c>
      <x:c r="C39" s="15" t="str">
        <x:v>Défini</x:v>
      </x:c>
      <x:c r="D39" s="16" t="str">
        <x:v>Extrapolation</x:v>
      </x:c>
      <x:c r="E39" s="16" t="str">
        <x:v>P1</x:v>
      </x:c>
      <x:c r="F39" s="9" t="str">
        <x:v>Recette des embranchements.</x:v>
      </x:c>
      <x:c r="G39" s="9" t="str">
        <x:v>Séparer drapeaux de référence, variantes et simulations. Conserver version de dossier, sources validées et choix d’activation.</x:v>
      </x:c>
      <x:c r="H39" s="9" t="str">
        <x:v>Tester chaque condition vraie/fausse, ainsi que l’absence de donnée dans une vieille sauvegarde.</x:v>
      </x:c>
      <x:c r="I39" s="9" t="str"/>
      <x:c r="J39" s="9" t="str"/>
      <x:c r="K39" s="9" t="str"/>
      <x:c r="L39" s="9" t="str"/>
      <x:c r="M39" s="9" t="str"/>
      <x:c r="N39" s="9" t="str">
        <x:v>Les choix ne s’écrasent pas et le journal explique les objectifs indisponibles.</x:v>
      </x:c>
      <x:c r="O39" s="9" t="str"/>
      <x:c r="P39" s="9" t="str">
        <x:v>Conception du fan game</x:v>
      </x:c>
      <x:c r="Q39" s="9" t="str"/>
      <x:c r="R39" s="20" t="str"/>
      <x:c r="S39" s="20" t="str"/>
    </x:row>
    <x:row r="40" ht="44" customHeight="1">
      <x:c r="A40" s="19" t="str">
        <x:v>CUT-QA-VISUAL</x:v>
      </x:c>
      <x:c r="B40" s="7" t="str">
        <x:v>Contrôle de référence et de lisibilité</x:v>
      </x:c>
      <x:c r="C40" s="15" t="str">
        <x:v>Défini</x:v>
      </x:c>
      <x:c r="D40" s="17" t="str">
        <x:v>Extrapolation</x:v>
      </x:c>
      <x:c r="E40" s="17" t="str">
        <x:v>P1</x:v>
      </x:c>
      <x:c r="F40" s="7" t="str">
        <x:v>Recette artistique avant validation.</x:v>
      </x:c>
      <x:c r="G40" s="7" t="str">
        <x:v>Comparer silhouette, tenue, palette et décor de contenus coupés aux références détenues.</x:v>
      </x:c>
      <x:c r="H40" s="7" t="str">
        <x:v>Capturer les mêmes poses et angles. Séparer écart voulu et erreur.</x:v>
      </x:c>
      <x:c r="I40" s="7" t="str"/>
      <x:c r="J40" s="7" t="str"/>
      <x:c r="K40" s="7" t="str"/>
      <x:c r="L40" s="7" t="str"/>
      <x:c r="M40" s="7" t="str"/>
      <x:c r="N40" s="7" t="str">
        <x:v>Chaque écart est corrigé ou signalé dans la fiche de l’asset.</x:v>
      </x:c>
      <x:c r="O40" s="7" t="str"/>
      <x:c r="P40" s="7" t="str">
        <x:v>Conception du fan game</x:v>
      </x:c>
      <x:c r="Q40" s="7" t="str"/>
      <x:c r="R40" s="21" t="str"/>
      <x:c r="S40" s="21" t="str"/>
    </x:row>
    <x:row r="41" ht="44" customHeight="1">
      <x:c r="A41" s="18" t="str">
        <x:v>CUT-QA-BALANCE</x:v>
      </x:c>
      <x:c r="B41" s="9" t="str">
        <x:v>Coûts, immunités et boss</x:v>
      </x:c>
      <x:c r="C41" s="15" t="str">
        <x:v>Défini</x:v>
      </x:c>
      <x:c r="D41" s="16" t="str">
        <x:v>Extrapolation</x:v>
      </x:c>
      <x:c r="E41" s="16" t="str">
        <x:v>P1</x:v>
      </x:c>
      <x:c r="F41" s="9" t="str">
        <x:v>Recette des règles proposées.</x:v>
      </x:c>
      <x:c r="G41" s="9" t="str">
        <x:v>Vérifier les coûts avant et après interruption et la lecture des résistances.</x:v>
      </x:c>
      <x:c r="H41" s="9" t="str">
        <x:v>Tester une cible morte, immunisée, hors champ et dépourvue de protection.</x:v>
      </x:c>
      <x:c r="I41" s="9" t="str"/>
      <x:c r="J41" s="9" t="str"/>
      <x:c r="K41" s="9" t="str"/>
      <x:c r="L41" s="9" t="str"/>
      <x:c r="M41" s="9" t="str"/>
      <x:c r="N41" s="9" t="str">
        <x:v>Aucun combat ne dépend d’une faiblesse non annoncée.</x:v>
      </x:c>
      <x:c r="O41" s="9" t="str"/>
      <x:c r="P41" s="9" t="str">
        <x:v>Conception du fan game</x:v>
      </x:c>
      <x:c r="Q41" s="9" t="str"/>
      <x:c r="R41" s="20" t="str"/>
      <x:c r="S41" s="20" t="str"/>
    </x:row>
    <x:row r="42" ht="68" customHeight="1">
      <x:c r="A42" s="19" t="str">
        <x:v>CUT-QA-SCOPE</x:v>
      </x:c>
      <x:c r="B42" s="7" t="str">
        <x:v>Limites de fidélité</x:v>
      </x:c>
      <x:c r="C42" s="15" t="str">
        <x:v>Défini</x:v>
      </x:c>
      <x:c r="D42" s="17" t="str">
        <x:v>Extrapolation</x:v>
      </x:c>
      <x:c r="E42" s="17" t="str">
        <x:v>P1</x:v>
      </x:c>
      <x:c r="F42" s="7" t="str">
        <x:v>Contrôle de publication.</x:v>
      </x:c>
      <x:c r="G42" s="7" t="str">
        <x:v>Les cas indexés restent À vérifier tant que leurs pièces primaires n’ont pas été contrôlées. Les DLC publiés mais absents d’une édition et les théories de fans ont des classements distincts.</x:v>
      </x:c>
      <x:c r="H42" s="7" t="str">
        <x:v>Vérifier les mentions Établi, À vérifier et Extrapolation à chaque export.</x:v>
      </x:c>
      <x:c r="I42" s="7" t="str"/>
      <x:c r="J42" s="7" t="str"/>
      <x:c r="K42" s="7" t="str"/>
      <x:c r="L42" s="7" t="str"/>
      <x:c r="M42" s="7" t="str"/>
      <x:c r="N42" s="7" t="str">
        <x:v>Aucune scène créée ne devient un fait officiel dans le journal ou les crédits.</x:v>
      </x:c>
      <x:c r="O42" s="7" t="str"/>
      <x:c r="P42" s="7" t="str">
        <x:v>Conception du fan game</x:v>
      </x:c>
      <x:c r="Q42" s="7" t="str"/>
      <x:c r="R42" s="21" t="str"/>
      <x:c r="S42" s="21" t="str"/>
    </x:row>
  </x:sheetData>
  <x:conditionalFormatting sqref="D7:D42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42">
    <x:cfRule type="cellIs" dxfId="98" priority="3" operator="equal">
      <x:formula>"Validé"</x:formula>
    </x:cfRule>
  </x:conditionalFormatting>
  <x:conditionalFormatting sqref="E7:E42">
    <x:cfRule type="cellIs" dxfId="99" priority="4" operator="equal">
      <x:formula>"P0"</x:formula>
    </x:cfRule>
  </x:conditionalFormatting>
  <x:dataValidations count="3">
    <x:dataValidation type="list" sqref="C7:C42">
      <x:formula1>"Défini,Prototype,Intégré,Validé"</x:formula1>
    </x:dataValidation>
    <x:dataValidation type="list" sqref="D7:D42">
      <x:formula1>"Établi,À vérifier,Extrapolation,Coupé attesté,Concept abandonné,Allégation écartée"</x:formula1>
    </x:dataValidation>
    <x:dataValidation type="list" sqref="E7:E4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11d9ea1e85420b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102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: contenus coupés et concepts abandonnés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CUT-CASE-PINNACLE</x:v>
      </x:c>
      <x:c r="B7" s="9" t="str">
        <x:v>Pinnacle Station dans Legendary Edition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DLC publié absent du remaster.</x:v>
      </x:c>
      <x:c r="G7" s="9" t="str">
        <x:v>Répertorier l’édition source puis les modes d’arène à adapter.</x:v>
      </x:c>
      <x:c r="H7" s="9" t="str">
        <x:v>Absence d’édition ne signifie pas mission narrative jamais publiée.</x:v>
      </x:c>
      <x:c r="I7" s="9" t="str">
        <x:v>Station d’entraînement et hologrammes.</x:v>
      </x:c>
      <x:c r="J7" s="9" t="str"/>
      <x:c r="K7" s="9" t="str"/>
      <x:c r="L7" s="9" t="str"/>
      <x:c r="M7" s="9" t="str">
        <x:v>Activation facultative dans un profil alternatif. La campagne de référence reste sélectionnable.</x:v>
      </x:c>
      <x:c r="N7" s="9" t="str">
        <x:v>La fiche cite une provenance et ne présente pas sa reconstruction comme un contenu final officiel.</x:v>
      </x:c>
      <x:c r="O7" s="9" t="str"/>
      <x:c r="P7" s="9" t="str">
        <x:v>Pinnacle Station dans Legendary Edition</x:v>
      </x:c>
      <x:c r="Q7" s="9" t="str">
        <x:v>CUT-PINNACLE</x:v>
      </x:c>
      <x:c r="R7" s="20" t="str">
        <x:v>https://www.gamespot.com/articles/why-mass-effects-pinnacle-station-isnt-in-the-legendary-edition/1100-6487087/</x:v>
      </x:c>
      <x:c r="S7" s="20" t="str">
        <x:v>Le niveau de preuve porte sur l’existence ou le statut de la piste, pas sur les détails du gameplay proposé.</x:v>
      </x:c>
    </x:row>
    <x:row r="8" ht="44" customHeight="1">
      <x:c r="A8" s="19" t="str">
        <x:v>CUT-CASE-ARK</x:v>
      </x:c>
      <x:c r="B8" s="7" t="str">
        <x:v>Arche quarienne et contenu solo Andromeda</x:v>
      </x:c>
      <x:c r="C8" s="15" t="str">
        <x:v>Défini</x:v>
      </x:c>
      <x:c r="D8" s="17" t="str">
        <x:v>Établi</x:v>
      </x:c>
      <x:c r="E8" s="17" t="str">
        <x:v>P0</x:v>
      </x:c>
      <x:c r="F8" s="7" t="str">
        <x:v>Fin de suivi solo annoncée en 2017.</x:v>
      </x:c>
      <x:c r="G8" s="7" t="str">
        <x:v>Relier au dossier Annihilation pour le récit publié.</x:v>
      </x:c>
      <x:c r="H8" s="7" t="str">
        <x:v>Ne pas affirmer qu’un DLC jouable terminé a été supprimé.</x:v>
      </x:c>
      <x:c r="I8" s="7" t="str">
        <x:v>Référence d’arche distincte du Nexus.</x:v>
      </x:c>
      <x:c r="J8" s="7" t="str"/>
      <x:c r="K8" s="7" t="str"/>
      <x:c r="L8" s="7" t="str"/>
      <x:c r="M8" s="7" t="str">
        <x:v>Activation facultative dans un profil alternatif. La campagne de référence reste sélectionnable.</x:v>
      </x:c>
      <x:c r="N8" s="7" t="str">
        <x:v>La fiche cite une provenance et ne présente pas sa reconstruction comme un contenu final officiel.</x:v>
      </x:c>
      <x:c r="O8" s="7" t="str"/>
      <x:c r="P8" s="7" t="str">
        <x:v>Arche quarienne et contenu solo Andromeda</x:v>
      </x:c>
      <x:c r="Q8" s="7" t="str">
        <x:v>CUT-ARK</x:v>
      </x:c>
      <x:c r="R8" s="21" t="str">
        <x:v>https://blog.bioware.com/2017/08/19/mass-effect-andromeda/</x:v>
      </x:c>
      <x:c r="S8" s="21" t="str">
        <x:v>Le niveau de preuve porte sur l’existence ou le statut de la piste, pas sur les détails du gameplay proposé.</x:v>
      </x:c>
    </x:row>
    <x:row r="9" ht="44" customHeight="1">
      <x:c r="A9" s="18" t="str">
        <x:v>CUT-CASE-INDOC</x:v>
      </x:c>
      <x:c r="B9" s="9" t="str">
        <x:v>Théorie de l’endoctrinement comme fin coupée</x:v>
      </x:c>
      <x:c r="C9" s="15" t="str">
        <x:v>Défini</x:v>
      </x:c>
      <x:c r="D9" s="16" t="str">
        <x:v>Allégation écartée</x:v>
      </x:c>
      <x:c r="E9" s="16" t="str">
        <x:v>P0</x:v>
      </x:c>
      <x:c r="F9" s="9" t="str">
        <x:v>Intention non revendiquée par Chris Hepler.</x:v>
      </x:c>
      <x:c r="G9" s="9" t="str">
        <x:v>Conserver comme hypothèse de fans exclue du relevé des scènes attestées.</x:v>
      </x:c>
      <x:c r="H9" s="9" t="str">
        <x:v>Un module onirique éventuel sera une fan fiction explicite.</x:v>
      </x:c>
      <x:c r="I9" s="9" t="str">
        <x:v>Aucun faux écran de preuve officielle.</x:v>
      </x:c>
      <x:c r="J9" s="9" t="str"/>
      <x:c r="K9" s="9" t="str"/>
      <x:c r="L9" s="9" t="str"/>
      <x:c r="M9" s="9" t="str">
        <x:v>Activation facultative dans un profil alternatif. La campagne de référence reste sélectionnable.</x:v>
      </x:c>
      <x:c r="N9" s="9" t="str">
        <x:v>La fiche cite une provenance et ne présente pas sa reconstruction comme un contenu final officiel.</x:v>
      </x:c>
      <x:c r="O9" s="9" t="str"/>
      <x:c r="P9" s="9" t="str">
        <x:v>Théorie de l’endoctrinement comme fin coupée</x:v>
      </x:c>
      <x:c r="Q9" s="9" t="str">
        <x:v>CUT-INDOC</x:v>
      </x:c>
      <x:c r="R9" s="20" t="str">
        <x:v>https://www.gamesradar.com/mass-effect-3s-indoctrination-fan-theory-is-incorrect-but-the-devs-love-it/</x:v>
      </x:c>
      <x:c r="S9" s="20" t="str">
        <x:v>Le niveau de preuve porte sur l’existence ou le statut de la piste, pas sur les détails du gameplay proposé.</x:v>
      </x:c>
    </x:row>
    <x:row r="10" ht="44" customHeight="1">
      <x:c r="A10" s="19" t="str">
        <x:v>CUT-CASE-ME4</x:v>
      </x:c>
      <x:c r="B10" s="7" t="str">
        <x:v>Annulation du prochain projet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Arrêt annoncé le 21/10/2026.</x:v>
      </x:c>
      <x:c r="G10" s="7" t="str">
        <x:v>Renvoyer au classeur ME4, sans fabriquer un inventaire de fichiers non publiés.</x:v>
      </x:c>
      <x:c r="H10" s="7" t="str">
        <x:v>Extrapolation distincte du contenu récupéré.</x:v>
      </x:c>
      <x:c r="I10" s="7" t="str">
        <x:v>Visuels de teaser à traiter selon provenance.</x:v>
      </x:c>
      <x:c r="J10" s="7" t="str"/>
      <x:c r="K10" s="7" t="str"/>
      <x:c r="L10" s="7" t="str"/>
      <x:c r="M10" s="7" t="str">
        <x:v>Activation facultative dans un profil alternatif. La campagne de référence reste sélectionnable.</x:v>
      </x:c>
      <x:c r="N10" s="7" t="str">
        <x:v>La fiche cite une provenance et ne présente pas sa reconstruction comme un contenu final officiel.</x:v>
      </x:c>
      <x:c r="O10" s="7" t="str"/>
      <x:c r="P10" s="7" t="str">
        <x:v>Annulation du prochain projet</x:v>
      </x:c>
      <x:c r="Q10" s="7" t="str">
        <x:v>CUT-STOP</x:v>
      </x:c>
      <x:c r="R10" s="21" t="str">
        <x:v>https://www.ea.com/news/building-eas-next-chapter</x:v>
      </x:c>
      <x:c r="S10" s="21" t="str">
        <x:v>Le niveau de preuve porte sur l’existence ou le statut de la piste, pas sur les détails du gameplay proposé.</x:v>
      </x:c>
    </x:row>
    <x:row r="11" ht="54" customHeight="1">
      <x:c r="A11" s="18" t="str">
        <x:v>CUT-CNT-FLAGS</x:v>
      </x:c>
      <x:c r="B11" s="9" t="str">
        <x:v>Transfert de progression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Contrat de continuité proposé.</x:v>
      </x:c>
      <x:c r="G11" s="9" t="str">
        <x:v>Séparer drapeaux de référence, variantes et simulations. Conserver version de dossier, sources validées et choix d’activation.</x:v>
      </x:c>
      <x:c r="H11" s="9" t="str">
        <x:v>Importer uniquement les clés explicitement déclarées ; ignorer les valeurs inconnues avec message.</x:v>
      </x:c>
      <x:c r="I11" s="9" t="str"/>
      <x:c r="J11" s="9" t="str"/>
      <x:c r="K11" s="9" t="str"/>
      <x:c r="L11" s="9" t="str"/>
      <x:c r="M11" s="9" t="str"/>
      <x:c r="N11" s="9" t="str">
        <x:v>Le jeu de base peut démarrer sans ce module.</x:v>
      </x:c>
      <x:c r="O11" s="9" t="str"/>
      <x:c r="P11" s="9" t="str">
        <x:v>Conception du fan game</x:v>
      </x:c>
      <x:c r="Q11" s="9" t="str"/>
      <x:c r="R11" s="20" t="str"/>
      <x:c r="S11" s="20" t="str"/>
    </x:row>
    <x:row r="12" ht="68" customHeight="1">
      <x:c r="A12" s="19" t="str">
        <x:v>CUT-CNT-SCOPE</x:v>
      </x:c>
      <x:c r="B12" s="7" t="str">
        <x:v>Périmètre et variantes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Règle de continuité du catalogue.</x:v>
      </x:c>
      <x:c r="G12" s="7" t="str">
        <x:v>Les cas indexés restent À vérifier tant que leurs pièces primaires n’ont pas été contrôlées. Les DLC publiés mais absents d’une édition et les théories de fans ont des classements distincts.</x:v>
      </x:c>
      <x:c r="H12" s="7" t="str">
        <x:v>Conserver une campagne source et un profil d’adaptation séparés.</x:v>
      </x:c>
      <x:c r="I12" s="7" t="str"/>
      <x:c r="J12" s="7" t="str"/>
      <x:c r="K12" s="7" t="str"/>
      <x:c r="L12" s="7" t="str"/>
      <x:c r="M12" s="7" t="str"/>
      <x:c r="N12" s="7" t="str">
        <x:v>Le joueur sait quelle version de l’histoire est sélectionnée.</x:v>
      </x:c>
      <x:c r="O12" s="7" t="str"/>
      <x:c r="P12" s="7" t="str">
        <x:v>Conception du fan game</x:v>
      </x:c>
      <x:c r="Q12" s="7" t="str"/>
      <x:c r="R12" s="21" t="str"/>
      <x:c r="S12" s="21" t="str"/>
    </x:row>
  </x:sheetData>
  <x:conditionalFormatting sqref="D7:D12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12">
    <x:cfRule type="cellIs" dxfId="102" priority="3" operator="equal">
      <x:formula>"Validé"</x:formula>
    </x:cfRule>
  </x:conditionalFormatting>
  <x:conditionalFormatting sqref="E7:E12">
    <x:cfRule type="cellIs" dxfId="103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4e136d8de4519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 : contenus coupés et concepts abandonnés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30" t="str">
        <x:v>Champ</x:v>
      </x:c>
      <x:c r="B6" s="32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 : contenus coupés et concepts abandonnés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Dossier transversal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Registre de pistes ME1, ME2, ME3 et Andromeda, distinctions d’édition et propositions de reconstruction facultative.</x:v>
      </x:c>
      <x:c r="C9" s="2"/>
      <x:c r="D9" s="2"/>
      <x:c r="E9" s="2"/>
      <x:c r="F9" s="2"/>
    </x:row>
    <x:row r="10" ht="40" customHeight="1">
      <x:c r="A10" s="7" t="str">
        <x:v>Projet</x:v>
      </x:c>
      <x:c r="B10" s="7" t="str">
        <x:v>Chaque cas conserve sa provenance, son niveau de preuve et une spécification d’adaptation isolée de la campagne de référence.</x:v>
      </x:c>
      <x:c r="C10" s="2"/>
      <x:c r="D10" s="2"/>
      <x:c r="E10" s="2"/>
      <x:c r="F10" s="2"/>
    </x:row>
    <x:row r="11" ht="82" customHeight="1">
      <x:c r="A11" s="7" t="str">
        <x:v>Références et limites</x:v>
      </x:c>
      <x:c r="B11" s="7" t="str">
        <x:v>Un fichier inutilisé, un dessin préparatoire, un témoignage et un mod de restauration ne prouvent pas le même état de production. Les index wiki sont des pistes à contrôler dans les sources primaires. Les reconstructions et chiffres de gameplay sont originaux.</x:v>
      </x:c>
      <x:c r="C11" s="2"/>
      <x:c r="D11" s="2"/>
      <x:c r="E11" s="2"/>
      <x:c r="F11" s="2"/>
    </x:row>
    <x:row r="12" ht="4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30" t="str">
        <x:v>Source</x:v>
      </x:c>
      <x:c r="B26" s="31" t="str">
        <x:v>Titre</x:v>
      </x:c>
      <x:c r="C26" s="31" t="str">
        <x:v>Type</x:v>
      </x:c>
      <x:c r="D26" s="31" t="str">
        <x:v>URL</x:v>
      </x:c>
      <x:c r="E26" s="31" t="str">
        <x:v>Périmètre</x:v>
      </x:c>
      <x:c r="F26" s="32" t="str">
        <x:v>Accès et limites</x:v>
      </x:c>
    </x:row>
    <x:row r="27" ht="54" customHeight="1">
      <x:c r="A27" s="6" t="str">
        <x:v>CUT-ME1</x:v>
      </x:c>
      <x:c r="B27" s="6" t="str">
        <x:v>Mass Effect Cut Content</x:v>
      </x:c>
      <x:c r="C27" s="6" t="str">
        <x:v>Wiki indexé</x:v>
      </x:c>
      <x:c r="D27" s="6" t="str">
        <x:v>https://masseffect.fandom.com/wiki/Mass_Effect_Cut_Content</x:v>
      </x:c>
      <x:c r="E27" s="6" t="str">
        <x:v>Index ME1 : lieux, missions, systèmes et pistes de DLC.</x:v>
      </x:c>
      <x:c r="F27" s="6" t="str">
        <x:v>Ouverture directe refusée ; extrait indexé détaillé consulté. Les fichiers et documents cités n’ont pas été audités individuellement.</x:v>
      </x:c>
    </x:row>
    <x:row r="28" ht="42" customHeight="1">
      <x:c r="A28" s="6" t="str">
        <x:v>CUT-CALESTON</x:v>
      </x:c>
      <x:c r="B28" s="6" t="str">
        <x:v>Caleston (Cut)</x:v>
      </x:c>
      <x:c r="C28" s="6" t="str">
        <x:v>Wiki indexé</x:v>
      </x:c>
      <x:c r="D28" s="6" t="str">
        <x:v>https://masseffect.fandom.com/wiki/Caleston_(Cut)</x:v>
      </x:c>
      <x:c r="E28" s="6" t="str">
        <x:v>Version abandonnée de Caleston/Throw Down, distincte du Caleston publié dans ME2/ME3.</x:v>
      </x:c>
      <x:c r="F28" s="6" t="str">
        <x:v>Consulté le 22/10/2026.</x:v>
      </x:c>
    </x:row>
    <x:row r="29" ht="42" customHeight="1">
      <x:c r="A29" s="6" t="str">
        <x:v>CUT-ME2</x:v>
      </x:c>
      <x:c r="B29" s="6" t="str">
        <x:v>Mass Effect 2 Cut Content</x:v>
      </x:c>
      <x:c r="C29" s="6" t="str">
        <x:v>Wiki indexé</x:v>
      </x:c>
      <x:c r="D29" s="6" t="str">
        <x:v>https://masseffect.fandom.com/wiki/Mass_Effect_2_Cut_Content</x:v>
      </x:c>
      <x:c r="E29" s="6" t="str">
        <x:v>Index ME2 : recrutement, loyautés, répliques et systèmes.</x:v>
      </x:c>
      <x:c r="F29" s="6" t="str">
        <x:v>Ouverture directe refusée ; extrait indexé détaillé consulté. Aucun asset extrait ni script officiel reproduit.</x:v>
      </x:c>
    </x:row>
    <x:row r="30" ht="42" customHeight="1">
      <x:c r="A30" s="6" t="str">
        <x:v>CUT-LEGION</x:v>
      </x:c>
      <x:c r="B30" s="6" t="str">
        <x:v>Legion : Cut Content</x:v>
      </x:c>
      <x:c r="C30" s="6" t="str">
        <x:v>Wiki indexé</x:v>
      </x:c>
      <x:c r="D30" s="6" t="str">
        <x:v>https://masseffect.fandom.com/wiki/Legion</x:v>
      </x:c>
      <x:c r="E30" s="6" t="str">
        <x:v>Acquisition de Legion envisagée plus tôt et réactions inutilisées.</x:v>
      </x:c>
      <x:c r="F30" s="6" t="str">
        <x:v>Consulté le 22/10/2026.</x:v>
      </x:c>
    </x:row>
    <x:row r="31" ht="42" customHeight="1">
      <x:c r="A31" s="6" t="str">
        <x:v>CUT-FINAL</x:v>
      </x:c>
      <x:c r="B31" s="6" t="str">
        <x:v>The Final Hours of Mass Effect 3</x:v>
      </x:c>
      <x:c r="C31" s="6" t="str">
        <x:v>Publication originale</x:v>
      </x:c>
      <x:c r="D31" s="6" t="str">
        <x:v>https://www.me3finalhours.com/</x:v>
      </x:c>
      <x:c r="E31" s="6" t="str">
        <x:v>Notice de Geoff Keighley : prototype Team Assault et boss de l’Homme Trouble abandonné.</x:v>
      </x:c>
      <x:c r="F31" s="6" t="str">
        <x:v>Notice publique consultée ; le livre interactif complet n’est pas reproduit.</x:v>
      </x:c>
    </x:row>
    <x:row r="32" ht="42" customHeight="1">
      <x:c r="A32" s="6" t="str">
        <x:v>CUT-ANDERSON</x:v>
      </x:c>
      <x:c r="B32" s="6" t="str">
        <x:v>The Final Hours, chapitre 10</x:v>
      </x:c>
      <x:c r="C32" s="6" t="str">
        <x:v>Transcription wiki</x:v>
      </x:c>
      <x:c r="D32" s="6" t="str">
        <x:v>https://masseffect.fandom.com/wiki/The_Final_Hours_of_Mass_Effect_3/Chapter_10:_The_Darkest_Hours</x:v>
      </x:c>
      <x:c r="E32" s="6" t="str">
        <x:v>Témoignage de Mac Walters sur le raccourcissement de la scène d’Anderson.</x:v>
      </x:c>
      <x:c r="F32" s="6" t="str">
        <x:v>Transcription indexée consultée, vidéo originale à contrôler avant montage.</x:v>
      </x:c>
    </x:row>
    <x:row r="33" ht="42" customHeight="1">
      <x:c r="A33" s="6" t="str">
        <x:v>CUT-DARK</x:v>
      </x:c>
      <x:c r="B33" s="6" t="str">
        <x:v>Entretien Karpyshyn rapporté par PC Gamer</x:v>
      </x:c>
      <x:c r="C33" s="6" t="str">
        <x:v>Presse citant un auteur</x:v>
      </x:c>
      <x:c r="D33" s="6" t="str">
        <x:v>https://www.pcgamer.com/mass-effect-3-series-former-lead-writer-reveals-original-ending-ideas/</x:v>
      </x:c>
      <x:c r="E33" s="6" t="str">
        <x:v>Pistes d’énergie noire décrites comme peu développées.</x:v>
      </x:c>
      <x:c r="F33" s="6" t="str">
        <x:v>Consulté le 22/10/2026.</x:v>
      </x:c>
    </x:row>
    <x:row r="34" ht="42" customHeight="1">
      <x:c r="A34" s="6" t="str">
        <x:v>CUT-PINNACLE</x:v>
      </x:c>
      <x:c r="B34" s="6" t="str">
        <x:v>Entretien Mac Walters sur Pinnacle Station</x:v>
      </x:c>
      <x:c r="C34" s="6" t="str">
        <x:v>Entretien</x:v>
      </x:c>
      <x:c r="D34" s="6" t="str">
        <x:v>https://www.gamespot.com/articles/why-mass-effects-pinnacle-station-isnt-in-the-legendary-edition/1100-6487087/</x:v>
      </x:c>
      <x:c r="E34" s="6" t="str">
        <x:v>DLC publié, absent de Legendary Edition à cause de données corrompues.</x:v>
      </x:c>
      <x:c r="F34" s="6" t="str">
        <x:v>Consulté le 22/10/2026.</x:v>
      </x:c>
    </x:row>
    <x:row r="35" ht="42" customHeight="1">
      <x:c r="A35" s="6" t="str">
        <x:v>CUT-ARK</x:v>
      </x:c>
      <x:c r="B35" s="6" t="str">
        <x:v>BioWare : Andromeda update</x:v>
      </x:c>
      <x:c r="C35" s="6" t="str">
        <x:v>Source officielle</x:v>
      </x:c>
      <x:c r="D35" s="6" t="str">
        <x:v>https://blog.bioware.com/2017/08/19/mass-effect-andromeda/</x:v>
      </x:c>
      <x:c r="E35" s="6" t="str">
        <x:v>Annonce 2017 de fin des mises à jour solo et poursuite de récits en livres/comics.</x:v>
      </x:c>
      <x:c r="F35" s="6" t="str">
        <x:v>Consulté le 22/10/2026.</x:v>
      </x:c>
    </x:row>
    <x:row r="36" ht="42" customHeight="1">
      <x:c r="A36" s="6" t="str">
        <x:v>CUT-JACK</x:v>
      </x:c>
      <x:c r="B36" s="6" t="str">
        <x:v>Témoignage Brian Kindregan sur Jack</x:v>
      </x:c>
      <x:c r="C36" s="6" t="str">
        <x:v>Presse citant un auteur</x:v>
      </x:c>
      <x:c r="D36" s="6" t="str">
        <x:v>https://www.gamespot.com/articles/mass-effect-2s-jack-was-supposed-to-be-pansexual-until-fox-news-got-in-the-way/1100-6486662/</x:v>
      </x:c>
      <x:c r="E36" s="6" t="str">
        <x:v>Développement de la romance de Jack et restriction ultérieure.</x:v>
      </x:c>
      <x:c r="F36" s="6" t="str">
        <x:v>Consulté le 22/10/2026.</x:v>
      </x:c>
    </x:row>
    <x:row r="37" ht="42" customHeight="1">
      <x:c r="A37" s="6" t="str">
        <x:v>CUT-INDOC</x:v>
      </x:c>
      <x:c r="B37" s="6" t="str">
        <x:v>Témoignage Chris Hepler sur l’endoctrinement</x:v>
      </x:c>
      <x:c r="C37" s="6" t="str">
        <x:v>Presse citant un auteur</x:v>
      </x:c>
      <x:c r="D37" s="6" t="str">
        <x:v>https://www.gamesradar.com/mass-effect-3s-indoctrination-fan-theory-is-incorrect-but-the-devs-love-it/</x:v>
      </x:c>
      <x:c r="E37" s="6" t="str">
        <x:v>La théorie d’endoctrinement n’est pas décrite comme intention scénaristique.</x:v>
      </x:c>
      <x:c r="F37" s="6" t="str">
        <x:v>Consulté le 22/10/2026.</x:v>
      </x:c>
    </x:row>
    <x:row r="38" ht="42" customHeight="1">
      <x:c r="A38" s="6" t="str">
        <x:v>CUT-STOP</x:v>
      </x:c>
      <x:c r="B38" s="6" t="str">
        <x:v>EA : arrêt du prochain Mass Effect</x:v>
      </x:c>
      <x:c r="C38" s="6" t="str">
        <x:v>Source officielle</x:v>
      </x:c>
      <x:c r="D38" s="6" t="str">
        <x:v>https://www.ea.com/news/building-eas-next-chapter</x:v>
      </x:c>
      <x:c r="E38" s="6" t="str">
        <x:v>Projet annulé le 21/10/2026, traité dans un classeur séparé.</x:v>
      </x:c>
      <x:c r="F38" s="6" t="str">
        <x:v>Consulté le 22/10/2026.</x:v>
      </x:c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  <x:row r="41" ht="22" customHeight="1">
      <x:c r="A41" s="2"/>
      <x:c r="B41" s="2"/>
      <x:c r="C41" s="2"/>
      <x:c r="D41" s="2"/>
      <x:c r="E41" s="2"/>
      <x:c r="F41" s="2"/>
    </x:row>
    <x:row r="42" ht="34" customHeight="1">
      <x:c r="A42" s="30" t="str">
        <x:v>Domaine</x:v>
      </x:c>
      <x:c r="B42" s="31" t="str">
        <x:v>Couverture actuelle</x:v>
      </x:c>
      <x:c r="C42" s="32" t="str">
        <x:v>Travail restant</x:v>
      </x:c>
      <x:c r="D42" s="2"/>
      <x:c r="E42" s="2"/>
      <x:c r="F42" s="2"/>
    </x:row>
    <x:row r="43" ht="82" customHeight="1">
      <x:c r="A43" s="6" t="str">
        <x:v>characters</x:v>
      </x:c>
      <x:c r="B43" s="6" t="str">
        <x:v>4 fiches de cas ou de production dans ce domaine.</x:v>
      </x:c>
      <x:c r="C43" s="6" t="str">
        <x:v>Ce registre ciblé ne constitue pas un inventaire de tous les fichiers inutilisés de toutes les versions. Audit des builds, artbooks et prises originales à poursuivre cas par cas.</x:v>
      </x:c>
      <x:c r="D43" s="2"/>
      <x:c r="E43" s="2"/>
      <x:c r="F43" s="2"/>
    </x:row>
    <x:row r="44" ht="82" customHeight="1">
      <x:c r="A44" s="6" t="str">
        <x:v>npcs</x:v>
      </x:c>
      <x:c r="B44" s="6" t="str">
        <x:v>2 fiches de cas ou de production dans ce domaine.</x:v>
      </x:c>
      <x:c r="C44" s="6" t="str">
        <x:v>Ce registre ciblé ne constitue pas un inventaire de tous les fichiers inutilisés de toutes les versions. Audit des builds, artbooks et prises originales à poursuivre cas par cas.</x:v>
      </x:c>
      <x:c r="D44" s="2"/>
      <x:c r="E44" s="2"/>
      <x:c r="F44" s="2"/>
    </x:row>
    <x:row r="45" ht="82" customHeight="1">
      <x:c r="A45" s="6" t="str">
        <x:v>lore</x:v>
      </x:c>
      <x:c r="B45" s="6" t="str">
        <x:v>1 fiches de cas ou de production dans ce domaine.</x:v>
      </x:c>
      <x:c r="C45" s="6" t="str">
        <x:v>Ce registre ciblé ne constitue pas un inventaire de tous les fichiers inutilisés de toutes les versions. Audit des builds, artbooks et prises originales à poursuivre cas par cas.</x:v>
      </x:c>
      <x:c r="D45" s="2"/>
      <x:c r="E45" s="2"/>
      <x:c r="F45" s="2"/>
    </x:row>
    <x:row r="46" ht="82" customHeight="1">
      <x:c r="A46" s="6" t="str">
        <x:v>worlds</x:v>
      </x:c>
      <x:c r="B46" s="6" t="str">
        <x:v>2 fiches de cas ou de production dans ce domaine.</x:v>
      </x:c>
      <x:c r="C46" s="6" t="str">
        <x:v>Ce registre ciblé ne constitue pas un inventaire de tous les fichiers inutilisés de toutes les versions. Audit des builds, artbooks et prises originales à poursuivre cas par cas.</x:v>
      </x:c>
      <x:c r="D46" s="2"/>
      <x:c r="E46" s="2"/>
      <x:c r="F46" s="2"/>
    </x:row>
    <x:row r="47" ht="82" customHeight="1">
      <x:c r="A47" s="6" t="str">
        <x:v>zones</x:v>
      </x:c>
      <x:c r="B47" s="6" t="str">
        <x:v>4 fiches de cas ou de production dans ce domaine.</x:v>
      </x:c>
      <x:c r="C47" s="6" t="str">
        <x:v>Ce registre ciblé ne constitue pas un inventaire de tous les fichiers inutilisés de toutes les versions. Audit des builds, artbooks et prises originales à poursuivre cas par cas.</x:v>
      </x:c>
      <x:c r="D47" s="2"/>
      <x:c r="E47" s="2"/>
      <x:c r="F47" s="2"/>
    </x:row>
    <x:row r="48" ht="82" customHeight="1">
      <x:c r="A48" s="6" t="str">
        <x:v>links</x:v>
      </x:c>
      <x:c r="B48" s="6" t="str">
        <x:v>3 fiches de cas ou de production dans ce domaine.</x:v>
      </x:c>
      <x:c r="C48" s="6" t="str">
        <x:v>Ce registre ciblé ne constitue pas un inventaire de tous les fichiers inutilisés de toutes les versions. Audit des builds, artbooks et prises originales à poursuivre cas par cas.</x:v>
      </x:c>
      <x:c r="D48" s="2"/>
      <x:c r="E48" s="2"/>
      <x:c r="F48" s="2"/>
    </x:row>
    <x:row r="49" ht="82" customHeight="1">
      <x:c r="A49" s="6" t="str">
        <x:v>scenery</x:v>
      </x:c>
      <x:c r="B49" s="6" t="str">
        <x:v>3 fiches de cas ou de production dans ce domaine.</x:v>
      </x:c>
      <x:c r="C49" s="6" t="str">
        <x:v>Ce registre ciblé ne constitue pas un inventaire de tous les fichiers inutilisés de toutes les versions. Audit des builds, artbooks et prises originales à poursuivre cas par cas.</x:v>
      </x:c>
      <x:c r="D49" s="2"/>
      <x:c r="E49" s="2"/>
      <x:c r="F49" s="2"/>
    </x:row>
    <x:row r="50" ht="82" customHeight="1">
      <x:c r="A50" s="6" t="str">
        <x:v>props</x:v>
      </x:c>
      <x:c r="B50" s="6" t="str">
        <x:v>3 fiches de cas ou de production dans ce domaine.</x:v>
      </x:c>
      <x:c r="C50" s="6" t="str">
        <x:v>Ce registre ciblé ne constitue pas un inventaire de tous les fichiers inutilisés de toutes les versions. Audit des builds, artbooks et prises originales à poursuivre cas par cas.</x:v>
      </x:c>
      <x:c r="D50" s="2"/>
      <x:c r="E50" s="2"/>
      <x:c r="F50" s="2"/>
    </x:row>
    <x:row r="51" ht="82" customHeight="1">
      <x:c r="A51" s="6" t="str">
        <x:v>enemies</x:v>
      </x:c>
      <x:c r="B51" s="6" t="str">
        <x:v>2 fiches de cas ou de production dans ce domaine.</x:v>
      </x:c>
      <x:c r="C51" s="6" t="str">
        <x:v>Ce registre ciblé ne constitue pas un inventaire de tous les fichiers inutilisés de toutes les versions. Audit des builds, artbooks et prises originales à poursuivre cas par cas.</x:v>
      </x:c>
      <x:c r="D51" s="2"/>
      <x:c r="E51" s="2"/>
      <x:c r="F51" s="2"/>
    </x:row>
    <x:row r="52" ht="82" customHeight="1">
      <x:c r="A52" s="6" t="str">
        <x:v>main_quests</x:v>
      </x:c>
      <x:c r="B52" s="6" t="str">
        <x:v>4 fiches de cas ou de production dans ce domaine.</x:v>
      </x:c>
      <x:c r="C52" s="6" t="str">
        <x:v>Ce registre ciblé ne constitue pas un inventaire de tous les fichiers inutilisés de toutes les versions. Audit des builds, artbooks et prises originales à poursuivre cas par cas.</x:v>
      </x:c>
      <x:c r="D52" s="2"/>
      <x:c r="E52" s="2"/>
      <x:c r="F52" s="2"/>
    </x:row>
    <x:row r="53" ht="82" customHeight="1">
      <x:c r="A53" s="6" t="str">
        <x:v>side_quests</x:v>
      </x:c>
      <x:c r="B53" s="6" t="str">
        <x:v>7 fiches de cas ou de production dans ce domaine.</x:v>
      </x:c>
      <x:c r="C53" s="6" t="str">
        <x:v>Ce registre ciblé ne constitue pas un inventaire de tous les fichiers inutilisés de toutes les versions. Audit des builds, artbooks et prises originales à poursuivre cas par cas.</x:v>
      </x:c>
      <x:c r="D53" s="2"/>
      <x:c r="E53" s="2"/>
      <x:c r="F53" s="2"/>
    </x:row>
    <x:row r="54" ht="82" customHeight="1">
      <x:c r="A54" s="6" t="str">
        <x:v>choices</x:v>
      </x:c>
      <x:c r="B54" s="6" t="str">
        <x:v>2 fiches de cas ou de production dans ce domaine.</x:v>
      </x:c>
      <x:c r="C54" s="6" t="str">
        <x:v>Ce registre ciblé ne constitue pas un inventaire de tous les fichiers inutilisés de toutes les versions. Audit des builds, artbooks et prises originales à poursuivre cas par cas.</x:v>
      </x:c>
      <x:c r="D54" s="2"/>
      <x:c r="E54" s="2"/>
      <x:c r="F54" s="2"/>
    </x:row>
    <x:row r="55" ht="82" customHeight="1">
      <x:c r="A55" s="6" t="str">
        <x:v>dialogues</x:v>
      </x:c>
      <x:c r="B55" s="6" t="str">
        <x:v>3 fiches de cas ou de production dans ce domaine.</x:v>
      </x:c>
      <x:c r="C55" s="6" t="str">
        <x:v>Ce registre ciblé ne constitue pas un inventaire de tous les fichiers inutilisés de toutes les versions. Audit des builds, artbooks et prises originales à poursuivre cas par cas.</x:v>
      </x:c>
      <x:c r="D55" s="2"/>
      <x:c r="E55" s="2"/>
      <x:c r="F55" s="2"/>
    </x:row>
    <x:row r="56" ht="82" customHeight="1">
      <x:c r="A56" s="6" t="str">
        <x:v>cinematics</x:v>
      </x:c>
      <x:c r="B56" s="6" t="str">
        <x:v>3 fiches de cas ou de production dans ce domaine.</x:v>
      </x:c>
      <x:c r="C56" s="6" t="str">
        <x:v>Ce registre ciblé ne constitue pas un inventaire de tous les fichiers inutilisés de toutes les versions. Audit des builds, artbooks et prises originales à poursuivre cas par cas.</x:v>
      </x:c>
      <x:c r="D56" s="2"/>
      <x:c r="E56" s="2"/>
      <x:c r="F56" s="2"/>
    </x:row>
    <x:row r="57" ht="82" customHeight="1">
      <x:c r="A57" s="6" t="str">
        <x:v>weapons</x:v>
      </x:c>
      <x:c r="B57" s="6" t="str">
        <x:v>2 fiches de cas ou de production dans ce domaine.</x:v>
      </x:c>
      <x:c r="C57" s="6" t="str">
        <x:v>Ce registre ciblé ne constitue pas un inventaire de tous les fichiers inutilisés de toutes les versions. Audit des builds, artbooks et prises originales à poursuivre cas par cas.</x:v>
      </x:c>
      <x:c r="D57" s="2"/>
      <x:c r="E57" s="2"/>
      <x:c r="F57" s="2"/>
    </x:row>
    <x:row r="58" ht="82" customHeight="1">
      <x:c r="A58" s="6" t="str">
        <x:v>equipment</x:v>
      </x:c>
      <x:c r="B58" s="6" t="str">
        <x:v>2 fiches de cas ou de production dans ce domaine.</x:v>
      </x:c>
      <x:c r="C58" s="6" t="str">
        <x:v>Ce registre ciblé ne constitue pas un inventaire de tous les fichiers inutilisés de toutes les versions. Audit des builds, artbooks et prises originales à poursuivre cas par cas.</x:v>
      </x:c>
      <x:c r="D58" s="2"/>
      <x:c r="E58" s="2"/>
      <x:c r="F58" s="2"/>
    </x:row>
    <x:row r="59" ht="82" customHeight="1">
      <x:c r="A59" s="6" t="str">
        <x:v>powers</x:v>
      </x:c>
      <x:c r="B59" s="6" t="str">
        <x:v>2 fiches de cas ou de production dans ce domaine.</x:v>
      </x:c>
      <x:c r="C59" s="6" t="str">
        <x:v>Ce registre ciblé ne constitue pas un inventaire de tous les fichiers inutilisés de toutes les versions. Audit des builds, artbooks et prises originales à poursuivre cas par cas.</x:v>
      </x:c>
      <x:c r="D59" s="2"/>
      <x:c r="E59" s="2"/>
      <x:c r="F59" s="2"/>
    </x:row>
    <x:row r="60" ht="82" customHeight="1">
      <x:c r="A60" s="6" t="str">
        <x:v>ally_moves</x:v>
      </x:c>
      <x:c r="B60" s="6" t="str">
        <x:v>3 fiches de cas ou de production dans ce domaine.</x:v>
      </x:c>
      <x:c r="C60" s="6" t="str">
        <x:v>Ce registre ciblé ne constitue pas un inventaire de tous les fichiers inutilisés de toutes les versions. Audit des builds, artbooks et prises originales à poursuivre cas par cas.</x:v>
      </x:c>
      <x:c r="D60" s="2"/>
      <x:c r="E60" s="2"/>
      <x:c r="F60" s="2"/>
    </x:row>
    <x:row r="61" ht="82" customHeight="1">
      <x:c r="A61" s="6" t="str">
        <x:v>enemy_moves</x:v>
      </x:c>
      <x:c r="B61" s="6" t="str">
        <x:v>3 fiches de cas ou de production dans ce domaine.</x:v>
      </x:c>
      <x:c r="C61" s="6" t="str">
        <x:v>Ce registre ciblé ne constitue pas un inventaire de tous les fichiers inutilisés de toutes les versions. Audit des builds, artbooks et prises originales à poursuivre cas par cas.</x:v>
      </x:c>
      <x:c r="D61" s="2"/>
      <x:c r="E61" s="2"/>
      <x:c r="F61" s="2"/>
    </x:row>
    <x:row r="62" ht="82" customHeight="1">
      <x:c r="A62" s="6" t="str">
        <x:v>animations</x:v>
      </x:c>
      <x:c r="B62" s="6" t="str">
        <x:v>3 fiches de cas ou de production dans ce domaine.</x:v>
      </x:c>
      <x:c r="C62" s="6" t="str">
        <x:v>Ce registre ciblé ne constitue pas un inventaire de tous les fichiers inutilisés de toutes les versions. Audit des builds, artbooks et prises originales à poursuivre cas par cas.</x:v>
      </x:c>
      <x:c r="D62" s="2"/>
      <x:c r="E62" s="2"/>
      <x:c r="F62" s="2"/>
    </x:row>
    <x:row r="63" ht="82" customHeight="1">
      <x:c r="A63" s="6" t="str">
        <x:v>sprites</x:v>
      </x:c>
      <x:c r="B63" s="6" t="str">
        <x:v>12 fiches de cas ou de production dans ce domaine.</x:v>
      </x:c>
      <x:c r="C63" s="6" t="str">
        <x:v>Ce registre ciblé ne constitue pas un inventaire de tous les fichiers inutilisés de toutes les versions. Audit des builds, artbooks et prises originales à poursuivre cas par cas.</x:v>
      </x:c>
      <x:c r="D63" s="2"/>
      <x:c r="E63" s="2"/>
      <x:c r="F63" s="2"/>
    </x:row>
    <x:row r="64" ht="82" customHeight="1">
      <x:c r="A64" s="6" t="str">
        <x:v>vfx</x:v>
      </x:c>
      <x:c r="B64" s="6" t="str">
        <x:v>2 fiches de cas ou de production dans ce domaine.</x:v>
      </x:c>
      <x:c r="C64" s="6" t="str">
        <x:v>Ce registre ciblé ne constitue pas un inventaire de tous les fichiers inutilisés de toutes les versions. Audit des builds, artbooks et prises originales à poursuivre cas par cas.</x:v>
      </x:c>
      <x:c r="D64" s="2"/>
      <x:c r="E64" s="2"/>
      <x:c r="F64" s="2"/>
    </x:row>
    <x:row r="65" ht="82" customHeight="1">
      <x:c r="A65" s="6" t="str">
        <x:v>audio</x:v>
      </x:c>
      <x:c r="B65" s="6" t="str">
        <x:v>3 fiches de cas ou de production dans ce domaine.</x:v>
      </x:c>
      <x:c r="C65" s="6" t="str">
        <x:v>Ce registre ciblé ne constitue pas un inventaire de tous les fichiers inutilisés de toutes les versions. Audit des builds, artbooks et prises originales à poursuivre cas par cas.</x:v>
      </x:c>
      <x:c r="D65" s="2"/>
      <x:c r="E65" s="2"/>
      <x:c r="F65" s="2"/>
    </x:row>
    <x:row r="66" ht="82" customHeight="1">
      <x:c r="A66" s="6" t="str">
        <x:v>systems</x:v>
      </x:c>
      <x:c r="B66" s="6" t="str">
        <x:v>7 fiches de cas ou de production dans ce domaine.</x:v>
      </x:c>
      <x:c r="C66" s="6" t="str">
        <x:v>Ce registre ciblé ne constitue pas un inventaire de tous les fichiers inutilisés de toutes les versions. Audit des builds, artbooks et prises originales à poursuivre cas par cas.</x:v>
      </x:c>
      <x:c r="D66" s="2"/>
      <x:c r="E66" s="2"/>
      <x:c r="F66" s="2"/>
    </x:row>
    <x:row r="67" ht="82" customHeight="1">
      <x:c r="A67" s="6" t="str">
        <x:v>qa</x:v>
      </x:c>
      <x:c r="B67" s="6" t="str">
        <x:v>Une fiche de provenance par cas, plus tests des profils et de la continuité.</x:v>
      </x:c>
      <x:c r="C67" s="6" t="str">
        <x:v>Ce registre ciblé ne constitue pas un inventaire de tous les fichiers inutilisés de toutes les versions. Audit des builds, artbooks et prises originales à poursuivre cas par cas.</x:v>
      </x:c>
      <x:c r="D67" s="2"/>
      <x:c r="E67" s="2"/>
      <x:c r="F67" s="2"/>
    </x:row>
    <x:row r="68" ht="82" customHeight="1">
      <x:c r="A68" s="6" t="str">
        <x:v>continuity</x:v>
      </x:c>
      <x:c r="B68" s="6" t="str">
        <x:v>6 fiches de cas ou de production dans ce domaine.</x:v>
      </x:c>
      <x:c r="C68" s="6" t="str">
        <x:v>Ce registre ciblé ne constitue pas un inventaire de tous les fichiers inutilisés de toutes les versions. Audit des builds, artbooks et prises originales à poursuivre cas par cas.</x:v>
      </x:c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  <x:row r="119" ht="22" customHeight="1">
      <x:c r="A119" s="2"/>
      <x:c r="B119" s="2"/>
      <x:c r="C119" s="2"/>
      <x:c r="D119" s="2"/>
      <x:c r="E119" s="2"/>
      <x:c r="F119" s="2"/>
    </x:row>
    <x:row r="120" ht="22" customHeight="1">
      <x:c r="A120" s="2"/>
      <x:c r="B120" s="2"/>
      <x:c r="C120" s="2"/>
      <x:c r="D120" s="2"/>
      <x:c r="E120" s="2"/>
      <x:c r="F120" s="2"/>
    </x:row>
    <x:row r="121" ht="22" customHeight="1">
      <x:c r="A121" s="2"/>
      <x:c r="B121" s="2"/>
      <x:c r="C121" s="2"/>
      <x:c r="D121" s="2"/>
      <x:c r="E121" s="2"/>
      <x:c r="F121" s="2"/>
    </x:row>
    <x:row r="122" ht="22" customHeight="1">
      <x:c r="A122" s="2"/>
      <x:c r="B122" s="2"/>
      <x:c r="C122" s="2"/>
      <x:c r="D122" s="2"/>
      <x:c r="E122" s="2"/>
      <x:c r="F122" s="2"/>
    </x:row>
    <x:row r="123" ht="22" customHeight="1">
      <x:c r="A123" s="2"/>
      <x:c r="B123" s="2"/>
      <x:c r="C123" s="2"/>
      <x:c r="D123" s="2"/>
      <x:c r="E123" s="2"/>
      <x:c r="F123" s="2"/>
    </x:row>
    <x:row r="124" ht="22" customHeight="1">
      <x:c r="A124" s="2"/>
      <x:c r="B124" s="2"/>
      <x:c r="C124" s="2"/>
      <x:c r="D124" s="2"/>
      <x:c r="E124" s="2"/>
      <x:c r="F124" s="2"/>
    </x:row>
    <x:row r="125" ht="22" customHeight="1">
      <x:c r="A125" s="2"/>
      <x:c r="B125" s="2"/>
      <x:c r="C125" s="2"/>
      <x:c r="D125" s="2"/>
      <x:c r="E125" s="2"/>
      <x:c r="F125" s="2"/>
    </x:row>
    <x:row r="126" ht="22" customHeight="1">
      <x:c r="A126" s="2"/>
      <x:c r="B126" s="2"/>
      <x:c r="C126" s="2"/>
      <x:c r="D126" s="2"/>
      <x:c r="E126" s="2"/>
      <x:c r="F126" s="2"/>
    </x:row>
    <x:row r="127" ht="22" customHeight="1">
      <x:c r="A127" s="2"/>
      <x:c r="B127" s="2"/>
      <x:c r="C127" s="2"/>
      <x:c r="D127" s="2"/>
      <x:c r="E127" s="2"/>
      <x:c r="F127" s="2"/>
    </x:row>
    <x:row r="128" ht="22" customHeight="1">
      <x:c r="A128" s="2"/>
      <x:c r="B128" s="2"/>
      <x:c r="C128" s="2"/>
      <x:c r="D128" s="2"/>
      <x:c r="E128" s="2"/>
      <x:c r="F128" s="2"/>
    </x:row>
    <x:row r="129" ht="22" customHeight="1">
      <x:c r="A129" s="2"/>
      <x:c r="B129" s="2"/>
      <x:c r="C129" s="2"/>
      <x:c r="D129" s="2"/>
      <x:c r="E129" s="2"/>
      <x:c r="F129" s="2"/>
    </x:row>
    <x:row r="130" ht="22" customHeight="1">
      <x:c r="A130" s="2"/>
      <x:c r="B130" s="2"/>
      <x:c r="C130" s="2"/>
      <x:c r="D130" s="2"/>
      <x:c r="E130" s="2"/>
      <x:c r="F130" s="2"/>
    </x:row>
    <x:row r="131" ht="22" customHeight="1">
      <x:c r="A131" s="2"/>
      <x:c r="B131" s="2"/>
      <x:c r="C131" s="2"/>
      <x:c r="D131" s="2"/>
      <x:c r="E131" s="2"/>
      <x:c r="F131" s="2"/>
    </x:row>
    <x:row r="132" ht="22" customHeight="1">
      <x:c r="A132" s="2"/>
      <x:c r="B132" s="2"/>
      <x:c r="C132" s="2"/>
      <x:c r="D132" s="2"/>
      <x:c r="E132" s="2"/>
      <x:c r="F132" s="2"/>
    </x:row>
    <x:row r="133" ht="22" customHeight="1">
      <x:c r="A133" s="2"/>
      <x:c r="B133" s="2"/>
      <x:c r="C133" s="2"/>
      <x:c r="D133" s="2"/>
      <x:c r="E133" s="2"/>
      <x:c r="F133" s="2"/>
    </x:row>
    <x:row r="134" ht="22" customHeight="1">
      <x:c r="A134" s="2"/>
      <x:c r="B134" s="2"/>
      <x:c r="C134" s="2"/>
      <x:c r="D134" s="2"/>
      <x:c r="E134" s="2"/>
      <x:c r="F134" s="2"/>
    </x:row>
    <x:row r="135" ht="22" customHeight="1">
      <x:c r="A135" s="2"/>
      <x:c r="B135" s="2"/>
      <x:c r="C135" s="2"/>
      <x:c r="D135" s="2"/>
      <x:c r="E135" s="2"/>
      <x:c r="F135" s="2"/>
    </x:row>
    <x:row r="136" ht="22" customHeight="1">
      <x:c r="A136" s="2"/>
      <x:c r="B136" s="2"/>
      <x:c r="C136" s="2"/>
      <x:c r="D136" s="2"/>
      <x:c r="E136" s="2"/>
      <x:c r="F136" s="2"/>
    </x:row>
    <x:row r="137" ht="22" customHeight="1">
      <x:c r="A137" s="2"/>
      <x:c r="B137" s="2"/>
      <x:c r="C137" s="2"/>
      <x:c r="D137" s="2"/>
      <x:c r="E137" s="2"/>
      <x:c r="F137" s="2"/>
    </x:row>
    <x:row r="138" ht="22" customHeight="1">
      <x:c r="A138" s="2"/>
      <x:c r="B138" s="2"/>
      <x:c r="C138" s="2"/>
      <x:c r="D138" s="2"/>
      <x:c r="E138" s="2"/>
      <x:c r="F138" s="2"/>
    </x:row>
  </x:sheetData>
  <x:pageMargins left="0.7" right="0.7" top="0.75" bottom="0.75" header="0.3" footer="0.3"/>
</x:worksheet>
</file>