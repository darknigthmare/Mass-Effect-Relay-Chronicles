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e10297249a44da" /></Relationships>
</file>

<file path=xl/workbook.xml><?xml version="1.0" encoding="utf-8"?>
<x:workbook xmlns:x="http://schemas.openxmlformats.org/spreadsheetml/2006/main">
  <x:sheets>
    <x:sheet xmlns:r="http://schemas.openxmlformats.org/officeDocument/2006/relationships" name="Dashboard" sheetId="1" r:id="R0b4cbb5e5a6149b9"/>
    <x:sheet xmlns:r="http://schemas.openxmlformats.org/officeDocument/2006/relationships" name="Personnages" sheetId="2" r:id="R6172240468344c14"/>
    <x:sheet xmlns:r="http://schemas.openxmlformats.org/officeDocument/2006/relationships" name="PNJ" sheetId="3" r:id="R8896bf5e9a6f4dfd"/>
    <x:sheet xmlns:r="http://schemas.openxmlformats.org/officeDocument/2006/relationships" name="Especes_factions" sheetId="4" r:id="R23c214f690e14586"/>
    <x:sheet xmlns:r="http://schemas.openxmlformats.org/officeDocument/2006/relationships" name="Mondes" sheetId="5" r:id="R58a56f5c48d44a36"/>
    <x:sheet xmlns:r="http://schemas.openxmlformats.org/officeDocument/2006/relationships" name="Zones" sheetId="6" r:id="R02a6de0f23994b27"/>
    <x:sheet xmlns:r="http://schemas.openxmlformats.org/officeDocument/2006/relationships" name="Liaisons" sheetId="7" r:id="R09ef4f8e02c74a82"/>
    <x:sheet xmlns:r="http://schemas.openxmlformats.org/officeDocument/2006/relationships" name="Decors" sheetId="8" r:id="R9593d371433a4ec4"/>
    <x:sheet xmlns:r="http://schemas.openxmlformats.org/officeDocument/2006/relationships" name="Props" sheetId="9" r:id="R83a289a4fc284bd4"/>
    <x:sheet xmlns:r="http://schemas.openxmlformats.org/officeDocument/2006/relationships" name="Ennemis_boss" sheetId="10" r:id="Recc0092aecef4c2e"/>
    <x:sheet xmlns:r="http://schemas.openxmlformats.org/officeDocument/2006/relationships" name="Missions" sheetId="11" r:id="R1ba0bead09a14804"/>
    <x:sheet xmlns:r="http://schemas.openxmlformats.org/officeDocument/2006/relationships" name="Secondaires_DLC" sheetId="12" r:id="R680e1339b6e747cd"/>
    <x:sheet xmlns:r="http://schemas.openxmlformats.org/officeDocument/2006/relationships" name="Choix_relations" sheetId="13" r:id="Rf0dd2a7c640846f0"/>
    <x:sheet xmlns:r="http://schemas.openxmlformats.org/officeDocument/2006/relationships" name="Dialogues" sheetId="14" r:id="Rb964b2f7ddde434c"/>
    <x:sheet xmlns:r="http://schemas.openxmlformats.org/officeDocument/2006/relationships" name="Cinematiques" sheetId="15" r:id="R11d13d77b9134dd0"/>
    <x:sheet xmlns:r="http://schemas.openxmlformats.org/officeDocument/2006/relationships" name="Armes" sheetId="16" r:id="R68b9518bb8f54f5e"/>
    <x:sheet xmlns:r="http://schemas.openxmlformats.org/officeDocument/2006/relationships" name="Armures_equipement" sheetId="17" r:id="Rf94296fa4e09452a"/>
    <x:sheet xmlns:r="http://schemas.openxmlformats.org/officeDocument/2006/relationships" name="Pouvoirs" sheetId="18" r:id="Rbc8d5cafa88f4346"/>
    <x:sheet xmlns:r="http://schemas.openxmlformats.org/officeDocument/2006/relationships" name="Movesets_allies" sheetId="19" r:id="R7d85087c3a5b4630"/>
    <x:sheet xmlns:r="http://schemas.openxmlformats.org/officeDocument/2006/relationships" name="Movesets_ennemis" sheetId="20" r:id="Ra5aac7d9925b41b6"/>
    <x:sheet xmlns:r="http://schemas.openxmlformats.org/officeDocument/2006/relationships" name="Animations" sheetId="21" r:id="R24f7425ca6fe435b"/>
    <x:sheet xmlns:r="http://schemas.openxmlformats.org/officeDocument/2006/relationships" name="Sprites" sheetId="22" r:id="R7dc1aae5a6da4a1f"/>
    <x:sheet xmlns:r="http://schemas.openxmlformats.org/officeDocument/2006/relationships" name="VFX" sheetId="23" r:id="R82cded591a2d4356"/>
    <x:sheet xmlns:r="http://schemas.openxmlformats.org/officeDocument/2006/relationships" name="Audio" sheetId="24" r:id="Ref691f34dc124286"/>
    <x:sheet xmlns:r="http://schemas.openxmlformats.org/officeDocument/2006/relationships" name="UI_systemes" sheetId="25" r:id="R1fd3465560204383"/>
    <x:sheet xmlns:r="http://schemas.openxmlformats.org/officeDocument/2006/relationships" name="QA" sheetId="26" r:id="R299ab1c492e449e5"/>
    <x:sheet xmlns:r="http://schemas.openxmlformats.org/officeDocument/2006/relationships" name="Continuite" sheetId="27" r:id="R5acac69960a148fe"/>
    <x:sheet xmlns:r="http://schemas.openxmlformats.org/officeDocument/2006/relationships" name="Guide" sheetId="28" r:id="R92d28fe6ab15454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a65ff96f3a7547ed" /><Relationship Type="http://schemas.openxmlformats.org/officeDocument/2006/relationships/theme" Target="/xl/theme/theme1.xml" Id="R94cf763b6d4a4375" /><Relationship Type="http://schemas.openxmlformats.org/officeDocument/2006/relationships/sharedStrings" Target="/xl/sharedStrings.xml" Id="Rb65d6eec70a8442a" /><Relationship Type="http://schemas.openxmlformats.org/officeDocument/2006/relationships/worksheet" Target="/xl/worksheets/sheet1.xml" Id="R0b4cbb5e5a6149b9" /><Relationship Type="http://schemas.openxmlformats.org/officeDocument/2006/relationships/worksheet" Target="/xl/worksheets/sheet2.xml" Id="R6172240468344c14" /><Relationship Type="http://schemas.openxmlformats.org/officeDocument/2006/relationships/worksheet" Target="/xl/worksheets/sheet3.xml" Id="R8896bf5e9a6f4dfd" /><Relationship Type="http://schemas.openxmlformats.org/officeDocument/2006/relationships/worksheet" Target="/xl/worksheets/sheet4.xml" Id="R23c214f690e14586" /><Relationship Type="http://schemas.openxmlformats.org/officeDocument/2006/relationships/worksheet" Target="/xl/worksheets/sheet5.xml" Id="R58a56f5c48d44a36" /><Relationship Type="http://schemas.openxmlformats.org/officeDocument/2006/relationships/worksheet" Target="/xl/worksheets/sheet6.xml" Id="R02a6de0f23994b27" /><Relationship Type="http://schemas.openxmlformats.org/officeDocument/2006/relationships/worksheet" Target="/xl/worksheets/sheet7.xml" Id="R09ef4f8e02c74a82" /><Relationship Type="http://schemas.openxmlformats.org/officeDocument/2006/relationships/worksheet" Target="/xl/worksheets/sheet8.xml" Id="R9593d371433a4ec4" /><Relationship Type="http://schemas.openxmlformats.org/officeDocument/2006/relationships/worksheet" Target="/xl/worksheets/sheet9.xml" Id="R83a289a4fc284bd4" /><Relationship Type="http://schemas.openxmlformats.org/officeDocument/2006/relationships/worksheet" Target="/xl/worksheets/sheet10.xml" Id="Recc0092aecef4c2e" /><Relationship Type="http://schemas.openxmlformats.org/officeDocument/2006/relationships/worksheet" Target="/xl/worksheets/sheet11.xml" Id="R1ba0bead09a14804" /><Relationship Type="http://schemas.openxmlformats.org/officeDocument/2006/relationships/worksheet" Target="/xl/worksheets/sheet12.xml" Id="R680e1339b6e747cd" /><Relationship Type="http://schemas.openxmlformats.org/officeDocument/2006/relationships/worksheet" Target="/xl/worksheets/sheet13.xml" Id="Rf0dd2a7c640846f0" /><Relationship Type="http://schemas.openxmlformats.org/officeDocument/2006/relationships/worksheet" Target="/xl/worksheets/sheet14.xml" Id="Rb964b2f7ddde434c" /><Relationship Type="http://schemas.openxmlformats.org/officeDocument/2006/relationships/worksheet" Target="/xl/worksheets/sheet15.xml" Id="R11d13d77b9134dd0" /><Relationship Type="http://schemas.openxmlformats.org/officeDocument/2006/relationships/worksheet" Target="/xl/worksheets/sheet16.xml" Id="R68b9518bb8f54f5e" /><Relationship Type="http://schemas.openxmlformats.org/officeDocument/2006/relationships/worksheet" Target="/xl/worksheets/sheet17.xml" Id="Rf94296fa4e09452a" /><Relationship Type="http://schemas.openxmlformats.org/officeDocument/2006/relationships/worksheet" Target="/xl/worksheets/sheet18.xml" Id="Rbc8d5cafa88f4346" /><Relationship Type="http://schemas.openxmlformats.org/officeDocument/2006/relationships/worksheet" Target="/xl/worksheets/sheet19.xml" Id="R7d85087c3a5b4630" /><Relationship Type="http://schemas.openxmlformats.org/officeDocument/2006/relationships/worksheet" Target="/xl/worksheets/sheet20.xml" Id="Ra5aac7d9925b41b6" /><Relationship Type="http://schemas.openxmlformats.org/officeDocument/2006/relationships/worksheet" Target="/xl/worksheets/sheet21.xml" Id="R24f7425ca6fe435b" /><Relationship Type="http://schemas.openxmlformats.org/officeDocument/2006/relationships/worksheet" Target="/xl/worksheets/sheet22.xml" Id="R7dc1aae5a6da4a1f" /><Relationship Type="http://schemas.openxmlformats.org/officeDocument/2006/relationships/worksheet" Target="/xl/worksheets/sheet23.xml" Id="R82cded591a2d4356" /><Relationship Type="http://schemas.openxmlformats.org/officeDocument/2006/relationships/worksheet" Target="/xl/worksheets/sheet24.xml" Id="Ref691f34dc124286" /><Relationship Type="http://schemas.openxmlformats.org/officeDocument/2006/relationships/worksheet" Target="/xl/worksheets/sheet25.xml" Id="R1fd3465560204383" /><Relationship Type="http://schemas.openxmlformats.org/officeDocument/2006/relationships/worksheet" Target="/xl/worksheets/sheet26.xml" Id="R299ab1c492e449e5" /><Relationship Type="http://schemas.openxmlformats.org/officeDocument/2006/relationships/worksheet" Target="/xl/worksheets/sheet27.xml" Id="R5acac69960a148fe" /><Relationship Type="http://schemas.openxmlformats.org/officeDocument/2006/relationships/worksheet" Target="/xl/worksheets/sheet28.xml" Id="R92d28fe6ab154540" /></Relationships>
</file>

<file path=xl/tables/table1.xml><?xml version="1.0" encoding="utf-8"?>
<x:table xmlns:x="http://schemas.openxmlformats.org/spreadsheetml/2006/main" id="1" name="INV_characters" displayName="INV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INV_npcs" displayName="INV_npc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INV_lore" displayName="INV_lore"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INV_worlds" displayName="INV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INV_zones" displayName="INV_zon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INV_links" displayName="INV_link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INV_scenery" displayName="INV_scenery"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INV_props" displayName="INV_prop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INV_enemies" displayName="INV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INV_main_quests" displayName="INV_main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INV_side_quests" displayName="INV_side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INV_choices" displayName="INV_choic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INV_dialogues" displayName="INV_dialogu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INV_cinematics" displayName="INV_cinemati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INV_weapons" displayName="INV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INV_equipment" displayName="INV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INV_powers" displayName="INV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INV_ally_moves" displayName="INV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INV_enemy_moves" displayName="INV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INV_animations" displayName="INV_animation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INV_sprites" displayName="INV_sprit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INV_vfx" displayName="INV_vfx"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INV_audio" displayName="INV_audio"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INV_systems" displayName="INV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INV_qa" displayName="INV_qa"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INV_continuity" displayName="INV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418186c257e45fd" /></Relationships>
</file>

<file path=xl/worksheets/_rels/sheet3.xml.rels>&#65279;<?xml version="1.0" encoding="utf-8"?><Relationships xmlns="http://schemas.openxmlformats.org/package/2006/relationships"><Relationship Type="http://schemas.openxmlformats.org/officeDocument/2006/relationships/table" Target="/xl/tables/table2.xml" Id="R987df0995c0445cd" /></Relationships>
</file>

<file path=xl/worksheets/_rels/sheet4.xml.rels>&#65279;<?xml version="1.0" encoding="utf-8"?><Relationships xmlns="http://schemas.openxmlformats.org/package/2006/relationships"><Relationship Type="http://schemas.openxmlformats.org/officeDocument/2006/relationships/table" Target="/xl/tables/table3.xml" Id="R84ccb8fe1416450f" /></Relationships>
</file>

<file path=xl/worksheets/_rels/sheet5.xml.rels>&#65279;<?xml version="1.0" encoding="utf-8"?><Relationships xmlns="http://schemas.openxmlformats.org/package/2006/relationships"><Relationship Type="http://schemas.openxmlformats.org/officeDocument/2006/relationships/table" Target="/xl/tables/table4.xml" Id="R1b4cb1024dc945fc" /></Relationships>
</file>

<file path=xl/worksheets/_rels/sheet6.xml.rels>&#65279;<?xml version="1.0" encoding="utf-8"?><Relationships xmlns="http://schemas.openxmlformats.org/package/2006/relationships"><Relationship Type="http://schemas.openxmlformats.org/officeDocument/2006/relationships/table" Target="/xl/tables/table5.xml" Id="Rbce05341c2ca4df7" /></Relationships>
</file>

<file path=xl/worksheets/_rels/sheet7.xml.rels>&#65279;<?xml version="1.0" encoding="utf-8"?><Relationships xmlns="http://schemas.openxmlformats.org/package/2006/relationships"><Relationship Type="http://schemas.openxmlformats.org/officeDocument/2006/relationships/table" Target="/xl/tables/table6.xml" Id="R1af391cd03ac4a66" /></Relationships>
</file>

<file path=xl/worksheets/_rels/sheet8.xml.rels>&#65279;<?xml version="1.0" encoding="utf-8"?><Relationships xmlns="http://schemas.openxmlformats.org/package/2006/relationships"><Relationship Type="http://schemas.openxmlformats.org/officeDocument/2006/relationships/table" Target="/xl/tables/table7.xml" Id="R8bd617ab59d5443e" /></Relationships>
</file>

<file path=xl/worksheets/_rels/sheet9.xml.rels>&#65279;<?xml version="1.0" encoding="utf-8"?><Relationships xmlns="http://schemas.openxmlformats.org/package/2006/relationships"><Relationship Type="http://schemas.openxmlformats.org/officeDocument/2006/relationships/table" Target="/xl/tables/table8.xml" Id="Rf340f147ca284a76" /></Relationships>
</file>

<file path=xl/worksheets/_rels/sheet10.xml.rels>&#65279;<?xml version="1.0" encoding="utf-8"?><Relationships xmlns="http://schemas.openxmlformats.org/package/2006/relationships"><Relationship Type="http://schemas.openxmlformats.org/officeDocument/2006/relationships/table" Target="/xl/tables/table9.xml" Id="R41d6b8d3f06e4105" /></Relationships>
</file>

<file path=xl/worksheets/_rels/sheet11.xml.rels>&#65279;<?xml version="1.0" encoding="utf-8"?><Relationships xmlns="http://schemas.openxmlformats.org/package/2006/relationships"><Relationship Type="http://schemas.openxmlformats.org/officeDocument/2006/relationships/table" Target="/xl/tables/table10.xml" Id="R98c778bd9ed249ed" /></Relationships>
</file>

<file path=xl/worksheets/_rels/sheet12.xml.rels>&#65279;<?xml version="1.0" encoding="utf-8"?><Relationships xmlns="http://schemas.openxmlformats.org/package/2006/relationships"><Relationship Type="http://schemas.openxmlformats.org/officeDocument/2006/relationships/table" Target="/xl/tables/table11.xml" Id="R237aa5c072b0449c" /></Relationships>
</file>

<file path=xl/worksheets/_rels/sheet13.xml.rels>&#65279;<?xml version="1.0" encoding="utf-8"?><Relationships xmlns="http://schemas.openxmlformats.org/package/2006/relationships"><Relationship Type="http://schemas.openxmlformats.org/officeDocument/2006/relationships/table" Target="/xl/tables/table12.xml" Id="R986916abd7534f64" /></Relationships>
</file>

<file path=xl/worksheets/_rels/sheet14.xml.rels>&#65279;<?xml version="1.0" encoding="utf-8"?><Relationships xmlns="http://schemas.openxmlformats.org/package/2006/relationships"><Relationship Type="http://schemas.openxmlformats.org/officeDocument/2006/relationships/table" Target="/xl/tables/table13.xml" Id="Rc18992ab95c44d6b" /></Relationships>
</file>

<file path=xl/worksheets/_rels/sheet15.xml.rels>&#65279;<?xml version="1.0" encoding="utf-8"?><Relationships xmlns="http://schemas.openxmlformats.org/package/2006/relationships"><Relationship Type="http://schemas.openxmlformats.org/officeDocument/2006/relationships/table" Target="/xl/tables/table14.xml" Id="Re8b3fdf001504c90" /></Relationships>
</file>

<file path=xl/worksheets/_rels/sheet16.xml.rels>&#65279;<?xml version="1.0" encoding="utf-8"?><Relationships xmlns="http://schemas.openxmlformats.org/package/2006/relationships"><Relationship Type="http://schemas.openxmlformats.org/officeDocument/2006/relationships/table" Target="/xl/tables/table15.xml" Id="Rc690f13bf0cb4861" /></Relationships>
</file>

<file path=xl/worksheets/_rels/sheet17.xml.rels>&#65279;<?xml version="1.0" encoding="utf-8"?><Relationships xmlns="http://schemas.openxmlformats.org/package/2006/relationships"><Relationship Type="http://schemas.openxmlformats.org/officeDocument/2006/relationships/table" Target="/xl/tables/table16.xml" Id="R5fcf70e4f4274fde" /></Relationships>
</file>

<file path=xl/worksheets/_rels/sheet18.xml.rels>&#65279;<?xml version="1.0" encoding="utf-8"?><Relationships xmlns="http://schemas.openxmlformats.org/package/2006/relationships"><Relationship Type="http://schemas.openxmlformats.org/officeDocument/2006/relationships/table" Target="/xl/tables/table17.xml" Id="Ra5d4abc93c6c46c8" /></Relationships>
</file>

<file path=xl/worksheets/_rels/sheet19.xml.rels>&#65279;<?xml version="1.0" encoding="utf-8"?><Relationships xmlns="http://schemas.openxmlformats.org/package/2006/relationships"><Relationship Type="http://schemas.openxmlformats.org/officeDocument/2006/relationships/table" Target="/xl/tables/table18.xml" Id="R082285b889394afc" /></Relationships>
</file>

<file path=xl/worksheets/_rels/sheet20.xml.rels>&#65279;<?xml version="1.0" encoding="utf-8"?><Relationships xmlns="http://schemas.openxmlformats.org/package/2006/relationships"><Relationship Type="http://schemas.openxmlformats.org/officeDocument/2006/relationships/table" Target="/xl/tables/table19.xml" Id="Ra044642b73c745f8" /></Relationships>
</file>

<file path=xl/worksheets/_rels/sheet21.xml.rels>&#65279;<?xml version="1.0" encoding="utf-8"?><Relationships xmlns="http://schemas.openxmlformats.org/package/2006/relationships"><Relationship Type="http://schemas.openxmlformats.org/officeDocument/2006/relationships/table" Target="/xl/tables/table20.xml" Id="R80d1a5d6c5e94ef8" /></Relationships>
</file>

<file path=xl/worksheets/_rels/sheet22.xml.rels>&#65279;<?xml version="1.0" encoding="utf-8"?><Relationships xmlns="http://schemas.openxmlformats.org/package/2006/relationships"><Relationship Type="http://schemas.openxmlformats.org/officeDocument/2006/relationships/table" Target="/xl/tables/table21.xml" Id="Rf1bff9dac5874b9c" /></Relationships>
</file>

<file path=xl/worksheets/_rels/sheet23.xml.rels>&#65279;<?xml version="1.0" encoding="utf-8"?><Relationships xmlns="http://schemas.openxmlformats.org/package/2006/relationships"><Relationship Type="http://schemas.openxmlformats.org/officeDocument/2006/relationships/table" Target="/xl/tables/table22.xml" Id="Rccad888e86824b2e" /></Relationships>
</file>

<file path=xl/worksheets/_rels/sheet24.xml.rels>&#65279;<?xml version="1.0" encoding="utf-8"?><Relationships xmlns="http://schemas.openxmlformats.org/package/2006/relationships"><Relationship Type="http://schemas.openxmlformats.org/officeDocument/2006/relationships/table" Target="/xl/tables/table23.xml" Id="R040d059fd0be479a" /></Relationships>
</file>

<file path=xl/worksheets/_rels/sheet25.xml.rels>&#65279;<?xml version="1.0" encoding="utf-8"?><Relationships xmlns="http://schemas.openxmlformats.org/package/2006/relationships"><Relationship Type="http://schemas.openxmlformats.org/officeDocument/2006/relationships/table" Target="/xl/tables/table24.xml" Id="Rab9f4ec69aa04f34" /></Relationships>
</file>

<file path=xl/worksheets/_rels/sheet26.xml.rels>&#65279;<?xml version="1.0" encoding="utf-8"?><Relationships xmlns="http://schemas.openxmlformats.org/package/2006/relationships"><Relationship Type="http://schemas.openxmlformats.org/officeDocument/2006/relationships/table" Target="/xl/tables/table25.xml" Id="R7fe24b2e219d4351" /></Relationships>
</file>

<file path=xl/worksheets/_rels/sheet27.xml.rels>&#65279;<?xml version="1.0" encoding="utf-8"?><Relationships xmlns="http://schemas.openxmlformats.org/package/2006/relationships"><Relationship Type="http://schemas.openxmlformats.org/officeDocument/2006/relationships/table" Target="/xl/tables/table26.xml" Id="Ra554fd94f6474ead"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Invasion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117</x:v>
      </x:c>
      <x:c r="C5" s="2"/>
      <x:c r="D5" s="2" t="str">
        <x:v>Intégrés</x:v>
      </x:c>
      <x:c r="E5" s="33" t="n">
        <x:f>SUM(E10:F35)</x:f>
        <x:v>0</x:v>
      </x:c>
      <x:c r="F5" s="2"/>
      <x:c r="G5" s="2" t="str">
        <x:v>À vérifier</x:v>
      </x:c>
      <x:c r="H5" s="33" t="n">
        <x:f>SUM(H10:H35)</x:f>
        <x:v>10</x:v>
      </x:c>
      <x:c r="I5" s="2"/>
      <x:c r="J5" s="2" t="str">
        <x:v>Extrapolations</x:v>
      </x:c>
      <x:c r="K5" s="33" t="n">
        <x:f>SUM(I10:I35)</x:f>
        <x:v>96</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COUNTA('Personnages'!$A$7:$A$10)</x:f>
        <x:v>4</x:v>
      </x:c>
      <x:c r="C10" s="39" t="n">
        <x:f>COUNTIFS('Personnages'!$C$7:$C$10,"Défini")</x:f>
        <x:v>4</x:v>
      </x:c>
      <x:c r="D10" s="39" t="n">
        <x:f>COUNTIFS('Personnages'!$C$7:$C$10,"Prototype")</x:f>
        <x:v>0</x:v>
      </x:c>
      <x:c r="E10" s="39" t="n">
        <x:f>COUNTIFS('Personnages'!$C$7:$C$10,"Intégré")</x:f>
        <x:v>0</x:v>
      </x:c>
      <x:c r="F10" s="39" t="n">
        <x:f>COUNTIFS('Personnages'!$C$7:$C$10,"Validé")</x:f>
        <x:v>0</x:v>
      </x:c>
      <x:c r="G10" s="39" t="n">
        <x:f>COUNTIFS('Personnages'!$D$7:$D$10,"Établi")</x:f>
        <x:v>2</x:v>
      </x:c>
      <x:c r="H10" s="39" t="n">
        <x:f>COUNTIFS('Personnages'!$D$7:$D$10,"À vérifier")</x:f>
        <x:v>2</x:v>
      </x:c>
      <x:c r="I10" s="39" t="n">
        <x:f>COUNTIFS('Personnages'!$D$7:$D$10,"Extrapolation")</x:f>
        <x:v>0</x:v>
      </x:c>
      <x:c r="J10" s="39" t="n">
        <x:f>COUNTIFS('Personnages'!$D$7:$D$10,"Coupé attesté")</x:f>
        <x:v>0</x:v>
      </x:c>
      <x:c r="K10" s="39" t="n">
        <x:f>COUNTIFS('Personnages'!$D$7:$D$10,"Concept abandonné")</x:f>
        <x:v>0</x:v>
      </x:c>
      <x:c r="L10" s="39" t="n">
        <x:f>COUNTIFS('Personnages'!$D$7:$D$10,"Allégation écartée")</x:f>
        <x:v>0</x:v>
      </x:c>
      <x:c r="M10" s="39" t="n">
        <x:f>COUNTIFS('Personnages'!$E$7:$E$10,"P0")</x:f>
        <x:v>0</x:v>
      </x:c>
    </x:row>
    <x:row r="11" ht="22" customHeight="1">
      <x:c r="A11" s="2" t="str">
        <x:v>PNJ</x:v>
      </x:c>
      <x:c r="B11" s="40" t="n">
        <x:f>COUNTA('PNJ'!$A$7:$A$7)</x:f>
        <x:v>1</x:v>
      </x:c>
      <x:c r="C11" s="40" t="n">
        <x:f>COUNTIFS('PNJ'!$C$7:$C$7,"Défini")</x:f>
        <x:v>1</x:v>
      </x:c>
      <x:c r="D11" s="40" t="n">
        <x:f>COUNTIFS('PNJ'!$C$7:$C$7,"Prototype")</x:f>
        <x:v>0</x:v>
      </x:c>
      <x:c r="E11" s="40" t="n">
        <x:f>COUNTIFS('PNJ'!$C$7:$C$7,"Intégré")</x:f>
        <x:v>0</x:v>
      </x:c>
      <x:c r="F11" s="40" t="n">
        <x:f>COUNTIFS('PNJ'!$C$7:$C$7,"Validé")</x:f>
        <x:v>0</x:v>
      </x:c>
      <x:c r="G11" s="40" t="n">
        <x:f>COUNTIFS('PNJ'!$D$7:$D$7,"Établi")</x:f>
        <x:v>1</x:v>
      </x:c>
      <x:c r="H11" s="40" t="n">
        <x:f>COUNTIFS('PNJ'!$D$7:$D$7,"À vérifier")</x:f>
        <x:v>0</x:v>
      </x:c>
      <x:c r="I11" s="40" t="n">
        <x:f>COUNTIFS('PNJ'!$D$7:$D$7,"Extrapolation")</x:f>
        <x:v>0</x:v>
      </x:c>
      <x:c r="J11" s="40" t="n">
        <x:f>COUNTIFS('PNJ'!$D$7:$D$7,"Coupé attesté")</x:f>
        <x:v>0</x:v>
      </x:c>
      <x:c r="K11" s="40" t="n">
        <x:f>COUNTIFS('PNJ'!$D$7:$D$7,"Concept abandonné")</x:f>
        <x:v>0</x:v>
      </x:c>
      <x:c r="L11" s="40" t="n">
        <x:f>COUNTIFS('PNJ'!$D$7:$D$7,"Allégation écartée")</x:f>
        <x:v>0</x:v>
      </x:c>
      <x:c r="M11" s="40" t="n">
        <x:f>COUNTIFS('PNJ'!$E$7:$E$7,"P0")</x:f>
        <x:v>0</x:v>
      </x:c>
    </x:row>
    <x:row r="12" ht="22" customHeight="1">
      <x:c r="A12" s="35" t="str">
        <x:v>Espèces et factions</x:v>
      </x:c>
      <x:c r="B12" s="39" t="n">
        <x:f>COUNTA('Especes_factions'!$A$7:$A$16)</x:f>
        <x:v>10</x:v>
      </x:c>
      <x:c r="C12" s="39" t="n">
        <x:f>COUNTIFS('Especes_factions'!$C$7:$C$16,"Défini")</x:f>
        <x:v>10</x:v>
      </x:c>
      <x:c r="D12" s="39" t="n">
        <x:f>COUNTIFS('Especes_factions'!$C$7:$C$16,"Prototype")</x:f>
        <x:v>0</x:v>
      </x:c>
      <x:c r="E12" s="39" t="n">
        <x:f>COUNTIFS('Especes_factions'!$C$7:$C$16,"Intégré")</x:f>
        <x:v>0</x:v>
      </x:c>
      <x:c r="F12" s="39" t="n">
        <x:f>COUNTIFS('Especes_factions'!$C$7:$C$16,"Validé")</x:f>
        <x:v>0</x:v>
      </x:c>
      <x:c r="G12" s="39" t="n">
        <x:f>COUNTIFS('Especes_factions'!$D$7:$D$16,"Établi")</x:f>
        <x:v>6</x:v>
      </x:c>
      <x:c r="H12" s="39" t="n">
        <x:f>COUNTIFS('Especes_factions'!$D$7:$D$16,"À vérifier")</x:f>
        <x:v>4</x:v>
      </x:c>
      <x:c r="I12" s="39" t="n">
        <x:f>COUNTIFS('Especes_factions'!$D$7:$D$16,"Extrapolation")</x:f>
        <x:v>0</x:v>
      </x:c>
      <x:c r="J12" s="39" t="n">
        <x:f>COUNTIFS('Especes_factions'!$D$7:$D$16,"Coupé attesté")</x:f>
        <x:v>0</x:v>
      </x:c>
      <x:c r="K12" s="39" t="n">
        <x:f>COUNTIFS('Especes_factions'!$D$7:$D$16,"Concept abandonné")</x:f>
        <x:v>0</x:v>
      </x:c>
      <x:c r="L12" s="39" t="n">
        <x:f>COUNTIFS('Especes_factions'!$D$7:$D$16,"Allégation écartée")</x:f>
        <x:v>0</x:v>
      </x:c>
      <x:c r="M12" s="39" t="n">
        <x:f>COUNTIFS('Especes_factions'!$E$7:$E$16,"P0")</x:f>
        <x:v>4</x:v>
      </x:c>
    </x:row>
    <x:row r="13" ht="22" customHeight="1">
      <x:c r="A13" s="2" t="str">
        <x:v>Mondes</x:v>
      </x:c>
      <x:c r="B13" s="40" t="n">
        <x:f>COUNTA('Mondes'!$A$7:$A$10)</x:f>
        <x:v>4</x:v>
      </x:c>
      <x:c r="C13" s="40" t="n">
        <x:f>COUNTIFS('Mondes'!$C$7:$C$10,"Défini")</x:f>
        <x:v>4</x:v>
      </x:c>
      <x:c r="D13" s="40" t="n">
        <x:f>COUNTIFS('Mondes'!$C$7:$C$10,"Prototype")</x:f>
        <x:v>0</x:v>
      </x:c>
      <x:c r="E13" s="40" t="n">
        <x:f>COUNTIFS('Mondes'!$C$7:$C$10,"Intégré")</x:f>
        <x:v>0</x:v>
      </x:c>
      <x:c r="F13" s="40" t="n">
        <x:f>COUNTIFS('Mondes'!$C$7:$C$10,"Validé")</x:f>
        <x:v>0</x:v>
      </x:c>
      <x:c r="G13" s="40" t="n">
        <x:f>COUNTIFS('Mondes'!$D$7:$D$10,"Établi")</x:f>
        <x:v>1</x:v>
      </x:c>
      <x:c r="H13" s="40" t="n">
        <x:f>COUNTIFS('Mondes'!$D$7:$D$10,"À vérifier")</x:f>
        <x:v>3</x:v>
      </x:c>
      <x:c r="I13" s="40" t="n">
        <x:f>COUNTIFS('Mondes'!$D$7:$D$10,"Extrapolation")</x:f>
        <x:v>0</x:v>
      </x:c>
      <x:c r="J13" s="40" t="n">
        <x:f>COUNTIFS('Mondes'!$D$7:$D$10,"Coupé attesté")</x:f>
        <x:v>0</x:v>
      </x:c>
      <x:c r="K13" s="40" t="n">
        <x:f>COUNTIFS('Mondes'!$D$7:$D$10,"Concept abandonné")</x:f>
        <x:v>0</x:v>
      </x:c>
      <x:c r="L13" s="40" t="n">
        <x:f>COUNTIFS('Mondes'!$D$7:$D$10,"Allégation écartée")</x:f>
        <x:v>0</x:v>
      </x:c>
      <x:c r="M13" s="40" t="n">
        <x:f>COUNTIFS('Mondes'!$E$7:$E$10,"P0")</x:f>
        <x:v>0</x:v>
      </x:c>
    </x:row>
    <x:row r="14" ht="22" customHeight="1">
      <x:c r="A14" s="35" t="str">
        <x:v>Zones</x:v>
      </x:c>
      <x:c r="B14" s="39" t="n">
        <x:f>COUNTA('Zones'!$A$7:$A$10)</x:f>
        <x:v>4</x:v>
      </x:c>
      <x:c r="C14" s="39" t="n">
        <x:f>COUNTIFS('Zones'!$C$7:$C$10,"Défini")</x:f>
        <x:v>4</x:v>
      </x:c>
      <x:c r="D14" s="39" t="n">
        <x:f>COUNTIFS('Zones'!$C$7:$C$10,"Prototype")</x:f>
        <x:v>0</x:v>
      </x:c>
      <x:c r="E14" s="39" t="n">
        <x:f>COUNTIFS('Zones'!$C$7:$C$10,"Intégré")</x:f>
        <x:v>0</x:v>
      </x:c>
      <x:c r="F14" s="39" t="n">
        <x:f>COUNTIFS('Zones'!$C$7:$C$10,"Validé")</x:f>
        <x:v>0</x:v>
      </x:c>
      <x:c r="G14" s="39" t="n">
        <x:f>COUNTIFS('Zones'!$D$7:$D$10,"Établi")</x:f>
        <x:v>0</x:v>
      </x:c>
      <x:c r="H14" s="39" t="n">
        <x:f>COUNTIFS('Zones'!$D$7:$D$10,"À vérifier")</x:f>
        <x:v>0</x:v>
      </x:c>
      <x:c r="I14" s="39" t="n">
        <x:f>COUNTIFS('Zones'!$D$7:$D$10,"Extrapolation")</x:f>
        <x:v>4</x:v>
      </x:c>
      <x:c r="J14" s="39" t="n">
        <x:f>COUNTIFS('Zones'!$D$7:$D$10,"Coupé attesté")</x:f>
        <x:v>0</x:v>
      </x:c>
      <x:c r="K14" s="39" t="n">
        <x:f>COUNTIFS('Zones'!$D$7:$D$10,"Concept abandonné")</x:f>
        <x:v>0</x:v>
      </x:c>
      <x:c r="L14" s="39" t="n">
        <x:f>COUNTIFS('Zones'!$D$7:$D$10,"Allégation écartée")</x:f>
        <x:v>0</x:v>
      </x:c>
      <x:c r="M14" s="39" t="n">
        <x:f>COUNTIFS('Zones'!$E$7:$E$10,"P0")</x:f>
        <x:v>0</x:v>
      </x:c>
    </x:row>
    <x:row r="15" ht="22" customHeight="1">
      <x:c r="A15" s="2" t="str">
        <x:v>Liaisons</x:v>
      </x:c>
      <x:c r="B15" s="40" t="n">
        <x:f>COUNTA('Liaisons'!$A$7:$A$10)</x:f>
        <x:v>4</x:v>
      </x:c>
      <x:c r="C15" s="40" t="n">
        <x:f>COUNTIFS('Liaisons'!$C$7:$C$10,"Défini")</x:f>
        <x:v>4</x:v>
      </x:c>
      <x:c r="D15" s="40" t="n">
        <x:f>COUNTIFS('Liaisons'!$C$7:$C$10,"Prototype")</x:f>
        <x:v>0</x:v>
      </x:c>
      <x:c r="E15" s="40" t="n">
        <x:f>COUNTIFS('Liaisons'!$C$7:$C$10,"Intégré")</x:f>
        <x:v>0</x:v>
      </x:c>
      <x:c r="F15" s="40" t="n">
        <x:f>COUNTIFS('Liaisons'!$C$7:$C$10,"Validé")</x:f>
        <x:v>0</x:v>
      </x:c>
      <x:c r="G15" s="40" t="n">
        <x:f>COUNTIFS('Liaisons'!$D$7:$D$10,"Établi")</x:f>
        <x:v>0</x:v>
      </x:c>
      <x:c r="H15" s="40" t="n">
        <x:f>COUNTIFS('Liaisons'!$D$7:$D$10,"À vérifier")</x:f>
        <x:v>0</x:v>
      </x:c>
      <x:c r="I15" s="40" t="n">
        <x:f>COUNTIFS('Liaisons'!$D$7:$D$10,"Extrapolation")</x:f>
        <x:v>4</x:v>
      </x:c>
      <x:c r="J15" s="40" t="n">
        <x:f>COUNTIFS('Liaisons'!$D$7:$D$10,"Coupé attesté")</x:f>
        <x:v>0</x:v>
      </x:c>
      <x:c r="K15" s="40" t="n">
        <x:f>COUNTIFS('Liaisons'!$D$7:$D$10,"Concept abandonné")</x:f>
        <x:v>0</x:v>
      </x:c>
      <x:c r="L15" s="40" t="n">
        <x:f>COUNTIFS('Liaisons'!$D$7:$D$10,"Allégation écartée")</x:f>
        <x:v>0</x:v>
      </x:c>
      <x:c r="M15" s="40" t="n">
        <x:f>COUNTIFS('Liaisons'!$E$7:$E$10,"P0")</x:f>
        <x:v>0</x:v>
      </x:c>
    </x:row>
    <x:row r="16" ht="22" customHeight="1">
      <x:c r="A16" s="35" t="str">
        <x:v>Décors</x:v>
      </x:c>
      <x:c r="B16" s="39" t="n">
        <x:f>COUNTA('Decors'!$A$7:$A$10)</x:f>
        <x:v>4</x:v>
      </x:c>
      <x:c r="C16" s="39" t="n">
        <x:f>COUNTIFS('Decors'!$C$7:$C$10,"Défini")</x:f>
        <x:v>4</x:v>
      </x:c>
      <x:c r="D16" s="39" t="n">
        <x:f>COUNTIFS('Decors'!$C$7:$C$10,"Prototype")</x:f>
        <x:v>0</x:v>
      </x:c>
      <x:c r="E16" s="39" t="n">
        <x:f>COUNTIFS('Decors'!$C$7:$C$10,"Intégré")</x:f>
        <x:v>0</x:v>
      </x:c>
      <x:c r="F16" s="39" t="n">
        <x:f>COUNTIFS('Decors'!$C$7:$C$10,"Validé")</x:f>
        <x:v>0</x:v>
      </x:c>
      <x:c r="G16" s="39" t="n">
        <x:f>COUNTIFS('Decors'!$D$7:$D$10,"Établi")</x:f>
        <x:v>0</x:v>
      </x:c>
      <x:c r="H16" s="39" t="n">
        <x:f>COUNTIFS('Decors'!$D$7:$D$10,"À vérifier")</x:f>
        <x:v>0</x:v>
      </x:c>
      <x:c r="I16" s="39" t="n">
        <x:f>COUNTIFS('Decors'!$D$7:$D$10,"Extrapolation")</x:f>
        <x:v>4</x:v>
      </x:c>
      <x:c r="J16" s="39" t="n">
        <x:f>COUNTIFS('Decors'!$D$7:$D$10,"Coupé attesté")</x:f>
        <x:v>0</x:v>
      </x:c>
      <x:c r="K16" s="39" t="n">
        <x:f>COUNTIFS('Decors'!$D$7:$D$10,"Concept abandonné")</x:f>
        <x:v>0</x:v>
      </x:c>
      <x:c r="L16" s="39" t="n">
        <x:f>COUNTIFS('Decors'!$D$7:$D$10,"Allégation écartée")</x:f>
        <x:v>0</x:v>
      </x:c>
      <x:c r="M16" s="39" t="n">
        <x:f>COUNTIFS('Decors'!$E$7:$E$10,"P0")</x:f>
        <x:v>0</x:v>
      </x:c>
    </x:row>
    <x:row r="17" ht="22" customHeight="1">
      <x:c r="A17" s="2" t="str">
        <x:v>Props</x:v>
      </x:c>
      <x:c r="B17" s="40" t="n">
        <x:f>COUNTA('Props'!$A$7:$A$12)</x:f>
        <x:v>6</x:v>
      </x:c>
      <x:c r="C17" s="40" t="n">
        <x:f>COUNTIFS('Props'!$C$7:$C$12,"Défini")</x:f>
        <x:v>6</x:v>
      </x:c>
      <x:c r="D17" s="40" t="n">
        <x:f>COUNTIFS('Props'!$C$7:$C$12,"Prototype")</x:f>
        <x:v>0</x:v>
      </x:c>
      <x:c r="E17" s="40" t="n">
        <x:f>COUNTIFS('Props'!$C$7:$C$12,"Intégré")</x:f>
        <x:v>0</x:v>
      </x:c>
      <x:c r="F17" s="40" t="n">
        <x:f>COUNTIFS('Props'!$C$7:$C$12,"Validé")</x:f>
        <x:v>0</x:v>
      </x:c>
      <x:c r="G17" s="40" t="n">
        <x:f>COUNTIFS('Props'!$D$7:$D$12,"Établi")</x:f>
        <x:v>0</x:v>
      </x:c>
      <x:c r="H17" s="40" t="n">
        <x:f>COUNTIFS('Props'!$D$7:$D$12,"À vérifier")</x:f>
        <x:v>0</x:v>
      </x:c>
      <x:c r="I17" s="40" t="n">
        <x:f>COUNTIFS('Props'!$D$7:$D$12,"Extrapolation")</x:f>
        <x:v>6</x:v>
      </x:c>
      <x:c r="J17" s="40" t="n">
        <x:f>COUNTIFS('Props'!$D$7:$D$12,"Coupé attesté")</x:f>
        <x:v>0</x:v>
      </x:c>
      <x:c r="K17" s="40" t="n">
        <x:f>COUNTIFS('Props'!$D$7:$D$12,"Concept abandonné")</x:f>
        <x:v>0</x:v>
      </x:c>
      <x:c r="L17" s="40" t="n">
        <x:f>COUNTIFS('Props'!$D$7:$D$12,"Allégation écartée")</x:f>
        <x:v>0</x:v>
      </x:c>
      <x:c r="M17" s="40" t="n">
        <x:f>COUNTIFS('Props'!$E$7:$E$12,"P0")</x:f>
        <x:v>0</x:v>
      </x:c>
    </x:row>
    <x:row r="18" ht="22" customHeight="1">
      <x:c r="A18" s="35" t="str">
        <x:v>Ennemis et boss</x:v>
      </x:c>
      <x:c r="B18" s="39" t="n">
        <x:f>COUNTA('Ennemis_boss'!$A$7:$A$9)</x:f>
        <x:v>3</x:v>
      </x:c>
      <x:c r="C18" s="39" t="n">
        <x:f>COUNTIFS('Ennemis_boss'!$C$7:$C$9,"Défini")</x:f>
        <x:v>3</x:v>
      </x:c>
      <x:c r="D18" s="39" t="n">
        <x:f>COUNTIFS('Ennemis_boss'!$C$7:$C$9,"Prototype")</x:f>
        <x:v>0</x:v>
      </x:c>
      <x:c r="E18" s="39" t="n">
        <x:f>COUNTIFS('Ennemis_boss'!$C$7:$C$9,"Intégré")</x:f>
        <x:v>0</x:v>
      </x:c>
      <x:c r="F18" s="39" t="n">
        <x:f>COUNTIFS('Ennemis_boss'!$C$7:$C$9,"Validé")</x:f>
        <x:v>0</x:v>
      </x:c>
      <x:c r="G18" s="39" t="n">
        <x:f>COUNTIFS('Ennemis_boss'!$D$7:$D$9,"Établi")</x:f>
        <x:v>1</x:v>
      </x:c>
      <x:c r="H18" s="39" t="n">
        <x:f>COUNTIFS('Ennemis_boss'!$D$7:$D$9,"À vérifier")</x:f>
        <x:v>1</x:v>
      </x:c>
      <x:c r="I18" s="39" t="n">
        <x:f>COUNTIFS('Ennemis_boss'!$D$7:$D$9,"Extrapolation")</x:f>
        <x:v>1</x:v>
      </x:c>
      <x:c r="J18" s="39" t="n">
        <x:f>COUNTIFS('Ennemis_boss'!$D$7:$D$9,"Coupé attesté")</x:f>
        <x:v>0</x:v>
      </x:c>
      <x:c r="K18" s="39" t="n">
        <x:f>COUNTIFS('Ennemis_boss'!$D$7:$D$9,"Concept abandonné")</x:f>
        <x:v>0</x:v>
      </x:c>
      <x:c r="L18" s="39" t="n">
        <x:f>COUNTIFS('Ennemis_boss'!$D$7:$D$9,"Allégation écartée")</x:f>
        <x:v>0</x:v>
      </x:c>
      <x:c r="M18" s="39" t="n">
        <x:f>COUNTIFS('Ennemis_boss'!$E$7:$E$9,"P0")</x:f>
        <x:v>0</x:v>
      </x:c>
    </x:row>
    <x:row r="19" ht="22" customHeight="1">
      <x:c r="A19" s="2" t="str">
        <x:v>Missions</x:v>
      </x:c>
      <x:c r="B19" s="40" t="n">
        <x:f>COUNTA('Missions'!$A$7:$A$12)</x:f>
        <x:v>6</x:v>
      </x:c>
      <x:c r="C19" s="40" t="n">
        <x:f>COUNTIFS('Missions'!$C$7:$C$12,"Défini")</x:f>
        <x:v>6</x:v>
      </x:c>
      <x:c r="D19" s="40" t="n">
        <x:f>COUNTIFS('Missions'!$C$7:$C$12,"Prototype")</x:f>
        <x:v>0</x:v>
      </x:c>
      <x:c r="E19" s="40" t="n">
        <x:f>COUNTIFS('Missions'!$C$7:$C$12,"Intégré")</x:f>
        <x:v>0</x:v>
      </x:c>
      <x:c r="F19" s="40" t="n">
        <x:f>COUNTIFS('Missions'!$C$7:$C$12,"Validé")</x:f>
        <x:v>0</x:v>
      </x:c>
      <x:c r="G19" s="40" t="n">
        <x:f>COUNTIFS('Missions'!$D$7:$D$12,"Établi")</x:f>
        <x:v>0</x:v>
      </x:c>
      <x:c r="H19" s="40" t="n">
        <x:f>COUNTIFS('Missions'!$D$7:$D$12,"À vérifier")</x:f>
        <x:v>0</x:v>
      </x:c>
      <x:c r="I19" s="40" t="n">
        <x:f>COUNTIFS('Missions'!$D$7:$D$12,"Extrapolation")</x:f>
        <x:v>6</x:v>
      </x:c>
      <x:c r="J19" s="40" t="n">
        <x:f>COUNTIFS('Missions'!$D$7:$D$12,"Coupé attesté")</x:f>
        <x:v>0</x:v>
      </x:c>
      <x:c r="K19" s="40" t="n">
        <x:f>COUNTIFS('Missions'!$D$7:$D$12,"Concept abandonné")</x:f>
        <x:v>0</x:v>
      </x:c>
      <x:c r="L19" s="40" t="n">
        <x:f>COUNTIFS('Missions'!$D$7:$D$12,"Allégation écartée")</x:f>
        <x:v>0</x:v>
      </x:c>
      <x:c r="M19" s="40" t="n">
        <x:f>COUNTIFS('Missions'!$E$7:$E$12,"P0")</x:f>
        <x:v>6</x:v>
      </x:c>
    </x:row>
    <x:row r="20" ht="22" customHeight="1">
      <x:c r="A20" s="35" t="str">
        <x:v>Secondaires et DLC</x:v>
      </x:c>
      <x:c r="B20" s="39" t="n">
        <x:f>COUNTA('Secondaires_DLC'!$A$7:$A$12)</x:f>
        <x:v>6</x:v>
      </x:c>
      <x:c r="C20" s="39" t="n">
        <x:f>COUNTIFS('Secondaires_DLC'!$C$7:$C$12,"Défini")</x:f>
        <x:v>6</x:v>
      </x:c>
      <x:c r="D20" s="39" t="n">
        <x:f>COUNTIFS('Secondaires_DLC'!$C$7:$C$12,"Prototype")</x:f>
        <x:v>0</x:v>
      </x:c>
      <x:c r="E20" s="39" t="n">
        <x:f>COUNTIFS('Secondaires_DLC'!$C$7:$C$12,"Intégré")</x:f>
        <x:v>0</x:v>
      </x:c>
      <x:c r="F20" s="39" t="n">
        <x:f>COUNTIFS('Secondaires_DLC'!$C$7:$C$12,"Validé")</x:f>
        <x:v>0</x:v>
      </x:c>
      <x:c r="G20" s="39" t="n">
        <x:f>COUNTIFS('Secondaires_DLC'!$D$7:$D$12,"Établi")</x:f>
        <x:v>0</x:v>
      </x:c>
      <x:c r="H20" s="39" t="n">
        <x:f>COUNTIFS('Secondaires_DLC'!$D$7:$D$12,"À vérifier")</x:f>
        <x:v>0</x:v>
      </x:c>
      <x:c r="I20" s="39" t="n">
        <x:f>COUNTIFS('Secondaires_DLC'!$D$7:$D$12,"Extrapolation")</x:f>
        <x:v>6</x:v>
      </x:c>
      <x:c r="J20" s="39" t="n">
        <x:f>COUNTIFS('Secondaires_DLC'!$D$7:$D$12,"Coupé attesté")</x:f>
        <x:v>0</x:v>
      </x:c>
      <x:c r="K20" s="39" t="n">
        <x:f>COUNTIFS('Secondaires_DLC'!$D$7:$D$12,"Concept abandonné")</x:f>
        <x:v>0</x:v>
      </x:c>
      <x:c r="L20" s="39" t="n">
        <x:f>COUNTIFS('Secondaires_DLC'!$D$7:$D$12,"Allégation écartée")</x:f>
        <x:v>0</x:v>
      </x:c>
      <x:c r="M20" s="39" t="n">
        <x:f>COUNTIFS('Secondaires_DLC'!$E$7:$E$12,"P0")</x:f>
        <x:v>0</x:v>
      </x:c>
    </x:row>
    <x:row r="21" ht="22" customHeight="1">
      <x:c r="A21" s="2" t="str">
        <x:v>Choix et relations</x:v>
      </x:c>
      <x:c r="B21" s="40" t="n">
        <x:f>COUNTA('Choix_relations'!$A$7:$A$12)</x:f>
        <x:v>6</x:v>
      </x:c>
      <x:c r="C21" s="40" t="n">
        <x:f>COUNTIFS('Choix_relations'!$C$7:$C$12,"Défini")</x:f>
        <x:v>6</x:v>
      </x:c>
      <x:c r="D21" s="40" t="n">
        <x:f>COUNTIFS('Choix_relations'!$C$7:$C$12,"Prototype")</x:f>
        <x:v>0</x:v>
      </x:c>
      <x:c r="E21" s="40" t="n">
        <x:f>COUNTIFS('Choix_relations'!$C$7:$C$12,"Intégré")</x:f>
        <x:v>0</x:v>
      </x:c>
      <x:c r="F21" s="40" t="n">
        <x:f>COUNTIFS('Choix_relations'!$C$7:$C$12,"Validé")</x:f>
        <x:v>0</x:v>
      </x:c>
      <x:c r="G21" s="40" t="n">
        <x:f>COUNTIFS('Choix_relations'!$D$7:$D$12,"Établi")</x:f>
        <x:v>0</x:v>
      </x:c>
      <x:c r="H21" s="40" t="n">
        <x:f>COUNTIFS('Choix_relations'!$D$7:$D$12,"À vérifier")</x:f>
        <x:v>0</x:v>
      </x:c>
      <x:c r="I21" s="40" t="n">
        <x:f>COUNTIFS('Choix_relations'!$D$7:$D$12,"Extrapolation")</x:f>
        <x:v>6</x:v>
      </x:c>
      <x:c r="J21" s="40" t="n">
        <x:f>COUNTIFS('Choix_relations'!$D$7:$D$12,"Coupé attesté")</x:f>
        <x:v>0</x:v>
      </x:c>
      <x:c r="K21" s="40" t="n">
        <x:f>COUNTIFS('Choix_relations'!$D$7:$D$12,"Concept abandonné")</x:f>
        <x:v>0</x:v>
      </x:c>
      <x:c r="L21" s="40" t="n">
        <x:f>COUNTIFS('Choix_relations'!$D$7:$D$12,"Allégation écartée")</x:f>
        <x:v>0</x:v>
      </x:c>
      <x:c r="M21" s="40" t="n">
        <x:f>COUNTIFS('Choix_relations'!$E$7:$E$12,"P0")</x:f>
        <x:v>0</x:v>
      </x:c>
    </x:row>
    <x:row r="22" ht="22" customHeight="1">
      <x:c r="A22" s="35" t="str">
        <x:v>Dialogues</x:v>
      </x:c>
      <x:c r="B22" s="39" t="n">
        <x:f>COUNTA('Dialogues'!$A$7:$A$12)</x:f>
        <x:v>6</x:v>
      </x:c>
      <x:c r="C22" s="39" t="n">
        <x:f>COUNTIFS('Dialogues'!$C$7:$C$12,"Défini")</x:f>
        <x:v>6</x:v>
      </x:c>
      <x:c r="D22" s="39" t="n">
        <x:f>COUNTIFS('Dialogues'!$C$7:$C$12,"Prototype")</x:f>
        <x:v>0</x:v>
      </x:c>
      <x:c r="E22" s="39" t="n">
        <x:f>COUNTIFS('Dialogues'!$C$7:$C$12,"Intégré")</x:f>
        <x:v>0</x:v>
      </x:c>
      <x:c r="F22" s="39" t="n">
        <x:f>COUNTIFS('Dialogues'!$C$7:$C$12,"Validé")</x:f>
        <x:v>0</x:v>
      </x:c>
      <x:c r="G22" s="39" t="n">
        <x:f>COUNTIFS('Dialogues'!$D$7:$D$12,"Établi")</x:f>
        <x:v>0</x:v>
      </x:c>
      <x:c r="H22" s="39" t="n">
        <x:f>COUNTIFS('Dialogues'!$D$7:$D$12,"À vérifier")</x:f>
        <x:v>0</x:v>
      </x:c>
      <x:c r="I22" s="39" t="n">
        <x:f>COUNTIFS('Dialogues'!$D$7:$D$12,"Extrapolation")</x:f>
        <x:v>6</x:v>
      </x:c>
      <x:c r="J22" s="39" t="n">
        <x:f>COUNTIFS('Dialogues'!$D$7:$D$12,"Coupé attesté")</x:f>
        <x:v>0</x:v>
      </x:c>
      <x:c r="K22" s="39" t="n">
        <x:f>COUNTIFS('Dialogues'!$D$7:$D$12,"Concept abandonné")</x:f>
        <x:v>0</x:v>
      </x:c>
      <x:c r="L22" s="39" t="n">
        <x:f>COUNTIFS('Dialogues'!$D$7:$D$12,"Allégation écartée")</x:f>
        <x:v>0</x:v>
      </x:c>
      <x:c r="M22" s="39" t="n">
        <x:f>COUNTIFS('Dialogues'!$E$7:$E$12,"P0")</x:f>
        <x:v>0</x:v>
      </x:c>
    </x:row>
    <x:row r="23" ht="22" customHeight="1">
      <x:c r="A23" s="2" t="str">
        <x:v>Cinématiques</x:v>
      </x:c>
      <x:c r="B23" s="40" t="n">
        <x:f>COUNTA('Cinematiques'!$A$7:$A$12)</x:f>
        <x:v>6</x:v>
      </x:c>
      <x:c r="C23" s="40" t="n">
        <x:f>COUNTIFS('Cinematiques'!$C$7:$C$12,"Défini")</x:f>
        <x:v>6</x:v>
      </x:c>
      <x:c r="D23" s="40" t="n">
        <x:f>COUNTIFS('Cinematiques'!$C$7:$C$12,"Prototype")</x:f>
        <x:v>0</x:v>
      </x:c>
      <x:c r="E23" s="40" t="n">
        <x:f>COUNTIFS('Cinematiques'!$C$7:$C$12,"Intégré")</x:f>
        <x:v>0</x:v>
      </x:c>
      <x:c r="F23" s="40" t="n">
        <x:f>COUNTIFS('Cinematiques'!$C$7:$C$12,"Validé")</x:f>
        <x:v>0</x:v>
      </x:c>
      <x:c r="G23" s="40" t="n">
        <x:f>COUNTIFS('Cinematiques'!$D$7:$D$12,"Établi")</x:f>
        <x:v>0</x:v>
      </x:c>
      <x:c r="H23" s="40" t="n">
        <x:f>COUNTIFS('Cinematiques'!$D$7:$D$12,"À vérifier")</x:f>
        <x:v>0</x:v>
      </x:c>
      <x:c r="I23" s="40" t="n">
        <x:f>COUNTIFS('Cinematiques'!$D$7:$D$12,"Extrapolation")</x:f>
        <x:v>6</x:v>
      </x:c>
      <x:c r="J23" s="40" t="n">
        <x:f>COUNTIFS('Cinematiques'!$D$7:$D$12,"Coupé attesté")</x:f>
        <x:v>0</x:v>
      </x:c>
      <x:c r="K23" s="40" t="n">
        <x:f>COUNTIFS('Cinematiques'!$D$7:$D$12,"Concept abandonné")</x:f>
        <x:v>0</x:v>
      </x:c>
      <x:c r="L23" s="40" t="n">
        <x:f>COUNTIFS('Cinematiques'!$D$7:$D$12,"Allégation écartée")</x:f>
        <x:v>0</x:v>
      </x:c>
      <x:c r="M23" s="40" t="n">
        <x:f>COUNTIFS('Cinematiques'!$E$7:$E$12,"P0")</x:f>
        <x:v>0</x:v>
      </x:c>
    </x:row>
    <x:row r="24" ht="22" customHeight="1">
      <x:c r="A24" s="35" t="str">
        <x:v>Armes</x:v>
      </x:c>
      <x:c r="B24" s="39" t="n">
        <x:f>COUNTA('Armes'!$A$7:$A$7)</x:f>
        <x:v>1</x:v>
      </x:c>
      <x:c r="C24" s="39" t="n">
        <x:f>COUNTIFS('Armes'!$C$7:$C$7,"Défini")</x:f>
        <x:v>1</x:v>
      </x:c>
      <x:c r="D24" s="39" t="n">
        <x:f>COUNTIFS('Armes'!$C$7:$C$7,"Prototype")</x:f>
        <x:v>0</x:v>
      </x:c>
      <x:c r="E24" s="39" t="n">
        <x:f>COUNTIFS('Armes'!$C$7:$C$7,"Intégré")</x:f>
        <x:v>0</x:v>
      </x:c>
      <x:c r="F24" s="39" t="n">
        <x:f>COUNTIFS('Armes'!$C$7:$C$7,"Validé")</x:f>
        <x:v>0</x:v>
      </x:c>
      <x:c r="G24" s="39" t="n">
        <x:f>COUNTIFS('Armes'!$D$7:$D$7,"Établi")</x:f>
        <x:v>0</x:v>
      </x:c>
      <x:c r="H24" s="39" t="n">
        <x:f>COUNTIFS('Armes'!$D$7:$D$7,"À vérifier")</x:f>
        <x:v>0</x:v>
      </x:c>
      <x:c r="I24" s="39" t="n">
        <x:f>COUNTIFS('Armes'!$D$7:$D$7,"Extrapolation")</x:f>
        <x:v>1</x:v>
      </x:c>
      <x:c r="J24" s="39" t="n">
        <x:f>COUNTIFS('Armes'!$D$7:$D$7,"Coupé attesté")</x:f>
        <x:v>0</x:v>
      </x:c>
      <x:c r="K24" s="39" t="n">
        <x:f>COUNTIFS('Armes'!$D$7:$D$7,"Concept abandonné")</x:f>
        <x:v>0</x:v>
      </x:c>
      <x:c r="L24" s="39" t="n">
        <x:f>COUNTIFS('Armes'!$D$7:$D$7,"Allégation écartée")</x:f>
        <x:v>0</x:v>
      </x:c>
      <x:c r="M24" s="39" t="n">
        <x:f>COUNTIFS('Armes'!$E$7:$E$7,"P0")</x:f>
        <x:v>0</x:v>
      </x:c>
    </x:row>
    <x:row r="25" ht="22" customHeight="1">
      <x:c r="A25" s="2" t="str">
        <x:v>Armures et équipement</x:v>
      </x:c>
      <x:c r="B25" s="40" t="n">
        <x:f>COUNTA('Armures_equipement'!$A$7:$A$8)</x:f>
        <x:v>2</x:v>
      </x:c>
      <x:c r="C25" s="40" t="n">
        <x:f>COUNTIFS('Armures_equipement'!$C$7:$C$8,"Défini")</x:f>
        <x:v>2</x:v>
      </x:c>
      <x:c r="D25" s="40" t="n">
        <x:f>COUNTIFS('Armures_equipement'!$C$7:$C$8,"Prototype")</x:f>
        <x:v>0</x:v>
      </x:c>
      <x:c r="E25" s="40" t="n">
        <x:f>COUNTIFS('Armures_equipement'!$C$7:$C$8,"Intégré")</x:f>
        <x:v>0</x:v>
      </x:c>
      <x:c r="F25" s="40" t="n">
        <x:f>COUNTIFS('Armures_equipement'!$C$7:$C$8,"Validé")</x:f>
        <x:v>0</x:v>
      </x:c>
      <x:c r="G25" s="40" t="n">
        <x:f>COUNTIFS('Armures_equipement'!$D$7:$D$8,"Établi")</x:f>
        <x:v>0</x:v>
      </x:c>
      <x:c r="H25" s="40" t="n">
        <x:f>COUNTIFS('Armures_equipement'!$D$7:$D$8,"À vérifier")</x:f>
        <x:v>0</x:v>
      </x:c>
      <x:c r="I25" s="40" t="n">
        <x:f>COUNTIFS('Armures_equipement'!$D$7:$D$8,"Extrapolation")</x:f>
        <x:v>2</x:v>
      </x:c>
      <x:c r="J25" s="40" t="n">
        <x:f>COUNTIFS('Armures_equipement'!$D$7:$D$8,"Coupé attesté")</x:f>
        <x:v>0</x:v>
      </x:c>
      <x:c r="K25" s="40" t="n">
        <x:f>COUNTIFS('Armures_equipement'!$D$7:$D$8,"Concept abandonné")</x:f>
        <x:v>0</x:v>
      </x:c>
      <x:c r="L25" s="40" t="n">
        <x:f>COUNTIFS('Armures_equipement'!$D$7:$D$8,"Allégation écartée")</x:f>
        <x:v>0</x:v>
      </x:c>
      <x:c r="M25" s="40" t="n">
        <x:f>COUNTIFS('Armures_equipement'!$E$7:$E$8,"P0")</x:f>
        <x:v>0</x:v>
      </x:c>
    </x:row>
    <x:row r="26" ht="22" customHeight="1">
      <x:c r="A26" s="35" t="str">
        <x:v>Pouvoirs</x:v>
      </x:c>
      <x:c r="B26" s="39" t="n">
        <x:f>COUNTA('Pouvoirs'!$A$7:$A$7)</x:f>
        <x:v>1</x:v>
      </x:c>
      <x:c r="C26" s="39" t="n">
        <x:f>COUNTIFS('Pouvoirs'!$C$7:$C$7,"Défini")</x:f>
        <x:v>1</x:v>
      </x:c>
      <x:c r="D26" s="39" t="n">
        <x:f>COUNTIFS('Pouvoirs'!$C$7:$C$7,"Prototype")</x:f>
        <x:v>0</x:v>
      </x:c>
      <x:c r="E26" s="39" t="n">
        <x:f>COUNTIFS('Pouvoirs'!$C$7:$C$7,"Intégré")</x:f>
        <x:v>0</x:v>
      </x:c>
      <x:c r="F26" s="39" t="n">
        <x:f>COUNTIFS('Pouvoirs'!$C$7:$C$7,"Validé")</x:f>
        <x:v>0</x:v>
      </x:c>
      <x:c r="G26" s="39" t="n">
        <x:f>COUNTIFS('Pouvoirs'!$D$7:$D$7,"Établi")</x:f>
        <x:v>0</x:v>
      </x:c>
      <x:c r="H26" s="39" t="n">
        <x:f>COUNTIFS('Pouvoirs'!$D$7:$D$7,"À vérifier")</x:f>
        <x:v>0</x:v>
      </x:c>
      <x:c r="I26" s="39" t="n">
        <x:f>COUNTIFS('Pouvoirs'!$D$7:$D$7,"Extrapolation")</x:f>
        <x:v>1</x:v>
      </x:c>
      <x:c r="J26" s="39" t="n">
        <x:f>COUNTIFS('Pouvoirs'!$D$7:$D$7,"Coupé attesté")</x:f>
        <x:v>0</x:v>
      </x:c>
      <x:c r="K26" s="39" t="n">
        <x:f>COUNTIFS('Pouvoirs'!$D$7:$D$7,"Concept abandonné")</x:f>
        <x:v>0</x:v>
      </x:c>
      <x:c r="L26" s="39" t="n">
        <x:f>COUNTIFS('Pouvoirs'!$D$7:$D$7,"Allégation écartée")</x:f>
        <x:v>0</x:v>
      </x:c>
      <x:c r="M26" s="39" t="n">
        <x:f>COUNTIFS('Pouvoirs'!$E$7:$E$7,"P0")</x:f>
        <x:v>0</x:v>
      </x:c>
    </x:row>
    <x:row r="27" ht="22" customHeight="1">
      <x:c r="A27" s="2" t="str">
        <x:v>Movesets alliés</x:v>
      </x:c>
      <x:c r="B27" s="40" t="n">
        <x:f>COUNTA('Movesets_allies'!$A$7:$A$8)</x:f>
        <x:v>2</x:v>
      </x:c>
      <x:c r="C27" s="40" t="n">
        <x:f>COUNTIFS('Movesets_allies'!$C$7:$C$8,"Défini")</x:f>
        <x:v>2</x:v>
      </x:c>
      <x:c r="D27" s="40" t="n">
        <x:f>COUNTIFS('Movesets_allies'!$C$7:$C$8,"Prototype")</x:f>
        <x:v>0</x:v>
      </x:c>
      <x:c r="E27" s="40" t="n">
        <x:f>COUNTIFS('Movesets_allies'!$C$7:$C$8,"Intégré")</x:f>
        <x:v>0</x:v>
      </x:c>
      <x:c r="F27" s="40" t="n">
        <x:f>COUNTIFS('Movesets_allies'!$C$7:$C$8,"Validé")</x:f>
        <x:v>0</x:v>
      </x:c>
      <x:c r="G27" s="40" t="n">
        <x:f>COUNTIFS('Movesets_allies'!$D$7:$D$8,"Établi")</x:f>
        <x:v>0</x:v>
      </x:c>
      <x:c r="H27" s="40" t="n">
        <x:f>COUNTIFS('Movesets_allies'!$D$7:$D$8,"À vérifier")</x:f>
        <x:v>0</x:v>
      </x:c>
      <x:c r="I27" s="40" t="n">
        <x:f>COUNTIFS('Movesets_allies'!$D$7:$D$8,"Extrapolation")</x:f>
        <x:v>2</x:v>
      </x:c>
      <x:c r="J27" s="40" t="n">
        <x:f>COUNTIFS('Movesets_allies'!$D$7:$D$8,"Coupé attesté")</x:f>
        <x:v>0</x:v>
      </x:c>
      <x:c r="K27" s="40" t="n">
        <x:f>COUNTIFS('Movesets_allies'!$D$7:$D$8,"Concept abandonné")</x:f>
        <x:v>0</x:v>
      </x:c>
      <x:c r="L27" s="40" t="n">
        <x:f>COUNTIFS('Movesets_allies'!$D$7:$D$8,"Allégation écartée")</x:f>
        <x:v>0</x:v>
      </x:c>
      <x:c r="M27" s="40" t="n">
        <x:f>COUNTIFS('Movesets_allies'!$E$7:$E$8,"P0")</x:f>
        <x:v>0</x:v>
      </x:c>
    </x:row>
    <x:row r="28" ht="22" customHeight="1">
      <x:c r="A28" s="35" t="str">
        <x:v>Movesets ennemis</x:v>
      </x:c>
      <x:c r="B28" s="39" t="n">
        <x:f>COUNTA('Movesets_ennemis'!$A$7:$A$12)</x:f>
        <x:v>6</x:v>
      </x:c>
      <x:c r="C28" s="39" t="n">
        <x:f>COUNTIFS('Movesets_ennemis'!$C$7:$C$12,"Défini")</x:f>
        <x:v>6</x:v>
      </x:c>
      <x:c r="D28" s="39" t="n">
        <x:f>COUNTIFS('Movesets_ennemis'!$C$7:$C$12,"Prototype")</x:f>
        <x:v>0</x:v>
      </x:c>
      <x:c r="E28" s="39" t="n">
        <x:f>COUNTIFS('Movesets_ennemis'!$C$7:$C$12,"Intégré")</x:f>
        <x:v>0</x:v>
      </x:c>
      <x:c r="F28" s="39" t="n">
        <x:f>COUNTIFS('Movesets_ennemis'!$C$7:$C$12,"Validé")</x:f>
        <x:v>0</x:v>
      </x:c>
      <x:c r="G28" s="39" t="n">
        <x:f>COUNTIFS('Movesets_ennemis'!$D$7:$D$12,"Établi")</x:f>
        <x:v>0</x:v>
      </x:c>
      <x:c r="H28" s="39" t="n">
        <x:f>COUNTIFS('Movesets_ennemis'!$D$7:$D$12,"À vérifier")</x:f>
        <x:v>0</x:v>
      </x:c>
      <x:c r="I28" s="39" t="n">
        <x:f>COUNTIFS('Movesets_ennemis'!$D$7:$D$12,"Extrapolation")</x:f>
        <x:v>6</x:v>
      </x:c>
      <x:c r="J28" s="39" t="n">
        <x:f>COUNTIFS('Movesets_ennemis'!$D$7:$D$12,"Coupé attesté")</x:f>
        <x:v>0</x:v>
      </x:c>
      <x:c r="K28" s="39" t="n">
        <x:f>COUNTIFS('Movesets_ennemis'!$D$7:$D$12,"Concept abandonné")</x:f>
        <x:v>0</x:v>
      </x:c>
      <x:c r="L28" s="39" t="n">
        <x:f>COUNTIFS('Movesets_ennemis'!$D$7:$D$12,"Allégation écartée")</x:f>
        <x:v>0</x:v>
      </x:c>
      <x:c r="M28" s="39" t="n">
        <x:f>COUNTIFS('Movesets_ennemis'!$E$7:$E$12,"P0")</x:f>
        <x:v>0</x:v>
      </x:c>
    </x:row>
    <x:row r="29" ht="22" customHeight="1">
      <x:c r="A29" s="2" t="str">
        <x:v>Animations</x:v>
      </x:c>
      <x:c r="B29" s="40" t="n">
        <x:f>COUNTA('Animations'!$A$7:$A$11)</x:f>
        <x:v>5</x:v>
      </x:c>
      <x:c r="C29" s="40" t="n">
        <x:f>COUNTIFS('Animations'!$C$7:$C$11,"Défini")</x:f>
        <x:v>5</x:v>
      </x:c>
      <x:c r="D29" s="40" t="n">
        <x:f>COUNTIFS('Animations'!$C$7:$C$11,"Prototype")</x:f>
        <x:v>0</x:v>
      </x:c>
      <x:c r="E29" s="40" t="n">
        <x:f>COUNTIFS('Animations'!$C$7:$C$11,"Intégré")</x:f>
        <x:v>0</x:v>
      </x:c>
      <x:c r="F29" s="40" t="n">
        <x:f>COUNTIFS('Animations'!$C$7:$C$11,"Validé")</x:f>
        <x:v>0</x:v>
      </x:c>
      <x:c r="G29" s="40" t="n">
        <x:f>COUNTIFS('Animations'!$D$7:$D$11,"Établi")</x:f>
        <x:v>0</x:v>
      </x:c>
      <x:c r="H29" s="40" t="n">
        <x:f>COUNTIFS('Animations'!$D$7:$D$11,"À vérifier")</x:f>
        <x:v>0</x:v>
      </x:c>
      <x:c r="I29" s="40" t="n">
        <x:f>COUNTIFS('Animations'!$D$7:$D$11,"Extrapolation")</x:f>
        <x:v>5</x:v>
      </x:c>
      <x:c r="J29" s="40" t="n">
        <x:f>COUNTIFS('Animations'!$D$7:$D$11,"Coupé attesté")</x:f>
        <x:v>0</x:v>
      </x:c>
      <x:c r="K29" s="40" t="n">
        <x:f>COUNTIFS('Animations'!$D$7:$D$11,"Concept abandonné")</x:f>
        <x:v>0</x:v>
      </x:c>
      <x:c r="L29" s="40" t="n">
        <x:f>COUNTIFS('Animations'!$D$7:$D$11,"Allégation écartée")</x:f>
        <x:v>0</x:v>
      </x:c>
      <x:c r="M29" s="40" t="n">
        <x:f>COUNTIFS('Animations'!$E$7:$E$11,"P0")</x:f>
        <x:v>0</x:v>
      </x:c>
    </x:row>
    <x:row r="30" ht="22" customHeight="1">
      <x:c r="A30" s="35" t="str">
        <x:v>Sprites</x:v>
      </x:c>
      <x:c r="B30" s="39" t="n">
        <x:f>COUNTA('Sprites'!$A$7:$A$11)</x:f>
        <x:v>5</x:v>
      </x:c>
      <x:c r="C30" s="39" t="n">
        <x:f>COUNTIFS('Sprites'!$C$7:$C$11,"Défini")</x:f>
        <x:v>5</x:v>
      </x:c>
      <x:c r="D30" s="39" t="n">
        <x:f>COUNTIFS('Sprites'!$C$7:$C$11,"Prototype")</x:f>
        <x:v>0</x:v>
      </x:c>
      <x:c r="E30" s="39" t="n">
        <x:f>COUNTIFS('Sprites'!$C$7:$C$11,"Intégré")</x:f>
        <x:v>0</x:v>
      </x:c>
      <x:c r="F30" s="39" t="n">
        <x:f>COUNTIFS('Sprites'!$C$7:$C$11,"Validé")</x:f>
        <x:v>0</x:v>
      </x:c>
      <x:c r="G30" s="39" t="n">
        <x:f>COUNTIFS('Sprites'!$D$7:$D$11,"Établi")</x:f>
        <x:v>0</x:v>
      </x:c>
      <x:c r="H30" s="39" t="n">
        <x:f>COUNTIFS('Sprites'!$D$7:$D$11,"À vérifier")</x:f>
        <x:v>0</x:v>
      </x:c>
      <x:c r="I30" s="39" t="n">
        <x:f>COUNTIFS('Sprites'!$D$7:$D$11,"Extrapolation")</x:f>
        <x:v>5</x:v>
      </x:c>
      <x:c r="J30" s="39" t="n">
        <x:f>COUNTIFS('Sprites'!$D$7:$D$11,"Coupé attesté")</x:f>
        <x:v>0</x:v>
      </x:c>
      <x:c r="K30" s="39" t="n">
        <x:f>COUNTIFS('Sprites'!$D$7:$D$11,"Concept abandonné")</x:f>
        <x:v>0</x:v>
      </x:c>
      <x:c r="L30" s="39" t="n">
        <x:f>COUNTIFS('Sprites'!$D$7:$D$11,"Allégation écartée")</x:f>
        <x:v>0</x:v>
      </x:c>
      <x:c r="M30" s="39" t="n">
        <x:f>COUNTIFS('Sprites'!$E$7:$E$11,"P0")</x:f>
        <x:v>0</x:v>
      </x:c>
    </x:row>
    <x:row r="31" ht="22" customHeight="1">
      <x:c r="A31" s="2" t="str">
        <x:v>VFX</x:v>
      </x:c>
      <x:c r="B31" s="40" t="n">
        <x:f>COUNTA('VFX'!$A$7:$A$12)</x:f>
        <x:v>6</x:v>
      </x:c>
      <x:c r="C31" s="40" t="n">
        <x:f>COUNTIFS('VFX'!$C$7:$C$12,"Défini")</x:f>
        <x:v>6</x:v>
      </x:c>
      <x:c r="D31" s="40" t="n">
        <x:f>COUNTIFS('VFX'!$C$7:$C$12,"Prototype")</x:f>
        <x:v>0</x:v>
      </x:c>
      <x:c r="E31" s="40" t="n">
        <x:f>COUNTIFS('VFX'!$C$7:$C$12,"Intégré")</x:f>
        <x:v>0</x:v>
      </x:c>
      <x:c r="F31" s="40" t="n">
        <x:f>COUNTIFS('VFX'!$C$7:$C$12,"Validé")</x:f>
        <x:v>0</x:v>
      </x:c>
      <x:c r="G31" s="40" t="n">
        <x:f>COUNTIFS('VFX'!$D$7:$D$12,"Établi")</x:f>
        <x:v>0</x:v>
      </x:c>
      <x:c r="H31" s="40" t="n">
        <x:f>COUNTIFS('VFX'!$D$7:$D$12,"À vérifier")</x:f>
        <x:v>0</x:v>
      </x:c>
      <x:c r="I31" s="40" t="n">
        <x:f>COUNTIFS('VFX'!$D$7:$D$12,"Extrapolation")</x:f>
        <x:v>6</x:v>
      </x:c>
      <x:c r="J31" s="40" t="n">
        <x:f>COUNTIFS('VFX'!$D$7:$D$12,"Coupé attesté")</x:f>
        <x:v>0</x:v>
      </x:c>
      <x:c r="K31" s="40" t="n">
        <x:f>COUNTIFS('VFX'!$D$7:$D$12,"Concept abandonné")</x:f>
        <x:v>0</x:v>
      </x:c>
      <x:c r="L31" s="40" t="n">
        <x:f>COUNTIFS('VFX'!$D$7:$D$12,"Allégation écartée")</x:f>
        <x:v>0</x:v>
      </x:c>
      <x:c r="M31" s="40" t="n">
        <x:f>COUNTIFS('VFX'!$E$7:$E$12,"P0")</x:f>
        <x:v>0</x:v>
      </x:c>
    </x:row>
    <x:row r="32" ht="22" customHeight="1">
      <x:c r="A32" s="35" t="str">
        <x:v>Audio</x:v>
      </x:c>
      <x:c r="B32" s="39" t="n">
        <x:f>COUNTA('Audio'!$A$7:$A$10)</x:f>
        <x:v>4</x:v>
      </x:c>
      <x:c r="C32" s="39" t="n">
        <x:f>COUNTIFS('Audio'!$C$7:$C$10,"Défini")</x:f>
        <x:v>4</x:v>
      </x:c>
      <x:c r="D32" s="39" t="n">
        <x:f>COUNTIFS('Audio'!$C$7:$C$10,"Prototype")</x:f>
        <x:v>0</x:v>
      </x:c>
      <x:c r="E32" s="39" t="n">
        <x:f>COUNTIFS('Audio'!$C$7:$C$10,"Intégré")</x:f>
        <x:v>0</x:v>
      </x:c>
      <x:c r="F32" s="39" t="n">
        <x:f>COUNTIFS('Audio'!$C$7:$C$10,"Validé")</x:f>
        <x:v>0</x:v>
      </x:c>
      <x:c r="G32" s="39" t="n">
        <x:f>COUNTIFS('Audio'!$D$7:$D$10,"Établi")</x:f>
        <x:v>0</x:v>
      </x:c>
      <x:c r="H32" s="39" t="n">
        <x:f>COUNTIFS('Audio'!$D$7:$D$10,"À vérifier")</x:f>
        <x:v>0</x:v>
      </x:c>
      <x:c r="I32" s="39" t="n">
        <x:f>COUNTIFS('Audio'!$D$7:$D$10,"Extrapolation")</x:f>
        <x:v>4</x:v>
      </x:c>
      <x:c r="J32" s="39" t="n">
        <x:f>COUNTIFS('Audio'!$D$7:$D$10,"Coupé attesté")</x:f>
        <x:v>0</x:v>
      </x:c>
      <x:c r="K32" s="39" t="n">
        <x:f>COUNTIFS('Audio'!$D$7:$D$10,"Concept abandonné")</x:f>
        <x:v>0</x:v>
      </x:c>
      <x:c r="L32" s="39" t="n">
        <x:f>COUNTIFS('Audio'!$D$7:$D$10,"Allégation écartée")</x:f>
        <x:v>0</x:v>
      </x:c>
      <x:c r="M32" s="39" t="n">
        <x:f>COUNTIFS('Audio'!$E$7:$E$10,"P0")</x:f>
        <x:v>0</x:v>
      </x:c>
    </x:row>
    <x:row r="33" ht="22" customHeight="1">
      <x:c r="A33" s="2" t="str">
        <x:v>Systèmes et UI</x:v>
      </x:c>
      <x:c r="B33" s="40" t="n">
        <x:f>COUNTA('UI_systemes'!$A$7:$A$10)</x:f>
        <x:v>4</x:v>
      </x:c>
      <x:c r="C33" s="40" t="n">
        <x:f>COUNTIFS('UI_systemes'!$C$7:$C$10,"Défini")</x:f>
        <x:v>4</x:v>
      </x:c>
      <x:c r="D33" s="40" t="n">
        <x:f>COUNTIFS('UI_systemes'!$C$7:$C$10,"Prototype")</x:f>
        <x:v>0</x:v>
      </x:c>
      <x:c r="E33" s="40" t="n">
        <x:f>COUNTIFS('UI_systemes'!$C$7:$C$10,"Intégré")</x:f>
        <x:v>0</x:v>
      </x:c>
      <x:c r="F33" s="40" t="n">
        <x:f>COUNTIFS('UI_systemes'!$C$7:$C$10,"Validé")</x:f>
        <x:v>0</x:v>
      </x:c>
      <x:c r="G33" s="40" t="n">
        <x:f>COUNTIFS('UI_systemes'!$D$7:$D$10,"Établi")</x:f>
        <x:v>0</x:v>
      </x:c>
      <x:c r="H33" s="40" t="n">
        <x:f>COUNTIFS('UI_systemes'!$D$7:$D$10,"À vérifier")</x:f>
        <x:v>0</x:v>
      </x:c>
      <x:c r="I33" s="40" t="n">
        <x:f>COUNTIFS('UI_systemes'!$D$7:$D$10,"Extrapolation")</x:f>
        <x:v>4</x:v>
      </x:c>
      <x:c r="J33" s="40" t="n">
        <x:f>COUNTIFS('UI_systemes'!$D$7:$D$10,"Coupé attesté")</x:f>
        <x:v>0</x:v>
      </x:c>
      <x:c r="K33" s="40" t="n">
        <x:f>COUNTIFS('UI_systemes'!$D$7:$D$10,"Concept abandonné")</x:f>
        <x:v>0</x:v>
      </x:c>
      <x:c r="L33" s="40" t="n">
        <x:f>COUNTIFS('UI_systemes'!$D$7:$D$10,"Allégation écartée")</x:f>
        <x:v>0</x:v>
      </x:c>
      <x:c r="M33" s="40" t="n">
        <x:f>COUNTIFS('UI_systemes'!$E$7:$E$10,"P0")</x:f>
        <x:v>0</x:v>
      </x:c>
    </x:row>
    <x:row r="34" ht="22" customHeight="1">
      <x:c r="A34" s="35" t="str">
        <x:v>QA</x:v>
      </x:c>
      <x:c r="B34" s="39" t="n">
        <x:f>COUNTA('QA'!$A$7:$A$15)</x:f>
        <x:v>9</x:v>
      </x:c>
      <x:c r="C34" s="39" t="n">
        <x:f>COUNTIFS('QA'!$C$7:$C$15,"Défini")</x:f>
        <x:v>9</x:v>
      </x:c>
      <x:c r="D34" s="39" t="n">
        <x:f>COUNTIFS('QA'!$C$7:$C$15,"Prototype")</x:f>
        <x:v>0</x:v>
      </x:c>
      <x:c r="E34" s="39" t="n">
        <x:f>COUNTIFS('QA'!$C$7:$C$15,"Intégré")</x:f>
        <x:v>0</x:v>
      </x:c>
      <x:c r="F34" s="39" t="n">
        <x:f>COUNTIFS('QA'!$C$7:$C$15,"Validé")</x:f>
        <x:v>0</x:v>
      </x:c>
      <x:c r="G34" s="39" t="n">
        <x:f>COUNTIFS('QA'!$D$7:$D$15,"Établi")</x:f>
        <x:v>0</x:v>
      </x:c>
      <x:c r="H34" s="39" t="n">
        <x:f>COUNTIFS('QA'!$D$7:$D$15,"À vérifier")</x:f>
        <x:v>0</x:v>
      </x:c>
      <x:c r="I34" s="39" t="n">
        <x:f>COUNTIFS('QA'!$D$7:$D$15,"Extrapolation")</x:f>
        <x:v>9</x:v>
      </x:c>
      <x:c r="J34" s="39" t="n">
        <x:f>COUNTIFS('QA'!$D$7:$D$15,"Coupé attesté")</x:f>
        <x:v>0</x:v>
      </x:c>
      <x:c r="K34" s="39" t="n">
        <x:f>COUNTIFS('QA'!$D$7:$D$15,"Concept abandonné")</x:f>
        <x:v>0</x:v>
      </x:c>
      <x:c r="L34" s="39" t="n">
        <x:f>COUNTIFS('QA'!$D$7:$D$15,"Allégation écartée")</x:f>
        <x:v>0</x:v>
      </x:c>
      <x:c r="M34" s="39" t="n">
        <x:f>COUNTIFS('QA'!$E$7:$E$15,"P0")</x:f>
        <x:v>9</x:v>
      </x:c>
    </x:row>
    <x:row r="35" ht="22" customHeight="1">
      <x:c r="A35" s="2" t="str">
        <x:v>Continuité</x:v>
      </x:c>
      <x:c r="B35" s="40" t="n">
        <x:f>COUNTA('Continuite'!$A$7:$A$8)</x:f>
        <x:v>2</x:v>
      </x:c>
      <x:c r="C35" s="40" t="n">
        <x:f>COUNTIFS('Continuite'!$C$7:$C$8,"Défini")</x:f>
        <x:v>2</x:v>
      </x:c>
      <x:c r="D35" s="40" t="n">
        <x:f>COUNTIFS('Continuite'!$C$7:$C$8,"Prototype")</x:f>
        <x:v>0</x:v>
      </x:c>
      <x:c r="E35" s="40" t="n">
        <x:f>COUNTIFS('Continuite'!$C$7:$C$8,"Intégré")</x:f>
        <x:v>0</x:v>
      </x:c>
      <x:c r="F35" s="40" t="n">
        <x:f>COUNTIFS('Continuite'!$C$7:$C$8,"Validé")</x:f>
        <x:v>0</x:v>
      </x:c>
      <x:c r="G35" s="40" t="n">
        <x:f>COUNTIFS('Continuite'!$D$7:$D$8,"Établi")</x:f>
        <x:v>0</x:v>
      </x:c>
      <x:c r="H35" s="40" t="n">
        <x:f>COUNTIFS('Continuite'!$D$7:$D$8,"À vérifier")</x:f>
        <x:v>0</x:v>
      </x:c>
      <x:c r="I35" s="40" t="n">
        <x:f>COUNTIFS('Continuite'!$D$7:$D$8,"Extrapolation")</x:f>
        <x:v>2</x:v>
      </x:c>
      <x:c r="J35" s="40" t="n">
        <x:f>COUNTIFS('Continuite'!$D$7:$D$8,"Coupé attesté")</x:f>
        <x:v>0</x:v>
      </x:c>
      <x:c r="K35" s="40" t="n">
        <x:f>COUNTIFS('Continuite'!$D$7:$D$8,"Concept abandonné")</x:f>
        <x:v>0</x:v>
      </x:c>
      <x:c r="L35" s="40" t="n">
        <x:f>COUNTIFS('Continuite'!$D$7:$D$8,"Allégation écartée")</x:f>
        <x:v>0</x:v>
      </x:c>
      <x:c r="M35" s="40" t="n">
        <x:f>COUNTIFS('Continuite'!$E$7:$E$8,"P0")</x:f>
        <x:v>0</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117</x:v>
      </x:c>
      <x:c r="C37" s="41" t="n">
        <x:f>SUM(C10:C35)</x:f>
        <x:v>117</x:v>
      </x:c>
      <x:c r="D37" s="41" t="n">
        <x:f>SUM(D10:D35)</x:f>
        <x:v>0</x:v>
      </x:c>
      <x:c r="E37" s="41" t="n">
        <x:f>SUM(E10:E35)</x:f>
        <x:v>0</x:v>
      </x:c>
      <x:c r="F37" s="41" t="n">
        <x:f>SUM(F10:F35)</x:f>
        <x:v>0</x:v>
      </x:c>
      <x:c r="G37" s="41" t="n">
        <x:f>SUM(G10:G35)</x:f>
        <x:v>11</x:v>
      </x:c>
      <x:c r="H37" s="41" t="n">
        <x:f>SUM(H10:H35)</x:f>
        <x:v>10</x:v>
      </x:c>
      <x:c r="I37" s="41" t="n">
        <x:f>SUM(I10:I35)</x:f>
        <x:v>96</x:v>
      </x:c>
      <x:c r="J37" s="41" t="n">
        <x:f>SUM(J10:J35)</x:f>
        <x:v>0</x:v>
      </x:c>
      <x:c r="K37" s="41" t="n">
        <x:f>SUM(K10:K35)</x:f>
        <x:v>0</x:v>
      </x:c>
      <x:c r="L37" s="41" t="n">
        <x:f>SUM(L10:L35)</x:f>
        <x:v>0</x:v>
      </x:c>
      <x:c r="M37" s="41" t="n">
        <x:f>SUM(M10:M35)</x:f>
        <x:v>19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Invasion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INV-ACT-ARIA</x:v>
      </x:c>
      <x:c r="B7" s="9" t="str">
        <x:v>Aria T’Loak</x:v>
      </x:c>
      <x:c r="C7" s="15" t="str">
        <x:v>Défini</x:v>
      </x:c>
      <x:c r="D7" s="16" t="str">
        <x:v>Établi</x:v>
      </x:c>
      <x:c r="E7" s="16" t="str">
        <x:v>P1</x:v>
      </x:c>
      <x:c r="F7" s="9" t="str">
        <x:v>Aria gouverne Omega et défend la station.</x:v>
      </x:c>
      <x:c r="G7" s="9" t="str">
        <x:v>Cheffe de groupe; contrôle d’espace et ordres de repli.</x:v>
      </x:c>
      <x:c r="H7" s="9" t="str">
        <x:v>Rôle narratif; aucune statistique officielle déduite.</x:v>
      </x:c>
      <x:c r="I7" s="9" t="str">
        <x:v>Direction proposée : Silhouette asari tendue, veste de combat et accents violets; tenue à vérifier. Vérifier le costume sur l'édition autorisée avant peinture finale.</x:v>
      </x:c>
      <x:c r="J7" s="9" t="str">
        <x:v>Appui ferme, poussée large, geste d’ordre et recul contrôlé.</x:v>
      </x:c>
      <x:c r="K7" s="9" t="str">
        <x:v>Interprétation originale; sous-titres attribués au locuteur et aucune reprise des voix du jeu.</x:v>
      </x:c>
      <x:c r="L7" s="9" t="str">
        <x:v>Livrable proposé : spécification INV/characters/act-aria; brancher au registre de contenu de l'œuvre seulement après production.</x:v>
      </x:c>
      <x:c r="M7" s="9" t="str">
        <x:v>Conserver le raccord d’occupation d’Omega et le départ d’Aria; une victoire tactique locale ne permet pas de gagner une guerre contraire au comic.</x:v>
      </x:c>
      <x:c r="N7" s="9" t="str">
        <x:v>Aria T’Loak possède une fiche de référence séparant rôle attesté, silhouette à contrôler et commandes proposées.</x:v>
      </x:c>
      <x:c r="O7" s="9" t="str"/>
      <x:c r="P7" s="9" t="str">
        <x:v>Mass Effect: Invasion, série concernée</x:v>
      </x:c>
      <x:c r="Q7" s="9" t="str">
        <x:v>INV-S-BOOK</x:v>
      </x:c>
      <x:c r="R7" s="20" t="str">
        <x:v>https://www.penguinrandomhouse.com/books/241636/mass-effect-volume-3-invasion-by-mac-walters-various-artists/</x:v>
      </x:c>
      <x:c r="S7" s="20" t="str">
        <x:v>Le rôle dans la source ne prouve ni recrutement jouable ni disponibilité permanente.</x:v>
      </x:c>
    </x:row>
    <x:row r="8" ht="68" customHeight="1">
      <x:c r="A8" s="19" t="str">
        <x:v>INV-ACT-PETROVSKY</x:v>
      </x:c>
      <x:c r="B8" s="7" t="str">
        <x:v>Oleg Petrovsky</x:v>
      </x:c>
      <x:c r="C8" s="15" t="str">
        <x:v>Défini</x:v>
      </x:c>
      <x:c r="D8" s="17" t="str">
        <x:v>À vérifier</x:v>
      </x:c>
      <x:c r="E8" s="17" t="str">
        <x:v>P1</x:v>
      </x:c>
      <x:c r="F8" s="7" t="str">
        <x:v>Petrovsky commande les opérations de Cerberus contre Omega.</x:v>
      </x:c>
      <x:c r="G8" s="7" t="str">
        <x:v>Allié circonstanciel puis adversaire stratégique; décisions à distance.</x:v>
      </x:c>
      <x:c r="H8" s="7" t="str">
        <x:v>Rôle narratif; aucune statistique officielle déduite.</x:v>
      </x:c>
      <x:c r="I8" s="7" t="str">
        <x:v>Direction proposée : Officier humain au port formel, uniforme clair/sombre et décor de passerelle. Vérifier le costume sur l'édition autorisée avant peinture finale.</x:v>
      </x:c>
      <x:c r="J8" s="7" t="str">
        <x:v>Observation d’une carte, ordre bref et mains jointes.</x:v>
      </x:c>
      <x:c r="K8" s="7" t="str">
        <x:v>Interprétation originale; sous-titres attribués au locuteur et aucune reprise des voix du jeu.</x:v>
      </x:c>
      <x:c r="L8" s="7" t="str">
        <x:v>Livrable proposé : spécification INV/characters/act-petrovsky; brancher au registre de contenu de l'œuvre seulement après production.</x:v>
      </x:c>
      <x:c r="M8" s="7" t="str">
        <x:v>Conserver le raccord d’occupation d’Omega et le départ d’Aria; une victoire tactique locale ne permet pas de gagner une guerre contraire au comic.</x:v>
      </x:c>
      <x:c r="N8" s="7" t="str">
        <x:v>Oleg Petrovsky possède une fiche de référence séparant rôle attesté, silhouette à contrôler et commandes proposées.</x:v>
      </x:c>
      <x:c r="O8" s="7" t="str"/>
      <x:c r="P8" s="7" t="str">
        <x:v>Mass Effect: Invasion, série concernée</x:v>
      </x:c>
      <x:c r="Q8" s="7" t="str">
        <x:v>INV-S-PETROVSKY</x:v>
      </x:c>
      <x:c r="R8" s="21" t="str">
        <x:v>https://masseffect.fandom.com/wiki/Oleg_Petrovsky</x:v>
      </x:c>
      <x:c r="S8" s="21" t="str">
        <x:v>Le rôle dans la source ne prouve ni recrutement jouable ni disponibilité permanente.</x:v>
      </x:c>
    </x:row>
    <x:row r="9" ht="68" customHeight="1">
      <x:c r="A9" s="18" t="str">
        <x:v>INV-ACT-ASHE</x:v>
      </x:c>
      <x:c r="B9" s="9" t="str">
        <x:v>Raymond Ashe</x:v>
      </x:c>
      <x:c r="C9" s="15" t="str">
        <x:v>Défini</x:v>
      </x:c>
      <x:c r="D9" s="16" t="str">
        <x:v>À vérifier</x:v>
      </x:c>
      <x:c r="E9" s="16" t="str">
        <x:v>P1</x:v>
      </x:c>
      <x:c r="F9" s="9" t="str">
        <x:v>Ashe est associé à Petrovsky dans l’opération.</x:v>
      </x:c>
      <x:c r="G9" s="9" t="str">
        <x:v>Figure de pression militaire, distincte de la prudence du général.</x:v>
      </x:c>
      <x:c r="H9" s="9" t="str">
        <x:v>Rôle narratif; aucune statistique officielle déduite.</x:v>
      </x:c>
      <x:c r="I9" s="9" t="str">
        <x:v>Direction proposée : Officier plus anguleux et posture avancée; grades exacts à contrôler. Vérifier le costume sur l'édition autorisée avant peinture finale.</x:v>
      </x:c>
      <x:c r="J9" s="9" t="str">
        <x:v>Pointage énergique, mouvement brusque et activation d’un panneau.</x:v>
      </x:c>
      <x:c r="K9" s="9" t="str">
        <x:v>Interprétation originale; sous-titres attribués au locuteur et aucune reprise des voix du jeu.</x:v>
      </x:c>
      <x:c r="L9" s="9" t="str">
        <x:v>Livrable proposé : spécification INV/characters/act-ashe; brancher au registre de contenu de l'œuvre seulement après production.</x:v>
      </x:c>
      <x:c r="M9" s="9" t="str">
        <x:v>Conserver le raccord d’occupation d’Omega et le départ d’Aria; une victoire tactique locale ne permet pas de gagner une guerre contraire au comic.</x:v>
      </x:c>
      <x:c r="N9" s="9" t="str">
        <x:v>Raymond Ashe possède une fiche de référence séparant rôle attesté, silhouette à contrôler et commandes proposées.</x:v>
      </x:c>
      <x:c r="O9" s="9" t="str"/>
      <x:c r="P9" s="9" t="str">
        <x:v>Mass Effect: Invasion, série concernée</x:v>
      </x:c>
      <x:c r="Q9" s="9" t="str">
        <x:v>INV-S-PETROVSKY</x:v>
      </x:c>
      <x:c r="R9" s="20" t="str">
        <x:v>https://masseffect.fandom.com/wiki/Oleg_Petrovsky</x:v>
      </x:c>
      <x:c r="S9" s="20" t="str">
        <x:v>Le rôle dans la source ne prouve ni recrutement jouable ni disponibilité permanente.</x:v>
      </x:c>
    </x:row>
    <x:row r="10" ht="68" customHeight="1">
      <x:c r="A10" s="19" t="str">
        <x:v>INV-ACT-DEFENDERS</x:v>
      </x:c>
      <x:c r="B10" s="7" t="str">
        <x:v>Défenseurs d’Omega</x:v>
      </x:c>
      <x:c r="C10" s="15" t="str">
        <x:v>Défini</x:v>
      </x:c>
      <x:c r="D10" s="17" t="str">
        <x:v>Établi</x:v>
      </x:c>
      <x:c r="E10" s="17" t="str">
        <x:v>P1</x:v>
      </x:c>
      <x:c r="F10" s="7" t="str">
        <x:v>Les gangs coopèrent dans la défense décrite au final.</x:v>
      </x:c>
      <x:c r="G10" s="7" t="str">
        <x:v>Soutien collectif original; rôles limités à la station.</x:v>
      </x:c>
      <x:c r="H10" s="7" t="str">
        <x:v>Rôle narratif; aucune statistique officielle déduite.</x:v>
      </x:c>
      <x:c r="I10" s="7" t="str">
        <x:v>Direction proposée : Armures et espèces variées, brassard de rôle temporaire inventé. Vérifier le costume sur l'édition autorisée avant peinture finale.</x:v>
      </x:c>
      <x:c r="J10" s="7" t="str">
        <x:v>Port de matériel, couverture et appel au repli.</x:v>
      </x:c>
      <x:c r="K10" s="7" t="str">
        <x:v>Interprétation originale; sous-titres attribués au locuteur et aucune reprise des voix du jeu.</x:v>
      </x:c>
      <x:c r="L10" s="7" t="str">
        <x:v>Livrable proposé : spécification INV/characters/act-defenders; brancher au registre de contenu de l'œuvre seulement après production.</x:v>
      </x:c>
      <x:c r="M10" s="7" t="str">
        <x:v>Conserver le raccord d’occupation d’Omega et le départ d’Aria; une victoire tactique locale ne permet pas de gagner une guerre contraire au comic.</x:v>
      </x:c>
      <x:c r="N10" s="7" t="str">
        <x:v>Défenseurs d’Omega possède une fiche de référence séparant rôle attesté, silhouette à contrôler et commandes proposées.</x:v>
      </x:c>
      <x:c r="O10" s="7" t="str"/>
      <x:c r="P10" s="7" t="str">
        <x:v>Mass Effect: Invasion, série concernée</x:v>
      </x:c>
      <x:c r="Q10" s="7" t="str">
        <x:v>INV-S-AUTHOR4</x:v>
      </x:c>
      <x:c r="R10" s="21" t="str">
        <x:v>https://farawaypress.com/comics/masseffectinvasion/masseffectinvasion4/</x:v>
      </x:c>
      <x:c r="S10" s="21"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418186c257e45fd"/>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Invasion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INV-ACT-TIM</x:v>
      </x:c>
      <x:c r="B7" s="9" t="str">
        <x:v>L’Homme trouble</x:v>
      </x:c>
      <x:c r="C7" s="15" t="str">
        <x:v>Défini</x:v>
      </x:c>
      <x:c r="D7" s="16" t="str">
        <x:v>Établi</x:v>
      </x:c>
      <x:c r="E7" s="16" t="str">
        <x:v>P1</x:v>
      </x:c>
      <x:c r="F7" s="9" t="str">
        <x:v>Cerberus est la force politique derrière la menace sur Omega.</x:v>
      </x:c>
      <x:c r="G7" s="9" t="str">
        <x:v>Interlocuteur distant; garder son information hors de la connaissance du joueur.</x:v>
      </x:c>
      <x:c r="H7" s="9" t="str">
        <x:v>Rôle narratif; aucune statistique officielle déduite.</x:v>
      </x:c>
      <x:c r="I7" s="9" t="str">
        <x:v>Direction proposée : Hologramme à fort contre-jour et visage calme. Vérifier le costume sur l'édition autorisée avant peinture finale.</x:v>
      </x:c>
      <x:c r="J7" s="9" t="str">
        <x:v>Immobile, interruption du signal et reprise mesurée.</x:v>
      </x:c>
      <x:c r="K7" s="9" t="str">
        <x:v>Interprétation originale; sous-titres attribués au locuteur et aucune reprise des voix du jeu.</x:v>
      </x:c>
      <x:c r="L7" s="9" t="str">
        <x:v>Livrable proposé : spécification INV/npcs/act-tim; brancher au registre de contenu de l'œuvre seulement après production.</x:v>
      </x:c>
      <x:c r="M7" s="9" t="str">
        <x:v>Conserver le raccord d’occupation d’Omega et le départ d’Aria; une victoire tactique locale ne permet pas de gagner une guerre contraire au comic.</x:v>
      </x:c>
      <x:c r="N7" s="9" t="str">
        <x:v>L’Homme trouble possède une fiche de référence séparant rôle attesté, silhouette à contrôler et commandes proposées.</x:v>
      </x:c>
      <x:c r="O7" s="9" t="str"/>
      <x:c r="P7" s="9" t="str">
        <x:v>Mass Effect: Invasion, série concernée</x:v>
      </x:c>
      <x:c r="Q7" s="9" t="str">
        <x:v>INV-S-BOOK</x:v>
      </x:c>
      <x:c r="R7" s="20" t="str">
        <x:v>https://www.penguinrandomhouse.com/books/241636/mass-effect-volume-3-invasion-by-mac-walters-various-artists/</x:v>
      </x:c>
      <x:c r="S7" s="20" t="str">
        <x:v>Le rôle dans la source ne prouve ni recrutement jouable ni disponibilité permanente.</x:v>
      </x:c>
    </x:row>
  </x:sheetData>
  <x:conditionalFormatting sqref="D7:D7">
    <x:cfRule type="cellIs" dxfId="4" priority="1" operator="equal">
      <x:formula>"À vérifier"</x:formula>
    </x:cfRule>
    <x:cfRule type="cellIs" dxfId="5" priority="2" operator="equal">
      <x:formula>"Extrapolation"</x:formula>
    </x:cfRule>
  </x:conditionalFormatting>
  <x:conditionalFormatting sqref="C7:C7">
    <x:cfRule type="cellIs" dxfId="6" priority="3" operator="equal">
      <x:formula>"Validé"</x:formula>
    </x:cfRule>
  </x:conditionalFormatting>
  <x:conditionalFormatting sqref="E7:E7">
    <x:cfRule type="cellIs" dxfId="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987df0995c0445cd"/>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Invasion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INV-REF-SCOPE</x:v>
      </x:c>
      <x:c r="B7" s="9" t="str">
        <x:v>Omega au centre du conflit</x:v>
      </x:c>
      <x:c r="C7" s="15" t="str">
        <x:v>Défini</x:v>
      </x:c>
      <x:c r="D7" s="16" t="str">
        <x:v>Établi</x:v>
      </x:c>
      <x:c r="E7" s="16" t="str">
        <x:v>P0</x:v>
      </x:c>
      <x:c r="F7" s="9" t="str">
        <x:v>Aria défend Omega face à une menace liée à Cerberus.</x:v>
      </x:c>
      <x:c r="G7" s="9" t="str">
        <x:v>Conserver cet ancrage dans les données éditoriales; les variantes de jeu restent dans un espace séparé.</x:v>
      </x:c>
      <x:c r="H7" s="9" t="str"/>
      <x:c r="I7" s="9" t="str"/>
      <x:c r="J7" s="9" t="str"/>
      <x:c r="K7" s="9" t="str"/>
      <x:c r="L7" s="9" t="str">
        <x:v>Livrable proposé : spécification INV/lore/ref-scope; brancher au registre de contenu de l'œuvre seulement après production.</x:v>
      </x:c>
      <x:c r="M7" s="9" t="str">
        <x:v>Vérifier toute précision non contenue dans cette notice avant de la déclarer canon.</x:v>
      </x:c>
      <x:c r="N7" s="9" t="str">
        <x:v>Le dossier cite la source BOOK et distingue cette information de toute règle de gameplay.</x:v>
      </x:c>
      <x:c r="O7" s="9" t="str"/>
      <x:c r="P7" s="9" t="str">
        <x:v>Mass Effect: Invasion, série concernée</x:v>
      </x:c>
      <x:c r="Q7" s="9" t="str">
        <x:v>INV-S-BOOK</x:v>
      </x:c>
      <x:c r="R7" s="20" t="str">
        <x:v>https://www.penguinrandomhouse.com/books/241636/mass-effect-volume-3-invasion-by-mac-walters-various-artists/</x:v>
      </x:c>
      <x:c r="S7" s="20" t="str">
        <x:v>Fait résumé brièvement; aucun dialogue ni découpage intégral du comic reproduit.</x:v>
      </x:c>
    </x:row>
    <x:row r="8" ht="54" customHeight="1">
      <x:c r="A8" s="19" t="str">
        <x:v>INV-REF-FINAL</x:v>
      </x:c>
      <x:c r="B8" s="7" t="str">
        <x:v>Raccord du dernier numéro</x:v>
      </x:c>
      <x:c r="C8" s="15" t="str">
        <x:v>Défini</x:v>
      </x:c>
      <x:c r="D8" s="17" t="str">
        <x:v>Établi</x:v>
      </x:c>
      <x:c r="E8" s="17" t="str">
        <x:v>P0</x:v>
      </x:c>
      <x:c r="F8" s="7" t="str">
        <x:v>Le scénariste confirme la fuite d’Aria et les doutes de Petrovsky au dernier numéro.</x:v>
      </x:c>
      <x:c r="G8" s="7" t="str">
        <x:v>Conserver cet ancrage dans les données éditoriales; les variantes de jeu restent dans un espace séparé.</x:v>
      </x:c>
      <x:c r="H8" s="7" t="str"/>
      <x:c r="I8" s="7" t="str"/>
      <x:c r="J8" s="7" t="str"/>
      <x:c r="K8" s="7" t="str"/>
      <x:c r="L8" s="7" t="str">
        <x:v>Livrable proposé : spécification INV/lore/ref-final; brancher au registre de contenu de l'œuvre seulement après production.</x:v>
      </x:c>
      <x:c r="M8" s="7" t="str">
        <x:v>Vérifier toute précision non contenue dans cette notice avant de la déclarer canon.</x:v>
      </x:c>
      <x:c r="N8" s="7" t="str">
        <x:v>Le dossier cite la source AUTHOR4 et distingue cette information de toute règle de gameplay.</x:v>
      </x:c>
      <x:c r="O8" s="7" t="str"/>
      <x:c r="P8" s="7" t="str">
        <x:v>Invasion #4</x:v>
      </x:c>
      <x:c r="Q8" s="7" t="str">
        <x:v>INV-S-AUTHOR4</x:v>
      </x:c>
      <x:c r="R8" s="21" t="str">
        <x:v>https://farawaypress.com/comics/masseffectinvasion/masseffectinvasion4/</x:v>
      </x:c>
      <x:c r="S8" s="21" t="str">
        <x:v>Fait résumé brièvement; aucun dialogue ni découpage intégral du comic reproduit.</x:v>
      </x:c>
    </x:row>
    <x:row r="9" ht="54" customHeight="1">
      <x:c r="A9" s="18" t="str">
        <x:v>INV-REF-DLC</x:v>
      </x:c>
      <x:c r="B9" s="9" t="str">
        <x:v>Suite dans Omega</x:v>
      </x:c>
      <x:c r="C9" s="15" t="str">
        <x:v>Défini</x:v>
      </x:c>
      <x:c r="D9" s="16" t="str">
        <x:v>Établi</x:v>
      </x:c>
      <x:c r="E9" s="16" t="str">
        <x:v>P0</x:v>
      </x:c>
      <x:c r="F9" s="9" t="str">
        <x:v>L’auteur présente le DLC Omega comme la suite de cet arc.</x:v>
      </x:c>
      <x:c r="G9" s="9" t="str">
        <x:v>Conserver cet ancrage dans les données éditoriales; les variantes de jeu restent dans un espace séparé.</x:v>
      </x:c>
      <x:c r="H9" s="9" t="str"/>
      <x:c r="I9" s="9" t="str"/>
      <x:c r="J9" s="9" t="str"/>
      <x:c r="K9" s="9" t="str"/>
      <x:c r="L9" s="9" t="str">
        <x:v>Livrable proposé : spécification INV/lore/ref-dlc; brancher au registre de contenu de l'œuvre seulement après production.</x:v>
      </x:c>
      <x:c r="M9" s="9" t="str">
        <x:v>Vérifier toute précision non contenue dans cette notice avant de la déclarer canon.</x:v>
      </x:c>
      <x:c r="N9" s="9" t="str">
        <x:v>Le dossier cite la source AUTHOR4 et distingue cette information de toute règle de gameplay.</x:v>
      </x:c>
      <x:c r="O9" s="9" t="str"/>
      <x:c r="P9" s="9" t="str">
        <x:v>Notes d’Invasion #4</x:v>
      </x:c>
      <x:c r="Q9" s="9" t="str">
        <x:v>INV-S-AUTHOR4</x:v>
      </x:c>
      <x:c r="R9" s="20" t="str">
        <x:v>https://farawaypress.com/comics/masseffectinvasion/masseffectinvasion4/</x:v>
      </x:c>
      <x:c r="S9" s="20" t="str">
        <x:v>Fait résumé brièvement; aucun dialogue ni découpage intégral du comic reproduit.</x:v>
      </x:c>
    </x:row>
    <x:row r="10" ht="54" customHeight="1">
      <x:c r="A10" s="19" t="str">
        <x:v>INV-REF-GANGS</x:v>
      </x:c>
      <x:c r="B10" s="7" t="str">
        <x:v>Coopération des gangs</x:v>
      </x:c>
      <x:c r="C10" s="15" t="str">
        <x:v>Défini</x:v>
      </x:c>
      <x:c r="D10" s="17" t="str">
        <x:v>Établi</x:v>
      </x:c>
      <x:c r="E10" s="17" t="str">
        <x:v>P0</x:v>
      </x:c>
      <x:c r="F10" s="7" t="str">
        <x:v>Le scénariste souligne la coopération des gangs visible dans leurs tactiques et armes au final.</x:v>
      </x:c>
      <x:c r="G10" s="7" t="str">
        <x:v>Conserver cet ancrage dans les données éditoriales; les variantes de jeu restent dans un espace séparé.</x:v>
      </x:c>
      <x:c r="H10" s="7" t="str"/>
      <x:c r="I10" s="7" t="str"/>
      <x:c r="J10" s="7" t="str"/>
      <x:c r="K10" s="7" t="str"/>
      <x:c r="L10" s="7" t="str">
        <x:v>Livrable proposé : spécification INV/lore/ref-gangs; brancher au registre de contenu de l'œuvre seulement après production.</x:v>
      </x:c>
      <x:c r="M10" s="7" t="str">
        <x:v>Vérifier toute précision non contenue dans cette notice avant de la déclarer canon.</x:v>
      </x:c>
      <x:c r="N10" s="7" t="str">
        <x:v>Le dossier cite la source AUTHOR4 et distingue cette information de toute règle de gameplay.</x:v>
      </x:c>
      <x:c r="O10" s="7" t="str"/>
      <x:c r="P10" s="7" t="str">
        <x:v>Invasion #4</x:v>
      </x:c>
      <x:c r="Q10" s="7" t="str">
        <x:v>INV-S-AUTHOR4</x:v>
      </x:c>
      <x:c r="R10" s="21" t="str">
        <x:v>https://farawaypress.com/comics/masseffectinvasion/masseffectinvasion4/</x:v>
      </x:c>
      <x:c r="S10" s="21" t="str">
        <x:v>Fait résumé brièvement; aucun dialogue ni découpage intégral du comic reproduit.</x:v>
      </x:c>
    </x:row>
    <x:row r="11" ht="54" customHeight="1">
      <x:c r="A11" s="18" t="str">
        <x:v>INV-SC-BREACH-REF</x:v>
      </x:c>
      <x:c r="B11" s="9" t="str">
        <x:v>Alerte sur les quais</x:v>
      </x:c>
      <x:c r="C11" s="15" t="str">
        <x:v>Défini</x:v>
      </x:c>
      <x:c r="D11" s="16" t="str">
        <x:v>À vérifier</x:v>
      </x:c>
      <x:c r="E11" s="16" t="str">
        <x:v>P1</x:v>
      </x:c>
      <x:c r="F11" s="9" t="str">
        <x:v>Le récit décrit des Adjutants libérés par un transport sur Omega. </x:v>
      </x:c>
      <x:c r="G11" s="9" t="str">
        <x:v>Ancrage du module; les intitulés de quêtes et options ci-dessous sont des créations de production.</x:v>
      </x:c>
      <x:c r="H11" s="9" t="str"/>
      <x:c r="I11" s="9" t="str"/>
      <x:c r="J11" s="9" t="str"/>
      <x:c r="K11" s="9" t="str"/>
      <x:c r="L11" s="9" t="str">
        <x:v>Livrable proposé : spécification INV/lore/sc-breach-ref; brancher au registre de contenu de l'œuvre seulement après production.</x:v>
      </x:c>
      <x:c r="M11" s="9" t="str">
        <x:v>Conserver le raccord d’occupation d’Omega et le départ d’Aria; une victoire tactique locale ne permet pas de gagner une guerre contraire au comic.</x:v>
      </x:c>
      <x:c r="N11" s="9" t="str">
        <x:v>L’ancrage reste bref et son numéro/segment est identifiable dans les sources; les détails non confirmés portent À vérifier.</x:v>
      </x:c>
      <x:c r="O11" s="9" t="str"/>
      <x:c r="P11" s="9" t="str">
        <x:v>Invasion, attaque initiale; numéro à contrôler</x:v>
      </x:c>
      <x:c r="Q11" s="9" t="str">
        <x:v>INV-S-ADJ</x:v>
      </x:c>
      <x:c r="R11" s="20" t="str">
        <x:v>https://masseffect.fandom.com/wiki/Adjutant</x:v>
      </x:c>
      <x:c r="S11" s="20" t="str">
        <x:v>Ne remplace pas la lecture du numéro.</x:v>
      </x:c>
    </x:row>
    <x:row r="12" ht="54" customHeight="1">
      <x:c r="A12" s="19" t="str">
        <x:v>INV-SC-ALLIANCE-REF</x:v>
      </x:c>
      <x:c r="B12" s="7" t="str">
        <x:v>Coordination de circonstance</x:v>
      </x:c>
      <x:c r="C12" s="15" t="str">
        <x:v>Défini</x:v>
      </x:c>
      <x:c r="D12" s="17" t="str">
        <x:v>À vérifier</x:v>
      </x:c>
      <x:c r="E12" s="17" t="str">
        <x:v>P1</x:v>
      </x:c>
      <x:c r="F12" s="7" t="str">
        <x:v>Petrovsky et Aria coopèrent face à la menace initiale. </x:v>
      </x:c>
      <x:c r="G12" s="7" t="str">
        <x:v>Ancrage du module; les intitulés de quêtes et options ci-dessous sont des créations de production.</x:v>
      </x:c>
      <x:c r="H12" s="7" t="str"/>
      <x:c r="I12" s="7" t="str"/>
      <x:c r="J12" s="7" t="str"/>
      <x:c r="K12" s="7" t="str"/>
      <x:c r="L12" s="7" t="str">
        <x:v>Livrable proposé : spécification INV/lore/sc-alliance-ref; brancher au registre de contenu de l'œuvre seulement après production.</x:v>
      </x:c>
      <x:c r="M12" s="7" t="str">
        <x:v>Conserver le raccord d’occupation d’Omega et le départ d’Aria; une victoire tactique locale ne permet pas de gagner une guerre contraire au comic.</x:v>
      </x:c>
      <x:c r="N12" s="7" t="str">
        <x:v>L’ancrage reste bref et son numéro/segment est identifiable dans les sources; les détails non confirmés portent À vérifier.</x:v>
      </x:c>
      <x:c r="O12" s="7" t="str"/>
      <x:c r="P12" s="7" t="str">
        <x:v>Invasion, coopération initiale</x:v>
      </x:c>
      <x:c r="Q12" s="7" t="str">
        <x:v>INV-S-PETROVSKY</x:v>
      </x:c>
      <x:c r="R12" s="21" t="str">
        <x:v>https://masseffect.fandom.com/wiki/Oleg_Petrovsky</x:v>
      </x:c>
      <x:c r="S12" s="21" t="str">
        <x:v>Ne remplace pas la lecture du numéro.</x:v>
      </x:c>
    </x:row>
    <x:row r="13" ht="54" customHeight="1">
      <x:c r="A13" s="18" t="str">
        <x:v>INV-SC-AVERNUS-REF</x:v>
      </x:c>
      <x:c r="B13" s="9" t="str">
        <x:v>Confinement à Avernus</x:v>
      </x:c>
      <x:c r="C13" s="15" t="str">
        <x:v>Défini</x:v>
      </x:c>
      <x:c r="D13" s="16" t="str">
        <x:v>À vérifier</x:v>
      </x:c>
      <x:c r="E13" s="16" t="str">
        <x:v>P1</x:v>
      </x:c>
      <x:c r="F13" s="9" t="str">
        <x:v>Le récit rapporte une opération à Avernus Station liée aux Adjutants. </x:v>
      </x:c>
      <x:c r="G13" s="9" t="str">
        <x:v>Ancrage du module; les intitulés de quêtes et options ci-dessous sont des créations de production.</x:v>
      </x:c>
      <x:c r="H13" s="9" t="str"/>
      <x:c r="I13" s="9" t="str"/>
      <x:c r="J13" s="9" t="str"/>
      <x:c r="K13" s="9" t="str"/>
      <x:c r="L13" s="9" t="str">
        <x:v>Livrable proposé : spécification INV/lore/sc-avernus-ref; brancher au registre de contenu de l'œuvre seulement après production.</x:v>
      </x:c>
      <x:c r="M13" s="9" t="str">
        <x:v>Conserver le raccord d’occupation d’Omega et le départ d’Aria; une victoire tactique locale ne permet pas de gagner une guerre contraire au comic.</x:v>
      </x:c>
      <x:c r="N13" s="9" t="str">
        <x:v>L’ancrage reste bref et son numéro/segment est identifiable dans les sources; les détails non confirmés portent À vérifier.</x:v>
      </x:c>
      <x:c r="O13" s="9" t="str"/>
      <x:c r="P13" s="9" t="str">
        <x:v>Invasion, opération à Avernus</x:v>
      </x:c>
      <x:c r="Q13" s="9" t="str">
        <x:v>INV-S-ADJ</x:v>
      </x:c>
      <x:c r="R13" s="20" t="str">
        <x:v>https://masseffect.fandom.com/wiki/Adjutant</x:v>
      </x:c>
      <x:c r="S13" s="20" t="str">
        <x:v>Ne remplace pas la lecture du numéro.</x:v>
      </x:c>
    </x:row>
    <x:row r="14" ht="54" customHeight="1">
      <x:c r="A14" s="19" t="str">
        <x:v>INV-SC-RETURN-REF</x:v>
      </x:c>
      <x:c r="B14" s="7" t="str">
        <x:v>Retour dans une station contestée</x:v>
      </x:c>
      <x:c r="C14" s="15" t="str">
        <x:v>Défini</x:v>
      </x:c>
      <x:c r="D14" s="17" t="str">
        <x:v>Établi</x:v>
      </x:c>
      <x:c r="E14" s="17" t="str">
        <x:v>P1</x:v>
      </x:c>
      <x:c r="F14" s="7" t="str">
        <x:v>La défense d’Omega se transforme en conflit avec Cerberus. </x:v>
      </x:c>
      <x:c r="G14" s="7" t="str">
        <x:v>Ancrage du module; les intitulés de quêtes et options ci-dessous sont des créations de production.</x:v>
      </x:c>
      <x:c r="H14" s="7" t="str"/>
      <x:c r="I14" s="7" t="str"/>
      <x:c r="J14" s="7" t="str"/>
      <x:c r="K14" s="7" t="str"/>
      <x:c r="L14" s="7" t="str">
        <x:v>Livrable proposé : spécification INV/lore/sc-return-ref; brancher au registre de contenu de l'œuvre seulement après production.</x:v>
      </x:c>
      <x:c r="M14" s="7" t="str">
        <x:v>Conserver le raccord d’occupation d’Omega et le départ d’Aria; une victoire tactique locale ne permet pas de gagner une guerre contraire au comic.</x:v>
      </x:c>
      <x:c r="N14" s="7" t="str">
        <x:v>L’ancrage reste bref et son numéro/segment est identifiable dans les sources; les détails non confirmés portent À vérifier.</x:v>
      </x:c>
      <x:c r="O14" s="7" t="str"/>
      <x:c r="P14" s="7" t="str">
        <x:v>Invasion #1–4, retournement du conflit</x:v>
      </x:c>
      <x:c r="Q14" s="7" t="str">
        <x:v>INV-S-BOOK</x:v>
      </x:c>
      <x:c r="R14" s="21" t="str">
        <x:v>https://www.penguinrandomhouse.com/books/241636/mass-effect-volume-3-invasion-by-mac-walters-various-artists/</x:v>
      </x:c>
      <x:c r="S14" s="21" t="str">
        <x:v>Ne remplace pas la lecture du numéro.</x:v>
      </x:c>
    </x:row>
    <x:row r="15" ht="54" customHeight="1">
      <x:c r="A15" s="18" t="str">
        <x:v>INV-SC-TRAP-REF</x:v>
      </x:c>
      <x:c r="B15" s="9" t="str">
        <x:v>Piège d’Afterlife</x:v>
      </x:c>
      <x:c r="C15" s="15" t="str">
        <x:v>Défini</x:v>
      </x:c>
      <x:c r="D15" s="16" t="str">
        <x:v>À vérifier</x:v>
      </x:c>
      <x:c r="E15" s="16" t="str">
        <x:v>P1</x:v>
      </x:c>
      <x:c r="F15" s="9" t="str">
        <x:v>Le wiki décrit un piège impliquant Ashe et un Adjutant à Afterlife. </x:v>
      </x:c>
      <x:c r="G15" s="9" t="str">
        <x:v>Ancrage du module; les intitulés de quêtes et options ci-dessous sont des créations de production.</x:v>
      </x:c>
      <x:c r="H15" s="9" t="str"/>
      <x:c r="I15" s="9" t="str"/>
      <x:c r="J15" s="9" t="str"/>
      <x:c r="K15" s="9" t="str"/>
      <x:c r="L15" s="9" t="str">
        <x:v>Livrable proposé : spécification INV/lore/sc-trap-ref; brancher au registre de contenu de l'œuvre seulement après production.</x:v>
      </x:c>
      <x:c r="M15" s="9" t="str">
        <x:v>Conserver le raccord d’occupation d’Omega et le départ d’Aria; une victoire tactique locale ne permet pas de gagner une guerre contraire au comic.</x:v>
      </x:c>
      <x:c r="N15" s="9" t="str">
        <x:v>L’ancrage reste bref et son numéro/segment est identifiable dans les sources; les détails non confirmés portent À vérifier.</x:v>
      </x:c>
      <x:c r="O15" s="9" t="str"/>
      <x:c r="P15" s="9" t="str">
        <x:v>Invasion, confrontation finale; contrôler le découpage</x:v>
      </x:c>
      <x:c r="Q15" s="9" t="str">
        <x:v>INV-S-PETROVSKY</x:v>
      </x:c>
      <x:c r="R15" s="20" t="str">
        <x:v>https://masseffect.fandom.com/wiki/Oleg_Petrovsky</x:v>
      </x:c>
      <x:c r="S15" s="20" t="str">
        <x:v>Ne remplace pas la lecture du numéro.</x:v>
      </x:c>
    </x:row>
    <x:row r="16" ht="54" customHeight="1">
      <x:c r="A16" s="19" t="str">
        <x:v>INV-SC-EXILE-REF</x:v>
      </x:c>
      <x:c r="B16" s="7" t="str">
        <x:v>Ultimatum et départ</x:v>
      </x:c>
      <x:c r="C16" s="15" t="str">
        <x:v>Défini</x:v>
      </x:c>
      <x:c r="D16" s="17" t="str">
        <x:v>Établi</x:v>
      </x:c>
      <x:c r="E16" s="17" t="str">
        <x:v>P1</x:v>
      </x:c>
      <x:c r="F16" s="7" t="str">
        <x:v>Le dernier numéro se conclut par le départ d’Aria. </x:v>
      </x:c>
      <x:c r="G16" s="7" t="str">
        <x:v>Ancrage du module; les intitulés de quêtes et options ci-dessous sont des créations de production.</x:v>
      </x:c>
      <x:c r="H16" s="7" t="str"/>
      <x:c r="I16" s="7" t="str"/>
      <x:c r="J16" s="7" t="str"/>
      <x:c r="K16" s="7" t="str"/>
      <x:c r="L16" s="7" t="str">
        <x:v>Livrable proposé : spécification INV/lore/sc-exile-ref; brancher au registre de contenu de l'œuvre seulement après production.</x:v>
      </x:c>
      <x:c r="M16" s="7" t="str">
        <x:v>Conserver le raccord d’occupation d’Omega et le départ d’Aria; une victoire tactique locale ne permet pas de gagner une guerre contraire au comic.</x:v>
      </x:c>
      <x:c r="N16" s="7" t="str">
        <x:v>L’ancrage reste bref et son numéro/segment est identifiable dans les sources; les détails non confirmés portent À vérifier.</x:v>
      </x:c>
      <x:c r="O16" s="7" t="str"/>
      <x:c r="P16" s="7" t="str">
        <x:v>Invasion #4</x:v>
      </x:c>
      <x:c r="Q16" s="7" t="str">
        <x:v>INV-S-AUTHOR4</x:v>
      </x:c>
      <x:c r="R16" s="21" t="str">
        <x:v>https://farawaypress.com/comics/masseffectinvasion/masseffectinvasion4/</x:v>
      </x:c>
      <x:c r="S16" s="21" t="str">
        <x:v>Ne remplace pas la lecture du numéro.</x:v>
      </x:c>
    </x:row>
  </x:sheetData>
  <x:conditionalFormatting sqref="D7:D16">
    <x:cfRule type="cellIs" dxfId="8" priority="1" operator="equal">
      <x:formula>"À vérifier"</x:formula>
    </x:cfRule>
    <x:cfRule type="cellIs" dxfId="9" priority="2" operator="equal">
      <x:formula>"Extrapolation"</x:formula>
    </x:cfRule>
  </x:conditionalFormatting>
  <x:conditionalFormatting sqref="C7:C16">
    <x:cfRule type="cellIs" dxfId="10" priority="3" operator="equal">
      <x:formula>"Validé"</x:formula>
    </x:cfRule>
  </x:conditionalFormatting>
  <x:conditionalFormatting sqref="E7:E16">
    <x:cfRule type="cellIs" dxfId="1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84ccb8fe1416450f"/>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Invasion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INV-WRL-OMEGA</x:v>
      </x:c>
      <x:c r="B7" s="9" t="str">
        <x:v>Omega</x:v>
      </x:c>
      <x:c r="C7" s="15" t="str">
        <x:v>Défini</x:v>
      </x:c>
      <x:c r="D7" s="16" t="str">
        <x:v>Établi</x:v>
      </x:c>
      <x:c r="E7" s="16" t="str">
        <x:v>P1</x:v>
      </x:c>
      <x:c r="F7" s="9" t="str">
        <x:v>Omega est l’enjeu principal de l’arc.</x:v>
      </x:c>
      <x:c r="G7" s="9" t="str">
        <x:v>Défense de territoire et de routes de repli.</x:v>
      </x:c>
      <x:c r="H7" s="9" t="str"/>
      <x:c r="I7" s="9" t="str">
        <x:v>Métal noirci, lumière ambre et zones de danger à hachures.</x:v>
      </x:c>
      <x:c r="J7" s="9" t="str"/>
      <x:c r="K7" s="9" t="str"/>
      <x:c r="L7" s="9" t="str">
        <x:v>Livrable proposé : spécification INV/worlds/wrl-omega; brancher au registre de contenu de l'œuvre seulement après production.</x:v>
      </x:c>
      <x:c r="M7" s="9" t="str">
        <x:v>Conserver le raccord d’occupation d’Omega et le départ d’Aria; une victoire tactique locale ne permet pas de gagner une guerre contraire au comic.</x:v>
      </x:c>
      <x:c r="N7" s="9" t="str">
        <x:v>Le nom Omega et sa fonction sont sourcés; les dimensions, chemins et interactions restent explicitement proposés.</x:v>
      </x:c>
      <x:c r="O7" s="9" t="str"/>
      <x:c r="P7" s="9" t="str">
        <x:v>Mass Effect: Invasion, série concernée</x:v>
      </x:c>
      <x:c r="Q7" s="9" t="str">
        <x:v>INV-S-BOOK</x:v>
      </x:c>
      <x:c r="R7" s="20" t="str">
        <x:v>https://www.penguinrandomhouse.com/books/241636/mass-effect-volume-3-invasion-by-mac-walters-various-artists/</x:v>
      </x:c>
      <x:c r="S7" s="20" t="str">
        <x:v>La géométrie jouable ci-dessous est originale et ne prétend pas reconstituer une carte officielle.</x:v>
      </x:c>
    </x:row>
    <x:row r="8" ht="54" customHeight="1">
      <x:c r="A8" s="19" t="str">
        <x:v>INV-WRL-ELBRUS</x:v>
      </x:c>
      <x:c r="B8" s="7" t="str">
        <x:v>Elbrus</x:v>
      </x:c>
      <x:c r="C8" s="15" t="str">
        <x:v>Défini</x:v>
      </x:c>
      <x:c r="D8" s="17" t="str">
        <x:v>À vérifier</x:v>
      </x:c>
      <x:c r="E8" s="17" t="str">
        <x:v>P1</x:v>
      </x:c>
      <x:c r="F8" s="7" t="str">
        <x:v>Le wiki identifie l’Elbrus comme le vaisseau de Petrovsky.</x:v>
      </x:c>
      <x:c r="G8" s="7" t="str">
        <x:v>Passerelle de coopération temporaire.</x:v>
      </x:c>
      <x:c r="H8" s="7" t="str"/>
      <x:c r="I8" s="7" t="str">
        <x:v>Gris militaire, blanc directionnel et écrans lisibles.</x:v>
      </x:c>
      <x:c r="J8" s="7" t="str"/>
      <x:c r="K8" s="7" t="str"/>
      <x:c r="L8" s="7" t="str">
        <x:v>Livrable proposé : spécification INV/worlds/wrl-elbrus; brancher au registre de contenu de l'œuvre seulement après production.</x:v>
      </x:c>
      <x:c r="M8" s="7" t="str">
        <x:v>Conserver le raccord d’occupation d’Omega et le départ d’Aria; une victoire tactique locale ne permet pas de gagner une guerre contraire au comic.</x:v>
      </x:c>
      <x:c r="N8" s="7" t="str">
        <x:v>Le nom Elbrus et sa fonction sont sourcés; les dimensions, chemins et interactions restent explicitement proposés.</x:v>
      </x:c>
      <x:c r="O8" s="7" t="str"/>
      <x:c r="P8" s="7" t="str">
        <x:v>Mass Effect: Invasion, série concernée</x:v>
      </x:c>
      <x:c r="Q8" s="7" t="str">
        <x:v>INV-S-PETROVSKY</x:v>
      </x:c>
      <x:c r="R8" s="21" t="str">
        <x:v>https://masseffect.fandom.com/wiki/Oleg_Petrovsky</x:v>
      </x:c>
      <x:c r="S8" s="21" t="str">
        <x:v>La géométrie jouable ci-dessous est originale et ne prétend pas reconstituer une carte officielle.</x:v>
      </x:c>
    </x:row>
    <x:row r="9" ht="54" customHeight="1">
      <x:c r="A9" s="18" t="str">
        <x:v>INV-WRL-AVERNUS</x:v>
      </x:c>
      <x:c r="B9" s="9" t="str">
        <x:v>Avernus Station</x:v>
      </x:c>
      <x:c r="C9" s="15" t="str">
        <x:v>Défini</x:v>
      </x:c>
      <x:c r="D9" s="16" t="str">
        <x:v>À vérifier</x:v>
      </x:c>
      <x:c r="E9" s="16" t="str">
        <x:v>P1</x:v>
      </x:c>
      <x:c r="F9" s="9" t="str">
        <x:v>Avernus est liée aux Adjutants dans le récit rapporté.</x:v>
      </x:c>
      <x:c r="G9" s="9" t="str">
        <x:v>Faire comprendre la source d’une crise sans une encyclopédie complète.</x:v>
      </x:c>
      <x:c r="H9" s="9" t="str"/>
      <x:c r="I9" s="9" t="str">
        <x:v>Surfaces froides, matériel de recherche abandonné et balises de confinement.</x:v>
      </x:c>
      <x:c r="J9" s="9" t="str"/>
      <x:c r="K9" s="9" t="str"/>
      <x:c r="L9" s="9" t="str">
        <x:v>Livrable proposé : spécification INV/worlds/wrl-avernus; brancher au registre de contenu de l'œuvre seulement après production.</x:v>
      </x:c>
      <x:c r="M9" s="9" t="str">
        <x:v>Conserver le raccord d’occupation d’Omega et le départ d’Aria; une victoire tactique locale ne permet pas de gagner une guerre contraire au comic.</x:v>
      </x:c>
      <x:c r="N9" s="9" t="str">
        <x:v>Le nom Avernus Station et sa fonction sont sourcés; les dimensions, chemins et interactions restent explicitement proposés.</x:v>
      </x:c>
      <x:c r="O9" s="9" t="str"/>
      <x:c r="P9" s="9" t="str">
        <x:v>Mass Effect: Invasion, série concernée</x:v>
      </x:c>
      <x:c r="Q9" s="9" t="str">
        <x:v>INV-S-ADJ</x:v>
      </x:c>
      <x:c r="R9" s="20" t="str">
        <x:v>https://masseffect.fandom.com/wiki/Adjutant</x:v>
      </x:c>
      <x:c r="S9" s="20" t="str">
        <x:v>La géométrie jouable ci-dessous est originale et ne prétend pas reconstituer une carte officielle.</x:v>
      </x:c>
    </x:row>
    <x:row r="10" ht="54" customHeight="1">
      <x:c r="A10" s="19" t="str">
        <x:v>INV-WRL-AFTERLIFE</x:v>
      </x:c>
      <x:c r="B10" s="7" t="str">
        <x:v>Afterlife</x:v>
      </x:c>
      <x:c r="C10" s="15" t="str">
        <x:v>Défini</x:v>
      </x:c>
      <x:c r="D10" s="17" t="str">
        <x:v>À vérifier</x:v>
      </x:c>
      <x:c r="E10" s="17" t="str">
        <x:v>P1</x:v>
      </x:c>
      <x:c r="F10" s="7" t="str">
        <x:v>Le wiki situe une confrontation importante à Afterlife.</x:v>
      </x:c>
      <x:c r="G10" s="7" t="str">
        <x:v>Retour à un lieu de pouvoir devenu piège.</x:v>
      </x:c>
      <x:c r="H10" s="7" t="str"/>
      <x:c r="I10" s="7" t="str">
        <x:v>Néons atténués, débris au sol hors trajet et lumière coupée par secteurs.</x:v>
      </x:c>
      <x:c r="J10" s="7" t="str"/>
      <x:c r="K10" s="7" t="str"/>
      <x:c r="L10" s="7" t="str">
        <x:v>Livrable proposé : spécification INV/worlds/wrl-afterlife; brancher au registre de contenu de l'œuvre seulement après production.</x:v>
      </x:c>
      <x:c r="M10" s="7" t="str">
        <x:v>Conserver le raccord d’occupation d’Omega et le départ d’Aria; une victoire tactique locale ne permet pas de gagner une guerre contraire au comic.</x:v>
      </x:c>
      <x:c r="N10" s="7" t="str">
        <x:v>Le nom Afterlife et sa fonction sont sourcés; les dimensions, chemins et interactions restent explicitement proposés.</x:v>
      </x:c>
      <x:c r="O10" s="7" t="str"/>
      <x:c r="P10" s="7" t="str">
        <x:v>Mass Effect: Invasion, série concernée</x:v>
      </x:c>
      <x:c r="Q10" s="7" t="str">
        <x:v>INV-S-PETROVSKY</x:v>
      </x:c>
      <x:c r="R10" s="21" t="str">
        <x:v>https://masseffect.fandom.com/wiki/Oleg_Petrovsky</x:v>
      </x:c>
      <x:c r="S10" s="21" t="str">
        <x:v>La géométrie jouable ci-dessous est originale et ne prétend pas reconstituer une carte officielle.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1b4cb1024dc945fc"/>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Invasion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INV-ZONE-OMEGA</x:v>
      </x:c>
      <x:c r="B7" s="9" t="str">
        <x:v>Omega — espace jouable proposé</x:v>
      </x:c>
      <x:c r="C7" s="15" t="str">
        <x:v>Défini</x:v>
      </x:c>
      <x:c r="D7" s="16" t="str">
        <x:v>Extrapolation</x:v>
      </x:c>
      <x:c r="E7" s="16" t="str">
        <x:v>P1</x:v>
      </x:c>
      <x:c r="F7" s="9" t="str">
        <x:v>Trois couloirs connectés à une place refuge; éviter une carte trop vaste pour les sprites.</x:v>
      </x:c>
      <x:c r="G7" s="9" t="str">
        <x:v>Défense de territoire et de routes de repli.</x:v>
      </x:c>
      <x:c r="H7" s="9" t="str">
        <x:v>La progression privilégie l’extraction et le passage, pas l’élimination d’une foule entière.</x:v>
      </x:c>
      <x:c r="I7" s="9" t="str">
        <x:v>Métal noirci, lumière ambre et zones de danger à hachures.</x:v>
      </x:c>
      <x:c r="J7" s="9" t="str">
        <x:v>Garder les trajectoires de sprites sur le sol navigable; traversées de premier plan traitées par masques.</x:v>
      </x:c>
      <x:c r="K7" s="9" t="str"/>
      <x:c r="L7" s="9" t="str">
        <x:v>Scène 3D prévue inv/zones/omega; volumes de navigation, ancrages d'actions et caméras fixes séparés.</x:v>
      </x:c>
      <x:c r="M7" s="9" t="str">
        <x:v>Conserver le raccord d’occupation d’Omega et le départ d’Aria; une victoire tactique locale ne permet pas de gagner une guerre contraire au comic.</x:v>
      </x:c>
      <x:c r="N7" s="9" t="str">
        <x:v>Le blocage de Omega permet un parcours aller-retour sans caméra aveugle; chaque danger annoncé possède une sortie lisible.</x:v>
      </x:c>
      <x:c r="O7" s="9" t="str">
        <x:v>INV-WRL-OMEGA</x:v>
      </x:c>
      <x:c r="P7" s="9" t="str">
        <x:v>Plan original, dimensions à prototyper.</x:v>
      </x:c>
      <x:c r="Q7" s="9" t="str"/>
      <x:c r="R7" s="20" t="str"/>
      <x:c r="S7" s="20" t="str"/>
    </x:row>
    <x:row r="8" ht="54" customHeight="1">
      <x:c r="A8" s="19" t="str">
        <x:v>INV-ZONE-ELBRUS</x:v>
      </x:c>
      <x:c r="B8" s="7" t="str">
        <x:v>Elbrus — espace jouable proposé</x:v>
      </x:c>
      <x:c r="C8" s="15" t="str">
        <x:v>Défini</x:v>
      </x:c>
      <x:c r="D8" s="17" t="str">
        <x:v>Extrapolation</x:v>
      </x:c>
      <x:c r="E8" s="17" t="str">
        <x:v>P1</x:v>
      </x:c>
      <x:c r="F8" s="7" t="str">
        <x:v>Carte centrale, baie d’observation et console de liaison.</x:v>
      </x:c>
      <x:c r="G8" s="7" t="str">
        <x:v>Passerelle de coopération temporaire.</x:v>
      </x:c>
      <x:c r="H8" s="7" t="str">
        <x:v>Pas de libre achat d’armes dans un vaisseau allié de circonstance.</x:v>
      </x:c>
      <x:c r="I8" s="7" t="str">
        <x:v>Gris militaire, blanc directionnel et écrans lisibles.</x:v>
      </x:c>
      <x:c r="J8" s="7" t="str">
        <x:v>Garder les trajectoires de sprites sur le sol navigable; traversées de premier plan traitées par masques.</x:v>
      </x:c>
      <x:c r="K8" s="7" t="str"/>
      <x:c r="L8" s="7" t="str">
        <x:v>Scène 3D prévue inv/zones/elbrus; volumes de navigation, ancrages d'actions et caméras fixes séparés.</x:v>
      </x:c>
      <x:c r="M8" s="7" t="str">
        <x:v>Conserver le raccord d’occupation d’Omega et le départ d’Aria; une victoire tactique locale ne permet pas de gagner une guerre contraire au comic.</x:v>
      </x:c>
      <x:c r="N8" s="7" t="str">
        <x:v>Le blocage de Elbrus permet un parcours aller-retour sans caméra aveugle; chaque danger annoncé possède une sortie lisible.</x:v>
      </x:c>
      <x:c r="O8" s="7" t="str">
        <x:v>INV-WRL-ELBRUS</x:v>
      </x:c>
      <x:c r="P8" s="7" t="str">
        <x:v>Plan original, dimensions à prototyper.</x:v>
      </x:c>
      <x:c r="Q8" s="7" t="str"/>
      <x:c r="R8" s="21" t="str"/>
      <x:c r="S8" s="21" t="str"/>
    </x:row>
    <x:row r="9" ht="54" customHeight="1">
      <x:c r="A9" s="18" t="str">
        <x:v>INV-ZONE-AVERNUS</x:v>
      </x:c>
      <x:c r="B9" s="9" t="str">
        <x:v>Avernus Station — espace jouable proposé</x:v>
      </x:c>
      <x:c r="C9" s="15" t="str">
        <x:v>Défini</x:v>
      </x:c>
      <x:c r="D9" s="16" t="str">
        <x:v>Extrapolation</x:v>
      </x:c>
      <x:c r="E9" s="16" t="str">
        <x:v>P1</x:v>
      </x:c>
      <x:c r="F9" s="9" t="str">
        <x:v>Sas, salle de contrôle et aire isolée à circulation en boucle.</x:v>
      </x:c>
      <x:c r="G9" s="9" t="str">
        <x:v>Faire comprendre la source d’une crise sans une encyclopédie complète.</x:v>
      </x:c>
      <x:c r="H9" s="9" t="str">
        <x:v>Exposition représentée par pression locale proposée; ne pas inventer un traitement canon.</x:v>
      </x:c>
      <x:c r="I9" s="9" t="str">
        <x:v>Surfaces froides, matériel de recherche abandonné et balises de confinement.</x:v>
      </x:c>
      <x:c r="J9" s="9" t="str">
        <x:v>Garder les trajectoires de sprites sur le sol navigable; traversées de premier plan traitées par masques.</x:v>
      </x:c>
      <x:c r="K9" s="9" t="str"/>
      <x:c r="L9" s="9" t="str">
        <x:v>Scène 3D prévue inv/zones/avernus; volumes de navigation, ancrages d'actions et caméras fixes séparés.</x:v>
      </x:c>
      <x:c r="M9" s="9" t="str">
        <x:v>Conserver le raccord d’occupation d’Omega et le départ d’Aria; une victoire tactique locale ne permet pas de gagner une guerre contraire au comic.</x:v>
      </x:c>
      <x:c r="N9" s="9" t="str">
        <x:v>Le blocage de Avernus Station permet un parcours aller-retour sans caméra aveugle; chaque danger annoncé possède une sortie lisible.</x:v>
      </x:c>
      <x:c r="O9" s="9" t="str">
        <x:v>INV-WRL-AVERNUS</x:v>
      </x:c>
      <x:c r="P9" s="9" t="str">
        <x:v>Plan original, dimensions à prototyper.</x:v>
      </x:c>
      <x:c r="Q9" s="9" t="str"/>
      <x:c r="R9" s="20" t="str"/>
      <x:c r="S9" s="20" t="str"/>
    </x:row>
    <x:row r="10" ht="54" customHeight="1">
      <x:c r="A10" s="19" t="str">
        <x:v>INV-ZONE-AFTERLIFE</x:v>
      </x:c>
      <x:c r="B10" s="7" t="str">
        <x:v>Afterlife — espace jouable proposé</x:v>
      </x:c>
      <x:c r="C10" s="15" t="str">
        <x:v>Défini</x:v>
      </x:c>
      <x:c r="D10" s="17" t="str">
        <x:v>Extrapolation</x:v>
      </x:c>
      <x:c r="E10" s="17" t="str">
        <x:v>P1</x:v>
      </x:c>
      <x:c r="F10" s="7" t="str">
        <x:v>Salle principale, balcon et deux accès visibles.</x:v>
      </x:c>
      <x:c r="G10" s="7" t="str">
        <x:v>Retour à un lieu de pouvoir devenu piège.</x:v>
      </x:c>
      <x:c r="H10" s="7" t="str">
        <x:v>La fermeture d’un accès est toujours annoncée avant résolution.</x:v>
      </x:c>
      <x:c r="I10" s="7" t="str">
        <x:v>Néons atténués, débris au sol hors trajet et lumière coupée par secteurs.</x:v>
      </x:c>
      <x:c r="J10" s="7" t="str">
        <x:v>Garder les trajectoires de sprites sur le sol navigable; traversées de premier plan traitées par masques.</x:v>
      </x:c>
      <x:c r="K10" s="7" t="str"/>
      <x:c r="L10" s="7" t="str">
        <x:v>Scène 3D prévue inv/zones/afterlife; volumes de navigation, ancrages d'actions et caméras fixes séparés.</x:v>
      </x:c>
      <x:c r="M10" s="7" t="str">
        <x:v>Conserver le raccord d’occupation d’Omega et le départ d’Aria; une victoire tactique locale ne permet pas de gagner une guerre contraire au comic.</x:v>
      </x:c>
      <x:c r="N10" s="7" t="str">
        <x:v>Le blocage de Afterlife permet un parcours aller-retour sans caméra aveugle; chaque danger annoncé possède une sortie lisible.</x:v>
      </x:c>
      <x:c r="O10" s="7" t="str">
        <x:v>INV-WRL-AFTERLIFE</x:v>
      </x:c>
      <x:c r="P10" s="7" t="str">
        <x:v>Plan original, dimensions à prototyper.</x:v>
      </x:c>
      <x:c r="Q10" s="7" t="str"/>
      <x:c r="R10" s="21" t="str"/>
      <x:c r="S10" s="21" t="str"/>
    </x:row>
  </x:sheetData>
  <x:conditionalFormatting sqref="D7:D10">
    <x:cfRule type="cellIs" dxfId="16" priority="1" operator="equal">
      <x:formula>"À vérifier"</x:formula>
    </x:cfRule>
    <x:cfRule type="cellIs" dxfId="17" priority="2" operator="equal">
      <x:formula>"Extrapolation"</x:formula>
    </x:cfRule>
  </x:conditionalFormatting>
  <x:conditionalFormatting sqref="C7:C10">
    <x:cfRule type="cellIs" dxfId="18" priority="3" operator="equal">
      <x:formula>"Validé"</x:formula>
    </x:cfRule>
  </x:conditionalFormatting>
  <x:conditionalFormatting sqref="E7:E10">
    <x:cfRule type="cellIs" dxfId="1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bce05341c2ca4df7"/>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Invasion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INV-LINK-OMEGA</x:v>
      </x:c>
      <x:c r="B7" s="9" t="str">
        <x:v>Omega — accès et sortie</x:v>
      </x:c>
      <x:c r="C7" s="15" t="str">
        <x:v>Défini</x:v>
      </x:c>
      <x:c r="D7" s="16" t="str">
        <x:v>Extrapolation</x:v>
      </x:c>
      <x:c r="E7" s="16" t="str">
        <x:v>P1</x:v>
      </x:c>
      <x:c r="F7" s="9" t="str">
        <x:v>Quai → secteurs civils → centre de commandement; accès ferment selon la phase.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INV/OMEGA; sauvegarder zone, point d'entrée et version de chapitre.</x:v>
      </x:c>
      <x:c r="M7" s="9" t="str">
        <x:v>Conserver le raccord d’occupation d’Omega et le départ d’Aria; une victoire tactique locale ne permet pas de gagner une guerre contraire au comic.</x:v>
      </x:c>
      <x:c r="N7" s="9" t="str">
        <x:v>Entrer, ressortir et recharger au seuil restitue le même état du chapitre; aucun accès ne court-circuite sa conclusion fixée.</x:v>
      </x:c>
      <x:c r="O7" s="9" t="str">
        <x:v>INV-ZONE-OMEGA</x:v>
      </x:c>
      <x:c r="P7" s="9" t="str">
        <x:v>Raccord de gameplay original; ordre narratif selon les ancrages sourcés.</x:v>
      </x:c>
      <x:c r="Q7" s="9" t="str"/>
      <x:c r="R7" s="20" t="str"/>
      <x:c r="S7" s="20" t="str"/>
    </x:row>
    <x:row r="8" ht="54" customHeight="1">
      <x:c r="A8" s="19" t="str">
        <x:v>INV-LINK-ELBRUS</x:v>
      </x:c>
      <x:c r="B8" s="7" t="str">
        <x:v>Elbrus — accès et sortie</x:v>
      </x:c>
      <x:c r="C8" s="15" t="str">
        <x:v>Défini</x:v>
      </x:c>
      <x:c r="D8" s="17" t="str">
        <x:v>Extrapolation</x:v>
      </x:c>
      <x:c r="E8" s="17" t="str">
        <x:v>P1</x:v>
      </x:c>
      <x:c r="F8" s="7" t="str">
        <x:v>Embarquement narratif vers une opération limitée; accès bloqué après rupture d’alliance.</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INV/ELBRUS; sauvegarder zone, point d'entrée et version de chapitre.</x:v>
      </x:c>
      <x:c r="M8" s="7" t="str">
        <x:v>Conserver le raccord d’occupation d’Omega et le départ d’Aria; une victoire tactique locale ne permet pas de gagner une guerre contraire au comic.</x:v>
      </x:c>
      <x:c r="N8" s="7" t="str">
        <x:v>Entrer, ressortir et recharger au seuil restitue le même état du chapitre; aucun accès ne court-circuite sa conclusion fixée.</x:v>
      </x:c>
      <x:c r="O8" s="7" t="str">
        <x:v>INV-ZONE-ELBRUS</x:v>
      </x:c>
      <x:c r="P8" s="7" t="str">
        <x:v>Raccord de gameplay original; ordre narratif selon les ancrages sourcés.</x:v>
      </x:c>
      <x:c r="Q8" s="7" t="str"/>
      <x:c r="R8" s="21" t="str"/>
      <x:c r="S8" s="21" t="str"/>
    </x:row>
    <x:row r="9" ht="54" customHeight="1">
      <x:c r="A9" s="18" t="str">
        <x:v>INV-LINK-AVERNUS</x:v>
      </x:c>
      <x:c r="B9" s="9" t="str">
        <x:v>Avernus Station — accès et sortie</x:v>
      </x:c>
      <x:c r="C9" s="15" t="str">
        <x:v>Défini</x:v>
      </x:c>
      <x:c r="D9" s="16" t="str">
        <x:v>Extrapolation</x:v>
      </x:c>
      <x:c r="E9" s="16" t="str">
        <x:v>P1</x:v>
      </x:c>
      <x:c r="F9" s="9" t="str">
        <x:v>Entrée depuis l’opération, contrôle local puis départ; aucune exploration scientifique illimitée.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INV/AVERNUS; sauvegarder zone, point d'entrée et version de chapitre.</x:v>
      </x:c>
      <x:c r="M9" s="9" t="str">
        <x:v>Conserver le raccord d’occupation d’Omega et le départ d’Aria; une victoire tactique locale ne permet pas de gagner une guerre contraire au comic.</x:v>
      </x:c>
      <x:c r="N9" s="9" t="str">
        <x:v>Entrer, ressortir et recharger au seuil restitue le même état du chapitre; aucun accès ne court-circuite sa conclusion fixée.</x:v>
      </x:c>
      <x:c r="O9" s="9" t="str">
        <x:v>INV-ZONE-AVERNUS</x:v>
      </x:c>
      <x:c r="P9" s="9" t="str">
        <x:v>Raccord de gameplay original; ordre narratif selon les ancrages sourcés.</x:v>
      </x:c>
      <x:c r="Q9" s="9" t="str"/>
      <x:c r="R9" s="20" t="str"/>
      <x:c r="S9" s="20" t="str"/>
    </x:row>
    <x:row r="10" ht="54" customHeight="1">
      <x:c r="A10" s="19" t="str">
        <x:v>INV-LINK-AFTERLIFE</x:v>
      </x:c>
      <x:c r="B10" s="7" t="str">
        <x:v>Afterlife — accès et sortie</x:v>
      </x:c>
      <x:c r="C10" s="15" t="str">
        <x:v>Défini</x:v>
      </x:c>
      <x:c r="D10" s="17" t="str">
        <x:v>Extrapolation</x:v>
      </x:c>
      <x:c r="E10" s="17" t="str">
        <x:v>P1</x:v>
      </x:c>
      <x:c r="F10" s="7" t="str">
        <x:v>Accès de retour puis sortie d’exil; pas de restauration immédiate du hub.</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INV/AFTERLIFE; sauvegarder zone, point d'entrée et version de chapitre.</x:v>
      </x:c>
      <x:c r="M10" s="7" t="str">
        <x:v>Conserver le raccord d’occupation d’Omega et le départ d’Aria; une victoire tactique locale ne permet pas de gagner une guerre contraire au comic.</x:v>
      </x:c>
      <x:c r="N10" s="7" t="str">
        <x:v>Entrer, ressortir et recharger au seuil restitue le même état du chapitre; aucun accès ne court-circuite sa conclusion fixée.</x:v>
      </x:c>
      <x:c r="O10" s="7" t="str">
        <x:v>INV-ZONE-AFTERLIFE</x:v>
      </x:c>
      <x:c r="P10" s="7" t="str">
        <x:v>Raccord de gameplay original; ordre narratif selon les ancrages sourcés.</x:v>
      </x:c>
      <x:c r="Q10" s="7" t="str"/>
      <x:c r="R10" s="21" t="str"/>
      <x:c r="S10" s="21" t="str"/>
    </x:row>
  </x:sheetData>
  <x:conditionalFormatting sqref="D7:D10">
    <x:cfRule type="cellIs" dxfId="20" priority="1" operator="equal">
      <x:formula>"À vérifier"</x:formula>
    </x:cfRule>
    <x:cfRule type="cellIs" dxfId="21" priority="2" operator="equal">
      <x:formula>"Extrapolation"</x:formula>
    </x:cfRule>
  </x:conditionalFormatting>
  <x:conditionalFormatting sqref="C7:C10">
    <x:cfRule type="cellIs" dxfId="22" priority="3" operator="equal">
      <x:formula>"Validé"</x:formula>
    </x:cfRule>
  </x:conditionalFormatting>
  <x:conditionalFormatting sqref="E7:E10">
    <x:cfRule type="cellIs" dxfId="2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1af391cd03ac4a66"/>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Invasion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INV-SET-OMEGA</x:v>
      </x:c>
      <x:c r="B7" s="9" t="str">
        <x:v>Omega — décor et repère</x:v>
      </x:c>
      <x:c r="C7" s="15" t="str">
        <x:v>Défini</x:v>
      </x:c>
      <x:c r="D7" s="16" t="str">
        <x:v>Extrapolation</x:v>
      </x:c>
      <x:c r="E7" s="16" t="str">
        <x:v>P1</x:v>
      </x:c>
      <x:c r="F7" s="9" t="str">
        <x:v>Vue sur le noyau industriel et silhouette d’Afterlife.</x:v>
      </x:c>
      <x:c r="G7" s="9" t="str">
        <x:v>Défense de territoire et de routes de repli.</x:v>
      </x:c>
      <x:c r="H7" s="9" t="str"/>
      <x:c r="I7" s="9" t="str">
        <x:v>Métal noirci, lumière ambre et zones de danger à hachures.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inv/sets/omega; collisions simples et matériau de repère distinct.</x:v>
      </x:c>
      <x:c r="M7" s="9" t="str">
        <x:v>Conserver le raccord d’occupation d’Omega et le départ d’Aria; une victoire tactique locale ne permet pas de gagner une guerre contraire au comic.</x:v>
      </x:c>
      <x:c r="N7" s="9" t="str">
        <x:v>Le repère décrit reste visible depuis l'entrée et depuis le retour; aucune décoration ne masque un signal d'interaction.</x:v>
      </x:c>
      <x:c r="O7" s="9" t="str">
        <x:v>INV-ZONE-OMEGA</x:v>
      </x:c>
      <x:c r="P7" s="9" t="str">
        <x:v>Direction artistique originale, matériaux à confronter aux planches.</x:v>
      </x:c>
      <x:c r="Q7" s="9" t="str"/>
      <x:c r="R7" s="20" t="str"/>
      <x:c r="S7" s="20" t="str"/>
    </x:row>
    <x:row r="8" ht="68" customHeight="1">
      <x:c r="A8" s="19" t="str">
        <x:v>INV-SET-ELBRUS</x:v>
      </x:c>
      <x:c r="B8" s="7" t="str">
        <x:v>Elbrus — décor et repère</x:v>
      </x:c>
      <x:c r="C8" s="15" t="str">
        <x:v>Défini</x:v>
      </x:c>
      <x:c r="D8" s="17" t="str">
        <x:v>Extrapolation</x:v>
      </x:c>
      <x:c r="E8" s="17" t="str">
        <x:v>P1</x:v>
      </x:c>
      <x:c r="F8" s="7" t="str">
        <x:v>La carte de la station reste le point focal.</x:v>
      </x:c>
      <x:c r="G8" s="7" t="str">
        <x:v>Passerelle de coopération temporaire.</x:v>
      </x:c>
      <x:c r="H8" s="7" t="str"/>
      <x:c r="I8" s="7" t="str">
        <x:v>Gris militaire, blanc directionnel et écrans lisibles.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inv/sets/elbrus; collisions simples et matériau de repère distinct.</x:v>
      </x:c>
      <x:c r="M8" s="7" t="str">
        <x:v>Conserver le raccord d’occupation d’Omega et le départ d’Aria; une victoire tactique locale ne permet pas de gagner une guerre contraire au comic.</x:v>
      </x:c>
      <x:c r="N8" s="7" t="str">
        <x:v>Le repère décrit reste visible depuis l'entrée et depuis le retour; aucune décoration ne masque un signal d'interaction.</x:v>
      </x:c>
      <x:c r="O8" s="7" t="str">
        <x:v>INV-ZONE-ELBRUS</x:v>
      </x:c>
      <x:c r="P8" s="7" t="str">
        <x:v>Direction artistique originale, matériaux à confronter aux planches.</x:v>
      </x:c>
      <x:c r="Q8" s="7" t="str"/>
      <x:c r="R8" s="21" t="str"/>
      <x:c r="S8" s="21" t="str"/>
    </x:row>
    <x:row r="9" ht="68" customHeight="1">
      <x:c r="A9" s="18" t="str">
        <x:v>INV-SET-AVERNUS</x:v>
      </x:c>
      <x:c r="B9" s="9" t="str">
        <x:v>Avernus Station — décor et repère</x:v>
      </x:c>
      <x:c r="C9" s="15" t="str">
        <x:v>Défini</x:v>
      </x:c>
      <x:c r="D9" s="16" t="str">
        <x:v>Extrapolation</x:v>
      </x:c>
      <x:c r="E9" s="16" t="str">
        <x:v>P1</x:v>
      </x:c>
      <x:c r="F9" s="9" t="str">
        <x:v>Vitrage brisé et canal technique vers la zone suivante.</x:v>
      </x:c>
      <x:c r="G9" s="9" t="str">
        <x:v>Faire comprendre la source d’une crise sans une encyclopédie complète.</x:v>
      </x:c>
      <x:c r="H9" s="9" t="str"/>
      <x:c r="I9" s="9" t="str">
        <x:v>Surfaces froides, matériel de recherche abandonné et balises de confinement.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inv/sets/avernus; collisions simples et matériau de repère distinct.</x:v>
      </x:c>
      <x:c r="M9" s="9" t="str">
        <x:v>Conserver le raccord d’occupation d’Omega et le départ d’Aria; une victoire tactique locale ne permet pas de gagner une guerre contraire au comic.</x:v>
      </x:c>
      <x:c r="N9" s="9" t="str">
        <x:v>Le repère décrit reste visible depuis l'entrée et depuis le retour; aucune décoration ne masque un signal d'interaction.</x:v>
      </x:c>
      <x:c r="O9" s="9" t="str">
        <x:v>INV-ZONE-AVERNUS</x:v>
      </x:c>
      <x:c r="P9" s="9" t="str">
        <x:v>Direction artistique originale, matériaux à confronter aux planches.</x:v>
      </x:c>
      <x:c r="Q9" s="9" t="str"/>
      <x:c r="R9" s="20" t="str"/>
      <x:c r="S9" s="20" t="str"/>
    </x:row>
    <x:row r="10" ht="68" customHeight="1">
      <x:c r="A10" s="19" t="str">
        <x:v>INV-SET-AFTERLIFE</x:v>
      </x:c>
      <x:c r="B10" s="7" t="str">
        <x:v>Afterlife — décor et repère</x:v>
      </x:c>
      <x:c r="C10" s="15" t="str">
        <x:v>Défini</x:v>
      </x:c>
      <x:c r="D10" s="17" t="str">
        <x:v>Extrapolation</x:v>
      </x:c>
      <x:c r="E10" s="17" t="str">
        <x:v>P1</x:v>
      </x:c>
      <x:c r="F10" s="7" t="str">
        <x:v>Fauteuil et scène centrale comme silhouette de pouvoir.</x:v>
      </x:c>
      <x:c r="G10" s="7" t="str">
        <x:v>Retour à un lieu de pouvoir devenu piège.</x:v>
      </x:c>
      <x:c r="H10" s="7" t="str"/>
      <x:c r="I10" s="7" t="str">
        <x:v>Néons atténués, débris au sol hors trajet et lumière coupée par secteurs.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inv/sets/afterlife; collisions simples et matériau de repère distinct.</x:v>
      </x:c>
      <x:c r="M10" s="7" t="str">
        <x:v>Conserver le raccord d’occupation d’Omega et le départ d’Aria; une victoire tactique locale ne permet pas de gagner une guerre contraire au comic.</x:v>
      </x:c>
      <x:c r="N10" s="7" t="str">
        <x:v>Le repère décrit reste visible depuis l'entrée et depuis le retour; aucune décoration ne masque un signal d'interaction.</x:v>
      </x:c>
      <x:c r="O10" s="7" t="str">
        <x:v>INV-ZONE-AFTERLIFE</x:v>
      </x:c>
      <x:c r="P10" s="7" t="str">
        <x:v>Direction artistique originale, matériaux à confronter aux planches.</x:v>
      </x:c>
      <x:c r="Q10" s="7" t="str"/>
      <x:c r="R10" s="21" t="str"/>
      <x:c r="S10" s="21" t="str"/>
    </x:row>
  </x:sheetData>
  <x:conditionalFormatting sqref="D7:D10">
    <x:cfRule type="cellIs" dxfId="24" priority="1" operator="equal">
      <x:formula>"À vérifier"</x:formula>
    </x:cfRule>
    <x:cfRule type="cellIs" dxfId="25" priority="2" operator="equal">
      <x:formula>"Extrapolation"</x:formula>
    </x:cfRule>
  </x:conditionalFormatting>
  <x:conditionalFormatting sqref="C7:C10">
    <x:cfRule type="cellIs" dxfId="26" priority="3" operator="equal">
      <x:formula>"Validé"</x:formula>
    </x:cfRule>
  </x:conditionalFormatting>
  <x:conditionalFormatting sqref="E7:E10">
    <x:cfRule type="cellIs" dxfId="2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bd617ab59d5443e"/>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Invasion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INV-SC-BREACH-PROP</x:v>
      </x:c>
      <x:c r="B7" s="9" t="str">
        <x:v>Verrou de quai</x:v>
      </x:c>
      <x:c r="C7" s="15" t="str">
        <x:v>Défini</x:v>
      </x:c>
      <x:c r="D7" s="16" t="str">
        <x:v>Extrapolation</x:v>
      </x:c>
      <x:c r="E7" s="16" t="str">
        <x:v>P1</x:v>
      </x:c>
      <x:c r="F7" s="9" t="str">
        <x:v>Commande de confinement proposée.</x:v>
      </x:c>
      <x:c r="G7" s="9" t="str">
        <x:v>Offrir une action de terrain compréhensible.</x:v>
      </x:c>
      <x:c r="H7" s="9" t="str">
        <x:v>La porte bloque le passage mais peut retenir un allié; prévisualiser les positions avant fermeture.</x:v>
      </x:c>
      <x:c r="I7" s="9" t="str">
        <x:v>Panneau à état ouvert/fermé avec silhouette de passage.</x:v>
      </x:c>
      <x:c r="J7" s="9" t="str">
        <x:v>État repos, sélection, utilisation et remise en place; l’objet conserve son pivot entre ces états.</x:v>
      </x:c>
      <x:c r="K7" s="9" t="str">
        <x:v>Bruit de manipulation original et confirmation visible.</x:v>
      </x:c>
      <x:c r="L7" s="9" t="str">
        <x:v>Objet proposé INV/BREACH/prop; composant inspectable distinct du déclencheur narratif.</x:v>
      </x:c>
      <x:c r="M7" s="9" t="str">
        <x:v>Conserver le raccord d’occupation d’Omega et le départ d’Aria; une victoire tactique locale ne permet pas de gagner une guerre contraire au comic.</x:v>
      </x:c>
      <x:c r="N7" s="9" t="str">
        <x:v>L’objet possède un état visible avant et après interaction; il ne peut pas être perdu ni dupliqué par rechargement.</x:v>
      </x:c>
      <x:c r="O7" s="9" t="str">
        <x:v>INV-SC-BREACH-MAIN</x:v>
      </x:c>
      <x:c r="P7" s="9" t="str">
        <x:v>Accessoire ou interaction de production proposé; ne vaut pas relevé exhaustif de la planche.</x:v>
      </x:c>
      <x:c r="Q7" s="9" t="str"/>
      <x:c r="R7" s="20" t="str"/>
      <x:c r="S7" s="20" t="str"/>
    </x:row>
    <x:row r="8" ht="54" customHeight="1">
      <x:c r="A8" s="19" t="str">
        <x:v>INV-SC-ALLIANCE-PROP</x:v>
      </x:c>
      <x:c r="B8" s="7" t="str">
        <x:v>Carte de coordination</x:v>
      </x:c>
      <x:c r="C8" s="15" t="str">
        <x:v>Défini</x:v>
      </x:c>
      <x:c r="D8" s="17" t="str">
        <x:v>Extrapolation</x:v>
      </x:c>
      <x:c r="E8" s="17" t="str">
        <x:v>P1</x:v>
      </x:c>
      <x:c r="F8" s="7" t="str">
        <x:v>Interface stratégique originale.</x:v>
      </x:c>
      <x:c r="G8" s="7" t="str">
        <x:v>Comparer les deux soutiens.</x:v>
      </x:c>
      <x:c r="H8" s="7" t="str">
        <x:v>Afficher portée, délai proposé et incompatibilité avant confirmation.</x:v>
      </x:c>
      <x:c r="I8" s="7" t="str">
        <x:v>Deux routes et pictogrammes de soutien, aucune statistique prétendue officielle.</x:v>
      </x:c>
      <x:c r="J8" s="7" t="str">
        <x:v>État repos, sélection, utilisation et remise en place; l’objet conserve son pivot entre ces états.</x:v>
      </x:c>
      <x:c r="K8" s="7" t="str">
        <x:v>Bruit de manipulation original et confirmation visible.</x:v>
      </x:c>
      <x:c r="L8" s="7" t="str">
        <x:v>Objet proposé INV/ALLIANCE/prop; composant inspectable distinct du déclencheur narratif.</x:v>
      </x:c>
      <x:c r="M8" s="7" t="str">
        <x:v>Conserver le raccord d’occupation d’Omega et le départ d’Aria; une victoire tactique locale ne permet pas de gagner une guerre contraire au comic.</x:v>
      </x:c>
      <x:c r="N8" s="7" t="str">
        <x:v>L’objet possède un état visible avant et après interaction; il ne peut pas être perdu ni dupliqué par rechargement.</x:v>
      </x:c>
      <x:c r="O8" s="7" t="str">
        <x:v>INV-SC-ALLIANCE-MAIN</x:v>
      </x:c>
      <x:c r="P8" s="7" t="str">
        <x:v>Accessoire ou interaction de production proposé; ne vaut pas relevé exhaustif de la planche.</x:v>
      </x:c>
      <x:c r="Q8" s="7" t="str"/>
      <x:c r="R8" s="21" t="str"/>
      <x:c r="S8" s="21" t="str"/>
    </x:row>
    <x:row r="9" ht="54" customHeight="1">
      <x:c r="A9" s="18" t="str">
        <x:v>INV-SC-AVERNUS-PROP</x:v>
      </x:c>
      <x:c r="B9" s="9" t="str">
        <x:v>Contrôle sectoriel</x:v>
      </x:c>
      <x:c r="C9" s="15" t="str">
        <x:v>Défini</x:v>
      </x:c>
      <x:c r="D9" s="16" t="str">
        <x:v>Extrapolation</x:v>
      </x:c>
      <x:c r="E9" s="16" t="str">
        <x:v>P1</x:v>
      </x:c>
      <x:c r="F9" s="9" t="str">
        <x:v>Panneau original de confinement.</x:v>
      </x:c>
      <x:c r="G9" s="9" t="str">
        <x:v>Rendre les conséquences de chaque option visibles.</x:v>
      </x:c>
      <x:c r="H9" s="9" t="str">
        <x:v>Confirmer seulement après prévisualisation du groupe; avertir si un allié serait isolé.</x:v>
      </x:c>
      <x:c r="I9" s="9" t="str">
        <x:v>Schéma de trois compartiments et état textuel.</x:v>
      </x:c>
      <x:c r="J9" s="9" t="str">
        <x:v>État repos, sélection, utilisation et remise en place; l’objet conserve son pivot entre ces états.</x:v>
      </x:c>
      <x:c r="K9" s="9" t="str">
        <x:v>Bruit de manipulation original et confirmation visible.</x:v>
      </x:c>
      <x:c r="L9" s="9" t="str">
        <x:v>Objet proposé INV/AVERNUS/prop; composant inspectable distinct du déclencheur narratif.</x:v>
      </x:c>
      <x:c r="M9" s="9" t="str">
        <x:v>Conserver le raccord d’occupation d’Omega et le départ d’Aria; une victoire tactique locale ne permet pas de gagner une guerre contraire au comic.</x:v>
      </x:c>
      <x:c r="N9" s="9" t="str">
        <x:v>L’objet possède un état visible avant et après interaction; il ne peut pas être perdu ni dupliqué par rechargement.</x:v>
      </x:c>
      <x:c r="O9" s="9" t="str">
        <x:v>INV-SC-AVERNUS-MAIN</x:v>
      </x:c>
      <x:c r="P9" s="9" t="str">
        <x:v>Accessoire ou interaction de production proposé; ne vaut pas relevé exhaustif de la planche.</x:v>
      </x:c>
      <x:c r="Q9" s="9" t="str"/>
      <x:c r="R9" s="20" t="str"/>
      <x:c r="S9" s="20" t="str"/>
    </x:row>
    <x:row r="10" ht="54" customHeight="1">
      <x:c r="A10" s="19" t="str">
        <x:v>INV-SC-RETURN-PROP</x:v>
      </x:c>
      <x:c r="B10" s="7" t="str">
        <x:v>Plan local annoté</x:v>
      </x:c>
      <x:c r="C10" s="15" t="str">
        <x:v>Défini</x:v>
      </x:c>
      <x:c r="D10" s="17" t="str">
        <x:v>Extrapolation</x:v>
      </x:c>
      <x:c r="E10" s="17" t="str">
        <x:v>P1</x:v>
      </x:c>
      <x:c r="F10" s="7" t="str">
        <x:v>Carte originale d’accès désormais fermés.</x:v>
      </x:c>
      <x:c r="G10" s="7" t="str">
        <x:v>Éviter de perdre le joueur après le changement de phase.</x:v>
      </x:c>
      <x:c r="H10" s="7" t="str">
        <x:v>Les anciens accès restent dessinés mais barrés avec une raison.</x:v>
      </x:c>
      <x:c r="I10" s="7" t="str">
        <x:v>Traits pleins, pointillés et étiquettes courtes.</x:v>
      </x:c>
      <x:c r="J10" s="7" t="str">
        <x:v>État repos, sélection, utilisation et remise en place; l’objet conserve son pivot entre ces états.</x:v>
      </x:c>
      <x:c r="K10" s="7" t="str">
        <x:v>Bruit de manipulation original et confirmation visible.</x:v>
      </x:c>
      <x:c r="L10" s="7" t="str">
        <x:v>Objet proposé INV/RETURN/prop; composant inspectable distinct du déclencheur narratif.</x:v>
      </x:c>
      <x:c r="M10" s="7" t="str">
        <x:v>Conserver le raccord d’occupation d’Omega et le départ d’Aria; une victoire tactique locale ne permet pas de gagner une guerre contraire au comic.</x:v>
      </x:c>
      <x:c r="N10" s="7" t="str">
        <x:v>L’objet possède un état visible avant et après interaction; il ne peut pas être perdu ni dupliqué par rechargement.</x:v>
      </x:c>
      <x:c r="O10" s="7" t="str">
        <x:v>INV-SC-RETURN-MAIN</x:v>
      </x:c>
      <x:c r="P10" s="7" t="str">
        <x:v>Accessoire ou interaction de production proposé; ne vaut pas relevé exhaustif de la planche.</x:v>
      </x:c>
      <x:c r="Q10" s="7" t="str"/>
      <x:c r="R10" s="21" t="str"/>
      <x:c r="S10" s="21" t="str"/>
    </x:row>
    <x:row r="11" ht="54" customHeight="1">
      <x:c r="A11" s="18" t="str">
        <x:v>INV-SC-TRAP-PROP</x:v>
      </x:c>
      <x:c r="B11" s="9" t="str">
        <x:v>Barrière de scène</x:v>
      </x:c>
      <x:c r="C11" s="15" t="str">
        <x:v>Défini</x:v>
      </x:c>
      <x:c r="D11" s="16" t="str">
        <x:v>Extrapolation</x:v>
      </x:c>
      <x:c r="E11" s="16" t="str">
        <x:v>P1</x:v>
      </x:c>
      <x:c r="F11" s="9" t="str">
        <x:v>Obstacle mobile original du prototype.</x:v>
      </x:c>
      <x:c r="G11" s="9" t="str">
        <x:v>Créer une séparation tactique sans changer l’architecture canon.</x:v>
      </x:c>
      <x:c r="H11" s="9" t="str">
        <x:v>Déplacer une seule fois; ne peut bloquer les deux sorties.</x:v>
      </x:c>
      <x:c r="I11" s="9" t="str">
        <x:v>Masse basse à bord clair.</x:v>
      </x:c>
      <x:c r="J11" s="9" t="str">
        <x:v>État repos, sélection, utilisation et remise en place; l’objet conserve son pivot entre ces états.</x:v>
      </x:c>
      <x:c r="K11" s="9" t="str">
        <x:v>Bruit de manipulation original et confirmation visible.</x:v>
      </x:c>
      <x:c r="L11" s="9" t="str">
        <x:v>Objet proposé INV/TRAP/prop; composant inspectable distinct du déclencheur narratif.</x:v>
      </x:c>
      <x:c r="M11" s="9" t="str">
        <x:v>Conserver le raccord d’occupation d’Omega et le départ d’Aria; une victoire tactique locale ne permet pas de gagner une guerre contraire au comic.</x:v>
      </x:c>
      <x:c r="N11" s="9" t="str">
        <x:v>L’objet possède un état visible avant et après interaction; il ne peut pas être perdu ni dupliqué par rechargement.</x:v>
      </x:c>
      <x:c r="O11" s="9" t="str">
        <x:v>INV-SC-TRAP-MAIN</x:v>
      </x:c>
      <x:c r="P11" s="9" t="str">
        <x:v>Accessoire ou interaction de production proposé; ne vaut pas relevé exhaustif de la planche.</x:v>
      </x:c>
      <x:c r="Q11" s="9" t="str"/>
      <x:c r="R11" s="20" t="str"/>
      <x:c r="S11" s="20" t="str"/>
    </x:row>
    <x:row r="12" ht="54" customHeight="1">
      <x:c r="A12" s="19" t="str">
        <x:v>INV-SC-EXILE-PROP</x:v>
      </x:c>
      <x:c r="B12" s="7" t="str">
        <x:v>Liste de départ</x:v>
      </x:c>
      <x:c r="C12" s="15" t="str">
        <x:v>Défini</x:v>
      </x:c>
      <x:c r="D12" s="17" t="str">
        <x:v>Extrapolation</x:v>
      </x:c>
      <x:c r="E12" s="17" t="str">
        <x:v>P1</x:v>
      </x:c>
      <x:c r="F12" s="7" t="str">
        <x:v>Outil de préparation original.</x:v>
      </x:c>
      <x:c r="G12" s="7" t="str">
        <x:v>Afficher ce qui sera conservé dans le module.</x:v>
      </x:c>
      <x:c r="H12" s="7" t="str">
        <x:v>Les objets narratifs obligatoires sont verrouillés contre la vente et l’oubli.</x:v>
      </x:c>
      <x:c r="I12" s="7" t="str">
        <x:v>Cases simples avec statut transporté/non nécessaire.</x:v>
      </x:c>
      <x:c r="J12" s="7" t="str">
        <x:v>État repos, sélection, utilisation et remise en place; l’objet conserve son pivot entre ces états.</x:v>
      </x:c>
      <x:c r="K12" s="7" t="str">
        <x:v>Bruit de manipulation original et confirmation visible.</x:v>
      </x:c>
      <x:c r="L12" s="7" t="str">
        <x:v>Objet proposé INV/EXILE/prop; composant inspectable distinct du déclencheur narratif.</x:v>
      </x:c>
      <x:c r="M12" s="7" t="str">
        <x:v>Conserver le raccord d’occupation d’Omega et le départ d’Aria; une victoire tactique locale ne permet pas de gagner une guerre contraire au comic.</x:v>
      </x:c>
      <x:c r="N12" s="7" t="str">
        <x:v>L’objet possède un état visible avant et après interaction; il ne peut pas être perdu ni dupliqué par rechargement.</x:v>
      </x:c>
      <x:c r="O12" s="7" t="str">
        <x:v>INV-SC-EXILE-MAIN</x:v>
      </x:c>
      <x:c r="P12" s="7" t="str">
        <x:v>Accessoire ou interaction de production proposé; ne vaut pas relevé exhaustif de la planche.</x:v>
      </x:c>
      <x:c r="Q12" s="7" t="str"/>
      <x:c r="R12" s="21" t="str"/>
      <x:c r="S12" s="21" t="str"/>
    </x:row>
  </x:sheetData>
  <x:conditionalFormatting sqref="D7:D12">
    <x:cfRule type="cellIs" dxfId="28" priority="1" operator="equal">
      <x:formula>"À vérifier"</x:formula>
    </x:cfRule>
    <x:cfRule type="cellIs" dxfId="29" priority="2" operator="equal">
      <x:formula>"Extrapolation"</x:formula>
    </x:cfRule>
  </x:conditionalFormatting>
  <x:conditionalFormatting sqref="C7:C12">
    <x:cfRule type="cellIs" dxfId="30" priority="3" operator="equal">
      <x:formula>"Validé"</x:formula>
    </x:cfRule>
  </x:conditionalFormatting>
  <x:conditionalFormatting sqref="E7:E12">
    <x:cfRule type="cellIs" dxfId="3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f340f147ca284a76"/>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0"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Invasion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INV-EN-ADJ</x:v>
      </x:c>
      <x:c r="B7" s="9" t="str">
        <x:v>Adjutant</x:v>
      </x:c>
      <x:c r="C7" s="15" t="str">
        <x:v>Défini</x:v>
      </x:c>
      <x:c r="D7" s="16" t="str">
        <x:v>À vérifier</x:v>
      </x:c>
      <x:c r="E7" s="16" t="str">
        <x:v>P1</x:v>
      </x:c>
      <x:c r="F7" s="9" t="str">
        <x:v>Les Adjutants constituent la menace de l’attaque d’Omega.</x:v>
      </x:c>
      <x:c r="G7" s="9" t="str">
        <x:v>Pression rapprochée et contrôle d’exposition.</x:v>
      </x:c>
      <x:c r="H7" s="9" t="str">
        <x:v>Profil proposé : Exposition abstraite proposée; avertissement avant tout changement d’état et reprise locale en cas d’échec.</x:v>
      </x:c>
      <x:c r="I7" s="9" t="str">
        <x:v>Silhouette proposée : Corps massif et asymétrique à comparer aux planches; articulation lisible.</x:v>
      </x:c>
      <x:c r="J7" s="9" t="str">
        <x:v>Préparation ramassée, bond lisible et récupération lourde.</x:v>
      </x:c>
      <x:c r="K7" s="9" t="str">
        <x:v>Grondement original avec pictogramme de menace.</x:v>
      </x:c>
      <x:c r="L7" s="9" t="str">
        <x:v>Livrable proposé : spécification INV/enemies/en-adj; brancher au registre de contenu de l'œuvre seulement après production.</x:v>
      </x:c>
      <x:c r="M7" s="9" t="str">
        <x:v>Conserver le raccord d’occupation d’Omega et le départ d’Aria; une victoire tactique locale ne permet pas de gagner une guerre contraire au comic.</x:v>
      </x:c>
      <x:c r="N7" s="9" t="str">
        <x:v>Adjutant a une silhouette distincte, un comportement télégraphié et une contre-mesure documentée; aucune valeur n'est annoncée comme statistique officielle.</x:v>
      </x:c>
      <x:c r="O7" s="9" t="str"/>
      <x:c r="P7" s="9" t="str">
        <x:v>Mass Effect: Invasion, série concernée</x:v>
      </x:c>
      <x:c r="Q7" s="9" t="str">
        <x:v>INV-S-ADJ</x:v>
      </x:c>
      <x:c r="R7" s="20" t="str">
        <x:v>https://masseffect.fandom.com/wiki/Adjutant</x:v>
      </x:c>
      <x:c r="S7" s="20" t="str">
        <x:v>L’adversaire ou groupe est attesté selon la source; le combat ATB et ses réglages sont entièrement proposés.</x:v>
      </x:c>
    </x:row>
    <x:row r="8" ht="68" customHeight="1">
      <x:c r="A8" s="19" t="str">
        <x:v>INV-EN-CERBERUS</x:v>
      </x:c>
      <x:c r="B8" s="7" t="str">
        <x:v>Forces de Cerberus</x:v>
      </x:c>
      <x:c r="C8" s="15" t="str">
        <x:v>Défini</x:v>
      </x:c>
      <x:c r="D8" s="17" t="str">
        <x:v>Établi</x:v>
      </x:c>
      <x:c r="E8" s="17" t="str">
        <x:v>P1</x:v>
      </x:c>
      <x:c r="F8" s="7" t="str">
        <x:v>Cerberus cherche à prendre Omega.</x:v>
      </x:c>
      <x:c r="G8" s="7" t="str">
        <x:v>Opposition militaire structurée.</x:v>
      </x:c>
      <x:c r="H8" s="7" t="str">
        <x:v>Profil proposé : Couverture et contrôle d’accès; les renforts empruntent une porte visible.</x:v>
      </x:c>
      <x:c r="I8" s="7" t="str">
        <x:v>Silhouette proposée : Armures blanches et sombres à vérifier; silhouette distincte des gangs.</x:v>
      </x:c>
      <x:c r="J8" s="7" t="str">
        <x:v>Appui au couvert et changement de position annoncé.</x:v>
      </x:c>
      <x:c r="K8" s="7" t="str">
        <x:v>Radio filtrée et tirs courts.</x:v>
      </x:c>
      <x:c r="L8" s="7" t="str">
        <x:v>Livrable proposé : spécification INV/enemies/en-cerberus; brancher au registre de contenu de l'œuvre seulement après production.</x:v>
      </x:c>
      <x:c r="M8" s="7" t="str">
        <x:v>Conserver le raccord d’occupation d’Omega et le départ d’Aria; une victoire tactique locale ne permet pas de gagner une guerre contraire au comic.</x:v>
      </x:c>
      <x:c r="N8" s="7" t="str">
        <x:v>Forces de Cerberus a une silhouette distincte, un comportement télégraphié et une contre-mesure documentée; aucune valeur n'est annoncée comme statistique officielle.</x:v>
      </x:c>
      <x:c r="O8" s="7" t="str"/>
      <x:c r="P8" s="7" t="str">
        <x:v>Mass Effect: Invasion, série concernée</x:v>
      </x:c>
      <x:c r="Q8" s="7" t="str">
        <x:v>INV-S-BOOK</x:v>
      </x:c>
      <x:c r="R8" s="21" t="str">
        <x:v>https://www.penguinrandomhouse.com/books/241636/mass-effect-volume-3-invasion-by-mac-walters-various-artists/</x:v>
      </x:c>
      <x:c r="S8" s="21" t="str">
        <x:v>L’adversaire ou groupe est attesté selon la source; le combat ATB et ses réglages sont entièrement proposés.</x:v>
      </x:c>
    </x:row>
    <x:row r="9" ht="68" customHeight="1">
      <x:c r="A9" s="18" t="str">
        <x:v>INV-EN-BOARDING</x:v>
      </x:c>
      <x:c r="B9" s="9" t="str">
        <x:v>Équipe de contrôle du quai — proposition</x:v>
      </x:c>
      <x:c r="C9" s="15" t="str">
        <x:v>Défini</x:v>
      </x:c>
      <x:c r="D9" s="16" t="str">
        <x:v>Extrapolation</x:v>
      </x:c>
      <x:c r="E9" s="16" t="str">
        <x:v>P1</x:v>
      </x:c>
      <x:c r="F9" s="9" t="str">
        <x:v>Un groupe tactique original représente la pression d’occupation dans le prototype.</x:v>
      </x:c>
      <x:c r="G9" s="9" t="str">
        <x:v>Rencontre locale ajoutée, pas unité nommée officielle.</x:v>
      </x:c>
      <x:c r="H9" s="9" t="str">
        <x:v>Profil proposé : Ouvre/ferme un accès selon une préparation visible; la neutralisation n’inverse pas l’occupation.</x:v>
      </x:c>
      <x:c r="I9" s="9" t="str">
        <x:v>Silhouette proposée : Silhouettes militaires génériques sans insigne de régiment inventé.</x:v>
      </x:c>
      <x:c r="J9" s="9" t="str">
        <x:v>Geste vers la console, maintien puis déplacement.</x:v>
      </x:c>
      <x:c r="K9" s="9" t="str">
        <x:v>Verrou de porte et confirmation radio originale.</x:v>
      </x:c>
      <x:c r="L9" s="9" t="str">
        <x:v>Livrable proposé : spécification INV/enemies/en-boarding; brancher au registre de contenu de l'œuvre seulement après production.</x:v>
      </x:c>
      <x:c r="M9" s="9" t="str">
        <x:v>Conserver le raccord d’occupation d’Omega et le départ d’Aria; une victoire tactique locale ne permet pas de gagner une guerre contraire au comic.</x:v>
      </x:c>
      <x:c r="N9" s="9" t="str">
        <x:v>Équipe de contrôle du quai — proposition a une silhouette distincte, un comportement télégraphié et une contre-mesure documentée; aucune valeur n'est annoncée comme statistique officielle.</x:v>
      </x:c>
      <x:c r="O9" s="9" t="str"/>
      <x:c r="P9" s="9" t="str">
        <x:v>Mass Effect: Invasion, série concernée</x:v>
      </x:c>
      <x:c r="Q9" s="9" t="str"/>
      <x:c r="R9" s="20" t="str"/>
      <x:c r="S9" s="20"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41d6b8d3f06e4105"/>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Invasion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INV-SC-BREACH-MAIN</x:v>
      </x:c>
      <x:c r="B7" s="9" t="str">
        <x:v>Alerte sur les quais — objectif jouable</x:v>
      </x:c>
      <x:c r="C7" s="15" t="str">
        <x:v>Défini</x:v>
      </x:c>
      <x:c r="D7" s="16" t="str">
        <x:v>Extrapolation</x:v>
      </x:c>
      <x:c r="E7" s="16" t="str">
        <x:v>P0</x:v>
      </x:c>
      <x:c r="F7" s="9" t="str">
        <x:v>Sécuriser une voie de retrait vers un secteur protégé.</x:v>
      </x:c>
      <x:c r="G7" s="9" t="str">
        <x:v>Alerte → identification de la menace → défense d’accès → repli.</x:v>
      </x:c>
      <x:c r="H7" s="9" t="str">
        <x:v>Le groupe protège des sorties avec une réserve de pression; les corps ne deviennent pas automatiquement des unités supplémentaires sans signal.</x:v>
      </x:c>
      <x:c r="I7" s="9" t="str">
        <x:v>Transport en silhouette, rangées de caisses et sortie refuge éclairée.</x:v>
      </x:c>
      <x:c r="J7" s="9" t="str">
        <x:v>Entrée prudente, geste d'inspection et retour au contrôle pour « Alerte sur les quais »; poser les sprites avant tout changement de caméra.</x:v>
      </x:c>
      <x:c r="K7" s="9" t="str">
        <x:v>Clang de rampe puis alarme localisée.</x:v>
      </x:c>
      <x:c r="L7" s="9" t="str">
        <x:v>Graphe proposé INV/quests/BREACH: entrée → objectif actif → résolution → raccord; conditions terminales séparées des points facultatifs.</x:v>
      </x:c>
      <x:c r="M7" s="9" t="str">
        <x:v>Conserver le raccord d’occupation d’Omega et le départ d’Aria; une victoire tactique locale ne permet pas de gagner une guerre contraire au comic.</x:v>
      </x:c>
      <x:c r="N7" s="9" t="str">
        <x:v>L'objectif « Alerte sur les quais » atteint son raccord annoncé après chaque méthode; sauvegarde, rechargement et saut de scène n'en changent ni le groupe ni les informations acquises.</x:v>
      </x:c>
      <x:c r="O7" s="9" t="str">
        <x:v>INV-SC-BREACH-REF</x:v>
      </x:c>
      <x:c r="P7" s="9" t="str">
        <x:v>Conception originale rattachée à Invasion, attaque initiale; numéro à contrôler</x:v>
      </x:c>
      <x:c r="Q7" s="9" t="str"/>
      <x:c r="R7" s="20" t="str"/>
      <x:c r="S7" s="20" t="str"/>
    </x:row>
    <x:row r="8" ht="68" customHeight="1">
      <x:c r="A8" s="19" t="str">
        <x:v>INV-SC-ALLIANCE-MAIN</x:v>
      </x:c>
      <x:c r="B8" s="7" t="str">
        <x:v>Coordination de circonstance — objectif jouable</x:v>
      </x:c>
      <x:c r="C8" s="15" t="str">
        <x:v>Défini</x:v>
      </x:c>
      <x:c r="D8" s="17" t="str">
        <x:v>Extrapolation</x:v>
      </x:c>
      <x:c r="E8" s="17" t="str">
        <x:v>P0</x:v>
      </x:c>
      <x:c r="F8" s="7" t="str">
        <x:v>Préparer une action conjointe en gardant les objectifs distincts.</x:v>
      </x:c>
      <x:c r="G8" s="7" t="str">
        <x:v>Briefing → affectation de deux soutiens → défense → réévaluation.</x:v>
      </x:c>
      <x:c r="H8" s="7" t="str">
        <x:v>Chaque soutien indique sa portée et sa durée; l’alliance n’accorde ni confiance définitive ni recrutement de Petrovsky.</x:v>
      </x:c>
      <x:c r="I8" s="7" t="str">
        <x:v>Carte nette sur fond militaire dépouillé.</x:v>
      </x:c>
      <x:c r="J8" s="7" t="str">
        <x:v>Entrée prudente, geste d'inspection et retour au contrôle pour « Coordination de circonstance »; poser les sprites avant tout changement de caméra.</x:v>
      </x:c>
      <x:c r="K8" s="7" t="str">
        <x:v>Ordres brefs et moteur grave régulier.</x:v>
      </x:c>
      <x:c r="L8" s="7" t="str">
        <x:v>Graphe proposé INV/quests/ALLIANCE: entrée → objectif actif → résolution → raccord; conditions terminales séparées des points facultatifs.</x:v>
      </x:c>
      <x:c r="M8" s="7" t="str">
        <x:v>Conserver le raccord d’occupation d’Omega et le départ d’Aria; une victoire tactique locale ne permet pas de gagner une guerre contraire au comic.</x:v>
      </x:c>
      <x:c r="N8" s="7" t="str">
        <x:v>L'objectif « Coordination de circonstance » atteint son raccord annoncé après chaque méthode; sauvegarde, rechargement et saut de scène n'en changent ni le groupe ni les informations acquises.</x:v>
      </x:c>
      <x:c r="O8" s="7" t="str">
        <x:v>INV-SC-ALLIANCE-REF</x:v>
      </x:c>
      <x:c r="P8" s="7" t="str">
        <x:v>Conception originale rattachée à Invasion, coopération initiale</x:v>
      </x:c>
      <x:c r="Q8" s="7" t="str"/>
      <x:c r="R8" s="21" t="str"/>
      <x:c r="S8" s="21" t="str"/>
    </x:row>
    <x:row r="9" ht="68" customHeight="1">
      <x:c r="A9" s="18" t="str">
        <x:v>INV-SC-AVERNUS-MAIN</x:v>
      </x:c>
      <x:c r="B9" s="9" t="str">
        <x:v>Confinement à Avernus — objectif jouable</x:v>
      </x:c>
      <x:c r="C9" s="15" t="str">
        <x:v>Défini</x:v>
      </x:c>
      <x:c r="D9" s="16" t="str">
        <x:v>Extrapolation</x:v>
      </x:c>
      <x:c r="E9" s="16" t="str">
        <x:v>P0</x:v>
      </x:c>
      <x:c r="F9" s="9" t="str">
        <x:v>Traverser le secteur de confinement et activer une issue opérationnelle.</x:v>
      </x:c>
      <x:c r="G9" s="9" t="str">
        <x:v>Sas → lecture des risques → action sur contrôle → départ.</x:v>
      </x:c>
      <x:c r="H9" s="9" t="str">
        <x:v>Trois secteurs proposés s’isolent séparément; aucun bouton ne guérit ou ne supprime tous les Adjutants de l’univers.</x:v>
      </x:c>
      <x:c r="I9" s="9" t="str">
        <x:v>Baies froides, grilles et panneaux de confinement lisibles.</x:v>
      </x:c>
      <x:c r="J9" s="9" t="str">
        <x:v>Entrée prudente, geste d'inspection et retour au contrôle pour « Confinement à Avernus »; poser les sprites avant tout changement de caméra.</x:v>
      </x:c>
      <x:c r="K9" s="9" t="str">
        <x:v>Pulsation de ventilation qui s’arrête après chaque fermeture.</x:v>
      </x:c>
      <x:c r="L9" s="9" t="str">
        <x:v>Graphe proposé INV/quests/AVERNUS: entrée → objectif actif → résolution → raccord; conditions terminales séparées des points facultatifs.</x:v>
      </x:c>
      <x:c r="M9" s="9" t="str">
        <x:v>Conserver le raccord d’occupation d’Omega et le départ d’Aria; une victoire tactique locale ne permet pas de gagner une guerre contraire au comic.</x:v>
      </x:c>
      <x:c r="N9" s="9" t="str">
        <x:v>L'objectif « Confinement à Avernus » atteint son raccord annoncé après chaque méthode; sauvegarde, rechargement et saut de scène n'en changent ni le groupe ni les informations acquises.</x:v>
      </x:c>
      <x:c r="O9" s="9" t="str">
        <x:v>INV-SC-AVERNUS-REF</x:v>
      </x:c>
      <x:c r="P9" s="9" t="str">
        <x:v>Conception originale rattachée à Invasion, opération à Avernus</x:v>
      </x:c>
      <x:c r="Q9" s="9" t="str"/>
      <x:c r="R9" s="20" t="str"/>
      <x:c r="S9" s="20" t="str"/>
    </x:row>
    <x:row r="10" ht="68" customHeight="1">
      <x:c r="A10" s="19" t="str">
        <x:v>INV-SC-RETURN-MAIN</x:v>
      </x:c>
      <x:c r="B10" s="7" t="str">
        <x:v>Retour dans une station contestée — objectif jouable</x:v>
      </x:c>
      <x:c r="C10" s="15" t="str">
        <x:v>Défini</x:v>
      </x:c>
      <x:c r="D10" s="17" t="str">
        <x:v>Extrapolation</x:v>
      </x:c>
      <x:c r="E10" s="17" t="str">
        <x:v>P0</x:v>
      </x:c>
      <x:c r="F10" s="7" t="str">
        <x:v>Réunir les défenseurs et rejoindre un point de communication.</x:v>
      </x:c>
      <x:c r="G10" s="7" t="str">
        <x:v>Constat → choix de route → défense mobile → contact.</x:v>
      </x:c>
      <x:c r="H10" s="7" t="str">
        <x:v>La carte change d’accès, pas de coordonnées arbitraires; les routes connues deviennent des risques lisibles.</x:v>
      </x:c>
      <x:c r="I10" s="7" t="str">
        <x:v>Nouveaux checkpoints superposés au décor initial sans le reconstruire entièrement.</x:v>
      </x:c>
      <x:c r="J10" s="7" t="str">
        <x:v>Entrée prudente, geste d'inspection et retour au contrôle pour « Retour dans une station contestée »; poser les sprites avant tout changement de caméra.</x:v>
      </x:c>
      <x:c r="K10" s="7" t="str">
        <x:v>Radio militaire au premier plan et ancienne ambiance étouffée.</x:v>
      </x:c>
      <x:c r="L10" s="7" t="str">
        <x:v>Graphe proposé INV/quests/RETURN: entrée → objectif actif → résolution → raccord; conditions terminales séparées des points facultatifs.</x:v>
      </x:c>
      <x:c r="M10" s="7" t="str">
        <x:v>Conserver le raccord d’occupation d’Omega et le départ d’Aria; une victoire tactique locale ne permet pas de gagner une guerre contraire au comic.</x:v>
      </x:c>
      <x:c r="N10" s="7" t="str">
        <x:v>L'objectif « Retour dans une station contestée » atteint son raccord annoncé après chaque méthode; sauvegarde, rechargement et saut de scène n'en changent ni le groupe ni les informations acquises.</x:v>
      </x:c>
      <x:c r="O10" s="7" t="str">
        <x:v>INV-SC-RETURN-REF</x:v>
      </x:c>
      <x:c r="P10" s="7" t="str">
        <x:v>Conception originale rattachée à Invasion #1–4, retournement du conflit</x:v>
      </x:c>
      <x:c r="Q10" s="7" t="str"/>
      <x:c r="R10" s="21" t="str"/>
      <x:c r="S10" s="21" t="str"/>
    </x:row>
    <x:row r="11" ht="68" customHeight="1">
      <x:c r="A11" s="18" t="str">
        <x:v>INV-SC-TRAP-MAIN</x:v>
      </x:c>
      <x:c r="B11" s="9" t="str">
        <x:v>Piège d’Afterlife — objectif jouable</x:v>
      </x:c>
      <x:c r="C11" s="15" t="str">
        <x:v>Défini</x:v>
      </x:c>
      <x:c r="D11" s="16" t="str">
        <x:v>Extrapolation</x:v>
      </x:c>
      <x:c r="E11" s="16" t="str">
        <x:v>P0</x:v>
      </x:c>
      <x:c r="F11" s="9" t="str">
        <x:v>Dégager les lignes de sortie pendant une confrontation concentrée.</x:v>
      </x:c>
      <x:c r="G11" s="9" t="str">
        <x:v>Entrée → fermeture annoncée → menace de zone → issue narrative.</x:v>
      </x:c>
      <x:c r="H11" s="9" t="str">
        <x:v>Le danger se lit par cônes et trajectoires; l’attaque de zone peut être évitée par placement, pas par un temps de réaction minuscule.</x:v>
      </x:c>
      <x:c r="I11" s="9" t="str">
        <x:v>Centre dégagé et balcon servant de repère.</x:v>
      </x:c>
      <x:c r="J11" s="9" t="str">
        <x:v>Entrée prudente, geste d'inspection et retour au contrôle pour « Piège d’Afterlife »; poser les sprites avant tout changement de caméra.</x:v>
      </x:c>
      <x:c r="K11" s="9" t="str">
        <x:v>Coupe de la musique, mouvement lourd et alarmes brèves.</x:v>
      </x:c>
      <x:c r="L11" s="9" t="str">
        <x:v>Graphe proposé INV/quests/TRAP: entrée → objectif actif → résolution → raccord; conditions terminales séparées des points facultatifs.</x:v>
      </x:c>
      <x:c r="M11" s="9" t="str">
        <x:v>Conserver le raccord d’occupation d’Omega et le départ d’Aria; une victoire tactique locale ne permet pas de gagner une guerre contraire au comic.</x:v>
      </x:c>
      <x:c r="N11" s="9" t="str">
        <x:v>L'objectif « Piège d’Afterlife » atteint son raccord annoncé après chaque méthode; sauvegarde, rechargement et saut de scène n'en changent ni le groupe ni les informations acquises.</x:v>
      </x:c>
      <x:c r="O11" s="9" t="str">
        <x:v>INV-SC-TRAP-REF</x:v>
      </x:c>
      <x:c r="P11" s="9" t="str">
        <x:v>Conception originale rattachée à Invasion, confrontation finale; contrôler le découpage</x:v>
      </x:c>
      <x:c r="Q11" s="9" t="str"/>
      <x:c r="R11" s="20" t="str"/>
      <x:c r="S11" s="20" t="str"/>
    </x:row>
    <x:row r="12" ht="68" customHeight="1">
      <x:c r="A12" s="19" t="str">
        <x:v>INV-SC-EXILE-MAIN</x:v>
      </x:c>
      <x:c r="B12" s="7" t="str">
        <x:v>Ultimatum et départ — objectif jouable</x:v>
      </x:c>
      <x:c r="C12" s="15" t="str">
        <x:v>Défini</x:v>
      </x:c>
      <x:c r="D12" s="17" t="str">
        <x:v>Extrapolation</x:v>
      </x:c>
      <x:c r="E12" s="17" t="str">
        <x:v>P0</x:v>
      </x:c>
      <x:c r="F12" s="7" t="str">
        <x:v>Organiser une sortie sans promettre une victoire impossible dans cet arc.</x:v>
      </x:c>
      <x:c r="G12" s="7" t="str">
        <x:v>Constat stratégique → décisions de préparation → départ fixé → raccord ME3.</x:v>
      </x:c>
      <x:c r="H12" s="7" t="str">
        <x:v>Les choix portent sur l’ordre de préparation et les ressources locales conservées; aucune option ne détruit la flotte adverse.</x:v>
      </x:c>
      <x:c r="I12" s="7" t="str">
        <x:v>Omega en arrière-plan, palette refroidie et espace négatif devant le personnage.</x:v>
      </x:c>
      <x:c r="J12" s="7" t="str">
        <x:v>Entrée prudente, geste d'inspection et retour au contrôle pour « Ultimatum et départ »; poser les sprites avant tout changement de caméra.</x:v>
      </x:c>
      <x:c r="K12" s="7" t="str">
        <x:v>Thème original interrompu, moteur lent et silence de fin.</x:v>
      </x:c>
      <x:c r="L12" s="7" t="str">
        <x:v>Graphe proposé INV/quests/EXILE: entrée → objectif actif → résolution → raccord; conditions terminales séparées des points facultatifs.</x:v>
      </x:c>
      <x:c r="M12" s="7" t="str">
        <x:v>Conserver le raccord d’occupation d’Omega et le départ d’Aria; une victoire tactique locale ne permet pas de gagner une guerre contraire au comic.</x:v>
      </x:c>
      <x:c r="N12" s="7" t="str">
        <x:v>L'objectif « Ultimatum et départ » atteint son raccord annoncé après chaque méthode; sauvegarde, rechargement et saut de scène n'en changent ni le groupe ni les informations acquises.</x:v>
      </x:c>
      <x:c r="O12" s="7" t="str">
        <x:v>INV-SC-EXILE-REF</x:v>
      </x:c>
      <x:c r="P12" s="7" t="str">
        <x:v>Conception originale rattachée à Invasion #4</x:v>
      </x:c>
      <x:c r="Q12" s="7" t="str"/>
      <x:c r="R12" s="21" t="str"/>
      <x:c r="S12" s="21" t="str"/>
    </x:row>
  </x:sheetData>
  <x:conditionalFormatting sqref="D7:D12">
    <x:cfRule type="cellIs" dxfId="36" priority="1" operator="equal">
      <x:formula>"À vérifier"</x:formula>
    </x:cfRule>
    <x:cfRule type="cellIs" dxfId="37" priority="2" operator="equal">
      <x:formula>"Extrapolation"</x:formula>
    </x:cfRule>
  </x:conditionalFormatting>
  <x:conditionalFormatting sqref="C7:C12">
    <x:cfRule type="cellIs" dxfId="38" priority="3" operator="equal">
      <x:formula>"Validé"</x:formula>
    </x:cfRule>
  </x:conditionalFormatting>
  <x:conditionalFormatting sqref="E7:E12">
    <x:cfRule type="cellIs" dxfId="3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98c778bd9ed249ed"/>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Invasion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INV-SC-BREACH-SIDE</x:v>
      </x:c>
      <x:c r="B7" s="9" t="str">
        <x:v>Guider un groupe de dockers</x:v>
      </x:c>
      <x:c r="C7" s="15" t="str">
        <x:v>Défini</x:v>
      </x:c>
      <x:c r="D7" s="16" t="str">
        <x:v>Extrapolation</x:v>
      </x:c>
      <x:c r="E7" s="16" t="str">
        <x:v>P2</x:v>
      </x:c>
      <x:c r="F7" s="9" t="str">
        <x:v>Extraction originale de figurants anonymes.</x:v>
      </x:c>
      <x:c r="G7" s="9" t="str">
        <x:v>Mettre en valeur l’enjeu civil sans ajouter de héros canon.</x:v>
      </x:c>
      <x:c r="H7" s="9" t="str">
        <x:v>Facultatif; le compteur décrit uniquement la simulation locale.</x:v>
      </x:c>
      <x:c r="I7" s="9" t="str">
        <x:v>Transport en silhouette, rangées de caisses et sortie refuge éclairée.</x:v>
      </x:c>
      <x:c r="J7" s="9" t="str">
        <x:v>Inspection, interaction courte, confirmation; permettre de renoncer sans bloquer le chemin principal.</x:v>
      </x:c>
      <x:c r="K7" s="9" t="str">
        <x:v>Confirmation discrète; aucune réplique source réemployée.</x:v>
      </x:c>
      <x:c r="L7" s="9" t="str">
        <x:v>Objectif facultatif INV/BREACH/optional; récompense locale de contexte, pas de modification de la fin.</x:v>
      </x:c>
      <x:c r="M7" s="9" t="str">
        <x:v>Conserver le raccord d’occupation d’Omega et le départ d’Aria; une victoire tactique locale ne permet pas de gagner une guerre contraire au comic.</x:v>
      </x:c>
      <x:c r="N7" s="9" t="str">
        <x:v>Terminer, ignorer ou abandonner cette tâche laisse le récit principal accessible et conserve correctement l’état en sauvegarde.</x:v>
      </x:c>
      <x:c r="O7" s="9" t="str">
        <x:v>INV-SC-BREACH-MAIN</x:v>
      </x:c>
      <x:c r="P7" s="9" t="str">
        <x:v>Ajout original; cette tâche n’est pas attestée dans le comic.</x:v>
      </x:c>
      <x:c r="Q7" s="9" t="str"/>
      <x:c r="R7" s="20" t="str"/>
      <x:c r="S7" s="20" t="str"/>
    </x:row>
    <x:row r="8" ht="54" customHeight="1">
      <x:c r="A8" s="19" t="str">
        <x:v>INV-SC-ALLIANCE-SIDE</x:v>
      </x:c>
      <x:c r="B8" s="7" t="str">
        <x:v>Confirmer une voie de secours</x:v>
      </x:c>
      <x:c r="C8" s="15" t="str">
        <x:v>Défini</x:v>
      </x:c>
      <x:c r="D8" s="17" t="str">
        <x:v>Extrapolation</x:v>
      </x:c>
      <x:c r="E8" s="17" t="str">
        <x:v>P2</x:v>
      </x:c>
      <x:c r="F8" s="7" t="str">
        <x:v>Vérifier une route alternative originale.</x:v>
      </x:c>
      <x:c r="G8" s="7" t="str">
        <x:v>Limiter une surprise de navigation.</x:v>
      </x:c>
      <x:c r="H8" s="7" t="str">
        <x:v>Révèle la sortie sur la carte sans modifier la décision adverse.</x:v>
      </x:c>
      <x:c r="I8" s="7" t="str">
        <x:v>Carte nette sur fond militaire dépouillé.</x:v>
      </x:c>
      <x:c r="J8" s="7" t="str">
        <x:v>Inspection, interaction courte, confirmation; permettre de renoncer sans bloquer le chemin principal.</x:v>
      </x:c>
      <x:c r="K8" s="7" t="str">
        <x:v>Confirmation discrète; aucune réplique source réemployée.</x:v>
      </x:c>
      <x:c r="L8" s="7" t="str">
        <x:v>Objectif facultatif INV/ALLIANCE/optional; récompense locale de contexte, pas de modification de la fin.</x:v>
      </x:c>
      <x:c r="M8" s="7" t="str">
        <x:v>Conserver le raccord d’occupation d’Omega et le départ d’Aria; une victoire tactique locale ne permet pas de gagner une guerre contraire au comic.</x:v>
      </x:c>
      <x:c r="N8" s="7" t="str">
        <x:v>Terminer, ignorer ou abandonner cette tâche laisse le récit principal accessible et conserve correctement l’état en sauvegarde.</x:v>
      </x:c>
      <x:c r="O8" s="7" t="str">
        <x:v>INV-SC-ALLIANCE-MAIN</x:v>
      </x:c>
      <x:c r="P8" s="7" t="str">
        <x:v>Ajout original; cette tâche n’est pas attestée dans le comic.</x:v>
      </x:c>
      <x:c r="Q8" s="7" t="str"/>
      <x:c r="R8" s="21" t="str"/>
      <x:c r="S8" s="21" t="str"/>
    </x:row>
    <x:row r="9" ht="54" customHeight="1">
      <x:c r="A9" s="18" t="str">
        <x:v>INV-SC-AVERNUS-SIDE</x:v>
      </x:c>
      <x:c r="B9" s="9" t="str">
        <x:v>Copier un état de confinement</x:v>
      </x:c>
      <x:c r="C9" s="15" t="str">
        <x:v>Défini</x:v>
      </x:c>
      <x:c r="D9" s="16" t="str">
        <x:v>Extrapolation</x:v>
      </x:c>
      <x:c r="E9" s="16" t="str">
        <x:v>P2</x:v>
      </x:c>
      <x:c r="F9" s="9" t="str">
        <x:v>Rapport technique original limité à la scène.</x:v>
      </x:c>
      <x:c r="G9" s="9" t="str">
        <x:v>Expliquer les contraintes du niveau.</x:v>
      </x:c>
      <x:c r="H9" s="9" t="str">
        <x:v>N’ajoute aucune conclusion canon sur l’origine des créatures.</x:v>
      </x:c>
      <x:c r="I9" s="9" t="str">
        <x:v>Baies froides, grilles et panneaux de confinement lisibles.</x:v>
      </x:c>
      <x:c r="J9" s="9" t="str">
        <x:v>Inspection, interaction courte, confirmation; permettre de renoncer sans bloquer le chemin principal.</x:v>
      </x:c>
      <x:c r="K9" s="9" t="str">
        <x:v>Confirmation discrète; aucune réplique source réemployée.</x:v>
      </x:c>
      <x:c r="L9" s="9" t="str">
        <x:v>Objectif facultatif INV/AVERNUS/optional; récompense locale de contexte, pas de modification de la fin.</x:v>
      </x:c>
      <x:c r="M9" s="9" t="str">
        <x:v>Conserver le raccord d’occupation d’Omega et le départ d’Aria; une victoire tactique locale ne permet pas de gagner une guerre contraire au comic.</x:v>
      </x:c>
      <x:c r="N9" s="9" t="str">
        <x:v>Terminer, ignorer ou abandonner cette tâche laisse le récit principal accessible et conserve correctement l’état en sauvegarde.</x:v>
      </x:c>
      <x:c r="O9" s="9" t="str">
        <x:v>INV-SC-AVERNUS-MAIN</x:v>
      </x:c>
      <x:c r="P9" s="9" t="str">
        <x:v>Ajout original; cette tâche n’est pas attestée dans le comic.</x:v>
      </x:c>
      <x:c r="Q9" s="9" t="str"/>
      <x:c r="R9" s="20" t="str"/>
      <x:c r="S9" s="20" t="str"/>
    </x:row>
    <x:row r="10" ht="54" customHeight="1">
      <x:c r="A10" s="19" t="str">
        <x:v>INV-SC-RETURN-SIDE</x:v>
      </x:c>
      <x:c r="B10" s="7" t="str">
        <x:v>Récupérer un émetteur local</x:v>
      </x:c>
      <x:c r="C10" s="15" t="str">
        <x:v>Défini</x:v>
      </x:c>
      <x:c r="D10" s="17" t="str">
        <x:v>Extrapolation</x:v>
      </x:c>
      <x:c r="E10" s="17" t="str">
        <x:v>P2</x:v>
      </x:c>
      <x:c r="F10" s="7" t="str">
        <x:v>Objectif facultatif original.</x:v>
      </x:c>
      <x:c r="G10" s="7" t="str">
        <x:v>Permettre un appel de soutien supplémentaire limité.</x:v>
      </x:c>
      <x:c r="H10" s="7" t="str">
        <x:v>L’émetteur n’annule pas l’avantage stratégique adverse.</x:v>
      </x:c>
      <x:c r="I10" s="7" t="str">
        <x:v>Nouveaux checkpoints superposés au décor initial sans le reconstruire entièrement.</x:v>
      </x:c>
      <x:c r="J10" s="7" t="str">
        <x:v>Inspection, interaction courte, confirmation; permettre de renoncer sans bloquer le chemin principal.</x:v>
      </x:c>
      <x:c r="K10" s="7" t="str">
        <x:v>Confirmation discrète; aucune réplique source réemployée.</x:v>
      </x:c>
      <x:c r="L10" s="7" t="str">
        <x:v>Objectif facultatif INV/RETURN/optional; récompense locale de contexte, pas de modification de la fin.</x:v>
      </x:c>
      <x:c r="M10" s="7" t="str">
        <x:v>Conserver le raccord d’occupation d’Omega et le départ d’Aria; une victoire tactique locale ne permet pas de gagner une guerre contraire au comic.</x:v>
      </x:c>
      <x:c r="N10" s="7" t="str">
        <x:v>Terminer, ignorer ou abandonner cette tâche laisse le récit principal accessible et conserve correctement l’état en sauvegarde.</x:v>
      </x:c>
      <x:c r="O10" s="7" t="str">
        <x:v>INV-SC-RETURN-MAIN</x:v>
      </x:c>
      <x:c r="P10" s="7" t="str">
        <x:v>Ajout original; cette tâche n’est pas attestée dans le comic.</x:v>
      </x:c>
      <x:c r="Q10" s="7" t="str"/>
      <x:c r="R10" s="21" t="str"/>
      <x:c r="S10" s="21" t="str"/>
    </x:row>
    <x:row r="11" ht="54" customHeight="1">
      <x:c r="A11" s="18" t="str">
        <x:v>INV-SC-TRAP-SIDE</x:v>
      </x:c>
      <x:c r="B11" s="9" t="str">
        <x:v>Préparer le passage arrière</x:v>
      </x:c>
      <x:c r="C11" s="15" t="str">
        <x:v>Défini</x:v>
      </x:c>
      <x:c r="D11" s="16" t="str">
        <x:v>Extrapolation</x:v>
      </x:c>
      <x:c r="E11" s="16" t="str">
        <x:v>P2</x:v>
      </x:c>
      <x:c r="F11" s="9" t="str">
        <x:v>Ouverture facultative originale.</x:v>
      </x:c>
      <x:c r="G11" s="9" t="str">
        <x:v>Réduire le nombre d’actions du repli.</x:v>
      </x:c>
      <x:c r="H11" s="9" t="str">
        <x:v>Le piège narratif reste déclenché au même ancrage.</x:v>
      </x:c>
      <x:c r="I11" s="9" t="str">
        <x:v>Centre dégagé et balcon servant de repère.</x:v>
      </x:c>
      <x:c r="J11" s="9" t="str">
        <x:v>Inspection, interaction courte, confirmation; permettre de renoncer sans bloquer le chemin principal.</x:v>
      </x:c>
      <x:c r="K11" s="9" t="str">
        <x:v>Confirmation discrète; aucune réplique source réemployée.</x:v>
      </x:c>
      <x:c r="L11" s="9" t="str">
        <x:v>Objectif facultatif INV/TRAP/optional; récompense locale de contexte, pas de modification de la fin.</x:v>
      </x:c>
      <x:c r="M11" s="9" t="str">
        <x:v>Conserver le raccord d’occupation d’Omega et le départ d’Aria; une victoire tactique locale ne permet pas de gagner une guerre contraire au comic.</x:v>
      </x:c>
      <x:c r="N11" s="9" t="str">
        <x:v>Terminer, ignorer ou abandonner cette tâche laisse le récit principal accessible et conserve correctement l’état en sauvegarde.</x:v>
      </x:c>
      <x:c r="O11" s="9" t="str">
        <x:v>INV-SC-TRAP-MAIN</x:v>
      </x:c>
      <x:c r="P11" s="9" t="str">
        <x:v>Ajout original; cette tâche n’est pas attestée dans le comic.</x:v>
      </x:c>
      <x:c r="Q11" s="9" t="str"/>
      <x:c r="R11" s="20" t="str"/>
      <x:c r="S11" s="20" t="str"/>
    </x:row>
    <x:row r="12" ht="54" customHeight="1">
      <x:c r="A12" s="19" t="str">
        <x:v>INV-SC-EXILE-SIDE</x:v>
      </x:c>
      <x:c r="B12" s="7" t="str">
        <x:v>Archiver les itinéraires connus</x:v>
      </x:c>
      <x:c r="C12" s="15" t="str">
        <x:v>Défini</x:v>
      </x:c>
      <x:c r="D12" s="17" t="str">
        <x:v>Extrapolation</x:v>
      </x:c>
      <x:c r="E12" s="17" t="str">
        <x:v>P2</x:v>
      </x:c>
      <x:c r="F12" s="7" t="str">
        <x:v>Tâche originale de mémoire de carte.</x:v>
      </x:c>
      <x:c r="G12" s="7" t="str">
        <x:v>Préparer un lien documentaire vers le futur DLC.</x:v>
      </x:c>
      <x:c r="H12" s="7" t="str">
        <x:v>Ne débloque pas la reconquête dans ce classeur.</x:v>
      </x:c>
      <x:c r="I12" s="7" t="str">
        <x:v>Omega en arrière-plan, palette refroidie et espace négatif devant le personnage.</x:v>
      </x:c>
      <x:c r="J12" s="7" t="str">
        <x:v>Inspection, interaction courte, confirmation; permettre de renoncer sans bloquer le chemin principal.</x:v>
      </x:c>
      <x:c r="K12" s="7" t="str">
        <x:v>Confirmation discrète; aucune réplique source réemployée.</x:v>
      </x:c>
      <x:c r="L12" s="7" t="str">
        <x:v>Objectif facultatif INV/EXILE/optional; récompense locale de contexte, pas de modification de la fin.</x:v>
      </x:c>
      <x:c r="M12" s="7" t="str">
        <x:v>Conserver le raccord d’occupation d’Omega et le départ d’Aria; une victoire tactique locale ne permet pas de gagner une guerre contraire au comic.</x:v>
      </x:c>
      <x:c r="N12" s="7" t="str">
        <x:v>Terminer, ignorer ou abandonner cette tâche laisse le récit principal accessible et conserve correctement l’état en sauvegarde.</x:v>
      </x:c>
      <x:c r="O12" s="7" t="str">
        <x:v>INV-SC-EXILE-MAIN</x:v>
      </x:c>
      <x:c r="P12" s="7" t="str">
        <x:v>Ajout original; cette tâche n’est pas attestée dans le comic.</x:v>
      </x:c>
      <x:c r="Q12" s="7" t="str"/>
      <x:c r="R12" s="21" t="str"/>
      <x:c r="S12" s="21" t="str"/>
    </x:row>
  </x:sheetData>
  <x:conditionalFormatting sqref="D7:D12">
    <x:cfRule type="cellIs" dxfId="40" priority="1" operator="equal">
      <x:formula>"À vérifier"</x:formula>
    </x:cfRule>
    <x:cfRule type="cellIs" dxfId="41" priority="2" operator="equal">
      <x:formula>"Extrapolation"</x:formula>
    </x:cfRule>
  </x:conditionalFormatting>
  <x:conditionalFormatting sqref="C7:C12">
    <x:cfRule type="cellIs" dxfId="42" priority="3" operator="equal">
      <x:formula>"Validé"</x:formula>
    </x:cfRule>
  </x:conditionalFormatting>
  <x:conditionalFormatting sqref="E7:E12">
    <x:cfRule type="cellIs" dxfId="4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237aa5c072b0449c"/>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Invasion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INV-SC-BREACH-CHOICE</x:v>
      </x:c>
      <x:c r="B7" s="9" t="str">
        <x:v>Alerte sur les quais — stratégie locale</x:v>
      </x:c>
      <x:c r="C7" s="15" t="str">
        <x:v>Défini</x:v>
      </x:c>
      <x:c r="D7" s="16" t="str">
        <x:v>Extrapolation</x:v>
      </x:c>
      <x:c r="E7" s="16" t="str">
        <x:v>P1</x:v>
      </x:c>
      <x:c r="F7" s="9" t="str">
        <x:v>Verrouiller un accès ou extraire d’abord les personnes visibles.</x:v>
      </x:c>
      <x:c r="G7" s="9" t="str">
        <x:v>Choix de méthode dans une adaptation; aucun embranchement alternatif n’est déclaré officiel.</x:v>
      </x:c>
      <x:c r="H7" s="9" t="str">
        <x:v>Modifier le placement et le risque local; aucun total officiel de victimes n’est inventé.</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INV/BREACH; stocker la méthode choisie et les conséquences temporaires, puis rejoindre le point de raccord.</x:v>
      </x:c>
      <x:c r="M7" s="9" t="str">
        <x:v>Conserver le raccord d’occupation d’Omega et le départ d’Aria; une victoire tactique locale ne permet pas de gagner une guerre contraire au comic.</x:v>
      </x:c>
      <x:c r="N7" s="9" t="str">
        <x:v>Les deux méthodes peuvent être comprises avant sélection; chacune rejoint le même ancrage canon sans supprimer un personnage nécessaire.</x:v>
      </x:c>
      <x:c r="O7" s="9" t="str">
        <x:v>INV-SC-BREACH-MAIN</x:v>
      </x:c>
      <x:c r="P7" s="9" t="str">
        <x:v>Bifurcation de gameplay originale, pas un choix présent dans l’œuvre.</x:v>
      </x:c>
      <x:c r="Q7" s="9" t="str"/>
      <x:c r="R7" s="20" t="str"/>
      <x:c r="S7" s="20" t="str"/>
    </x:row>
    <x:row r="8" ht="54" customHeight="1">
      <x:c r="A8" s="19" t="str">
        <x:v>INV-SC-ALLIANCE-CHOICE</x:v>
      </x:c>
      <x:c r="B8" s="7" t="str">
        <x:v>Coordination de circonstance — stratégie locale</x:v>
      </x:c>
      <x:c r="C8" s="15" t="str">
        <x:v>Défini</x:v>
      </x:c>
      <x:c r="D8" s="17" t="str">
        <x:v>Extrapolation</x:v>
      </x:c>
      <x:c r="E8" s="17" t="str">
        <x:v>P1</x:v>
      </x:c>
      <x:c r="F8" s="7" t="str">
        <x:v>Demander un soutien de tir ou un soutien de transport.</x:v>
      </x:c>
      <x:c r="G8" s="7" t="str">
        <x:v>Choix de méthode dans une adaptation; aucun embranchement alternatif n’est déclaré officiel.</x:v>
      </x:c>
      <x:c r="H8" s="7" t="str">
        <x:v>Le premier protège un couloir, le second raccourcit un trajet d’extraction; les deux ont une seule fenêtre proposée.</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INV/ALLIANCE; stocker la méthode choisie et les conséquences temporaires, puis rejoindre le point de raccord.</x:v>
      </x:c>
      <x:c r="M8" s="7" t="str">
        <x:v>Conserver le raccord d’occupation d’Omega et le départ d’Aria; une victoire tactique locale ne permet pas de gagner une guerre contraire au comic.</x:v>
      </x:c>
      <x:c r="N8" s="7" t="str">
        <x:v>Les deux méthodes peuvent être comprises avant sélection; chacune rejoint le même ancrage canon sans supprimer un personnage nécessaire.</x:v>
      </x:c>
      <x:c r="O8" s="7" t="str">
        <x:v>INV-SC-ALLIANCE-MAIN</x:v>
      </x:c>
      <x:c r="P8" s="7" t="str">
        <x:v>Bifurcation de gameplay originale, pas un choix présent dans l’œuvre.</x:v>
      </x:c>
      <x:c r="Q8" s="7" t="str"/>
      <x:c r="R8" s="21" t="str"/>
      <x:c r="S8" s="21" t="str"/>
    </x:row>
    <x:row r="9" ht="54" customHeight="1">
      <x:c r="A9" s="18" t="str">
        <x:v>INV-SC-AVERNUS-CHOICE</x:v>
      </x:c>
      <x:c r="B9" s="9" t="str">
        <x:v>Confinement à Avernus — stratégie locale</x:v>
      </x:c>
      <x:c r="C9" s="15" t="str">
        <x:v>Défini</x:v>
      </x:c>
      <x:c r="D9" s="16" t="str">
        <x:v>Extrapolation</x:v>
      </x:c>
      <x:c r="E9" s="16" t="str">
        <x:v>P1</x:v>
      </x:c>
      <x:c r="F9" s="9" t="str">
        <x:v>Isoler un secteur ou détourner son alimentation.</x:v>
      </x:c>
      <x:c r="G9" s="9" t="str">
        <x:v>Choix de méthode dans une adaptation; aucun embranchement alternatif n’est déclaré officiel.</x:v>
      </x:c>
      <x:c r="H9" s="9" t="str">
        <x:v>Isolation réduit la mobilité, alimentation déplace le danger; sortie finale commune.</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INV/AVERNUS; stocker la méthode choisie et les conséquences temporaires, puis rejoindre le point de raccord.</x:v>
      </x:c>
      <x:c r="M9" s="9" t="str">
        <x:v>Conserver le raccord d’occupation d’Omega et le départ d’Aria; une victoire tactique locale ne permet pas de gagner une guerre contraire au comic.</x:v>
      </x:c>
      <x:c r="N9" s="9" t="str">
        <x:v>Les deux méthodes peuvent être comprises avant sélection; chacune rejoint le même ancrage canon sans supprimer un personnage nécessaire.</x:v>
      </x:c>
      <x:c r="O9" s="9" t="str">
        <x:v>INV-SC-AVERNUS-MAIN</x:v>
      </x:c>
      <x:c r="P9" s="9" t="str">
        <x:v>Bifurcation de gameplay originale, pas un choix présent dans l’œuvre.</x:v>
      </x:c>
      <x:c r="Q9" s="9" t="str"/>
      <x:c r="R9" s="20" t="str"/>
      <x:c r="S9" s="20" t="str"/>
    </x:row>
    <x:row r="10" ht="54" customHeight="1">
      <x:c r="A10" s="19" t="str">
        <x:v>INV-SC-RETURN-CHOICE</x:v>
      </x:c>
      <x:c r="B10" s="7" t="str">
        <x:v>Retour dans une station contestée — stratégie locale</x:v>
      </x:c>
      <x:c r="C10" s="15" t="str">
        <x:v>Défini</x:v>
      </x:c>
      <x:c r="D10" s="17" t="str">
        <x:v>Extrapolation</x:v>
      </x:c>
      <x:c r="E10" s="17" t="str">
        <x:v>P1</x:v>
      </x:c>
      <x:c r="F10" s="7" t="str">
        <x:v>Passer par un ancien poste de garde ou par une route industrielle.</x:v>
      </x:c>
      <x:c r="G10" s="7" t="str">
        <x:v>Choix de méthode dans une adaptation; aucun embranchement alternatif n’est déclaré officiel.</x:v>
      </x:c>
      <x:c r="H10" s="7" t="str">
        <x:v>Poste : affrontement bref; route : interaction technique sous menace. Même destination.</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INV/RETURN; stocker la méthode choisie et les conséquences temporaires, puis rejoindre le point de raccord.</x:v>
      </x:c>
      <x:c r="M10" s="7" t="str">
        <x:v>Conserver le raccord d’occupation d’Omega et le départ d’Aria; une victoire tactique locale ne permet pas de gagner une guerre contraire au comic.</x:v>
      </x:c>
      <x:c r="N10" s="7" t="str">
        <x:v>Les deux méthodes peuvent être comprises avant sélection; chacune rejoint le même ancrage canon sans supprimer un personnage nécessaire.</x:v>
      </x:c>
      <x:c r="O10" s="7" t="str">
        <x:v>INV-SC-RETURN-MAIN</x:v>
      </x:c>
      <x:c r="P10" s="7" t="str">
        <x:v>Bifurcation de gameplay originale, pas un choix présent dans l’œuvre.</x:v>
      </x:c>
      <x:c r="Q10" s="7" t="str"/>
      <x:c r="R10" s="21" t="str"/>
      <x:c r="S10" s="21" t="str"/>
    </x:row>
    <x:row r="11" ht="54" customHeight="1">
      <x:c r="A11" s="18" t="str">
        <x:v>INV-SC-TRAP-CHOICE</x:v>
      </x:c>
      <x:c r="B11" s="9" t="str">
        <x:v>Piège d’Afterlife — stratégie locale</x:v>
      </x:c>
      <x:c r="C11" s="15" t="str">
        <x:v>Défini</x:v>
      </x:c>
      <x:c r="D11" s="16" t="str">
        <x:v>Extrapolation</x:v>
      </x:c>
      <x:c r="E11" s="16" t="str">
        <x:v>P1</x:v>
      </x:c>
      <x:c r="F11" s="9" t="str">
        <x:v>Éloigner la menace du passage ou protéger d’abord un soutien.</x:v>
      </x:c>
      <x:c r="G11" s="9" t="str">
        <x:v>Choix de méthode dans une adaptation; aucun embranchement alternatif n’est déclaré officiel.</x:v>
      </x:c>
      <x:c r="H11" s="9" t="str">
        <x:v>Change l’ordre des actions et les ressources locales; ne réécrit pas le destin d’Ashe.</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INV/TRAP; stocker la méthode choisie et les conséquences temporaires, puis rejoindre le point de raccord.</x:v>
      </x:c>
      <x:c r="M11" s="9" t="str">
        <x:v>Conserver le raccord d’occupation d’Omega et le départ d’Aria; une victoire tactique locale ne permet pas de gagner une guerre contraire au comic.</x:v>
      </x:c>
      <x:c r="N11" s="9" t="str">
        <x:v>Les deux méthodes peuvent être comprises avant sélection; chacune rejoint le même ancrage canon sans supprimer un personnage nécessaire.</x:v>
      </x:c>
      <x:c r="O11" s="9" t="str">
        <x:v>INV-SC-TRAP-MAIN</x:v>
      </x:c>
      <x:c r="P11" s="9" t="str">
        <x:v>Bifurcation de gameplay originale, pas un choix présent dans l’œuvre.</x:v>
      </x:c>
      <x:c r="Q11" s="9" t="str"/>
      <x:c r="R11" s="20" t="str"/>
      <x:c r="S11" s="20" t="str"/>
    </x:row>
    <x:row r="12" ht="54" customHeight="1">
      <x:c r="A12" s="19" t="str">
        <x:v>INV-SC-EXILE-CHOICE</x:v>
      </x:c>
      <x:c r="B12" s="7" t="str">
        <x:v>Ultimatum et départ — stratégie locale</x:v>
      </x:c>
      <x:c r="C12" s="15" t="str">
        <x:v>Défini</x:v>
      </x:c>
      <x:c r="D12" s="17" t="str">
        <x:v>Extrapolation</x:v>
      </x:c>
      <x:c r="E12" s="17" t="str">
        <x:v>P1</x:v>
      </x:c>
      <x:c r="F12" s="7" t="str">
        <x:v>Prioriser le matériel d’information ou la préparation des soutiens.</x:v>
      </x:c>
      <x:c r="G12" s="7" t="str">
        <x:v>Choix de méthode dans une adaptation; aucun embranchement alternatif n’est déclaré officiel.</x:v>
      </x:c>
      <x:c r="H12" s="7" t="str">
        <x:v>Variante locale de journal et d’inventaire de simulation; même départ canon.</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INV/EXILE; stocker la méthode choisie et les conséquences temporaires, puis rejoindre le point de raccord.</x:v>
      </x:c>
      <x:c r="M12" s="7" t="str">
        <x:v>Conserver le raccord d’occupation d’Omega et le départ d’Aria; une victoire tactique locale ne permet pas de gagner une guerre contraire au comic.</x:v>
      </x:c>
      <x:c r="N12" s="7" t="str">
        <x:v>Les deux méthodes peuvent être comprises avant sélection; chacune rejoint le même ancrage canon sans supprimer un personnage nécessaire.</x:v>
      </x:c>
      <x:c r="O12" s="7" t="str">
        <x:v>INV-SC-EXILE-MAIN</x:v>
      </x:c>
      <x:c r="P12" s="7" t="str">
        <x:v>Bifurcation de gameplay originale, pas un choix présent dans l’œuvre.</x:v>
      </x:c>
      <x:c r="Q12" s="7" t="str"/>
      <x:c r="R12" s="21" t="str"/>
      <x:c r="S12" s="21" t="str"/>
    </x:row>
  </x:sheetData>
  <x:conditionalFormatting sqref="D7:D12">
    <x:cfRule type="cellIs" dxfId="44" priority="1" operator="equal">
      <x:formula>"À vérifier"</x:formula>
    </x:cfRule>
    <x:cfRule type="cellIs" dxfId="45" priority="2" operator="equal">
      <x:formula>"Extrapolation"</x:formula>
    </x:cfRule>
  </x:conditionalFormatting>
  <x:conditionalFormatting sqref="C7:C12">
    <x:cfRule type="cellIs" dxfId="46" priority="3" operator="equal">
      <x:formula>"Validé"</x:formula>
    </x:cfRule>
  </x:conditionalFormatting>
  <x:conditionalFormatting sqref="E7:E12">
    <x:cfRule type="cellIs" dxfId="4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986916abd7534f64"/>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Invasion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INV-SC-BREACH-DIA</x:v>
      </x:c>
      <x:c r="B7" s="9" t="str">
        <x:v>Alerte sur les quais — intentions de conversation</x:v>
      </x:c>
      <x:c r="C7" s="15" t="str">
        <x:v>Défini</x:v>
      </x:c>
      <x:c r="D7" s="16" t="str">
        <x:v>Extrapolation</x:v>
      </x:c>
      <x:c r="E7" s="16" t="str">
        <x:v>P1</x:v>
      </x:c>
      <x:c r="F7" s="9" t="str">
        <x:v>Aria donne des instructions claires; les témoins ne connaissent pas encore la nature complète de l’attaque.</x:v>
      </x:c>
      <x:c r="G7" s="9" t="str">
        <x:v>Préserver le thème « rupture du quotidien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Alerte sur les quais »; poser les sprites avant tout changement de caméra.</x:v>
      </x:c>
      <x:c r="K7" s="9" t="str">
        <x:v>Dialogue original à écrire; texte intégral accessible, avance manuelle et rappel des locuteurs.</x:v>
      </x:c>
      <x:c r="L7" s="9" t="str">
        <x:v>Arbre proposé INV/BREACH/dialogue; séparer ce qui est su, ce qui est affirmé et ce qui reste caché au joueur.</x:v>
      </x:c>
      <x:c r="M7" s="9" t="str">
        <x:v>Conserver le raccord d’occupation d’Omega et le départ d’Aria; une victoire tactique locale ne permet pas de gagner une guerre contraire au comic.</x:v>
      </x:c>
      <x:c r="N7" s="9" t="str">
        <x:v>Le lecteur peut identifier le locuteur, son but et le niveau de certitude; aucune phrase du comic n’est reproduite comme dialogue final.</x:v>
      </x:c>
      <x:c r="O7" s="9" t="str">
        <x:v>INV-SC-BREACH-MAIN</x:v>
      </x:c>
      <x:c r="P7" s="9" t="str">
        <x:v>Écriture originale à partir des thèmes, sans transcrire les bulles.</x:v>
      </x:c>
      <x:c r="Q7" s="9" t="str"/>
      <x:c r="R7" s="20" t="str"/>
      <x:c r="S7" s="20" t="str"/>
    </x:row>
    <x:row r="8" ht="54" customHeight="1">
      <x:c r="A8" s="19" t="str">
        <x:v>INV-SC-ALLIANCE-DIA</x:v>
      </x:c>
      <x:c r="B8" s="7" t="str">
        <x:v>Coordination de circonstance — intentions de conversation</x:v>
      </x:c>
      <x:c r="C8" s="15" t="str">
        <x:v>Défini</x:v>
      </x:c>
      <x:c r="D8" s="17" t="str">
        <x:v>Extrapolation</x:v>
      </x:c>
      <x:c r="E8" s="17" t="str">
        <x:v>P1</x:v>
      </x:c>
      <x:c r="F8" s="7" t="str">
        <x:v>Présenter l’intérêt partagé et les lignes rouges d’Aria sans révéler tous les plans de Cerberus.</x:v>
      </x:c>
      <x:c r="G8" s="7" t="str">
        <x:v>Préserver le thème « intérêts incompatibles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Coordination de circonstance »; poser les sprites avant tout changement de caméra.</x:v>
      </x:c>
      <x:c r="K8" s="7" t="str">
        <x:v>Dialogue original à écrire; texte intégral accessible, avance manuelle et rappel des locuteurs.</x:v>
      </x:c>
      <x:c r="L8" s="7" t="str">
        <x:v>Arbre proposé INV/ALLIANCE/dialogue; séparer ce qui est su, ce qui est affirmé et ce qui reste caché au joueur.</x:v>
      </x:c>
      <x:c r="M8" s="7" t="str">
        <x:v>Conserver le raccord d’occupation d’Omega et le départ d’Aria; une victoire tactique locale ne permet pas de gagner une guerre contraire au comic.</x:v>
      </x:c>
      <x:c r="N8" s="7" t="str">
        <x:v>Le lecteur peut identifier le locuteur, son but et le niveau de certitude; aucune phrase du comic n’est reproduite comme dialogue final.</x:v>
      </x:c>
      <x:c r="O8" s="7" t="str">
        <x:v>INV-SC-ALLIANCE-MAIN</x:v>
      </x:c>
      <x:c r="P8" s="7" t="str">
        <x:v>Écriture originale à partir des thèmes, sans transcrire les bulles.</x:v>
      </x:c>
      <x:c r="Q8" s="7" t="str"/>
      <x:c r="R8" s="21" t="str"/>
      <x:c r="S8" s="21" t="str"/>
    </x:row>
    <x:row r="9" ht="54" customHeight="1">
      <x:c r="A9" s="18" t="str">
        <x:v>INV-SC-AVERNUS-DIA</x:v>
      </x:c>
      <x:c r="B9" s="9" t="str">
        <x:v>Confinement à Avernus — intentions de conversation</x:v>
      </x:c>
      <x:c r="C9" s="15" t="str">
        <x:v>Défini</x:v>
      </x:c>
      <x:c r="D9" s="16" t="str">
        <x:v>Extrapolation</x:v>
      </x:c>
      <x:c r="E9" s="16" t="str">
        <x:v>P1</x:v>
      </x:c>
      <x:c r="F9" s="9" t="str">
        <x:v>Questions sur les expériences et sur l’urgence, en distinguant faits vus et explications des officiers.</x:v>
      </x:c>
      <x:c r="G9" s="9" t="str">
        <x:v>Préserver le thème « cause et responsabilité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Confinement à Avernus »; poser les sprites avant tout changement de caméra.</x:v>
      </x:c>
      <x:c r="K9" s="9" t="str">
        <x:v>Dialogue original à écrire; texte intégral accessible, avance manuelle et rappel des locuteurs.</x:v>
      </x:c>
      <x:c r="L9" s="9" t="str">
        <x:v>Arbre proposé INV/AVERNUS/dialogue; séparer ce qui est su, ce qui est affirmé et ce qui reste caché au joueur.</x:v>
      </x:c>
      <x:c r="M9" s="9" t="str">
        <x:v>Conserver le raccord d’occupation d’Omega et le départ d’Aria; une victoire tactique locale ne permet pas de gagner une guerre contraire au comic.</x:v>
      </x:c>
      <x:c r="N9" s="9" t="str">
        <x:v>Le lecteur peut identifier le locuteur, son but et le niveau de certitude; aucune phrase du comic n’est reproduite comme dialogue final.</x:v>
      </x:c>
      <x:c r="O9" s="9" t="str">
        <x:v>INV-SC-AVERNUS-MAIN</x:v>
      </x:c>
      <x:c r="P9" s="9" t="str">
        <x:v>Écriture originale à partir des thèmes, sans transcrire les bulles.</x:v>
      </x:c>
      <x:c r="Q9" s="9" t="str"/>
      <x:c r="R9" s="20" t="str"/>
      <x:c r="S9" s="20" t="str"/>
    </x:row>
    <x:row r="10" ht="68" customHeight="1">
      <x:c r="A10" s="19" t="str">
        <x:v>INV-SC-RETURN-DIA</x:v>
      </x:c>
      <x:c r="B10" s="7" t="str">
        <x:v>Retour dans une station contestée — intentions de conversation</x:v>
      </x:c>
      <x:c r="C10" s="15" t="str">
        <x:v>Défini</x:v>
      </x:c>
      <x:c r="D10" s="17" t="str">
        <x:v>Extrapolation</x:v>
      </x:c>
      <x:c r="E10" s="17" t="str">
        <x:v>P1</x:v>
      </x:c>
      <x:c r="F10" s="7" t="str">
        <x:v>Aria coordonne sans prétendre contrôler chaque faction; les soutiens expriment leurs limites.</x:v>
      </x:c>
      <x:c r="G10" s="7" t="str">
        <x:v>Préserver le thème « territoire perdu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Retour dans une station contestée »; poser les sprites avant tout changement de caméra.</x:v>
      </x:c>
      <x:c r="K10" s="7" t="str">
        <x:v>Dialogue original à écrire; texte intégral accessible, avance manuelle et rappel des locuteurs.</x:v>
      </x:c>
      <x:c r="L10" s="7" t="str">
        <x:v>Arbre proposé INV/RETURN/dialogue; séparer ce qui est su, ce qui est affirmé et ce qui reste caché au joueur.</x:v>
      </x:c>
      <x:c r="M10" s="7" t="str">
        <x:v>Conserver le raccord d’occupation d’Omega et le départ d’Aria; une victoire tactique locale ne permet pas de gagner une guerre contraire au comic.</x:v>
      </x:c>
      <x:c r="N10" s="7" t="str">
        <x:v>Le lecteur peut identifier le locuteur, son but et le niveau de certitude; aucune phrase du comic n’est reproduite comme dialogue final.</x:v>
      </x:c>
      <x:c r="O10" s="7" t="str">
        <x:v>INV-SC-RETURN-MAIN</x:v>
      </x:c>
      <x:c r="P10" s="7" t="str">
        <x:v>Écriture originale à partir des thèmes, sans transcrire les bulles.</x:v>
      </x:c>
      <x:c r="Q10" s="7" t="str"/>
      <x:c r="R10" s="21" t="str"/>
      <x:c r="S10" s="21" t="str"/>
    </x:row>
    <x:row r="11" ht="54" customHeight="1">
      <x:c r="A11" s="18" t="str">
        <x:v>INV-SC-TRAP-DIA</x:v>
      </x:c>
      <x:c r="B11" s="9" t="str">
        <x:v>Piège d’Afterlife — intentions de conversation</x:v>
      </x:c>
      <x:c r="C11" s="15" t="str">
        <x:v>Défini</x:v>
      </x:c>
      <x:c r="D11" s="16" t="str">
        <x:v>Extrapolation</x:v>
      </x:c>
      <x:c r="E11" s="16" t="str">
        <x:v>P1</x:v>
      </x:c>
      <x:c r="F11" s="9" t="str">
        <x:v>Divergence de méthodes entre commandants; ne pas transformer les propos adverses en vérité du journal.</x:v>
      </x:c>
      <x:c r="G11" s="9" t="str">
        <x:v>Préserver le thème « coût de l’escalade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Piège d’Afterlife »; poser les sprites avant tout changement de caméra.</x:v>
      </x:c>
      <x:c r="K11" s="9" t="str">
        <x:v>Dialogue original à écrire; texte intégral accessible, avance manuelle et rappel des locuteurs.</x:v>
      </x:c>
      <x:c r="L11" s="9" t="str">
        <x:v>Arbre proposé INV/TRAP/dialogue; séparer ce qui est su, ce qui est affirmé et ce qui reste caché au joueur.</x:v>
      </x:c>
      <x:c r="M11" s="9" t="str">
        <x:v>Conserver le raccord d’occupation d’Omega et le départ d’Aria; une victoire tactique locale ne permet pas de gagner une guerre contraire au comic.</x:v>
      </x:c>
      <x:c r="N11" s="9" t="str">
        <x:v>Le lecteur peut identifier le locuteur, son but et le niveau de certitude; aucune phrase du comic n’est reproduite comme dialogue final.</x:v>
      </x:c>
      <x:c r="O11" s="9" t="str">
        <x:v>INV-SC-TRAP-MAIN</x:v>
      </x:c>
      <x:c r="P11" s="9" t="str">
        <x:v>Écriture originale à partir des thèmes, sans transcrire les bulles.</x:v>
      </x:c>
      <x:c r="Q11" s="9" t="str"/>
      <x:c r="R11" s="20" t="str"/>
      <x:c r="S11" s="20" t="str"/>
    </x:row>
    <x:row r="12" ht="54" customHeight="1">
      <x:c r="A12" s="19" t="str">
        <x:v>INV-SC-EXILE-DIA</x:v>
      </x:c>
      <x:c r="B12" s="7" t="str">
        <x:v>Ultimatum et départ — intentions de conversation</x:v>
      </x:c>
      <x:c r="C12" s="15" t="str">
        <x:v>Défini</x:v>
      </x:c>
      <x:c r="D12" s="17" t="str">
        <x:v>Extrapolation</x:v>
      </x:c>
      <x:c r="E12" s="17" t="str">
        <x:v>P1</x:v>
      </x:c>
      <x:c r="F12" s="7" t="str">
        <x:v>Aria conserve une intention de retour; Petrovsky reste un adversaire dont les doutes ne font pas un allié.</x:v>
      </x:c>
      <x:c r="G12" s="7" t="str">
        <x:v>Préserver le thème « survivre à une défaite stratégique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Ultimatum et départ »; poser les sprites avant tout changement de caméra.</x:v>
      </x:c>
      <x:c r="K12" s="7" t="str">
        <x:v>Dialogue original à écrire; texte intégral accessible, avance manuelle et rappel des locuteurs.</x:v>
      </x:c>
      <x:c r="L12" s="7" t="str">
        <x:v>Arbre proposé INV/EXILE/dialogue; séparer ce qui est su, ce qui est affirmé et ce qui reste caché au joueur.</x:v>
      </x:c>
      <x:c r="M12" s="7" t="str">
        <x:v>Conserver le raccord d’occupation d’Omega et le départ d’Aria; une victoire tactique locale ne permet pas de gagner une guerre contraire au comic.</x:v>
      </x:c>
      <x:c r="N12" s="7" t="str">
        <x:v>Le lecteur peut identifier le locuteur, son but et le niveau de certitude; aucune phrase du comic n’est reproduite comme dialogue final.</x:v>
      </x:c>
      <x:c r="O12" s="7" t="str">
        <x:v>INV-SC-EXILE-MAIN</x:v>
      </x:c>
      <x:c r="P12" s="7" t="str">
        <x:v>Écriture originale à partir des thèmes, sans transcrire les bulles.</x:v>
      </x:c>
      <x:c r="Q12" s="7" t="str"/>
      <x:c r="R12" s="21" t="str"/>
      <x:c r="S12" s="21" t="str"/>
    </x:row>
  </x:sheetData>
  <x:conditionalFormatting sqref="D7:D12">
    <x:cfRule type="cellIs" dxfId="48" priority="1" operator="equal">
      <x:formula>"À vérifier"</x:formula>
    </x:cfRule>
    <x:cfRule type="cellIs" dxfId="49" priority="2" operator="equal">
      <x:formula>"Extrapolation"</x:formula>
    </x:cfRule>
  </x:conditionalFormatting>
  <x:conditionalFormatting sqref="C7:C12">
    <x:cfRule type="cellIs" dxfId="50" priority="3" operator="equal">
      <x:formula>"Validé"</x:formula>
    </x:cfRule>
  </x:conditionalFormatting>
  <x:conditionalFormatting sqref="E7:E12">
    <x:cfRule type="cellIs" dxfId="5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c18992ab95c44d6b"/>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Invasion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INV-SC-BREACH-CINE</x:v>
      </x:c>
      <x:c r="B7" s="9" t="str">
        <x:v>Alerte sur les quais — raccord mis en scène</x:v>
      </x:c>
      <x:c r="C7" s="15" t="str">
        <x:v>Défini</x:v>
      </x:c>
      <x:c r="D7" s="16" t="str">
        <x:v>Extrapolation</x:v>
      </x:c>
      <x:c r="E7" s="16" t="str">
        <x:v>P1</x:v>
      </x:c>
      <x:c r="F7" s="9" t="str">
        <x:v>Départ serré sur une activité de quai, ouverture sur la rupture du périmètre.</x:v>
      </x:c>
      <x:c r="G7" s="9" t="str">
        <x:v>Alerte → identification de la menace → défense d’accès → repli.</x:v>
      </x:c>
      <x:c r="H7" s="9" t="str"/>
      <x:c r="I7" s="9" t="str">
        <x:v>Transport en silhouette, rangées de caisses et sortie refuge éclairée.</x:v>
      </x:c>
      <x:c r="J7" s="9" t="str">
        <x:v>Entrée prudente, geste d'inspection et retour au contrôle pour « Alerte sur les quais »; poser les sprites avant tout changement de caméra.</x:v>
      </x:c>
      <x:c r="K7" s="9" t="str">
        <x:v>Clang de rampe puis alarme localisée.</x:v>
      </x:c>
      <x:c r="L7" s="9" t="str">
        <x:v>Séquence proposée INV/BREACH/cinematic; mise à jour des états avant restitution du contrôle; bouton passer et relecture séparés.</x:v>
      </x:c>
      <x:c r="M7" s="9" t="str">
        <x:v>Conserver le raccord d’occupation d’Omega et le départ d’Aria; une victoire tactique locale ne permet pas de gagner une guerre contraire au comic.</x:v>
      </x:c>
      <x:c r="N7" s="9" t="str">
        <x:v>La version passée et la version regardée aboutissent au même placement, inventaire et objectif; les sous-titres ne sont pas coupés.</x:v>
      </x:c>
      <x:c r="O7" s="9" t="str">
        <x:v>INV-SC-BREACH-MAIN</x:v>
      </x:c>
      <x:c r="P7" s="9" t="str">
        <x:v>Découpage original pour sprites 2D sur décor 3D.</x:v>
      </x:c>
      <x:c r="Q7" s="9" t="str"/>
      <x:c r="R7" s="20" t="str"/>
      <x:c r="S7" s="20" t="str"/>
    </x:row>
    <x:row r="8" ht="54" customHeight="1">
      <x:c r="A8" s="19" t="str">
        <x:v>INV-SC-ALLIANCE-CINE</x:v>
      </x:c>
      <x:c r="B8" s="7" t="str">
        <x:v>Coordination de circonstance — raccord mis en scène</x:v>
      </x:c>
      <x:c r="C8" s="15" t="str">
        <x:v>Défini</x:v>
      </x:c>
      <x:c r="D8" s="17" t="str">
        <x:v>Extrapolation</x:v>
      </x:c>
      <x:c r="E8" s="17" t="str">
        <x:v>P1</x:v>
      </x:c>
      <x:c r="F8" s="7" t="str">
        <x:v>Carte de la station entre les interlocuteurs; changement de cadre lorsque le joueur choisit une route.</x:v>
      </x:c>
      <x:c r="G8" s="7" t="str">
        <x:v>Briefing → affectation de deux soutiens → défense → réévaluation.</x:v>
      </x:c>
      <x:c r="H8" s="7" t="str"/>
      <x:c r="I8" s="7" t="str">
        <x:v>Carte nette sur fond militaire dépouillé.</x:v>
      </x:c>
      <x:c r="J8" s="7" t="str">
        <x:v>Entrée prudente, geste d'inspection et retour au contrôle pour « Coordination de circonstance »; poser les sprites avant tout changement de caméra.</x:v>
      </x:c>
      <x:c r="K8" s="7" t="str">
        <x:v>Ordres brefs et moteur grave régulier.</x:v>
      </x:c>
      <x:c r="L8" s="7" t="str">
        <x:v>Séquence proposée INV/ALLIANCE/cinematic; mise à jour des états avant restitution du contrôle; bouton passer et relecture séparés.</x:v>
      </x:c>
      <x:c r="M8" s="7" t="str">
        <x:v>Conserver le raccord d’occupation d’Omega et le départ d’Aria; une victoire tactique locale ne permet pas de gagner une guerre contraire au comic.</x:v>
      </x:c>
      <x:c r="N8" s="7" t="str">
        <x:v>La version passée et la version regardée aboutissent au même placement, inventaire et objectif; les sous-titres ne sont pas coupés.</x:v>
      </x:c>
      <x:c r="O8" s="7" t="str">
        <x:v>INV-SC-ALLIANCE-MAIN</x:v>
      </x:c>
      <x:c r="P8" s="7" t="str">
        <x:v>Découpage original pour sprites 2D sur décor 3D.</x:v>
      </x:c>
      <x:c r="Q8" s="7" t="str"/>
      <x:c r="R8" s="21" t="str"/>
      <x:c r="S8" s="21" t="str"/>
    </x:row>
    <x:row r="9" ht="54" customHeight="1">
      <x:c r="A9" s="18" t="str">
        <x:v>INV-SC-AVERNUS-CINE</x:v>
      </x:c>
      <x:c r="B9" s="9" t="str">
        <x:v>Confinement à Avernus — raccord mis en scène</x:v>
      </x:c>
      <x:c r="C9" s="15" t="str">
        <x:v>Défini</x:v>
      </x:c>
      <x:c r="D9" s="16" t="str">
        <x:v>Extrapolation</x:v>
      </x:c>
      <x:c r="E9" s="16" t="str">
        <x:v>P1</x:v>
      </x:c>
      <x:c r="F9" s="9" t="str">
        <x:v>Largeur du couloir visible, caméra de contrôle séparée de la zone hostile.</x:v>
      </x:c>
      <x:c r="G9" s="9" t="str">
        <x:v>Sas → lecture des risques → action sur contrôle → départ.</x:v>
      </x:c>
      <x:c r="H9" s="9" t="str"/>
      <x:c r="I9" s="9" t="str">
        <x:v>Baies froides, grilles et panneaux de confinement lisibles.</x:v>
      </x:c>
      <x:c r="J9" s="9" t="str">
        <x:v>Entrée prudente, geste d'inspection et retour au contrôle pour « Confinement à Avernus »; poser les sprites avant tout changement de caméra.</x:v>
      </x:c>
      <x:c r="K9" s="9" t="str">
        <x:v>Pulsation de ventilation qui s’arrête après chaque fermeture.</x:v>
      </x:c>
      <x:c r="L9" s="9" t="str">
        <x:v>Séquence proposée INV/AVERNUS/cinematic; mise à jour des états avant restitution du contrôle; bouton passer et relecture séparés.</x:v>
      </x:c>
      <x:c r="M9" s="9" t="str">
        <x:v>Conserver le raccord d’occupation d’Omega et le départ d’Aria; une victoire tactique locale ne permet pas de gagner une guerre contraire au comic.</x:v>
      </x:c>
      <x:c r="N9" s="9" t="str">
        <x:v>La version passée et la version regardée aboutissent au même placement, inventaire et objectif; les sous-titres ne sont pas coupés.</x:v>
      </x:c>
      <x:c r="O9" s="9" t="str">
        <x:v>INV-SC-AVERNUS-MAIN</x:v>
      </x:c>
      <x:c r="P9" s="9" t="str">
        <x:v>Découpage original pour sprites 2D sur décor 3D.</x:v>
      </x:c>
      <x:c r="Q9" s="9" t="str"/>
      <x:c r="R9" s="20" t="str"/>
      <x:c r="S9" s="20" t="str"/>
    </x:row>
    <x:row r="10" ht="68" customHeight="1">
      <x:c r="A10" s="19" t="str">
        <x:v>INV-SC-RETURN-CINE</x:v>
      </x:c>
      <x:c r="B10" s="7" t="str">
        <x:v>Retour dans une station contestée — raccord mis en scène</x:v>
      </x:c>
      <x:c r="C10" s="15" t="str">
        <x:v>Défini</x:v>
      </x:c>
      <x:c r="D10" s="17" t="str">
        <x:v>Extrapolation</x:v>
      </x:c>
      <x:c r="E10" s="17" t="str">
        <x:v>P1</x:v>
      </x:c>
      <x:c r="F10" s="7" t="str">
        <x:v>Reprendre un point de vue déjà vu pour montrer le changement d’occupation.</x:v>
      </x:c>
      <x:c r="G10" s="7" t="str">
        <x:v>Constat → choix de route → défense mobile → contact.</x:v>
      </x:c>
      <x:c r="H10" s="7" t="str"/>
      <x:c r="I10" s="7" t="str">
        <x:v>Nouveaux checkpoints superposés au décor initial sans le reconstruire entièrement.</x:v>
      </x:c>
      <x:c r="J10" s="7" t="str">
        <x:v>Entrée prudente, geste d'inspection et retour au contrôle pour « Retour dans une station contestée »; poser les sprites avant tout changement de caméra.</x:v>
      </x:c>
      <x:c r="K10" s="7" t="str">
        <x:v>Radio militaire au premier plan et ancienne ambiance étouffée.</x:v>
      </x:c>
      <x:c r="L10" s="7" t="str">
        <x:v>Séquence proposée INV/RETURN/cinematic; mise à jour des états avant restitution du contrôle; bouton passer et relecture séparés.</x:v>
      </x:c>
      <x:c r="M10" s="7" t="str">
        <x:v>Conserver le raccord d’occupation d’Omega et le départ d’Aria; une victoire tactique locale ne permet pas de gagner une guerre contraire au comic.</x:v>
      </x:c>
      <x:c r="N10" s="7" t="str">
        <x:v>La version passée et la version regardée aboutissent au même placement, inventaire et objectif; les sous-titres ne sont pas coupés.</x:v>
      </x:c>
      <x:c r="O10" s="7" t="str">
        <x:v>INV-SC-RETURN-MAIN</x:v>
      </x:c>
      <x:c r="P10" s="7" t="str">
        <x:v>Découpage original pour sprites 2D sur décor 3D.</x:v>
      </x:c>
      <x:c r="Q10" s="7" t="str"/>
      <x:c r="R10" s="21" t="str"/>
      <x:c r="S10" s="21" t="str"/>
    </x:row>
    <x:row r="11" ht="54" customHeight="1">
      <x:c r="A11" s="18" t="str">
        <x:v>INV-SC-TRAP-CINE</x:v>
      </x:c>
      <x:c r="B11" s="9" t="str">
        <x:v>Piège d’Afterlife — raccord mis en scène</x:v>
      </x:c>
      <x:c r="C11" s="15" t="str">
        <x:v>Défini</x:v>
      </x:c>
      <x:c r="D11" s="16" t="str">
        <x:v>Extrapolation</x:v>
      </x:c>
      <x:c r="E11" s="16" t="str">
        <x:v>P1</x:v>
      </x:c>
      <x:c r="F11" s="9" t="str">
        <x:v>Vue large sur les deux accès, gros plan seulement après résolution du danger.</x:v>
      </x:c>
      <x:c r="G11" s="9" t="str">
        <x:v>Entrée → fermeture annoncée → menace de zone → issue narrative.</x:v>
      </x:c>
      <x:c r="H11" s="9" t="str"/>
      <x:c r="I11" s="9" t="str">
        <x:v>Centre dégagé et balcon servant de repère.</x:v>
      </x:c>
      <x:c r="J11" s="9" t="str">
        <x:v>Entrée prudente, geste d'inspection et retour au contrôle pour « Piège d’Afterlife »; poser les sprites avant tout changement de caméra.</x:v>
      </x:c>
      <x:c r="K11" s="9" t="str">
        <x:v>Coupe de la musique, mouvement lourd et alarmes brèves.</x:v>
      </x:c>
      <x:c r="L11" s="9" t="str">
        <x:v>Séquence proposée INV/TRAP/cinematic; mise à jour des états avant restitution du contrôle; bouton passer et relecture séparés.</x:v>
      </x:c>
      <x:c r="M11" s="9" t="str">
        <x:v>Conserver le raccord d’occupation d’Omega et le départ d’Aria; une victoire tactique locale ne permet pas de gagner une guerre contraire au comic.</x:v>
      </x:c>
      <x:c r="N11" s="9" t="str">
        <x:v>La version passée et la version regardée aboutissent au même placement, inventaire et objectif; les sous-titres ne sont pas coupés.</x:v>
      </x:c>
      <x:c r="O11" s="9" t="str">
        <x:v>INV-SC-TRAP-MAIN</x:v>
      </x:c>
      <x:c r="P11" s="9" t="str">
        <x:v>Découpage original pour sprites 2D sur décor 3D.</x:v>
      </x:c>
      <x:c r="Q11" s="9" t="str"/>
      <x:c r="R11" s="20" t="str"/>
      <x:c r="S11" s="20" t="str"/>
    </x:row>
    <x:row r="12" ht="54" customHeight="1">
      <x:c r="A12" s="19" t="str">
        <x:v>INV-SC-EXILE-CINE</x:v>
      </x:c>
      <x:c r="B12" s="7" t="str">
        <x:v>Ultimatum et départ — raccord mis en scène</x:v>
      </x:c>
      <x:c r="C12" s="15" t="str">
        <x:v>Défini</x:v>
      </x:c>
      <x:c r="D12" s="17" t="str">
        <x:v>Extrapolation</x:v>
      </x:c>
      <x:c r="E12" s="17" t="str">
        <x:v>P1</x:v>
      </x:c>
      <x:c r="F12" s="7" t="str">
        <x:v>Éloignement de la station, silhouette d’Aria immobile puis extinction du contrôle.</x:v>
      </x:c>
      <x:c r="G12" s="7" t="str">
        <x:v>Constat stratégique → décisions de préparation → départ fixé → raccord ME3.</x:v>
      </x:c>
      <x:c r="H12" s="7" t="str"/>
      <x:c r="I12" s="7" t="str">
        <x:v>Omega en arrière-plan, palette refroidie et espace négatif devant le personnage.</x:v>
      </x:c>
      <x:c r="J12" s="7" t="str">
        <x:v>Entrée prudente, geste d'inspection et retour au contrôle pour « Ultimatum et départ »; poser les sprites avant tout changement de caméra.</x:v>
      </x:c>
      <x:c r="K12" s="7" t="str">
        <x:v>Thème original interrompu, moteur lent et silence de fin.</x:v>
      </x:c>
      <x:c r="L12" s="7" t="str">
        <x:v>Séquence proposée INV/EXILE/cinematic; mise à jour des états avant restitution du contrôle; bouton passer et relecture séparés.</x:v>
      </x:c>
      <x:c r="M12" s="7" t="str">
        <x:v>Conserver le raccord d’occupation d’Omega et le départ d’Aria; une victoire tactique locale ne permet pas de gagner une guerre contraire au comic.</x:v>
      </x:c>
      <x:c r="N12" s="7" t="str">
        <x:v>La version passée et la version regardée aboutissent au même placement, inventaire et objectif; les sous-titres ne sont pas coupés.</x:v>
      </x:c>
      <x:c r="O12" s="7" t="str">
        <x:v>INV-SC-EXILE-MAIN</x:v>
      </x:c>
      <x:c r="P12" s="7" t="str">
        <x:v>Découpage original pour sprites 2D sur décor 3D.</x:v>
      </x:c>
      <x:c r="Q12" s="7" t="str"/>
      <x:c r="R12" s="21" t="str"/>
      <x:c r="S12" s="21" t="str"/>
    </x:row>
  </x:sheetData>
  <x:conditionalFormatting sqref="D7:D12">
    <x:cfRule type="cellIs" dxfId="52" priority="1" operator="equal">
      <x:formula>"À vérifier"</x:formula>
    </x:cfRule>
    <x:cfRule type="cellIs" dxfId="53" priority="2" operator="equal">
      <x:formula>"Extrapolation"</x:formula>
    </x:cfRule>
  </x:conditionalFormatting>
  <x:conditionalFormatting sqref="C7:C12">
    <x:cfRule type="cellIs" dxfId="54" priority="3" operator="equal">
      <x:formula>"Validé"</x:formula>
    </x:cfRule>
  </x:conditionalFormatting>
  <x:conditionalFormatting sqref="E7:E12">
    <x:cfRule type="cellIs" dxfId="5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e8b3fdf001504c90"/>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Invasion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INV-KIT-OMEGA</x:v>
      </x:c>
      <x:c r="B7" s="9" t="str">
        <x:v>Armement de défense local</x:v>
      </x:c>
      <x:c r="C7" s="15" t="str">
        <x:v>Défini</x:v>
      </x:c>
      <x:c r="D7" s="16" t="str">
        <x:v>Extrapolation</x:v>
      </x:c>
      <x:c r="E7" s="16" t="str">
        <x:v>P1</x:v>
      </x:c>
      <x:c r="F7" s="9" t="str">
        <x:v>Profils d’armes à choisir après référence visuelle des gangs.</x:v>
      </x:c>
      <x:c r="G7" s="9" t="str">
        <x:v>Différencier tir de suppression et tir précis.</x:v>
      </x:c>
      <x:c r="H7" s="9" t="str">
        <x:v>Deux profils proposés; coût ATB et portée affichés, aucune marque canon ajoutée.</x:v>
      </x:c>
      <x:c r="I7" s="9" t="str">
        <x:v>Armes usées de silhouettes différentes.</x:v>
      </x:c>
      <x:c r="J7" s="9" t="str">
        <x:v>Visée, recul court et changement de couvert.</x:v>
      </x:c>
      <x:c r="K7" s="9" t="str">
        <x:v>Confirmation audiovisuelle originale, doublée d’un libellé.</x:v>
      </x:c>
      <x:c r="L7" s="9" t="str">
        <x:v>Spécification de ressource INV/kit/OMEGA; données séparées du moteur, interface de coût et états d'épuisement prévus.</x:v>
      </x:c>
      <x:c r="M7" s="9" t="str">
        <x:v>Conserver le raccord d’occupation d’Omega et le départ d’Aria; une victoire tactique locale ne permet pas de gagner une guerre contraire au comic.</x:v>
      </x:c>
      <x:c r="N7" s="9" t="str">
        <x:v>Chaque profil a un usage distinct et une contre-mesure visible.</x:v>
      </x:c>
      <x:c r="O7" s="9" t="str"/>
      <x:c r="P7" s="9" t="str">
        <x:v>Création de gameplay et direction visuelle originales; modèle exact à vérifier si une arme source est évoquée.</x:v>
      </x:c>
      <x:c r="Q7" s="9" t="str"/>
      <x:c r="R7" s="20" t="str"/>
      <x:c r="S7" s="20"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c690f13bf0cb4861"/>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Invasion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INV-KIT-BARRIER</x:v>
      </x:c>
      <x:c r="B7" s="9" t="str">
        <x:v>Dispositif de fermeture locale</x:v>
      </x:c>
      <x:c r="C7" s="15" t="str">
        <x:v>Défini</x:v>
      </x:c>
      <x:c r="D7" s="16" t="str">
        <x:v>Extrapolation</x:v>
      </x:c>
      <x:c r="E7" s="16" t="str">
        <x:v>P1</x:v>
      </x:c>
      <x:c r="F7" s="9" t="str">
        <x:v>Équipement de terrain original du prototype.</x:v>
      </x:c>
      <x:c r="G7" s="9" t="str">
        <x:v>Isoler un couloir pour un repli.</x:v>
      </x:c>
      <x:c r="H7" s="9" t="str">
        <x:v>Pose sur ancrages autorisés; refus explicite si elle bloquerait toute sortie.</x:v>
      </x:c>
      <x:c r="I7" s="9" t="str">
        <x:v>Boîtier et lignes de fermeture sobres.</x:v>
      </x:c>
      <x:c r="J7" s="9" t="str">
        <x:v>Pose, activation et retrait.</x:v>
      </x:c>
      <x:c r="K7" s="9" t="str">
        <x:v>Confirmation audiovisuelle originale, doublée d’un libellé.</x:v>
      </x:c>
      <x:c r="L7" s="9" t="str">
        <x:v>Spécification de ressource INV/kit/BARRIER; données séparées du moteur, interface de coût et états d'épuisement prévus.</x:v>
      </x:c>
      <x:c r="M7" s="9" t="str">
        <x:v>Conserver le raccord d’occupation d’Omega et le départ d’Aria; une victoire tactique locale ne permet pas de gagner une guerre contraire au comic.</x:v>
      </x:c>
      <x:c r="N7" s="9" t="str">
        <x:v>La navigation du groupe reste valide après activation.</x:v>
      </x:c>
      <x:c r="O7" s="9" t="str"/>
      <x:c r="P7" s="9" t="str">
        <x:v>Création de gameplay et direction visuelle originales; modèle exact à vérifier si une arme source est évoquée.</x:v>
      </x:c>
      <x:c r="Q7" s="9" t="str"/>
      <x:c r="R7" s="20" t="str"/>
      <x:c r="S7" s="20" t="str"/>
    </x:row>
    <x:row r="8" ht="54" customHeight="1">
      <x:c r="A8" s="19" t="str">
        <x:v>INV-KIT-EXPOSURE</x:v>
      </x:c>
      <x:c r="B8" s="7" t="str">
        <x:v>Indicateur d’exposition abstrait</x:v>
      </x:c>
      <x:c r="C8" s="15" t="str">
        <x:v>Défini</x:v>
      </x:c>
      <x:c r="D8" s="17" t="str">
        <x:v>Extrapolation</x:v>
      </x:c>
      <x:c r="E8" s="17" t="str">
        <x:v>P1</x:v>
      </x:c>
      <x:c r="F8" s="7" t="str">
        <x:v>Interface de combat originale, sans valeur médicale canon.</x:v>
      </x:c>
      <x:c r="G8" s="7" t="str">
        <x:v>Rendre la menace compréhensible.</x:v>
      </x:c>
      <x:c r="H8" s="7" t="str">
        <x:v>Trois états qualitatifs proposés : libre, exposé, critique; récupération uniquement selon les règles du scénario.</x:v>
      </x:c>
      <x:c r="I8" s="7" t="str">
        <x:v>Icône segmentée plus texte.</x:v>
      </x:c>
      <x:c r="J8" s="7" t="str">
        <x:v>Transition douce entre états.</x:v>
      </x:c>
      <x:c r="K8" s="7" t="str">
        <x:v>Confirmation audiovisuelle originale, doublée d’un libellé.</x:v>
      </x:c>
      <x:c r="L8" s="7" t="str">
        <x:v>Spécification de ressource INV/kit/EXPOSURE; données séparées du moteur, interface de coût et états d'épuisement prévus.</x:v>
      </x:c>
      <x:c r="M8" s="7" t="str">
        <x:v>Conserver le raccord d’occupation d’Omega et le départ d’Aria; une victoire tactique locale ne permet pas de gagner une guerre contraire au comic.</x:v>
      </x:c>
      <x:c r="N8" s="7" t="str">
        <x:v>Le joueur voit la cause de chaque changement et les moyens de prévention.</x:v>
      </x:c>
      <x:c r="O8" s="7" t="str"/>
      <x:c r="P8" s="7" t="str">
        <x:v>Création de gameplay et direction visuelle originales; modèle exact à vérifier si une arme source est évoquée.</x:v>
      </x:c>
      <x:c r="Q8" s="7" t="str"/>
      <x:c r="R8" s="21" t="str"/>
      <x:c r="S8" s="21" t="str"/>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5fcf70e4f4274fde"/>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Invasion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INV-KIT-ARIA</x:v>
      </x:c>
      <x:c r="B7" s="9" t="str">
        <x:v>Projection biotique proposée d’Aria</x:v>
      </x:c>
      <x:c r="C7" s="15" t="str">
        <x:v>Défini</x:v>
      </x:c>
      <x:c r="D7" s="16" t="str">
        <x:v>Extrapolation</x:v>
      </x:c>
      <x:c r="E7" s="16" t="str">
        <x:v>P1</x:v>
      </x:c>
      <x:c r="F7" s="9" t="str">
        <x:v>Commande de contrôle originale liée à son rôle.</x:v>
      </x:c>
      <x:c r="G7" s="9" t="str">
        <x:v>Créer une fenêtre de repli.</x:v>
      </x:c>
      <x:c r="H7" s="9" t="str">
        <x:v>Projeter une cible compatible vers un emplacement libre; prévisualiser la trajectoire et protéger les zones civiles.</x:v>
      </x:c>
      <x:c r="I7" s="9" t="str">
        <x:v>Arc violet doublé d’une flèche.</x:v>
      </x:c>
      <x:c r="J7" s="9" t="str">
        <x:v>Ancrage des pieds, geste large et retour.</x:v>
      </x:c>
      <x:c r="K7" s="9" t="str">
        <x:v>Confirmation audiovisuelle originale, doublée d’un libellé.</x:v>
      </x:c>
      <x:c r="L7" s="9" t="str">
        <x:v>Spécification de ressource INV/kit/ARIA; données séparées du moteur, interface de coût et états d'épuisement prévus.</x:v>
      </x:c>
      <x:c r="M7" s="9" t="str">
        <x:v>Conserver le raccord d’occupation d’Omega et le départ d’Aria; une victoire tactique locale ne permet pas de gagner une guerre contraire au comic.</x:v>
      </x:c>
      <x:c r="N7" s="9" t="str">
        <x:v>Aucune cible n’est projetée à travers un mur ni hors de la carte.</x:v>
      </x:c>
      <x:c r="O7" s="9" t="str"/>
      <x:c r="P7" s="9" t="str">
        <x:v>Création de gameplay et direction visuelle originales; modèle exact à vérifier si une arme source est évoquée.</x:v>
      </x:c>
      <x:c r="Q7" s="9" t="str"/>
      <x:c r="R7" s="20" t="str"/>
      <x:c r="S7" s="20"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a5d4abc93c6c46c8"/>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Invasion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INV-ALLY-ARIA</x:v>
      </x:c>
      <x:c r="B7" s="9" t="str">
        <x:v>Repli sous pression</x:v>
      </x:c>
      <x:c r="C7" s="15" t="str">
        <x:v>Défini</x:v>
      </x:c>
      <x:c r="D7" s="16" t="str">
        <x:v>Extrapolation</x:v>
      </x:c>
      <x:c r="E7" s="16" t="str">
        <x:v>P1</x:v>
      </x:c>
      <x:c r="F7" s="9" t="str">
        <x:v>Action de groupe originale pour Aria T’Loak.</x:v>
      </x:c>
      <x:c r="G7" s="9" t="str">
        <x:v>Cheffe de groupe; contrôle d’espace et ordres de repli.</x:v>
      </x:c>
      <x:c r="H7" s="9" t="str">
        <x:v>Proposition : réserver une action qui protège la traversée d’un allié entre deux couverts; ne soigne pas une infection.</x:v>
      </x:c>
      <x:c r="I7" s="9" t="str">
        <x:v>Couloir de retrait bordé d’un contour violet et d’un symbole de bouclier.</x:v>
      </x:c>
      <x:c r="J7" s="9" t="str">
        <x:v>Appui ferme, poussée large, geste d’ordre et recul contrôlé.</x:v>
      </x:c>
      <x:c r="K7" s="9" t="str">
        <x:v>Confirmation courte doublée d’un pictogramme; événement silencieux visible dans le journal de combat.</x:v>
      </x:c>
      <x:c r="L7" s="9" t="str">
        <x:v>Commande ATB proposée INV/ARIA/assist; résoudre cible, coût proposé, contre-mesure et annulation avant les dégâts.</x:v>
      </x:c>
      <x:c r="M7" s="9" t="str">
        <x:v>Conserver le raccord d’occupation d’Omega et le départ d’Aria; une victoire tactique locale ne permet pas de gagner une guerre contraire au comic.</x:v>
      </x:c>
      <x:c r="N7" s="9" t="str">
        <x:v>La commande indique son coût avant validation, échoue proprement si la cible devient invalide et ne déclenche pas une action canon supplémentaire.</x:v>
      </x:c>
      <x:c r="O7" s="9" t="str">
        <x:v>INV-ACT-ARIA, INV-ANI-ARIA</x:v>
      </x:c>
      <x:c r="P7" s="9" t="str">
        <x:v>Adaptation originale du rôle; pas un pouvoir officiel du comic.</x:v>
      </x:c>
      <x:c r="Q7" s="9" t="str"/>
      <x:c r="R7" s="20" t="str"/>
      <x:c r="S7" s="20" t="str"/>
    </x:row>
    <x:row r="8" ht="54" customHeight="1">
      <x:c r="A8" s="19" t="str">
        <x:v>INV-ALLY-DEFENDERS</x:v>
      </x:c>
      <x:c r="B8" s="7" t="str">
        <x:v>Tenir le passage</x:v>
      </x:c>
      <x:c r="C8" s="15" t="str">
        <x:v>Défini</x:v>
      </x:c>
      <x:c r="D8" s="17" t="str">
        <x:v>Extrapolation</x:v>
      </x:c>
      <x:c r="E8" s="17" t="str">
        <x:v>P1</x:v>
      </x:c>
      <x:c r="F8" s="7" t="str">
        <x:v>Action de groupe originale pour Défenseurs d’Omega.</x:v>
      </x:c>
      <x:c r="G8" s="7" t="str">
        <x:v>Soutien collectif original; rôles limités à la station.</x:v>
      </x:c>
      <x:c r="H8" s="7" t="str">
        <x:v>Une réserve de soutien retarde un groupe hostile sur un seul accès; afficher clairement qu’elle est temporaire.</x:v>
      </x:c>
      <x:c r="I8" s="7" t="str">
        <x:v>Pictogramme du passage et barre de préparation proposée.</x:v>
      </x:c>
      <x:c r="J8" s="7" t="str">
        <x:v>Port de matériel, couverture et appel au repli.</x:v>
      </x:c>
      <x:c r="K8" s="7" t="str">
        <x:v>Confirmation courte doublée d’un pictogramme; événement silencieux visible dans le journal de combat.</x:v>
      </x:c>
      <x:c r="L8" s="7" t="str">
        <x:v>Commande ATB proposée INV/DEFENDERS/assist; résoudre cible, coût proposé, contre-mesure et annulation avant les dégâts.</x:v>
      </x:c>
      <x:c r="M8" s="7" t="str">
        <x:v>Conserver le raccord d’occupation d’Omega et le départ d’Aria; une victoire tactique locale ne permet pas de gagner une guerre contraire au comic.</x:v>
      </x:c>
      <x:c r="N8" s="7" t="str">
        <x:v>La commande indique son coût avant validation, échoue proprement si la cible devient invalide et ne déclenche pas une action canon supplémentaire.</x:v>
      </x:c>
      <x:c r="O8" s="7" t="str">
        <x:v>INV-ACT-DEFENDERS, INV-ANI-DEFENDERS</x:v>
      </x:c>
      <x:c r="P8" s="7" t="str">
        <x:v>Adaptation originale du rôle; pas un pouvoir officiel du comic.</x:v>
      </x:c>
      <x:c r="Q8" s="7" t="str"/>
      <x:c r="R8" s="21" t="str"/>
      <x:c r="S8" s="21"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082285b889394afc"/>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Invasion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INV-EN-ADJ-M1</x:v>
      </x:c>
      <x:c r="B7" s="9" t="str">
        <x:v>Bond de contamination — proposition</x:v>
      </x:c>
      <x:c r="C7" s="15" t="str">
        <x:v>Défini</x:v>
      </x:c>
      <x:c r="D7" s="16" t="str">
        <x:v>Extrapolation</x:v>
      </x:c>
      <x:c r="E7" s="16" t="str">
        <x:v>P1</x:v>
      </x:c>
      <x:c r="F7" s="9" t="str">
        <x:v>Pattern original de saut de zone.</x:v>
      </x:c>
      <x:c r="G7" s="9" t="str">
        <x:v>Pression rapprochée et contrôle d’exposition.</x:v>
      </x:c>
      <x:c r="H7" s="9" t="str">
        <x:v>Marquer la zone puis laisser une action de déplacement; une protection interrompt seulement le contact local.</x:v>
      </x:c>
      <x:c r="I7" s="9" t="str">
        <x:v>Cercle hachuré et corps accroupi.</x:v>
      </x:c>
      <x:c r="J7" s="9" t="str">
        <x:v>Préparation ramassée, bond lisible et récupération lourde.</x:v>
      </x:c>
      <x:c r="K7" s="9" t="str">
        <x:v>Grondement original avec pictogramme de menace.</x:v>
      </x:c>
      <x:c r="L7" s="9" t="str">
        <x:v>Action proposée INV/ADJ/1; étapes annonce → attente ATB → validation cible → résolution; annulation explicite si neutralisé.</x:v>
      </x:c>
      <x:c r="M7" s="9" t="str">
        <x:v>Conserver le raccord d’occupation d’Omega et le départ d’Aria; une victoire tactique locale ne permet pas de gagner une guerre contraire au comic.</x:v>
      </x:c>
      <x:c r="N7" s="9" t="str">
        <x:v>Le joueur peut reconnaître la préparation et employer la contre-mesure avant la résolution; aucune attaque invisible ou imparable hors séquence annoncée.</x:v>
      </x:c>
      <x:c r="O7" s="9" t="str">
        <x:v>INV-EN-ADJ</x:v>
      </x:c>
      <x:c r="P7" s="9" t="str">
        <x:v>Pattern original; pas de valeur numérique canon.</x:v>
      </x:c>
      <x:c r="Q7" s="9" t="str"/>
      <x:c r="R7" s="20" t="str"/>
      <x:c r="S7" s="20" t="str"/>
    </x:row>
    <x:row r="8" ht="54" customHeight="1">
      <x:c r="A8" s="19" t="str">
        <x:v>INV-EN-ADJ-M2</x:v>
      </x:c>
      <x:c r="B8" s="7" t="str">
        <x:v>Pression de proximité — proposition</x:v>
      </x:c>
      <x:c r="C8" s="15" t="str">
        <x:v>Défini</x:v>
      </x:c>
      <x:c r="D8" s="17" t="str">
        <x:v>Extrapolation</x:v>
      </x:c>
      <x:c r="E8" s="17" t="str">
        <x:v>P1</x:v>
      </x:c>
      <x:c r="F8" s="7" t="str">
        <x:v>Zone de danger originale.</x:v>
      </x:c>
      <x:c r="G8" s="7" t="str">
        <x:v>Pression rapprochée et contrôle d’exposition.</x:v>
      </x:c>
      <x:c r="H8" s="7" t="str">
        <x:v>Quitter le voisinage ou repousser avant saturation; aucune jauge n’est une mesure biologique canon.</x:v>
      </x:c>
      <x:c r="I8" s="7" t="str">
        <x:v>Anneau segmenté et état textuel exposition.</x:v>
      </x:c>
      <x:c r="J8" s="7" t="str">
        <x:v>Préparation ramassée, bond lisible et récupération lourde.</x:v>
      </x:c>
      <x:c r="K8" s="7" t="str">
        <x:v>Grondement original avec pictogramme de menace.</x:v>
      </x:c>
      <x:c r="L8" s="7" t="str">
        <x:v>Action proposée INV/ADJ/2; étapes annonce → attente ATB → validation cible → résolution; annulation explicite si neutralisé.</x:v>
      </x:c>
      <x:c r="M8" s="7" t="str">
        <x:v>Conserver le raccord d’occupation d’Omega et le départ d’Aria; une victoire tactique locale ne permet pas de gagner une guerre contraire au comic.</x:v>
      </x:c>
      <x:c r="N8" s="7" t="str">
        <x:v>Le joueur peut reconnaître la préparation et employer la contre-mesure avant la résolution; aucune attaque invisible ou imparable hors séquence annoncée.</x:v>
      </x:c>
      <x:c r="O8" s="7" t="str">
        <x:v>INV-EN-ADJ</x:v>
      </x:c>
      <x:c r="P8" s="7" t="str">
        <x:v>Pattern original; pas de valeur numérique canon.</x:v>
      </x:c>
      <x:c r="Q8" s="7" t="str"/>
      <x:c r="R8" s="21" t="str"/>
      <x:c r="S8" s="21" t="str"/>
    </x:row>
    <x:row r="9" ht="54" customHeight="1">
      <x:c r="A9" s="18" t="str">
        <x:v>INV-EN-CERBERUS-M1</x:v>
      </x:c>
      <x:c r="B9" s="9" t="str">
        <x:v>Couloir interdit</x:v>
      </x:c>
      <x:c r="C9" s="15" t="str">
        <x:v>Défini</x:v>
      </x:c>
      <x:c r="D9" s="16" t="str">
        <x:v>Extrapolation</x:v>
      </x:c>
      <x:c r="E9" s="16" t="str">
        <x:v>P1</x:v>
      </x:c>
      <x:c r="F9" s="9" t="str">
        <x:v>Pattern original de suppression.</x:v>
      </x:c>
      <x:c r="G9" s="9" t="str">
        <x:v>Opposition militaire structurée.</x:v>
      </x:c>
      <x:c r="H9" s="9" t="str">
        <x:v>Couvert ou interruption de l’opérateur rompt la ligne; la zone ne traverse pas les murs.</x:v>
      </x:c>
      <x:c r="I9" s="9" t="str">
        <x:v>Bande au sol avec symbole de tir.</x:v>
      </x:c>
      <x:c r="J9" s="9" t="str">
        <x:v>Appui au couvert et changement de position annoncé.</x:v>
      </x:c>
      <x:c r="K9" s="9" t="str">
        <x:v>Radio filtrée et tirs courts.</x:v>
      </x:c>
      <x:c r="L9" s="9" t="str">
        <x:v>Action proposée INV/CERBERUS/1; étapes annonce → attente ATB → validation cible → résolution; annulation explicite si neutralisé.</x:v>
      </x:c>
      <x:c r="M9" s="9" t="str">
        <x:v>Conserver le raccord d’occupation d’Omega et le départ d’Aria; une victoire tactique locale ne permet pas de gagner une guerre contraire au comic.</x:v>
      </x:c>
      <x:c r="N9" s="9" t="str">
        <x:v>Le joueur peut reconnaître la préparation et employer la contre-mesure avant la résolution; aucune attaque invisible ou imparable hors séquence annoncée.</x:v>
      </x:c>
      <x:c r="O9" s="9" t="str">
        <x:v>INV-EN-CERBERUS</x:v>
      </x:c>
      <x:c r="P9" s="9" t="str">
        <x:v>Pattern original; pas de valeur numérique canon.</x:v>
      </x:c>
      <x:c r="Q9" s="9" t="str"/>
      <x:c r="R9" s="20" t="str"/>
      <x:c r="S9" s="20" t="str"/>
    </x:row>
    <x:row r="10" ht="54" customHeight="1">
      <x:c r="A10" s="19" t="str">
        <x:v>INV-EN-CERBERUS-M2</x:v>
      </x:c>
      <x:c r="B10" s="7" t="str">
        <x:v>Avancée en binôme</x:v>
      </x:c>
      <x:c r="C10" s="15" t="str">
        <x:v>Défini</x:v>
      </x:c>
      <x:c r="D10" s="17" t="str">
        <x:v>Extrapolation</x:v>
      </x:c>
      <x:c r="E10" s="17" t="str">
        <x:v>P1</x:v>
      </x:c>
      <x:c r="F10" s="7" t="str">
        <x:v>Pattern original de progression.</x:v>
      </x:c>
      <x:c r="G10" s="7" t="str">
        <x:v>Opposition militaire structurée.</x:v>
      </x:c>
      <x:c r="H10" s="7" t="str">
        <x:v>Une unité se déplace pendant que l’autre couvre; exploiter le changement de rôle.</x:v>
      </x:c>
      <x:c r="I10" s="7" t="str">
        <x:v>Deux marqueurs reliés.</x:v>
      </x:c>
      <x:c r="J10" s="7" t="str">
        <x:v>Appui au couvert et changement de position annoncé.</x:v>
      </x:c>
      <x:c r="K10" s="7" t="str">
        <x:v>Radio filtrée et tirs courts.</x:v>
      </x:c>
      <x:c r="L10" s="7" t="str">
        <x:v>Action proposée INV/CERBERUS/2; étapes annonce → attente ATB → validation cible → résolution; annulation explicite si neutralisé.</x:v>
      </x:c>
      <x:c r="M10" s="7" t="str">
        <x:v>Conserver le raccord d’occupation d’Omega et le départ d’Aria; une victoire tactique locale ne permet pas de gagner une guerre contraire au comic.</x:v>
      </x:c>
      <x:c r="N10" s="7" t="str">
        <x:v>Le joueur peut reconnaître la préparation et employer la contre-mesure avant la résolution; aucune attaque invisible ou imparable hors séquence annoncée.</x:v>
      </x:c>
      <x:c r="O10" s="7" t="str">
        <x:v>INV-EN-CERBERUS</x:v>
      </x:c>
      <x:c r="P10" s="7" t="str">
        <x:v>Pattern original; pas de valeur numérique canon.</x:v>
      </x:c>
      <x:c r="Q10" s="7" t="str"/>
      <x:c r="R10" s="21" t="str"/>
      <x:c r="S10" s="21" t="str"/>
    </x:row>
    <x:row r="11" ht="54" customHeight="1">
      <x:c r="A11" s="18" t="str">
        <x:v>INV-EN-BOARDING-M1</x:v>
      </x:c>
      <x:c r="B11" s="9" t="str">
        <x:v>Fermeture de sas</x:v>
      </x:c>
      <x:c r="C11" s="15" t="str">
        <x:v>Défini</x:v>
      </x:c>
      <x:c r="D11" s="16" t="str">
        <x:v>Extrapolation</x:v>
      </x:c>
      <x:c r="E11" s="16" t="str">
        <x:v>P1</x:v>
      </x:c>
      <x:c r="F11" s="9" t="str">
        <x:v>Action originale de terrain.</x:v>
      </x:c>
      <x:c r="G11" s="9" t="str">
        <x:v>Rencontre locale ajoutée, pas unité nommée officielle.</x:v>
      </x:c>
      <x:c r="H11" s="9" t="str">
        <x:v>Interrompre la commande ou choisir la sortie secondaire avant fermeture.</x:v>
      </x:c>
      <x:c r="I11" s="9" t="str">
        <x:v>Panneau et porte clignotent en alternance.</x:v>
      </x:c>
      <x:c r="J11" s="9" t="str">
        <x:v>Geste vers la console, maintien puis déplacement.</x:v>
      </x:c>
      <x:c r="K11" s="9" t="str">
        <x:v>Verrou de porte et confirmation radio originale.</x:v>
      </x:c>
      <x:c r="L11" s="9" t="str">
        <x:v>Action proposée INV/BOARDING/1; étapes annonce → attente ATB → validation cible → résolution; annulation explicite si neutralisé.</x:v>
      </x:c>
      <x:c r="M11" s="9" t="str">
        <x:v>Conserver le raccord d’occupation d’Omega et le départ d’Aria; une victoire tactique locale ne permet pas de gagner une guerre contraire au comic.</x:v>
      </x:c>
      <x:c r="N11" s="9" t="str">
        <x:v>Le joueur peut reconnaître la préparation et employer la contre-mesure avant la résolution; aucune attaque invisible ou imparable hors séquence annoncée.</x:v>
      </x:c>
      <x:c r="O11" s="9" t="str">
        <x:v>INV-EN-BOARDING</x:v>
      </x:c>
      <x:c r="P11" s="9" t="str">
        <x:v>Pattern original; pas de valeur numérique canon.</x:v>
      </x:c>
      <x:c r="Q11" s="9" t="str"/>
      <x:c r="R11" s="20" t="str"/>
      <x:c r="S11" s="20" t="str"/>
    </x:row>
    <x:row r="12" ht="54" customHeight="1">
      <x:c r="A12" s="19" t="str">
        <x:v>INV-EN-BOARDING-M2</x:v>
      </x:c>
      <x:c r="B12" s="7" t="str">
        <x:v>Inspection de refuge</x:v>
      </x:c>
      <x:c r="C12" s="15" t="str">
        <x:v>Défini</x:v>
      </x:c>
      <x:c r="D12" s="17" t="str">
        <x:v>Extrapolation</x:v>
      </x:c>
      <x:c r="E12" s="17" t="str">
        <x:v>P1</x:v>
      </x:c>
      <x:c r="F12" s="7" t="str">
        <x:v>Pression originale sur une zone.</x:v>
      </x:c>
      <x:c r="G12" s="7" t="str">
        <x:v>Rencontre locale ajoutée, pas unité nommée officielle.</x:v>
      </x:c>
      <x:c r="H12" s="7" t="str">
        <x:v>Évacuer les figurants visibles ou détourner le groupe; pas de bilan civil officiel calculé.</x:v>
      </x:c>
      <x:c r="I12" s="7" t="str">
        <x:v>Cône de recherche et symbole refuge.</x:v>
      </x:c>
      <x:c r="J12" s="7" t="str">
        <x:v>Geste vers la console, maintien puis déplacement.</x:v>
      </x:c>
      <x:c r="K12" s="7" t="str">
        <x:v>Verrou de porte et confirmation radio originale.</x:v>
      </x:c>
      <x:c r="L12" s="7" t="str">
        <x:v>Action proposée INV/BOARDING/2; étapes annonce → attente ATB → validation cible → résolution; annulation explicite si neutralisé.</x:v>
      </x:c>
      <x:c r="M12" s="7" t="str">
        <x:v>Conserver le raccord d’occupation d’Omega et le départ d’Aria; une victoire tactique locale ne permet pas de gagner une guerre contraire au comic.</x:v>
      </x:c>
      <x:c r="N12" s="7" t="str">
        <x:v>Le joueur peut reconnaître la préparation et employer la contre-mesure avant la résolution; aucune attaque invisible ou imparable hors séquence annoncée.</x:v>
      </x:c>
      <x:c r="O12" s="7" t="str">
        <x:v>INV-EN-BOARDING</x:v>
      </x:c>
      <x:c r="P12" s="7" t="str">
        <x:v>Pattern original; pas de valeur numérique canon.</x:v>
      </x:c>
      <x:c r="Q12" s="7" t="str"/>
      <x:c r="R12" s="21" t="str"/>
      <x:c r="S12" s="21"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a044642b73c745f8"/>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Invasion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INV-ANI-ARIA</x:v>
      </x:c>
      <x:c r="B7" s="9" t="str">
        <x:v>Aria T’Loak — jeu de poses</x:v>
      </x:c>
      <x:c r="C7" s="15" t="str">
        <x:v>Défini</x:v>
      </x:c>
      <x:c r="D7" s="16" t="str">
        <x:v>Extrapolation</x:v>
      </x:c>
      <x:c r="E7" s="16" t="str">
        <x:v>P1</x:v>
      </x:c>
      <x:c r="F7" s="9" t="str">
        <x:v>Définir les transitions propres au rôle de Aria T’Loak.</x:v>
      </x:c>
      <x:c r="G7" s="9" t="str">
        <x:v>Cheffe de groupe; contrôle d’espace et ordres de repli.</x:v>
      </x:c>
      <x:c r="H7" s="9" t="str"/>
      <x:c r="I7" s="9" t="str">
        <x:v>Silhouette asari tendue, veste de combat et accents violets; tenue à vérifier.</x:v>
      </x:c>
      <x:c r="J7" s="9" t="str">
        <x:v>Appui ferme, poussée large, geste d’ordre et recul contrôlé.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INV/ARIA; paramètres direction, locomotion, accessoire et interruption.</x:v>
      </x:c>
      <x:c r="M7" s="9" t="str">
        <x:v>Conserver le raccord d’occupation d’Omega et le départ d’Aria; une victoire tactique locale ne permet pas de gagner une guerre contraire au comic.</x:v>
      </x:c>
      <x:c r="N7" s="9" t="str">
        <x:v>Un enchaînement déplacement → interaction → interruption → reprise conserve le pivot et les accessoires de Aria T’Loak.</x:v>
      </x:c>
      <x:c r="O7" s="9" t="str">
        <x:v>INV-ACT-ARIA, INV-SPR-ARIA</x:v>
      </x:c>
      <x:c r="P7" s="9" t="str">
        <x:v>Conception originale, aucune cadence extraite du comic.</x:v>
      </x:c>
      <x:c r="Q7" s="9" t="str"/>
      <x:c r="R7" s="20" t="str"/>
      <x:c r="S7" s="20" t="str"/>
    </x:row>
    <x:row r="8" ht="68" customHeight="1">
      <x:c r="A8" s="19" t="str">
        <x:v>INV-ANI-PETROVSKY</x:v>
      </x:c>
      <x:c r="B8" s="7" t="str">
        <x:v>Oleg Petrovsky — jeu de poses</x:v>
      </x:c>
      <x:c r="C8" s="15" t="str">
        <x:v>Défini</x:v>
      </x:c>
      <x:c r="D8" s="17" t="str">
        <x:v>Extrapolation</x:v>
      </x:c>
      <x:c r="E8" s="17" t="str">
        <x:v>P1</x:v>
      </x:c>
      <x:c r="F8" s="7" t="str">
        <x:v>Définir les transitions propres au rôle de Oleg Petrovsky.</x:v>
      </x:c>
      <x:c r="G8" s="7" t="str">
        <x:v>Allié circonstanciel puis adversaire stratégique; décisions à distance.</x:v>
      </x:c>
      <x:c r="H8" s="7" t="str"/>
      <x:c r="I8" s="7" t="str">
        <x:v>Officier humain au port formel, uniforme clair/sombre et décor de passerelle.</x:v>
      </x:c>
      <x:c r="J8" s="7" t="str">
        <x:v>Observation d’une carte, ordre bref et mains jointes.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INV/PETROVSKY; paramètres direction, locomotion, accessoire et interruption.</x:v>
      </x:c>
      <x:c r="M8" s="7" t="str">
        <x:v>Conserver le raccord d’occupation d’Omega et le départ d’Aria; une victoire tactique locale ne permet pas de gagner une guerre contraire au comic.</x:v>
      </x:c>
      <x:c r="N8" s="7" t="str">
        <x:v>Un enchaînement déplacement → interaction → interruption → reprise conserve le pivot et les accessoires de Oleg Petrovsky.</x:v>
      </x:c>
      <x:c r="O8" s="7" t="str">
        <x:v>INV-ACT-PETROVSKY, INV-SPR-PETROVSKY</x:v>
      </x:c>
      <x:c r="P8" s="7" t="str">
        <x:v>Conception originale, aucune cadence extraite du comic.</x:v>
      </x:c>
      <x:c r="Q8" s="7" t="str"/>
      <x:c r="R8" s="21" t="str"/>
      <x:c r="S8" s="21" t="str"/>
    </x:row>
    <x:row r="9" ht="68" customHeight="1">
      <x:c r="A9" s="18" t="str">
        <x:v>INV-ANI-ASHE</x:v>
      </x:c>
      <x:c r="B9" s="9" t="str">
        <x:v>Raymond Ashe — jeu de poses</x:v>
      </x:c>
      <x:c r="C9" s="15" t="str">
        <x:v>Défini</x:v>
      </x:c>
      <x:c r="D9" s="16" t="str">
        <x:v>Extrapolation</x:v>
      </x:c>
      <x:c r="E9" s="16" t="str">
        <x:v>P1</x:v>
      </x:c>
      <x:c r="F9" s="9" t="str">
        <x:v>Définir les transitions propres au rôle de Raymond Ashe.</x:v>
      </x:c>
      <x:c r="G9" s="9" t="str">
        <x:v>Figure de pression militaire, distincte de la prudence du général.</x:v>
      </x:c>
      <x:c r="H9" s="9" t="str"/>
      <x:c r="I9" s="9" t="str">
        <x:v>Officier plus anguleux et posture avancée; grades exacts à contrôler.</x:v>
      </x:c>
      <x:c r="J9" s="9" t="str">
        <x:v>Pointage énergique, mouvement brusque et activation d’un panneau.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INV/ASHE; paramètres direction, locomotion, accessoire et interruption.</x:v>
      </x:c>
      <x:c r="M9" s="9" t="str">
        <x:v>Conserver le raccord d’occupation d’Omega et le départ d’Aria; une victoire tactique locale ne permet pas de gagner une guerre contraire au comic.</x:v>
      </x:c>
      <x:c r="N9" s="9" t="str">
        <x:v>Un enchaînement déplacement → interaction → interruption → reprise conserve le pivot et les accessoires de Raymond Ashe.</x:v>
      </x:c>
      <x:c r="O9" s="9" t="str">
        <x:v>INV-ACT-ASHE, INV-SPR-ASHE</x:v>
      </x:c>
      <x:c r="P9" s="9" t="str">
        <x:v>Conception originale, aucune cadence extraite du comic.</x:v>
      </x:c>
      <x:c r="Q9" s="9" t="str"/>
      <x:c r="R9" s="20" t="str"/>
      <x:c r="S9" s="20" t="str"/>
    </x:row>
    <x:row r="10" ht="68" customHeight="1">
      <x:c r="A10" s="19" t="str">
        <x:v>INV-ANI-TIM</x:v>
      </x:c>
      <x:c r="B10" s="7" t="str">
        <x:v>L’Homme trouble — jeu de poses</x:v>
      </x:c>
      <x:c r="C10" s="15" t="str">
        <x:v>Défini</x:v>
      </x:c>
      <x:c r="D10" s="17" t="str">
        <x:v>Extrapolation</x:v>
      </x:c>
      <x:c r="E10" s="17" t="str">
        <x:v>P1</x:v>
      </x:c>
      <x:c r="F10" s="7" t="str">
        <x:v>Définir les transitions propres au rôle de L’Homme trouble.</x:v>
      </x:c>
      <x:c r="G10" s="7" t="str">
        <x:v>Interlocuteur distant; garder son information hors de la connaissance du joueur.</x:v>
      </x:c>
      <x:c r="H10" s="7" t="str"/>
      <x:c r="I10" s="7" t="str">
        <x:v>Hologramme à fort contre-jour et visage calme.</x:v>
      </x:c>
      <x:c r="J10" s="7" t="str">
        <x:v>Immobile, interruption du signal et reprise mesurée.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INV/TIM; paramètres direction, locomotion, accessoire et interruption.</x:v>
      </x:c>
      <x:c r="M10" s="7" t="str">
        <x:v>Conserver le raccord d’occupation d’Omega et le départ d’Aria; une victoire tactique locale ne permet pas de gagner une guerre contraire au comic.</x:v>
      </x:c>
      <x:c r="N10" s="7" t="str">
        <x:v>Un enchaînement déplacement → interaction → interruption → reprise conserve le pivot et les accessoires de L’Homme trouble.</x:v>
      </x:c>
      <x:c r="O10" s="7" t="str">
        <x:v>INV-ACT-TIM, INV-SPR-TIM</x:v>
      </x:c>
      <x:c r="P10" s="7" t="str">
        <x:v>Conception originale, aucune cadence extraite du comic.</x:v>
      </x:c>
      <x:c r="Q10" s="7" t="str"/>
      <x:c r="R10" s="21" t="str"/>
      <x:c r="S10" s="21" t="str"/>
    </x:row>
    <x:row r="11" ht="68" customHeight="1">
      <x:c r="A11" s="18" t="str">
        <x:v>INV-ANI-DEFENDERS</x:v>
      </x:c>
      <x:c r="B11" s="9" t="str">
        <x:v>Défenseurs d’Omega — jeu de poses</x:v>
      </x:c>
      <x:c r="C11" s="15" t="str">
        <x:v>Défini</x:v>
      </x:c>
      <x:c r="D11" s="16" t="str">
        <x:v>Extrapolation</x:v>
      </x:c>
      <x:c r="E11" s="16" t="str">
        <x:v>P1</x:v>
      </x:c>
      <x:c r="F11" s="9" t="str">
        <x:v>Définir les transitions propres au rôle de Défenseurs d’Omega.</x:v>
      </x:c>
      <x:c r="G11" s="9" t="str">
        <x:v>Soutien collectif original; rôles limités à la station.</x:v>
      </x:c>
      <x:c r="H11" s="9" t="str"/>
      <x:c r="I11" s="9" t="str">
        <x:v>Armures et espèces variées, brassard de rôle temporaire inventé.</x:v>
      </x:c>
      <x:c r="J11" s="9" t="str">
        <x:v>Port de matériel, couverture et appel au repli.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INV/DEFENDERS; paramètres direction, locomotion, accessoire et interruption.</x:v>
      </x:c>
      <x:c r="M11" s="9" t="str">
        <x:v>Conserver le raccord d’occupation d’Omega et le départ d’Aria; une victoire tactique locale ne permet pas de gagner une guerre contraire au comic.</x:v>
      </x:c>
      <x:c r="N11" s="9" t="str">
        <x:v>Un enchaînement déplacement → interaction → interruption → reprise conserve le pivot et les accessoires de Défenseurs d’Omega.</x:v>
      </x:c>
      <x:c r="O11" s="9" t="str">
        <x:v>INV-ACT-DEFENDERS, INV-SPR-DEFENDERS</x:v>
      </x:c>
      <x:c r="P11" s="9" t="str">
        <x:v>Conception originale, aucune cadence extraite du comic.</x:v>
      </x:c>
      <x:c r="Q11" s="9" t="str"/>
      <x:c r="R11" s="20" t="str"/>
      <x:c r="S11" s="20" t="str"/>
    </x:row>
  </x:sheetData>
  <x:conditionalFormatting sqref="D7:D11">
    <x:cfRule type="cellIs" dxfId="76" priority="1" operator="equal">
      <x:formula>"À vérifier"</x:formula>
    </x:cfRule>
    <x:cfRule type="cellIs" dxfId="77" priority="2" operator="equal">
      <x:formula>"Extrapolation"</x:formula>
    </x:cfRule>
  </x:conditionalFormatting>
  <x:conditionalFormatting sqref="C7:C11">
    <x:cfRule type="cellIs" dxfId="78" priority="3" operator="equal">
      <x:formula>"Validé"</x:formula>
    </x:cfRule>
  </x:conditionalFormatting>
  <x:conditionalFormatting sqref="E7:E11">
    <x:cfRule type="cellIs" dxfId="79"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80d1a5d6c5e94ef8"/>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Invasion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INV-SPR-ARIA</x:v>
      </x:c>
      <x:c r="B7" s="9" t="str">
        <x:v>Aria T’Loak — planche de sprites</x:v>
      </x:c>
      <x:c r="C7" s="15" t="str">
        <x:v>Défini</x:v>
      </x:c>
      <x:c r="D7" s="16" t="str">
        <x:v>Extrapolation</x:v>
      </x:c>
      <x:c r="E7" s="16" t="str">
        <x:v>P1</x:v>
      </x:c>
      <x:c r="F7" s="9" t="str">
        <x:v>Produire une silhouette lisible pour Aria T’Loak dans le module Invasion.</x:v>
      </x:c>
      <x:c r="G7" s="9" t="str">
        <x:v>Cheffe de groupe; contrôle d’espace et ordres de repli.</x:v>
      </x:c>
      <x:c r="H7" s="9" t="str"/>
      <x:c r="I7" s="9" t="str">
        <x:v>Silhouette asari tendue, veste de combat et accents violets; tenue à vérifier. Prévoir face, dos et profils trois-quarts; conserver le même pivot de pieds dans chaque pose.</x:v>
      </x:c>
      <x:c r="J7" s="9" t="str">
        <x:v>Appui ferme, poussée large, geste d’ordre et recul contrôlé. Séparer arme/objet tenu du corps lorsque le changement de main est nécessaire.</x:v>
      </x:c>
      <x:c r="K7" s="9" t="str"/>
      <x:c r="L7" s="9" t="str">
        <x:v>Atlas prévu inv/actors/aria; métadonnées pivot, masque d'occlusion, orientation et état. Aucun fichier de sprite n'est livré par ce catalogue.</x:v>
      </x:c>
      <x:c r="M7" s="9" t="str">
        <x:v>Conserver le raccord d’occupation d’Omega et le départ d’Aria; une victoire tactique locale ne permet pas de gagner une guerre contraire au comic.</x:v>
      </x:c>
      <x:c r="N7" s="9" t="str">
        <x:v>La planche permet d'identifier Aria T’Loak sans portrait UI à l'échelle de jeu; pieds stables devant les occultations du décor 3D.</x:v>
      </x:c>
      <x:c r="O7" s="9" t="str">
        <x:v>INV-ACT-ARIA</x:v>
      </x:c>
      <x:c r="P7" s="9" t="str">
        <x:v>Conception originale; référence visuelle du personnage à contrôler.</x:v>
      </x:c>
      <x:c r="Q7" s="9" t="str"/>
      <x:c r="R7" s="20" t="str"/>
      <x:c r="S7" s="20" t="str"/>
    </x:row>
    <x:row r="8" ht="68" customHeight="1">
      <x:c r="A8" s="19" t="str">
        <x:v>INV-SPR-PETROVSKY</x:v>
      </x:c>
      <x:c r="B8" s="7" t="str">
        <x:v>Oleg Petrovsky — planche de sprites</x:v>
      </x:c>
      <x:c r="C8" s="15" t="str">
        <x:v>Défini</x:v>
      </x:c>
      <x:c r="D8" s="17" t="str">
        <x:v>Extrapolation</x:v>
      </x:c>
      <x:c r="E8" s="17" t="str">
        <x:v>P1</x:v>
      </x:c>
      <x:c r="F8" s="7" t="str">
        <x:v>Produire une silhouette lisible pour Oleg Petrovsky dans le module Invasion.</x:v>
      </x:c>
      <x:c r="G8" s="7" t="str">
        <x:v>Allié circonstanciel puis adversaire stratégique; décisions à distance.</x:v>
      </x:c>
      <x:c r="H8" s="7" t="str"/>
      <x:c r="I8" s="7" t="str">
        <x:v>Officier humain au port formel, uniforme clair/sombre et décor de passerelle. Prévoir face, dos et profils trois-quarts; conserver le même pivot de pieds dans chaque pose.</x:v>
      </x:c>
      <x:c r="J8" s="7" t="str">
        <x:v>Observation d’une carte, ordre bref et mains jointes. Séparer arme/objet tenu du corps lorsque le changement de main est nécessaire.</x:v>
      </x:c>
      <x:c r="K8" s="7" t="str"/>
      <x:c r="L8" s="7" t="str">
        <x:v>Atlas prévu inv/actors/petrovsky; métadonnées pivot, masque d'occlusion, orientation et état. Aucun fichier de sprite n'est livré par ce catalogue.</x:v>
      </x:c>
      <x:c r="M8" s="7" t="str">
        <x:v>Conserver le raccord d’occupation d’Omega et le départ d’Aria; une victoire tactique locale ne permet pas de gagner une guerre contraire au comic.</x:v>
      </x:c>
      <x:c r="N8" s="7" t="str">
        <x:v>La planche permet d'identifier Oleg Petrovsky sans portrait UI à l'échelle de jeu; pieds stables devant les occultations du décor 3D.</x:v>
      </x:c>
      <x:c r="O8" s="7" t="str">
        <x:v>INV-ACT-PETROVSKY</x:v>
      </x:c>
      <x:c r="P8" s="7" t="str">
        <x:v>Conception originale; référence visuelle du personnage à contrôler.</x:v>
      </x:c>
      <x:c r="Q8" s="7" t="str"/>
      <x:c r="R8" s="21" t="str"/>
      <x:c r="S8" s="21" t="str"/>
    </x:row>
    <x:row r="9" ht="68" customHeight="1">
      <x:c r="A9" s="18" t="str">
        <x:v>INV-SPR-ASHE</x:v>
      </x:c>
      <x:c r="B9" s="9" t="str">
        <x:v>Raymond Ashe — planche de sprites</x:v>
      </x:c>
      <x:c r="C9" s="15" t="str">
        <x:v>Défini</x:v>
      </x:c>
      <x:c r="D9" s="16" t="str">
        <x:v>Extrapolation</x:v>
      </x:c>
      <x:c r="E9" s="16" t="str">
        <x:v>P1</x:v>
      </x:c>
      <x:c r="F9" s="9" t="str">
        <x:v>Produire une silhouette lisible pour Raymond Ashe dans le module Invasion.</x:v>
      </x:c>
      <x:c r="G9" s="9" t="str">
        <x:v>Figure de pression militaire, distincte de la prudence du général.</x:v>
      </x:c>
      <x:c r="H9" s="9" t="str"/>
      <x:c r="I9" s="9" t="str">
        <x:v>Officier plus anguleux et posture avancée; grades exacts à contrôler. Prévoir face, dos et profils trois-quarts; conserver le même pivot de pieds dans chaque pose.</x:v>
      </x:c>
      <x:c r="J9" s="9" t="str">
        <x:v>Pointage énergique, mouvement brusque et activation d’un panneau. Séparer arme/objet tenu du corps lorsque le changement de main est nécessaire.</x:v>
      </x:c>
      <x:c r="K9" s="9" t="str"/>
      <x:c r="L9" s="9" t="str">
        <x:v>Atlas prévu inv/actors/ashe; métadonnées pivot, masque d'occlusion, orientation et état. Aucun fichier de sprite n'est livré par ce catalogue.</x:v>
      </x:c>
      <x:c r="M9" s="9" t="str">
        <x:v>Conserver le raccord d’occupation d’Omega et le départ d’Aria; une victoire tactique locale ne permet pas de gagner une guerre contraire au comic.</x:v>
      </x:c>
      <x:c r="N9" s="9" t="str">
        <x:v>La planche permet d'identifier Raymond Ashe sans portrait UI à l'échelle de jeu; pieds stables devant les occultations du décor 3D.</x:v>
      </x:c>
      <x:c r="O9" s="9" t="str">
        <x:v>INV-ACT-ASHE</x:v>
      </x:c>
      <x:c r="P9" s="9" t="str">
        <x:v>Conception originale; référence visuelle du personnage à contrôler.</x:v>
      </x:c>
      <x:c r="Q9" s="9" t="str"/>
      <x:c r="R9" s="20" t="str"/>
      <x:c r="S9" s="20" t="str"/>
    </x:row>
    <x:row r="10" ht="54" customHeight="1">
      <x:c r="A10" s="19" t="str">
        <x:v>INV-SPR-TIM</x:v>
      </x:c>
      <x:c r="B10" s="7" t="str">
        <x:v>L’Homme trouble — planche de sprites</x:v>
      </x:c>
      <x:c r="C10" s="15" t="str">
        <x:v>Défini</x:v>
      </x:c>
      <x:c r="D10" s="17" t="str">
        <x:v>Extrapolation</x:v>
      </x:c>
      <x:c r="E10" s="17" t="str">
        <x:v>P1</x:v>
      </x:c>
      <x:c r="F10" s="7" t="str">
        <x:v>Produire une silhouette lisible pour L’Homme trouble dans le module Invasion.</x:v>
      </x:c>
      <x:c r="G10" s="7" t="str">
        <x:v>Interlocuteur distant; garder son information hors de la connaissance du joueur.</x:v>
      </x:c>
      <x:c r="H10" s="7" t="str"/>
      <x:c r="I10" s="7" t="str">
        <x:v>Hologramme à fort contre-jour et visage calme. Prévoir face, dos et profils trois-quarts; conserver le même pivot de pieds dans chaque pose.</x:v>
      </x:c>
      <x:c r="J10" s="7" t="str">
        <x:v>Immobile, interruption du signal et reprise mesurée. Séparer arme/objet tenu du corps lorsque le changement de main est nécessaire.</x:v>
      </x:c>
      <x:c r="K10" s="7" t="str"/>
      <x:c r="L10" s="7" t="str">
        <x:v>Atlas prévu inv/actors/tim; métadonnées pivot, masque d'occlusion, orientation et état. Aucun fichier de sprite n'est livré par ce catalogue.</x:v>
      </x:c>
      <x:c r="M10" s="7" t="str">
        <x:v>Conserver le raccord d’occupation d’Omega et le départ d’Aria; une victoire tactique locale ne permet pas de gagner une guerre contraire au comic.</x:v>
      </x:c>
      <x:c r="N10" s="7" t="str">
        <x:v>La planche permet d'identifier L’Homme trouble sans portrait UI à l'échelle de jeu; pieds stables devant les occultations du décor 3D.</x:v>
      </x:c>
      <x:c r="O10" s="7" t="str">
        <x:v>INV-ACT-TIM</x:v>
      </x:c>
      <x:c r="P10" s="7" t="str">
        <x:v>Conception originale; référence visuelle du personnage à contrôler.</x:v>
      </x:c>
      <x:c r="Q10" s="7" t="str"/>
      <x:c r="R10" s="21" t="str"/>
      <x:c r="S10" s="21" t="str"/>
    </x:row>
    <x:row r="11" ht="68" customHeight="1">
      <x:c r="A11" s="18" t="str">
        <x:v>INV-SPR-DEFENDERS</x:v>
      </x:c>
      <x:c r="B11" s="9" t="str">
        <x:v>Défenseurs d’Omega — planche de sprites</x:v>
      </x:c>
      <x:c r="C11" s="15" t="str">
        <x:v>Défini</x:v>
      </x:c>
      <x:c r="D11" s="16" t="str">
        <x:v>Extrapolation</x:v>
      </x:c>
      <x:c r="E11" s="16" t="str">
        <x:v>P1</x:v>
      </x:c>
      <x:c r="F11" s="9" t="str">
        <x:v>Produire une silhouette lisible pour Défenseurs d’Omega dans le module Invasion.</x:v>
      </x:c>
      <x:c r="G11" s="9" t="str">
        <x:v>Soutien collectif original; rôles limités à la station.</x:v>
      </x:c>
      <x:c r="H11" s="9" t="str"/>
      <x:c r="I11" s="9" t="str">
        <x:v>Armures et espèces variées, brassard de rôle temporaire inventé. Prévoir face, dos et profils trois-quarts; conserver le même pivot de pieds dans chaque pose.</x:v>
      </x:c>
      <x:c r="J11" s="9" t="str">
        <x:v>Port de matériel, couverture et appel au repli. Séparer arme/objet tenu du corps lorsque le changement de main est nécessaire.</x:v>
      </x:c>
      <x:c r="K11" s="9" t="str"/>
      <x:c r="L11" s="9" t="str">
        <x:v>Atlas prévu inv/actors/defenders; métadonnées pivot, masque d'occlusion, orientation et état. Aucun fichier de sprite n'est livré par ce catalogue.</x:v>
      </x:c>
      <x:c r="M11" s="9" t="str">
        <x:v>Conserver le raccord d’occupation d’Omega et le départ d’Aria; une victoire tactique locale ne permet pas de gagner une guerre contraire au comic.</x:v>
      </x:c>
      <x:c r="N11" s="9" t="str">
        <x:v>La planche permet d'identifier Défenseurs d’Omega sans portrait UI à l'échelle de jeu; pieds stables devant les occultations du décor 3D.</x:v>
      </x:c>
      <x:c r="O11" s="9" t="str">
        <x:v>INV-ACT-DEFENDERS</x:v>
      </x:c>
      <x:c r="P11" s="9" t="str">
        <x:v>Conception originale; référence visuelle du personnage à contrôler.</x:v>
      </x:c>
      <x:c r="Q11" s="9" t="str"/>
      <x:c r="R11" s="20" t="str"/>
      <x:c r="S11" s="20" t="str"/>
    </x:row>
  </x:sheetData>
  <x:conditionalFormatting sqref="D7:D11">
    <x:cfRule type="cellIs" dxfId="80" priority="1" operator="equal">
      <x:formula>"À vérifier"</x:formula>
    </x:cfRule>
    <x:cfRule type="cellIs" dxfId="81" priority="2" operator="equal">
      <x:formula>"Extrapolation"</x:formula>
    </x:cfRule>
  </x:conditionalFormatting>
  <x:conditionalFormatting sqref="C7:C11">
    <x:cfRule type="cellIs" dxfId="82" priority="3" operator="equal">
      <x:formula>"Validé"</x:formula>
    </x:cfRule>
  </x:conditionalFormatting>
  <x:conditionalFormatting sqref="E7:E11">
    <x:cfRule type="cellIs" dxfId="8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f1bff9dac5874b9c"/>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Invasion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INV-SC-BREACH-VFX</x:v>
      </x:c>
      <x:c r="B7" s="9" t="str">
        <x:v>Alerte sur les quais — signal visuel</x:v>
      </x:c>
      <x:c r="C7" s="15" t="str">
        <x:v>Défini</x:v>
      </x:c>
      <x:c r="D7" s="16" t="str">
        <x:v>Extrapolation</x:v>
      </x:c>
      <x:c r="E7" s="16" t="str">
        <x:v>P1</x:v>
      </x:c>
      <x:c r="F7" s="9" t="str">
        <x:v>Bord de menace hachuré qui progresse par segments, sans simulation médicale.</x:v>
      </x:c>
      <x:c r="G7" s="9" t="str">
        <x:v>Rendre lisibles les interactions propres à cette séquence à la taille réelle du jeu.</x:v>
      </x:c>
      <x:c r="H7" s="9" t="str"/>
      <x:c r="I7" s="9" t="str">
        <x:v>Bord de menace hachuré qui progresse par segments, sans simulation médicale.</x:v>
      </x:c>
      <x:c r="J7" s="9" t="str">
        <x:v>Anticipation séparée de l’impact; variante sans flash, sans secousse et à contraste renforcé.</x:v>
      </x:c>
      <x:c r="K7" s="9" t="str">
        <x:v>Clang de rampe puis alarme localisée.</x:v>
      </x:c>
      <x:c r="L7" s="9" t="str">
        <x:v>Émetteur proposé INV/BREACH/vfx; ancrage sur monde 3D et tri compatible avec les sprites; options de confort indépendantes.</x:v>
      </x:c>
      <x:c r="M7" s="9" t="str">
        <x:v>Conserver le raccord d’occupation d’Omega et le départ d’Aria; une victoire tactique locale ne permet pas de gagner une guerre contraire au comic.</x:v>
      </x:c>
      <x:c r="N7" s="9" t="str">
        <x:v>Le signal reste identifiable en pause et sans son; aucun flash plein écran indispensable pour comprendre la résolution.</x:v>
      </x:c>
      <x:c r="O7" s="9" t="str">
        <x:v>INV-SC-BREACH-MAIN</x:v>
      </x:c>
      <x:c r="P7" s="9" t="str">
        <x:v>VFX original; intensité et timing à régler au prototype.</x:v>
      </x:c>
      <x:c r="Q7" s="9" t="str"/>
      <x:c r="R7" s="20" t="str"/>
      <x:c r="S7" s="20" t="str"/>
    </x:row>
    <x:row r="8" ht="54" customHeight="1">
      <x:c r="A8" s="19" t="str">
        <x:v>INV-SC-ALLIANCE-VFX</x:v>
      </x:c>
      <x:c r="B8" s="7" t="str">
        <x:v>Coordination de circonstance — signal visuel</x:v>
      </x:c>
      <x:c r="C8" s="15" t="str">
        <x:v>Défini</x:v>
      </x:c>
      <x:c r="D8" s="17" t="str">
        <x:v>Extrapolation</x:v>
      </x:c>
      <x:c r="E8" s="17" t="str">
        <x:v>P1</x:v>
      </x:c>
      <x:c r="F8" s="7" t="str">
        <x:v>Traits distincts pour forces locales et Cerberus, avec motifs non fondés seulement sur la couleur.</x:v>
      </x:c>
      <x:c r="G8" s="7" t="str">
        <x:v>Rendre lisibles les interactions propres à cette séquence à la taille réelle du jeu.</x:v>
      </x:c>
      <x:c r="H8" s="7" t="str"/>
      <x:c r="I8" s="7" t="str">
        <x:v>Traits distincts pour forces locales et Cerberus, avec motifs non fondés seulement sur la couleur.</x:v>
      </x:c>
      <x:c r="J8" s="7" t="str">
        <x:v>Anticipation séparée de l’impact; variante sans flash, sans secousse et à contraste renforcé.</x:v>
      </x:c>
      <x:c r="K8" s="7" t="str">
        <x:v>Ordres brefs et moteur grave régulier.</x:v>
      </x:c>
      <x:c r="L8" s="7" t="str">
        <x:v>Émetteur proposé INV/ALLIANCE/vfx; ancrage sur monde 3D et tri compatible avec les sprites; options de confort indépendantes.</x:v>
      </x:c>
      <x:c r="M8" s="7" t="str">
        <x:v>Conserver le raccord d’occupation d’Omega et le départ d’Aria; une victoire tactique locale ne permet pas de gagner une guerre contraire au comic.</x:v>
      </x:c>
      <x:c r="N8" s="7" t="str">
        <x:v>Le signal reste identifiable en pause et sans son; aucun flash plein écran indispensable pour comprendre la résolution.</x:v>
      </x:c>
      <x:c r="O8" s="7" t="str">
        <x:v>INV-SC-ALLIANCE-MAIN</x:v>
      </x:c>
      <x:c r="P8" s="7" t="str">
        <x:v>VFX original; intensité et timing à régler au prototype.</x:v>
      </x:c>
      <x:c r="Q8" s="7" t="str"/>
      <x:c r="R8" s="21" t="str"/>
      <x:c r="S8" s="21" t="str"/>
    </x:row>
    <x:row r="9" ht="54" customHeight="1">
      <x:c r="A9" s="18" t="str">
        <x:v>INV-SC-AVERNUS-VFX</x:v>
      </x:c>
      <x:c r="B9" s="9" t="str">
        <x:v>Confinement à Avernus — signal visuel</x:v>
      </x:c>
      <x:c r="C9" s="15" t="str">
        <x:v>Défini</x:v>
      </x:c>
      <x:c r="D9" s="16" t="str">
        <x:v>Extrapolation</x:v>
      </x:c>
      <x:c r="E9" s="16" t="str">
        <x:v>P1</x:v>
      </x:c>
      <x:c r="F9" s="9" t="str">
        <x:v>Lumière de joint et carte des compartiments fermés, sans particules opaques.</x:v>
      </x:c>
      <x:c r="G9" s="9" t="str">
        <x:v>Rendre lisibles les interactions propres à cette séquence à la taille réelle du jeu.</x:v>
      </x:c>
      <x:c r="H9" s="9" t="str"/>
      <x:c r="I9" s="9" t="str">
        <x:v>Lumière de joint et carte des compartiments fermés, sans particules opaques.</x:v>
      </x:c>
      <x:c r="J9" s="9" t="str">
        <x:v>Anticipation séparée de l’impact; variante sans flash, sans secousse et à contraste renforcé.</x:v>
      </x:c>
      <x:c r="K9" s="9" t="str">
        <x:v>Pulsation de ventilation qui s’arrête après chaque fermeture.</x:v>
      </x:c>
      <x:c r="L9" s="9" t="str">
        <x:v>Émetteur proposé INV/AVERNUS/vfx; ancrage sur monde 3D et tri compatible avec les sprites; options de confort indépendantes.</x:v>
      </x:c>
      <x:c r="M9" s="9" t="str">
        <x:v>Conserver le raccord d’occupation d’Omega et le départ d’Aria; une victoire tactique locale ne permet pas de gagner une guerre contraire au comic.</x:v>
      </x:c>
      <x:c r="N9" s="9" t="str">
        <x:v>Le signal reste identifiable en pause et sans son; aucun flash plein écran indispensable pour comprendre la résolution.</x:v>
      </x:c>
      <x:c r="O9" s="9" t="str">
        <x:v>INV-SC-AVERNUS-MAIN</x:v>
      </x:c>
      <x:c r="P9" s="9" t="str">
        <x:v>VFX original; intensité et timing à régler au prototype.</x:v>
      </x:c>
      <x:c r="Q9" s="9" t="str"/>
      <x:c r="R9" s="20" t="str"/>
      <x:c r="S9" s="20" t="str"/>
    </x:row>
    <x:row r="10" ht="54" customHeight="1">
      <x:c r="A10" s="19" t="str">
        <x:v>INV-SC-RETURN-VFX</x:v>
      </x:c>
      <x:c r="B10" s="7" t="str">
        <x:v>Retour dans une station contestée — signal visuel</x:v>
      </x:c>
      <x:c r="C10" s="15" t="str">
        <x:v>Défini</x:v>
      </x:c>
      <x:c r="D10" s="17" t="str">
        <x:v>Extrapolation</x:v>
      </x:c>
      <x:c r="E10" s="17" t="str">
        <x:v>P1</x:v>
      </x:c>
      <x:c r="F10" s="7" t="str">
        <x:v>Marquage d’occupation qui ne masque pas les sorties.</x:v>
      </x:c>
      <x:c r="G10" s="7" t="str">
        <x:v>Rendre lisibles les interactions propres à cette séquence à la taille réelle du jeu.</x:v>
      </x:c>
      <x:c r="H10" s="7" t="str"/>
      <x:c r="I10" s="7" t="str">
        <x:v>Marquage d’occupation qui ne masque pas les sorties.</x:v>
      </x:c>
      <x:c r="J10" s="7" t="str">
        <x:v>Anticipation séparée de l’impact; variante sans flash, sans secousse et à contraste renforcé.</x:v>
      </x:c>
      <x:c r="K10" s="7" t="str">
        <x:v>Radio militaire au premier plan et ancienne ambiance étouffée.</x:v>
      </x:c>
      <x:c r="L10" s="7" t="str">
        <x:v>Émetteur proposé INV/RETURN/vfx; ancrage sur monde 3D et tri compatible avec les sprites; options de confort indépendantes.</x:v>
      </x:c>
      <x:c r="M10" s="7" t="str">
        <x:v>Conserver le raccord d’occupation d’Omega et le départ d’Aria; une victoire tactique locale ne permet pas de gagner une guerre contraire au comic.</x:v>
      </x:c>
      <x:c r="N10" s="7" t="str">
        <x:v>Le signal reste identifiable en pause et sans son; aucun flash plein écran indispensable pour comprendre la résolution.</x:v>
      </x:c>
      <x:c r="O10" s="7" t="str">
        <x:v>INV-SC-RETURN-MAIN</x:v>
      </x:c>
      <x:c r="P10" s="7" t="str">
        <x:v>VFX original; intensité et timing à régler au prototype.</x:v>
      </x:c>
      <x:c r="Q10" s="7" t="str"/>
      <x:c r="R10" s="21" t="str"/>
      <x:c r="S10" s="21" t="str"/>
    </x:row>
    <x:row r="11" ht="54" customHeight="1">
      <x:c r="A11" s="18" t="str">
        <x:v>INV-SC-TRAP-VFX</x:v>
      </x:c>
      <x:c r="B11" s="9" t="str">
        <x:v>Piège d’Afterlife — signal visuel</x:v>
      </x:c>
      <x:c r="C11" s="15" t="str">
        <x:v>Défini</x:v>
      </x:c>
      <x:c r="D11" s="16" t="str">
        <x:v>Extrapolation</x:v>
      </x:c>
      <x:c r="E11" s="16" t="str">
        <x:v>P1</x:v>
      </x:c>
      <x:c r="F11" s="9" t="str">
        <x:v>Trajectoire de projection en pointillés, point d’impact marqué avant confirmation.</x:v>
      </x:c>
      <x:c r="G11" s="9" t="str">
        <x:v>Rendre lisibles les interactions propres à cette séquence à la taille réelle du jeu.</x:v>
      </x:c>
      <x:c r="H11" s="9" t="str"/>
      <x:c r="I11" s="9" t="str">
        <x:v>Trajectoire de projection en pointillés, point d’impact marqué avant confirmation.</x:v>
      </x:c>
      <x:c r="J11" s="9" t="str">
        <x:v>Anticipation séparée de l’impact; variante sans flash, sans secousse et à contraste renforcé.</x:v>
      </x:c>
      <x:c r="K11" s="9" t="str">
        <x:v>Coupe de la musique, mouvement lourd et alarmes brèves.</x:v>
      </x:c>
      <x:c r="L11" s="9" t="str">
        <x:v>Émetteur proposé INV/TRAP/vfx; ancrage sur monde 3D et tri compatible avec les sprites; options de confort indépendantes.</x:v>
      </x:c>
      <x:c r="M11" s="9" t="str">
        <x:v>Conserver le raccord d’occupation d’Omega et le départ d’Aria; une victoire tactique locale ne permet pas de gagner une guerre contraire au comic.</x:v>
      </x:c>
      <x:c r="N11" s="9" t="str">
        <x:v>Le signal reste identifiable en pause et sans son; aucun flash plein écran indispensable pour comprendre la résolution.</x:v>
      </x:c>
      <x:c r="O11" s="9" t="str">
        <x:v>INV-SC-TRAP-MAIN</x:v>
      </x:c>
      <x:c r="P11" s="9" t="str">
        <x:v>VFX original; intensité et timing à régler au prototype.</x:v>
      </x:c>
      <x:c r="Q11" s="9" t="str"/>
      <x:c r="R11" s="20" t="str"/>
      <x:c r="S11" s="20" t="str"/>
    </x:row>
    <x:row r="12" ht="54" customHeight="1">
      <x:c r="A12" s="19" t="str">
        <x:v>INV-SC-EXILE-VFX</x:v>
      </x:c>
      <x:c r="B12" s="7" t="str">
        <x:v>Ultimatum et départ — signal visuel</x:v>
      </x:c>
      <x:c r="C12" s="15" t="str">
        <x:v>Défini</x:v>
      </x:c>
      <x:c r="D12" s="17" t="str">
        <x:v>Extrapolation</x:v>
      </x:c>
      <x:c r="E12" s="17" t="str">
        <x:v>P1</x:v>
      </x:c>
      <x:c r="F12" s="7" t="str">
        <x:v>La carte d’Omega change d’état d’occupation; aucune explosion ajoutée comme fin alternative.</x:v>
      </x:c>
      <x:c r="G12" s="7" t="str">
        <x:v>Rendre lisibles les interactions propres à cette séquence à la taille réelle du jeu.</x:v>
      </x:c>
      <x:c r="H12" s="7" t="str"/>
      <x:c r="I12" s="7" t="str">
        <x:v>La carte d’Omega change d’état d’occupation; aucune explosion ajoutée comme fin alternative.</x:v>
      </x:c>
      <x:c r="J12" s="7" t="str">
        <x:v>Anticipation séparée de l’impact; variante sans flash, sans secousse et à contraste renforcé.</x:v>
      </x:c>
      <x:c r="K12" s="7" t="str">
        <x:v>Thème original interrompu, moteur lent et silence de fin.</x:v>
      </x:c>
      <x:c r="L12" s="7" t="str">
        <x:v>Émetteur proposé INV/EXILE/vfx; ancrage sur monde 3D et tri compatible avec les sprites; options de confort indépendantes.</x:v>
      </x:c>
      <x:c r="M12" s="7" t="str">
        <x:v>Conserver le raccord d’occupation d’Omega et le départ d’Aria; une victoire tactique locale ne permet pas de gagner une guerre contraire au comic.</x:v>
      </x:c>
      <x:c r="N12" s="7" t="str">
        <x:v>Le signal reste identifiable en pause et sans son; aucun flash plein écran indispensable pour comprendre la résolution.</x:v>
      </x:c>
      <x:c r="O12" s="7" t="str">
        <x:v>INV-SC-EXILE-MAIN</x:v>
      </x:c>
      <x:c r="P12" s="7" t="str">
        <x:v>VFX original; intensité et timing à régler au prototype.</x:v>
      </x:c>
      <x:c r="Q12" s="7" t="str"/>
      <x:c r="R12" s="21" t="str"/>
      <x:c r="S12" s="21" t="str"/>
    </x:row>
  </x:sheetData>
  <x:conditionalFormatting sqref="D7:D12">
    <x:cfRule type="cellIs" dxfId="84" priority="1" operator="equal">
      <x:formula>"À vérifier"</x:formula>
    </x:cfRule>
    <x:cfRule type="cellIs" dxfId="85" priority="2" operator="equal">
      <x:formula>"Extrapolation"</x:formula>
    </x:cfRule>
  </x:conditionalFormatting>
  <x:conditionalFormatting sqref="C7:C12">
    <x:cfRule type="cellIs" dxfId="86" priority="3" operator="equal">
      <x:formula>"Validé"</x:formula>
    </x:cfRule>
  </x:conditionalFormatting>
  <x:conditionalFormatting sqref="E7:E12">
    <x:cfRule type="cellIs" dxfId="8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ccad888e86824b2e"/>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Invasion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INV-AUD-OMEGA</x:v>
      </x:c>
      <x:c r="B7" s="9" t="str">
        <x:v>Omega — paysage sonore</x:v>
      </x:c>
      <x:c r="C7" s="15" t="str">
        <x:v>Défini</x:v>
      </x:c>
      <x:c r="D7" s="16" t="str">
        <x:v>Extrapolation</x:v>
      </x:c>
      <x:c r="E7" s="16" t="str">
        <x:v>P1</x:v>
      </x:c>
      <x:c r="F7" s="9" t="str">
        <x:v>Alarmes sectorielles, coque qui travaille et annonces de repli originales.</x:v>
      </x:c>
      <x:c r="G7" s="9" t="str">
        <x:v>Défense de territoire et de routes de repli.</x:v>
      </x:c>
      <x:c r="H7" s="9" t="str">
        <x:v>Doubler les alarmes utiles par texte, symbole ou changement de pose; les bruits d’ambiance ne portent pas seuls une information obligatoire.</x:v>
      </x:c>
      <x:c r="I7" s="9" t="str">
        <x:v>Métal noirci, lumière ambre et zones de danger à hachures.</x:v>
      </x:c>
      <x:c r="J7" s="9" t="str">
        <x:v>Déclencher les contacts mécaniques au mouvement visible; éviter les boucles désynchronisées des portes.</x:v>
      </x:c>
      <x:c r="K7" s="9" t="str">
        <x:v>Alarmes sectorielles, coque qui travaille et annonces de repli originales. Composer une ambiance originale en couches fond / activité / danger, avec réglage indépendant des voix.</x:v>
      </x:c>
      <x:c r="L7" s="9" t="str">
        <x:v>Bus proposé INV/OMEGA; snapshots exploration, tension et dialogue; fondus après chargement.</x:v>
      </x:c>
      <x:c r="M7" s="9" t="str">
        <x:v>Conserver le raccord d’occupation d’Omega et le départ d’Aria; une victoire tactique locale ne permet pas de gagner une guerre contraire au comic.</x:v>
      </x:c>
      <x:c r="N7" s="9" t="str">
        <x:v>Un parcours muet reste compréhensible; l’entrée en dialogue baisse les ambiances sans couper brutalement leur réverbération.</x:v>
      </x:c>
      <x:c r="O7" s="9" t="str">
        <x:v>INV-ZONE-OMEGA</x:v>
      </x:c>
      <x:c r="P7" s="9" t="str">
        <x:v>Création sonore originale; aucune piste commerciale requise.</x:v>
      </x:c>
      <x:c r="Q7" s="9" t="str"/>
      <x:c r="R7" s="20" t="str"/>
      <x:c r="S7" s="20" t="str"/>
    </x:row>
    <x:row r="8" ht="68" customHeight="1">
      <x:c r="A8" s="19" t="str">
        <x:v>INV-AUD-ELBRUS</x:v>
      </x:c>
      <x:c r="B8" s="7" t="str">
        <x:v>Elbrus — paysage sonore</x:v>
      </x:c>
      <x:c r="C8" s="15" t="str">
        <x:v>Défini</x:v>
      </x:c>
      <x:c r="D8" s="17" t="str">
        <x:v>Extrapolation</x:v>
      </x:c>
      <x:c r="E8" s="17" t="str">
        <x:v>P1</x:v>
      </x:c>
      <x:c r="F8" s="7" t="str">
        <x:v>Basse de moteur stable et messages tactiques filtrés.</x:v>
      </x:c>
      <x:c r="G8" s="7" t="str">
        <x:v>Passerelle de coopération temporaire.</x:v>
      </x:c>
      <x:c r="H8" s="7" t="str">
        <x:v>Doubler les alarmes utiles par texte, symbole ou changement de pose; les bruits d’ambiance ne portent pas seuls une information obligatoire.</x:v>
      </x:c>
      <x:c r="I8" s="7" t="str">
        <x:v>Gris militaire, blanc directionnel et écrans lisibles.</x:v>
      </x:c>
      <x:c r="J8" s="7" t="str">
        <x:v>Déclencher les contacts mécaniques au mouvement visible; éviter les boucles désynchronisées des portes.</x:v>
      </x:c>
      <x:c r="K8" s="7" t="str">
        <x:v>Basse de moteur stable et messages tactiques filtrés. Composer une ambiance originale en couches fond / activité / danger, avec réglage indépendant des voix.</x:v>
      </x:c>
      <x:c r="L8" s="7" t="str">
        <x:v>Bus proposé INV/ELBRUS; snapshots exploration, tension et dialogue; fondus après chargement.</x:v>
      </x:c>
      <x:c r="M8" s="7" t="str">
        <x:v>Conserver le raccord d’occupation d’Omega et le départ d’Aria; une victoire tactique locale ne permet pas de gagner une guerre contraire au comic.</x:v>
      </x:c>
      <x:c r="N8" s="7" t="str">
        <x:v>Un parcours muet reste compréhensible; l’entrée en dialogue baisse les ambiances sans couper brutalement leur réverbération.</x:v>
      </x:c>
      <x:c r="O8" s="7" t="str">
        <x:v>INV-ZONE-ELBRUS</x:v>
      </x:c>
      <x:c r="P8" s="7" t="str">
        <x:v>Création sonore originale; aucune piste commerciale requise.</x:v>
      </x:c>
      <x:c r="Q8" s="7" t="str"/>
      <x:c r="R8" s="21" t="str"/>
      <x:c r="S8" s="21" t="str"/>
    </x:row>
    <x:row r="9" ht="68" customHeight="1">
      <x:c r="A9" s="18" t="str">
        <x:v>INV-AUD-AVERNUS</x:v>
      </x:c>
      <x:c r="B9" s="9" t="str">
        <x:v>Avernus Station — paysage sonore</x:v>
      </x:c>
      <x:c r="C9" s="15" t="str">
        <x:v>Défini</x:v>
      </x:c>
      <x:c r="D9" s="16" t="str">
        <x:v>Extrapolation</x:v>
      </x:c>
      <x:c r="E9" s="16" t="str">
        <x:v>P1</x:v>
      </x:c>
      <x:c r="F9" s="9" t="str">
        <x:v>Ventilation interrompue, contacts métalliques et silence entre alarmes.</x:v>
      </x:c>
      <x:c r="G9" s="9" t="str">
        <x:v>Faire comprendre la source d’une crise sans une encyclopédie complète.</x:v>
      </x:c>
      <x:c r="H9" s="9" t="str">
        <x:v>Doubler les alarmes utiles par texte, symbole ou changement de pose; les bruits d’ambiance ne portent pas seuls une information obligatoire.</x:v>
      </x:c>
      <x:c r="I9" s="9" t="str">
        <x:v>Surfaces froides, matériel de recherche abandonné et balises de confinement.</x:v>
      </x:c>
      <x:c r="J9" s="9" t="str">
        <x:v>Déclencher les contacts mécaniques au mouvement visible; éviter les boucles désynchronisées des portes.</x:v>
      </x:c>
      <x:c r="K9" s="9" t="str">
        <x:v>Ventilation interrompue, contacts métalliques et silence entre alarmes. Composer une ambiance originale en couches fond / activité / danger, avec réglage indépendant des voix.</x:v>
      </x:c>
      <x:c r="L9" s="9" t="str">
        <x:v>Bus proposé INV/AVERNUS; snapshots exploration, tension et dialogue; fondus après chargement.</x:v>
      </x:c>
      <x:c r="M9" s="9" t="str">
        <x:v>Conserver le raccord d’occupation d’Omega et le départ d’Aria; une victoire tactique locale ne permet pas de gagner une guerre contraire au comic.</x:v>
      </x:c>
      <x:c r="N9" s="9" t="str">
        <x:v>Un parcours muet reste compréhensible; l’entrée en dialogue baisse les ambiances sans couper brutalement leur réverbération.</x:v>
      </x:c>
      <x:c r="O9" s="9" t="str">
        <x:v>INV-ZONE-AVERNUS</x:v>
      </x:c>
      <x:c r="P9" s="9" t="str">
        <x:v>Création sonore originale; aucune piste commerciale requise.</x:v>
      </x:c>
      <x:c r="Q9" s="9" t="str"/>
      <x:c r="R9" s="20" t="str"/>
      <x:c r="S9" s="20" t="str"/>
    </x:row>
    <x:row r="10" ht="68" customHeight="1">
      <x:c r="A10" s="19" t="str">
        <x:v>INV-AUD-AFTERLIFE</x:v>
      </x:c>
      <x:c r="B10" s="7" t="str">
        <x:v>Afterlife — paysage sonore</x:v>
      </x:c>
      <x:c r="C10" s="15" t="str">
        <x:v>Défini</x:v>
      </x:c>
      <x:c r="D10" s="17" t="str">
        <x:v>Extrapolation</x:v>
      </x:c>
      <x:c r="E10" s="17" t="str">
        <x:v>P1</x:v>
      </x:c>
      <x:c r="F10" s="7" t="str">
        <x:v>Ancienne pulsation de club filtrée, alarmes et thème suspendu.</x:v>
      </x:c>
      <x:c r="G10" s="7" t="str">
        <x:v>Retour à un lieu de pouvoir devenu piège.</x:v>
      </x:c>
      <x:c r="H10" s="7" t="str">
        <x:v>Doubler les alarmes utiles par texte, symbole ou changement de pose; les bruits d’ambiance ne portent pas seuls une information obligatoire.</x:v>
      </x:c>
      <x:c r="I10" s="7" t="str">
        <x:v>Néons atténués, débris au sol hors trajet et lumière coupée par secteurs.</x:v>
      </x:c>
      <x:c r="J10" s="7" t="str">
        <x:v>Déclencher les contacts mécaniques au mouvement visible; éviter les boucles désynchronisées des portes.</x:v>
      </x:c>
      <x:c r="K10" s="7" t="str">
        <x:v>Ancienne pulsation de club filtrée, alarmes et thème suspendu. Composer une ambiance originale en couches fond / activité / danger, avec réglage indépendant des voix.</x:v>
      </x:c>
      <x:c r="L10" s="7" t="str">
        <x:v>Bus proposé INV/AFTERLIFE; snapshots exploration, tension et dialogue; fondus après chargement.</x:v>
      </x:c>
      <x:c r="M10" s="7" t="str">
        <x:v>Conserver le raccord d’occupation d’Omega et le départ d’Aria; une victoire tactique locale ne permet pas de gagner une guerre contraire au comic.</x:v>
      </x:c>
      <x:c r="N10" s="7" t="str">
        <x:v>Un parcours muet reste compréhensible; l’entrée en dialogue baisse les ambiances sans couper brutalement leur réverbération.</x:v>
      </x:c>
      <x:c r="O10" s="7" t="str">
        <x:v>INV-ZONE-AFTERLIFE</x:v>
      </x:c>
      <x:c r="P10" s="7" t="str">
        <x:v>Création sonore originale; aucune piste commerciale requise.</x:v>
      </x:c>
      <x:c r="Q10" s="7" t="str"/>
      <x:c r="R10" s="21" t="str"/>
      <x:c r="S10" s="21" t="str"/>
    </x:row>
  </x:sheetData>
  <x:conditionalFormatting sqref="D7:D10">
    <x:cfRule type="cellIs" dxfId="88" priority="1" operator="equal">
      <x:formula>"À vérifier"</x:formula>
    </x:cfRule>
    <x:cfRule type="cellIs" dxfId="89" priority="2" operator="equal">
      <x:formula>"Extrapolation"</x:formula>
    </x:cfRule>
  </x:conditionalFormatting>
  <x:conditionalFormatting sqref="C7:C10">
    <x:cfRule type="cellIs" dxfId="90" priority="3" operator="equal">
      <x:formula>"Validé"</x:formula>
    </x:cfRule>
  </x:conditionalFormatting>
  <x:conditionalFormatting sqref="E7:E10">
    <x:cfRule type="cellIs" dxfId="9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040d059fd0be479a"/>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Invasion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INV-SYS-CANON</x:v>
      </x:c>
      <x:c r="B7" s="9" t="str">
        <x:v>Journal à deux niveaux</x:v>
      </x:c>
      <x:c r="C7" s="15" t="str">
        <x:v>Défini</x:v>
      </x:c>
      <x:c r="D7" s="16" t="str">
        <x:v>Extrapolation</x:v>
      </x:c>
      <x:c r="E7" s="16" t="str">
        <x:v>P1</x:v>
      </x:c>
      <x:c r="F7" s="9" t="str">
        <x:v>Dans Invasion,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INV/SYS-CANON; à appliquer au futur contenu de l'œuvre.</x:v>
      </x:c>
      <x:c r="M7" s="9" t="str">
        <x:v>Conserver le raccord d’occupation d’Omega et le départ d’Aria; une victoire tactique locale ne permet pas de gagner une guerre contraire au comic.</x:v>
      </x:c>
      <x:c r="N7" s="9" t="str">
        <x:v>Chaque entrée de journal porte sa provenance; un résultat de combat ne change jamais le niveau de certitude du fait source.</x:v>
      </x:c>
      <x:c r="O7" s="9" t="str">
        <x:v>INV-REF-SCOPE</x:v>
      </x:c>
      <x:c r="P7" s="9" t="str">
        <x:v>Règle originale de production; les ancrages de continuité sont documentés dans les fiches REF.</x:v>
      </x:c>
      <x:c r="Q7" s="9" t="str"/>
      <x:c r="R7" s="20" t="str"/>
      <x:c r="S7" s="20" t="str"/>
    </x:row>
    <x:row r="8" ht="54" customHeight="1">
      <x:c r="A8" s="19" t="str">
        <x:v>INV-SYS-GROUP</x:v>
      </x:c>
      <x:c r="B8" s="7" t="str">
        <x:v>Groupe propre au chapitre</x:v>
      </x:c>
      <x:c r="C8" s="15" t="str">
        <x:v>Défini</x:v>
      </x:c>
      <x:c r="D8" s="17" t="str">
        <x:v>Extrapolation</x:v>
      </x:c>
      <x:c r="E8" s="17" t="str">
        <x:v>P1</x:v>
      </x:c>
      <x:c r="F8" s="7" t="str">
        <x:v>Aria dirige un groupe local proposé; les soutiens de Cerberus sont temporaires et changent de disponibilité selon la phase.</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INV/SYS-GROUP; à appliquer au futur contenu de l'œuvre.</x:v>
      </x:c>
      <x:c r="M8" s="7" t="str">
        <x:v>Conserver le raccord d’occupation d’Omega et le départ d’Aria; une victoire tactique locale ne permet pas de gagner une guerre contraire au comic.</x:v>
      </x:c>
      <x:c r="N8" s="7" t="str">
        <x:v>Recharger un chapitre restitue uniquement son groupe autorisé, ses positions et ses commandes proposées.</x:v>
      </x:c>
      <x:c r="O8" s="7" t="str">
        <x:v>INV-REF-SCOPE</x:v>
      </x:c>
      <x:c r="P8" s="7" t="str">
        <x:v>Règle originale de production; les ancrages de continuité sont documentés dans les fiches REF.</x:v>
      </x:c>
      <x:c r="Q8" s="7" t="str"/>
      <x:c r="R8" s="21" t="str"/>
      <x:c r="S8" s="21" t="str"/>
    </x:row>
    <x:row r="9" ht="54" customHeight="1">
      <x:c r="A9" s="18" t="str">
        <x:v>INV-SYS-ATB</x:v>
      </x:c>
      <x:c r="B9" s="9" t="str">
        <x:v>Rythme ATB proposé</x:v>
      </x:c>
      <x:c r="C9" s="15" t="str">
        <x:v>Défini</x:v>
      </x:c>
      <x:c r="D9" s="16" t="str">
        <x:v>Extrapolation</x:v>
      </x:c>
      <x:c r="E9" s="16" t="str">
        <x:v>P1</x:v>
      </x:c>
      <x:c r="F9" s="9" t="str">
        <x:v>Défense de couloirs, extraction et contrôle d’exposition; le temps de combat se suspend pendant les décisions stratégiques.</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INV/SYS-ATB; à appliquer au futur contenu de l'œuvre.</x:v>
      </x:c>
      <x:c r="M9" s="9" t="str">
        <x:v>Conserver le raccord d’occupation d’Omega et le départ d’Aria; une victoire tactique locale ne permet pas de gagner une guerre contraire au comic.</x:v>
      </x:c>
      <x:c r="N9" s="9" t="str">
        <x:v>Un lecteur peut suivre chaque préparation sans son; la vitesse réglable ne modifie pas les conditions du raccord narratif.</x:v>
      </x:c>
      <x:c r="O9" s="9" t="str">
        <x:v>INV-REF-SCOPE</x:v>
      </x:c>
      <x:c r="P9" s="9" t="str">
        <x:v>Règle originale de production; les ancrages de continuité sont documentés dans les fiches REF.</x:v>
      </x:c>
      <x:c r="Q9" s="9" t="str"/>
      <x:c r="R9" s="20" t="str"/>
      <x:c r="S9" s="20" t="str"/>
    </x:row>
    <x:row r="10" ht="54" customHeight="1">
      <x:c r="A10" s="19" t="str">
        <x:v>INV-SYS-SAVE</x:v>
      </x:c>
      <x:c r="B10" s="7" t="str">
        <x:v>Sauvegarde des modules</x:v>
      </x:c>
      <x:c r="C10" s="15" t="str">
        <x:v>Défini</x:v>
      </x:c>
      <x:c r="D10" s="17" t="str">
        <x:v>Extrapolation</x:v>
      </x:c>
      <x:c r="E10" s="17" t="str">
        <x:v>P1</x:v>
      </x:c>
      <x:c r="F10" s="7" t="str">
        <x:v>Conserver la progression de Invasion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INV/SYS-SAVE; à appliquer au futur contenu de l'œuvre.</x:v>
      </x:c>
      <x:c r="M10" s="7" t="str">
        <x:v>Conserver le raccord d’occupation d’Omega et le départ d’Aria; une victoire tactique locale ne permet pas de gagner une guerre contraire au comic.</x:v>
      </x:c>
      <x:c r="N10" s="7" t="str">
        <x:v>Sauvegarder, quitter et reprendre avant/après un raccord ne double aucun objet, objectif ou récompense.</x:v>
      </x:c>
      <x:c r="O10" s="7" t="str">
        <x:v>INV-REF-SCOPE</x:v>
      </x:c>
      <x:c r="P10" s="7" t="str">
        <x:v>Règle originale de production; les ancrages de continuité sont documentés dans les fiches REF.</x:v>
      </x:c>
      <x:c r="Q10" s="7" t="str"/>
      <x:c r="R10" s="21" t="str"/>
      <x:c r="S10" s="21"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b9f4ec69aa04f34"/>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Invasion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INV-SC-BREACH-QA</x:v>
      </x:c>
      <x:c r="B7" s="9" t="str">
        <x:v>Alerte sur les quais — contrôle du parcours</x:v>
      </x:c>
      <x:c r="C7" s="15" t="str">
        <x:v>Défini</x:v>
      </x:c>
      <x:c r="D7" s="16" t="str">
        <x:v>Extrapolation</x:v>
      </x:c>
      <x:c r="E7" s="16" t="str">
        <x:v>P0</x:v>
      </x:c>
      <x:c r="F7" s="9" t="str">
        <x:v>Rejouer « Alerte sur les quais » par les deux méthodes proposées, avec tâche facultative ignorée puis terminée, et en sautant le raccord.</x:v>
      </x:c>
      <x:c r="G7" s="9" t="str">
        <x:v>Alerte → identification de la menace → défense d’accès → repli.</x:v>
      </x:c>
      <x:c r="H7" s="9" t="str">
        <x:v>Le groupe protège des sorties avec une réserve de pression; les corps ne deviennent pas automatiquement des unités supplémentaires sans signal.</x:v>
      </x:c>
      <x:c r="I7" s="9" t="str"/>
      <x:c r="J7" s="9" t="str"/>
      <x:c r="K7" s="9" t="str"/>
      <x:c r="L7" s="9" t="str">
        <x:v>Scénarios de recette à exécuter pour INV/BREACH; consigner résultat réel et preuve seulement lors d’une future réalisation.</x:v>
      </x:c>
      <x:c r="M7" s="9" t="str">
        <x:v>Fiche de recette définie; aucun test du jeu n’a été exécuté par ce catalogue.</x:v>
      </x:c>
      <x:c r="N7" s="9" t="str">
        <x:v>L'objectif « Alerte sur les quais » atteint son raccord annoncé après chaque méthode; sauvegarde, rechargement et saut de scène n'en changent ni le groupe ni les informations acquises.</x:v>
      </x:c>
      <x:c r="O7" s="9" t="str">
        <x:v>INV-SC-BREACH-MAIN, INV-SC-BREACH-CHOICE, INV-SC-BREACH-CINE, INV-SC-BREACH-PROP</x:v>
      </x:c>
      <x:c r="P7" s="9" t="str">
        <x:v>Critère de production original, pas une validation déjà obtenue.</x:v>
      </x:c>
      <x:c r="Q7" s="9" t="str"/>
      <x:c r="R7" s="20" t="str"/>
      <x:c r="S7" s="20" t="str"/>
    </x:row>
    <x:row r="8" ht="68" customHeight="1">
      <x:c r="A8" s="19" t="str">
        <x:v>INV-SC-ALLIANCE-QA</x:v>
      </x:c>
      <x:c r="B8" s="7" t="str">
        <x:v>Coordination de circonstance — contrôle du parcours</x:v>
      </x:c>
      <x:c r="C8" s="15" t="str">
        <x:v>Défini</x:v>
      </x:c>
      <x:c r="D8" s="17" t="str">
        <x:v>Extrapolation</x:v>
      </x:c>
      <x:c r="E8" s="17" t="str">
        <x:v>P0</x:v>
      </x:c>
      <x:c r="F8" s="7" t="str">
        <x:v>Rejouer « Coordination de circonstance » par les deux méthodes proposées, avec tâche facultative ignorée puis terminée, et en sautant le raccord.</x:v>
      </x:c>
      <x:c r="G8" s="7" t="str">
        <x:v>Briefing → affectation de deux soutiens → défense → réévaluation.</x:v>
      </x:c>
      <x:c r="H8" s="7" t="str">
        <x:v>Chaque soutien indique sa portée et sa durée; l’alliance n’accorde ni confiance définitive ni recrutement de Petrovsky.</x:v>
      </x:c>
      <x:c r="I8" s="7" t="str"/>
      <x:c r="J8" s="7" t="str"/>
      <x:c r="K8" s="7" t="str"/>
      <x:c r="L8" s="7" t="str">
        <x:v>Scénarios de recette à exécuter pour INV/ALLIANCE; consigner résultat réel et preuve seulement lors d’une future réalisation.</x:v>
      </x:c>
      <x:c r="M8" s="7" t="str">
        <x:v>Fiche de recette définie; aucun test du jeu n’a été exécuté par ce catalogue.</x:v>
      </x:c>
      <x:c r="N8" s="7" t="str">
        <x:v>L'objectif « Coordination de circonstance » atteint son raccord annoncé après chaque méthode; sauvegarde, rechargement et saut de scène n'en changent ni le groupe ni les informations acquises.</x:v>
      </x:c>
      <x:c r="O8" s="7" t="str">
        <x:v>INV-SC-ALLIANCE-MAIN, INV-SC-ALLIANCE-CHOICE, INV-SC-ALLIANCE-CINE, INV-SC-ALLIANCE-PROP</x:v>
      </x:c>
      <x:c r="P8" s="7" t="str">
        <x:v>Critère de production original, pas une validation déjà obtenue.</x:v>
      </x:c>
      <x:c r="Q8" s="7" t="str"/>
      <x:c r="R8" s="21" t="str"/>
      <x:c r="S8" s="21" t="str"/>
    </x:row>
    <x:row r="9" ht="68" customHeight="1">
      <x:c r="A9" s="18" t="str">
        <x:v>INV-SC-AVERNUS-QA</x:v>
      </x:c>
      <x:c r="B9" s="9" t="str">
        <x:v>Confinement à Avernus — contrôle du parcours</x:v>
      </x:c>
      <x:c r="C9" s="15" t="str">
        <x:v>Défini</x:v>
      </x:c>
      <x:c r="D9" s="16" t="str">
        <x:v>Extrapolation</x:v>
      </x:c>
      <x:c r="E9" s="16" t="str">
        <x:v>P0</x:v>
      </x:c>
      <x:c r="F9" s="9" t="str">
        <x:v>Rejouer « Confinement à Avernus » par les deux méthodes proposées, avec tâche facultative ignorée puis terminée, et en sautant le raccord.</x:v>
      </x:c>
      <x:c r="G9" s="9" t="str">
        <x:v>Sas → lecture des risques → action sur contrôle → départ.</x:v>
      </x:c>
      <x:c r="H9" s="9" t="str">
        <x:v>Trois secteurs proposés s’isolent séparément; aucun bouton ne guérit ou ne supprime tous les Adjutants de l’univers.</x:v>
      </x:c>
      <x:c r="I9" s="9" t="str"/>
      <x:c r="J9" s="9" t="str"/>
      <x:c r="K9" s="9" t="str"/>
      <x:c r="L9" s="9" t="str">
        <x:v>Scénarios de recette à exécuter pour INV/AVERNUS; consigner résultat réel et preuve seulement lors d’une future réalisation.</x:v>
      </x:c>
      <x:c r="M9" s="9" t="str">
        <x:v>Fiche de recette définie; aucun test du jeu n’a été exécuté par ce catalogue.</x:v>
      </x:c>
      <x:c r="N9" s="9" t="str">
        <x:v>L'objectif « Confinement à Avernus » atteint son raccord annoncé après chaque méthode; sauvegarde, rechargement et saut de scène n'en changent ni le groupe ni les informations acquises.</x:v>
      </x:c>
      <x:c r="O9" s="9" t="str">
        <x:v>INV-SC-AVERNUS-MAIN, INV-SC-AVERNUS-CHOICE, INV-SC-AVERNUS-CINE, INV-SC-AVERNUS-PROP</x:v>
      </x:c>
      <x:c r="P9" s="9" t="str">
        <x:v>Critère de production original, pas une validation déjà obtenue.</x:v>
      </x:c>
      <x:c r="Q9" s="9" t="str"/>
      <x:c r="R9" s="20" t="str"/>
      <x:c r="S9" s="20" t="str"/>
    </x:row>
    <x:row r="10" ht="68" customHeight="1">
      <x:c r="A10" s="19" t="str">
        <x:v>INV-SC-RETURN-QA</x:v>
      </x:c>
      <x:c r="B10" s="7" t="str">
        <x:v>Retour dans une station contestée — contrôle du parcours</x:v>
      </x:c>
      <x:c r="C10" s="15" t="str">
        <x:v>Défini</x:v>
      </x:c>
      <x:c r="D10" s="17" t="str">
        <x:v>Extrapolation</x:v>
      </x:c>
      <x:c r="E10" s="17" t="str">
        <x:v>P0</x:v>
      </x:c>
      <x:c r="F10" s="7" t="str">
        <x:v>Rejouer « Retour dans une station contestée » par les deux méthodes proposées, avec tâche facultative ignorée puis terminée, et en sautant le raccord.</x:v>
      </x:c>
      <x:c r="G10" s="7" t="str">
        <x:v>Constat → choix de route → défense mobile → contact.</x:v>
      </x:c>
      <x:c r="H10" s="7" t="str">
        <x:v>La carte change d’accès, pas de coordonnées arbitraires; les routes connues deviennent des risques lisibles.</x:v>
      </x:c>
      <x:c r="I10" s="7" t="str"/>
      <x:c r="J10" s="7" t="str"/>
      <x:c r="K10" s="7" t="str"/>
      <x:c r="L10" s="7" t="str">
        <x:v>Scénarios de recette à exécuter pour INV/RETURN; consigner résultat réel et preuve seulement lors d’une future réalisation.</x:v>
      </x:c>
      <x:c r="M10" s="7" t="str">
        <x:v>Fiche de recette définie; aucun test du jeu n’a été exécuté par ce catalogue.</x:v>
      </x:c>
      <x:c r="N10" s="7" t="str">
        <x:v>L'objectif « Retour dans une station contestée » atteint son raccord annoncé après chaque méthode; sauvegarde, rechargement et saut de scène n'en changent ni le groupe ni les informations acquises.</x:v>
      </x:c>
      <x:c r="O10" s="7" t="str">
        <x:v>INV-SC-RETURN-MAIN, INV-SC-RETURN-CHOICE, INV-SC-RETURN-CINE, INV-SC-RETURN-PROP</x:v>
      </x:c>
      <x:c r="P10" s="7" t="str">
        <x:v>Critère de production original, pas une validation déjà obtenue.</x:v>
      </x:c>
      <x:c r="Q10" s="7" t="str"/>
      <x:c r="R10" s="21" t="str"/>
      <x:c r="S10" s="21" t="str"/>
    </x:row>
    <x:row r="11" ht="68" customHeight="1">
      <x:c r="A11" s="18" t="str">
        <x:v>INV-SC-TRAP-QA</x:v>
      </x:c>
      <x:c r="B11" s="9" t="str">
        <x:v>Piège d’Afterlife — contrôle du parcours</x:v>
      </x:c>
      <x:c r="C11" s="15" t="str">
        <x:v>Défini</x:v>
      </x:c>
      <x:c r="D11" s="16" t="str">
        <x:v>Extrapolation</x:v>
      </x:c>
      <x:c r="E11" s="16" t="str">
        <x:v>P0</x:v>
      </x:c>
      <x:c r="F11" s="9" t="str">
        <x:v>Rejouer « Piège d’Afterlife » par les deux méthodes proposées, avec tâche facultative ignorée puis terminée, et en sautant le raccord.</x:v>
      </x:c>
      <x:c r="G11" s="9" t="str">
        <x:v>Entrée → fermeture annoncée → menace de zone → issue narrative.</x:v>
      </x:c>
      <x:c r="H11" s="9" t="str">
        <x:v>Le danger se lit par cônes et trajectoires; l’attaque de zone peut être évitée par placement, pas par un temps de réaction minuscule.</x:v>
      </x:c>
      <x:c r="I11" s="9" t="str"/>
      <x:c r="J11" s="9" t="str"/>
      <x:c r="K11" s="9" t="str"/>
      <x:c r="L11" s="9" t="str">
        <x:v>Scénarios de recette à exécuter pour INV/TRAP; consigner résultat réel et preuve seulement lors d’une future réalisation.</x:v>
      </x:c>
      <x:c r="M11" s="9" t="str">
        <x:v>Fiche de recette définie; aucun test du jeu n’a été exécuté par ce catalogue.</x:v>
      </x:c>
      <x:c r="N11" s="9" t="str">
        <x:v>L'objectif « Piège d’Afterlife » atteint son raccord annoncé après chaque méthode; sauvegarde, rechargement et saut de scène n'en changent ni le groupe ni les informations acquises.</x:v>
      </x:c>
      <x:c r="O11" s="9" t="str">
        <x:v>INV-SC-TRAP-MAIN, INV-SC-TRAP-CHOICE, INV-SC-TRAP-CINE, INV-SC-TRAP-PROP</x:v>
      </x:c>
      <x:c r="P11" s="9" t="str">
        <x:v>Critère de production original, pas une validation déjà obtenue.</x:v>
      </x:c>
      <x:c r="Q11" s="9" t="str"/>
      <x:c r="R11" s="20" t="str"/>
      <x:c r="S11" s="20" t="str"/>
    </x:row>
    <x:row r="12" ht="68" customHeight="1">
      <x:c r="A12" s="19" t="str">
        <x:v>INV-SC-EXILE-QA</x:v>
      </x:c>
      <x:c r="B12" s="7" t="str">
        <x:v>Ultimatum et départ — contrôle du parcours</x:v>
      </x:c>
      <x:c r="C12" s="15" t="str">
        <x:v>Défini</x:v>
      </x:c>
      <x:c r="D12" s="17" t="str">
        <x:v>Extrapolation</x:v>
      </x:c>
      <x:c r="E12" s="17" t="str">
        <x:v>P0</x:v>
      </x:c>
      <x:c r="F12" s="7" t="str">
        <x:v>Rejouer « Ultimatum et départ » par les deux méthodes proposées, avec tâche facultative ignorée puis terminée, et en sautant le raccord.</x:v>
      </x:c>
      <x:c r="G12" s="7" t="str">
        <x:v>Constat stratégique → décisions de préparation → départ fixé → raccord ME3.</x:v>
      </x:c>
      <x:c r="H12" s="7" t="str">
        <x:v>Les choix portent sur l’ordre de préparation et les ressources locales conservées; aucune option ne détruit la flotte adverse.</x:v>
      </x:c>
      <x:c r="I12" s="7" t="str"/>
      <x:c r="J12" s="7" t="str"/>
      <x:c r="K12" s="7" t="str"/>
      <x:c r="L12" s="7" t="str">
        <x:v>Scénarios de recette à exécuter pour INV/EXILE; consigner résultat réel et preuve seulement lors d’une future réalisation.</x:v>
      </x:c>
      <x:c r="M12" s="7" t="str">
        <x:v>Fiche de recette définie; aucun test du jeu n’a été exécuté par ce catalogue.</x:v>
      </x:c>
      <x:c r="N12" s="7" t="str">
        <x:v>L'objectif « Ultimatum et départ » atteint son raccord annoncé après chaque méthode; sauvegarde, rechargement et saut de scène n'en changent ni le groupe ni les informations acquises.</x:v>
      </x:c>
      <x:c r="O12" s="7" t="str">
        <x:v>INV-SC-EXILE-MAIN, INV-SC-EXILE-CHOICE, INV-SC-EXILE-CINE, INV-SC-EXILE-PROP</x:v>
      </x:c>
      <x:c r="P12" s="7" t="str">
        <x:v>Critère de production original, pas une validation déjà obtenue.</x:v>
      </x:c>
      <x:c r="Q12" s="7" t="str"/>
      <x:c r="R12" s="21" t="str"/>
      <x:c r="S12" s="21" t="str"/>
    </x:row>
    <x:row r="13" ht="54" customHeight="1">
      <x:c r="A13" s="18" t="str">
        <x:v>INV-QA-SOURCE</x:v>
      </x:c>
      <x:c r="B13" s="9" t="str">
        <x:v>Vérification des références</x:v>
      </x:c>
      <x:c r="C13" s="15" t="str">
        <x:v>Défini</x:v>
      </x:c>
      <x:c r="D13" s="16" t="str">
        <x:v>Extrapolation</x:v>
      </x:c>
      <x:c r="E13" s="16" t="str">
        <x:v>P0</x:v>
      </x:c>
      <x:c r="F13" s="9" t="str">
        <x:v>Contrôler Invasion dans une édition autorisée avant de transformer les éléments À vérifier en faits établis.</x:v>
      </x:c>
      <x:c r="G13" s="9" t="str">
        <x:v>Vérifier le bon numéro, les graphies, les costumes et le placement exact des séquences; aucune pagination non consultée fournie.</x:v>
      </x:c>
      <x:c r="H13" s="9" t="str"/>
      <x:c r="I13" s="9" t="str"/>
      <x:c r="J13" s="9" t="str"/>
      <x:c r="K13" s="9" t="str"/>
      <x:c r="L13" s="9" t="str">
        <x:v>Contrat de production INV/QA-SOURCE; à appliquer au futur contenu de l'œuvre.</x:v>
      </x:c>
      <x:c r="M13" s="9" t="str">
        <x:v>Recette planifiée; aucune réalisation testée ici.</x:v>
      </x:c>
      <x:c r="N13" s="9" t="str">
        <x:v>Chaque ajout de nom, page, costume ou date est lié à la bonne édition; les descriptions restent brèves et paraphrasées.</x:v>
      </x:c>
      <x:c r="O13" s="9" t="str">
        <x:v>INV-REF-SCOPE</x:v>
      </x:c>
      <x:c r="P13" s="9" t="str">
        <x:v>Règle originale de production; les ancrages de continuité sont documentés dans les fiches REF.</x:v>
      </x:c>
      <x:c r="Q13" s="9" t="str"/>
      <x:c r="R13" s="20" t="str"/>
      <x:c r="S13" s="20" t="str"/>
    </x:row>
    <x:row r="14" ht="54" customHeight="1">
      <x:c r="A14" s="19" t="str">
        <x:v>INV-QA-VISIBILITY</x:v>
      </x:c>
      <x:c r="B14" s="7" t="str">
        <x:v>Lecture des sprites et du terrain</x:v>
      </x:c>
      <x:c r="C14" s="15" t="str">
        <x:v>Défini</x:v>
      </x:c>
      <x:c r="D14" s="17" t="str">
        <x:v>Extrapolation</x:v>
      </x:c>
      <x:c r="E14" s="17" t="str">
        <x:v>P0</x:v>
      </x:c>
      <x:c r="F14" s="7" t="str">
        <x:v>Contrôler la taille des sprites, la séparation des silhouettes et les sorties sous la caméra fixe de chaque scène.</x:v>
      </x:c>
      <x:c r="G14" s="7" t="str">
        <x:v>Faire parcourir les zones avec premier plan actif, sous-titres larges et mode de contraste renforcé.</x:v>
      </x:c>
      <x:c r="H14" s="7" t="str"/>
      <x:c r="I14" s="7" t="str"/>
      <x:c r="J14" s="7" t="str"/>
      <x:c r="K14" s="7" t="str"/>
      <x:c r="L14" s="7" t="str">
        <x:v>Contrat de production INV/QA-VISIBILITY; à appliquer au futur contenu de l'œuvre.</x:v>
      </x:c>
      <x:c r="M14" s="7" t="str">
        <x:v>Recette planifiée; aucune réalisation testée ici.</x:v>
      </x:c>
      <x:c r="N14" s="7" t="str">
        <x:v>Le personnage contrôlé, les sorties et le signal de danger restent localisables sans désactiver le décor.</x:v>
      </x:c>
      <x:c r="O14" s="7" t="str">
        <x:v>INV-REF-SCOPE</x:v>
      </x:c>
      <x:c r="P14" s="7" t="str">
        <x:v>Règle originale de production; les ancrages de continuité sont documentés dans les fiches REF.</x:v>
      </x:c>
      <x:c r="Q14" s="7" t="str"/>
      <x:c r="R14" s="21" t="str"/>
      <x:c r="S14" s="21" t="str"/>
    </x:row>
    <x:row r="15" ht="68" customHeight="1">
      <x:c r="A15" s="18" t="str">
        <x:v>INV-QA-NARRATIVE</x:v>
      </x:c>
      <x:c r="B15" s="9" t="str">
        <x:v>Convergence narrative</x:v>
      </x:c>
      <x:c r="C15" s="15" t="str">
        <x:v>Défini</x:v>
      </x:c>
      <x:c r="D15" s="16" t="str">
        <x:v>Extrapolation</x:v>
      </x:c>
      <x:c r="E15" s="16" t="str">
        <x:v>P0</x:v>
      </x:c>
      <x:c r="F15" s="9" t="str">
        <x:v>Conserver le raccord d’occupation d’Omega et le départ d’Aria; une victoire tactique locale ne permet pas de gagner une guerre contraire au comic.</x:v>
      </x:c>
      <x:c r="G15" s="9" t="str">
        <x:v>La continuité éditoriale est distincte des essais de gameplay; un choix stratégique ne réécrit pas la fin publiée.</x:v>
      </x:c>
      <x:c r="H15" s="9" t="str"/>
      <x:c r="I15" s="9" t="str"/>
      <x:c r="J15" s="9" t="str"/>
      <x:c r="K15" s="9" t="str"/>
      <x:c r="L15" s="9" t="str">
        <x:v>Contrat de production INV/QA-NARRATIVE; à appliquer au futur contenu de l'œuvre.</x:v>
      </x:c>
      <x:c r="M15" s="9" t="str">
        <x:v>Recette planifiée; aucune réalisation testée ici.</x:v>
      </x:c>
      <x:c r="N15" s="9" t="str">
        <x:v>Jouer chaque choix local et passer chaque cinématique produit les mêmes ancrages de conclusion; les divergences restent marquées adaptation.</x:v>
      </x:c>
      <x:c r="O15" s="9" t="str">
        <x:v>INV-REF-SCOPE</x:v>
      </x:c>
      <x:c r="P15" s="9" t="str">
        <x:v>Règle originale de production; les ancrages de continuité sont documentés dans les fiches REF.</x:v>
      </x:c>
      <x:c r="Q15" s="9" t="str"/>
      <x:c r="R15" s="20" t="str"/>
      <x:c r="S15" s="20" t="str"/>
    </x:row>
  </x:sheetData>
  <x:conditionalFormatting sqref="D7:D15">
    <x:cfRule type="cellIs" dxfId="96" priority="1" operator="equal">
      <x:formula>"À vérifier"</x:formula>
    </x:cfRule>
    <x:cfRule type="cellIs" dxfId="97" priority="2" operator="equal">
      <x:formula>"Extrapolation"</x:formula>
    </x:cfRule>
  </x:conditionalFormatting>
  <x:conditionalFormatting sqref="C7:C15">
    <x:cfRule type="cellIs" dxfId="98" priority="3" operator="equal">
      <x:formula>"Validé"</x:formula>
    </x:cfRule>
  </x:conditionalFormatting>
  <x:conditionalFormatting sqref="E7:E15">
    <x:cfRule type="cellIs" dxfId="9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7fe24b2e219d4351"/>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Invasion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INV-CNT-PLACE</x:v>
      </x:c>
      <x:c r="B7" s="9" t="str">
        <x:v>Position dans l’univers</x:v>
      </x:c>
      <x:c r="C7" s="15" t="str">
        <x:v>Défini</x:v>
      </x:c>
      <x:c r="D7" s="16" t="str">
        <x:v>Extrapolation</x:v>
      </x:c>
      <x:c r="E7" s="16" t="str">
        <x:v>P1</x:v>
      </x:c>
      <x:c r="F7" s="9" t="str">
        <x:v>L’arc prépare la situation d’Omega dans ME3; le scénariste décrit explicitement le DLC Omega comme suite. Aria quitte la station dans le final.</x:v>
      </x:c>
      <x:c r="G7" s="9" t="str">
        <x:v>La continuité éditoriale est distincte des essais de gameplay; un choix stratégique ne réécrit pas la fin publiée.</x:v>
      </x:c>
      <x:c r="H7" s="9" t="str"/>
      <x:c r="I7" s="9" t="str"/>
      <x:c r="J7" s="9" t="str"/>
      <x:c r="K7" s="9" t="str"/>
      <x:c r="L7" s="9" t="str">
        <x:v>Contrat de production INV/CNT-PLACE; à appliquer au futur contenu de l'œuvre.</x:v>
      </x:c>
      <x:c r="M7" s="9" t="str">
        <x:v>Conserver le raccord d’occupation d’Omega et le départ d’Aria; une victoire tactique locale ne permet pas de gagner une guerre contraire au comic.</x:v>
      </x:c>
      <x:c r="N7" s="9" t="str">
        <x:v>La frise indique les incertitudes et les liens avec les autres œuvres sans attribuer une date non sourcée.</x:v>
      </x:c>
      <x:c r="O7" s="9" t="str">
        <x:v>INV-REF-SCOPE</x:v>
      </x:c>
      <x:c r="P7" s="9" t="str">
        <x:v>Règle originale de production; les ancrages de continuité sont documentés dans les fiches REF.</x:v>
      </x:c>
      <x:c r="Q7" s="9" t="str"/>
      <x:c r="R7" s="20" t="str"/>
      <x:c r="S7" s="20" t="str"/>
    </x:row>
    <x:row r="8" ht="54" customHeight="1">
      <x:c r="A8" s="19" t="str">
        <x:v>INV-CNT-NO-CUT</x:v>
      </x:c>
      <x:c r="B8" s="7" t="str">
        <x:v>Contenus non attestés</x:v>
      </x:c>
      <x:c r="C8" s="15" t="str">
        <x:v>Défini</x:v>
      </x:c>
      <x:c r="D8" s="17" t="str">
        <x:v>Extrapolation</x:v>
      </x:c>
      <x:c r="E8" s="17" t="str">
        <x:v>P1</x:v>
      </x:c>
      <x:c r="F8" s="7" t="str">
        <x:v>Aucune rumeur de scène coupée n’est intégrée à Invasion.</x:v>
      </x:c>
      <x:c r="G8" s="7" t="str">
        <x:v>Un contenu absent des notices consultées reste non documenté; une illustration préparatoire ne prouve pas une scène canon.</x:v>
      </x:c>
      <x:c r="H8" s="7" t="str"/>
      <x:c r="I8" s="7" t="str"/>
      <x:c r="J8" s="7" t="str"/>
      <x:c r="K8" s="7" t="str"/>
      <x:c r="L8" s="7" t="str">
        <x:v>Contrat de production INV/CNT-NO-CUT; à appliquer au futur contenu de l'œuvre.</x:v>
      </x:c>
      <x:c r="M8" s="7" t="str">
        <x:v>Conserver le raccord d’occupation d’Omega et le départ d’Aria; une victoire tactique locale ne permet pas de gagner une guerre contraire au comic.</x:v>
      </x:c>
      <x:c r="N8" s="7" t="str">
        <x:v>Une future fiche Coupé attesté ou Concept abandonné devra citer une preuve primaire spécifique.</x:v>
      </x:c>
      <x:c r="O8" s="7" t="str">
        <x:v>INV-REF-SCOPE</x:v>
      </x:c>
      <x:c r="P8" s="7" t="str">
        <x:v>Règle originale de production; les ancrages de continuité sont documentés dans les fiches REF.</x:v>
      </x:c>
      <x:c r="Q8" s="7" t="str"/>
      <x:c r="R8" s="21" t="str"/>
      <x:c r="S8" s="21"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a554fd94f6474ead"/>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Invasion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Invasion</x:v>
      </x:c>
      <x:c r="C7" s="2"/>
      <x:c r="D7" s="2"/>
      <x:c r="E7" s="2"/>
      <x:c r="F7" s="2"/>
    </x:row>
    <x:row r="8" ht="30" customHeight="1">
      <x:c r="A8" s="7" t="str">
        <x:v>Support</x:v>
      </x:c>
      <x:c r="B8" s="7" t="str">
        <x:v>Comic / bande dessinée</x:v>
      </x:c>
      <x:c r="C8" s="2"/>
      <x:c r="D8" s="2"/>
      <x:c r="E8" s="2"/>
      <x:c r="F8" s="2"/>
    </x:row>
    <x:row r="9" ht="54" customHeight="1">
      <x:c r="A9" s="7" t="str">
        <x:v>Périmètre</x:v>
      </x:c>
      <x:c r="B9" s="7" t="str">
        <x:v>Invasion #1–4 : défense d’Omega, menace des Adjutants, alliance circonstancielle, Avernus et prise de pouvoir de Cerberus. Le DLC Omega reste un raccord, pas un cinquième numéro.</x:v>
      </x:c>
      <x:c r="C9" s="2"/>
      <x:c r="D9" s="2"/>
      <x:c r="E9" s="2"/>
      <x:c r="F9" s="2"/>
    </x:row>
    <x:row r="10" ht="68" customHeight="1">
      <x:c r="A10" s="7" t="str">
        <x:v>Projet</x:v>
      </x:c>
      <x:c r="B10" s="7" t="str">
        <x:v>Spécifications originales pour une défense de station, une coopération instable et une sortie imposée par la menace stratégique. Le catalogue distingue l’ennemi publié des règles de contagion et de combat proposées.</x:v>
      </x:c>
      <x:c r="C10" s="2"/>
      <x:c r="D10" s="2"/>
      <x:c r="E10" s="2"/>
      <x:c r="F10" s="2"/>
    </x:row>
    <x:row r="11" ht="166" customHeight="1">
      <x:c r="A11" s="7" t="str">
        <x:v>Références et limites</x:v>
      </x:c>
      <x:c r="B11" s="7" t="str">
        <x:v>Les règles de propagation et de transformation jouables sont des abstractions originales. Ne pas confondre les Adjutants de cet arc avec tous leurs comportements du DLC Omega.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4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42" customHeight="1">
      <x:c r="A27" s="6" t="str">
        <x:v>INV-S-BOOK</x:v>
      </x:c>
      <x:c r="B27" s="6" t="str">
        <x:v>Dark Horse — Invasion</x:v>
      </x:c>
      <x:c r="C27" s="6" t="str">
        <x:v>source officielle — notice Dark Horse via Penguin Random House</x:v>
      </x:c>
      <x:c r="D27" s="6" t="str">
        <x:v>https://www.penguinrandomhouse.com/books/241636/mass-effect-volume-3-invasion-by-mac-walters-various-artists/</x:v>
      </x:c>
      <x:c r="E27" s="6" t="str">
        <x:v>Aria, Omega et menace Cerberus.</x:v>
      </x:c>
      <x:c r="F27" s="6" t="str">
        <x:v>Consulté le 22 octobre 2026; les faits sont paraphrasés brièvement.</x:v>
      </x:c>
    </x:row>
    <x:row r="28" ht="54" customHeight="1">
      <x:c r="A28" s="6" t="str">
        <x:v>INV-S-COMPLETE</x:v>
      </x:c>
      <x:c r="B28" s="6" t="str">
        <x:v>Dark Horse Digital — The Complete Comics</x:v>
      </x:c>
      <x:c r="C28" s="6" t="str">
        <x:v>source officielle — éditeur</x:v>
      </x:c>
      <x:c r="D28" s="6" t="str">
        <x:v>https://digital.darkhorse.com/books/7bcdbde713b746338287bb0d74350bac/mass-effect-the-complete-comics</x:v>
      </x:c>
      <x:c r="E28" s="6" t="str">
        <x:v>Prémisses, personnages centraux et compilation; ne remplace pas les numéros individuels.</x:v>
      </x:c>
      <x:c r="F28" s="6" t="str">
        <x:v>Consulté le 22 octobre 2026; les faits sont paraphrasés brièvement.</x:v>
      </x:c>
    </x:row>
    <x:row r="29" ht="42" customHeight="1">
      <x:c r="A29" s="6" t="str">
        <x:v>INV-S-AUTHOR1</x:v>
      </x:c>
      <x:c r="B29" s="6" t="str">
        <x:v>John Jackson Miller — Invasion #1</x:v>
      </x:c>
      <x:c r="C29" s="6" t="str">
        <x:v>source officielle — notes du scénariste</x:v>
      </x:c>
      <x:c r="D29" s="6" t="str">
        <x:v>https://farawaypress.com/comics/masseffectinvasion/masseffectinvasion1/</x:v>
      </x:c>
      <x:c r="E29" s="6" t="str">
        <x:v>Conception et éléments explicitement commentés de Invasion #1</x:v>
      </x:c>
      <x:c r="F29" s="6" t="str">
        <x:v>Consulté le 22 octobre 2026; les faits sont paraphrasés brièvement.</x:v>
      </x:c>
    </x:row>
    <x:row r="30" ht="42" customHeight="1">
      <x:c r="A30" s="6" t="str">
        <x:v>INV-S-AUTHOR4</x:v>
      </x:c>
      <x:c r="B30" s="6" t="str">
        <x:v>John Jackson Miller — Invasion #4</x:v>
      </x:c>
      <x:c r="C30" s="6" t="str">
        <x:v>source officielle — notes du scénariste</x:v>
      </x:c>
      <x:c r="D30" s="6" t="str">
        <x:v>https://farawaypress.com/comics/masseffectinvasion/masseffectinvasion4/</x:v>
      </x:c>
      <x:c r="E30" s="6" t="str">
        <x:v>Conception et éléments explicitement commentés de Invasion #4</x:v>
      </x:c>
      <x:c r="F30" s="6" t="str">
        <x:v>Consulté le 22 octobre 2026; les faits sont paraphrasés brièvement.</x:v>
      </x:c>
    </x:row>
    <x:row r="31" ht="54" customHeight="1">
      <x:c r="A31" s="6" t="str">
        <x:v>INV-S-PETROVSKY</x:v>
      </x:c>
      <x:c r="B31" s="6" t="str">
        <x:v>Oleg Petrovsky — Invasion</x:v>
      </x:c>
      <x:c r="C31" s="6" t="str">
        <x:v>wiki — extrait indexé, à contrôler</x:v>
      </x:c>
      <x:c r="D31" s="6" t="str">
        <x:v>https://masseffect.fandom.com/wiki/Oleg_Petrovsky</x:v>
      </x:c>
      <x:c r="E31" s="6" t="str">
        <x:v>Elbrus, Ashe, Avernus, occupation et ultimatum.</x:v>
      </x:c>
      <x:c r="F31" s="6" t="str">
        <x:v>Contenu lu dans le résultat de recherche indexé; ouverture directe Fandom restreinte ou en erreur. Comparaison avec le comic autorisé requise.</x:v>
      </x:c>
    </x:row>
    <x:row r="32" ht="54" customHeight="1">
      <x:c r="A32" s="6" t="str">
        <x:v>INV-S-ADJ</x:v>
      </x:c>
      <x:c r="B32" s="6" t="str">
        <x:v>Adjutants — Invasion</x:v>
      </x:c>
      <x:c r="C32" s="6" t="str">
        <x:v>wiki — extrait indexé, à contrôler</x:v>
      </x:c>
      <x:c r="D32" s="6" t="str">
        <x:v>https://masseffect.fandom.com/wiki/Adjutant</x:v>
      </x:c>
      <x:c r="E32" s="6" t="str">
        <x:v>Créatures, infection et Avernus.</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30" t="str">
        <x:v>Domaine</x:v>
      </x:c>
      <x:c r="B36" s="31" t="str">
        <x:v>Couverture actuelle</x:v>
      </x:c>
      <x:c r="C36" s="32" t="str">
        <x:v>Travail restant</x:v>
      </x:c>
      <x:c r="D36" s="2"/>
      <x:c r="E36" s="2"/>
      <x:c r="F36" s="2"/>
    </x:row>
    <x:row r="37" ht="68" customHeight="1">
      <x:c r="A37" s="6" t="str">
        <x:v>characters</x:v>
      </x:c>
      <x:c r="B37" s="6" t="str">
        <x:v>4 fiche(s) : Aria T’Loak; Oleg Petrovsky; Raymond Ashe; Défenseurs d’Omega</x:v>
      </x:c>
      <x:c r="C37" s="6" t="str">
        <x:v>Comparer les détails marqués À vérifier à une édition autorisée; les sources éditoriales n’attestent pas chaque détail graphique.</x:v>
      </x:c>
      <x:c r="D37" s="2"/>
      <x:c r="E37" s="2"/>
      <x:c r="F37" s="2"/>
    </x:row>
    <x:row r="38" ht="68" customHeight="1">
      <x:c r="A38" s="6" t="str">
        <x:v>npcs</x:v>
      </x:c>
      <x:c r="B38" s="6" t="str">
        <x:v>1 fiche(s) : L’Homme trouble</x:v>
      </x:c>
      <x:c r="C38" s="6" t="str">
        <x:v>Comparer les détails marqués À vérifier à une édition autorisée; les sources éditoriales n’attestent pas chaque détail graphique.</x:v>
      </x:c>
      <x:c r="D38" s="2"/>
      <x:c r="E38" s="2"/>
      <x:c r="F38" s="2"/>
    </x:row>
    <x:row r="39" ht="68" customHeight="1">
      <x:c r="A39" s="6" t="str">
        <x:v>lore</x:v>
      </x:c>
      <x:c r="B39" s="6" t="str">
        <x:v>10 fiche(s) : Omega au centre du conflit; Raccord du dernier numéro; Suite dans Omega; Coopération des gangs</x:v>
      </x:c>
      <x:c r="C39" s="6" t="str">
        <x:v>Comparer les détails marqués À vérifier à une édition autorisée; les sources éditoriales n’attestent pas chaque détail graphique.</x:v>
      </x:c>
      <x:c r="D39" s="2"/>
      <x:c r="E39" s="2"/>
      <x:c r="F39" s="2"/>
    </x:row>
    <x:row r="40" ht="68" customHeight="1">
      <x:c r="A40" s="6" t="str">
        <x:v>worlds</x:v>
      </x:c>
      <x:c r="B40" s="6" t="str">
        <x:v>4 fiche(s) : Omega; Elbrus; Avernus Station; Afterlife</x:v>
      </x:c>
      <x:c r="C40" s="6" t="str">
        <x:v>Comparer les détails marqués À vérifier à une édition autorisée; les sources éditoriales n’attestent pas chaque détail graphique.</x:v>
      </x:c>
      <x:c r="D40" s="2"/>
      <x:c r="E40" s="2"/>
      <x:c r="F40" s="2"/>
    </x:row>
    <x:row r="41" ht="54" customHeight="1">
      <x:c r="A41" s="6" t="str">
        <x:v>zones</x:v>
      </x:c>
      <x:c r="B41" s="6" t="str">
        <x:v>4 fiche(s) : Omega — espace jouable proposé; Elbrus — espace jouable proposé; Avernus Station — espace jouable proposé; Afterlife — espace jouable proposé</x:v>
      </x:c>
      <x:c r="C41" s="6" t="str">
        <x:v>Prototyper les règles proposées et exécuter les critères de recette; aucune fiche n’est déclarée intégrée ou validée.</x:v>
      </x:c>
      <x:c r="D41" s="2"/>
      <x:c r="E41" s="2"/>
      <x:c r="F41" s="2"/>
    </x:row>
    <x:row r="42" ht="54" customHeight="1">
      <x:c r="A42" s="6" t="str">
        <x:v>links</x:v>
      </x:c>
      <x:c r="B42" s="6" t="str">
        <x:v>4 fiche(s) : Omega — accès et sortie; Elbrus — accès et sortie; Avernus Station — accès et sortie; Afterlife — accès et sortie</x:v>
      </x:c>
      <x:c r="C42" s="6" t="str">
        <x:v>Prototyper les règles proposées et exécuter les critères de recette; aucune fiche n’est déclarée intégrée ou validée.</x:v>
      </x:c>
      <x:c r="D42" s="2"/>
      <x:c r="E42" s="2"/>
      <x:c r="F42" s="2"/>
    </x:row>
    <x:row r="43" ht="54" customHeight="1">
      <x:c r="A43" s="6" t="str">
        <x:v>scenery</x:v>
      </x:c>
      <x:c r="B43" s="6" t="str">
        <x:v>4 fiche(s) : Omega — décor et repère; Elbrus — décor et repère; Avernus Station — décor et repère; Afterlife — décor et repère</x:v>
      </x:c>
      <x:c r="C43" s="6" t="str">
        <x:v>Produire les assets originaux puis vérifier en situation; ce catalogue ne livre ni image, ni son, ni animation.</x:v>
      </x:c>
      <x:c r="D43" s="2"/>
      <x:c r="E43" s="2"/>
      <x:c r="F43" s="2"/>
    </x:row>
    <x:row r="44" ht="54" customHeight="1">
      <x:c r="A44" s="6" t="str">
        <x:v>props</x:v>
      </x:c>
      <x:c r="B44" s="6" t="str">
        <x:v>6 fiche(s) : Verrou de quai; Carte de coordination; Contrôle sectoriel; Plan local annoté</x:v>
      </x:c>
      <x:c r="C44" s="6" t="str">
        <x:v>Prototyper les règles proposées et exécuter les critères de recette; aucune fiche n’est déclarée intégrée ou validée.</x:v>
      </x:c>
      <x:c r="D44" s="2"/>
      <x:c r="E44" s="2"/>
      <x:c r="F44" s="2"/>
    </x:row>
    <x:row r="45" ht="54" customHeight="1">
      <x:c r="A45" s="6" t="str">
        <x:v>enemies</x:v>
      </x:c>
      <x:c r="B45" s="6" t="str">
        <x:v>3 fiche(s) : Adjutant; Forces de Cerberus; Équipe de contrôle du quai — proposition</x:v>
      </x:c>
      <x:c r="C45" s="6" t="str">
        <x:v>Prototyper les règles proposées et exécuter les critères de recette; aucune fiche n’est déclarée intégrée ou validée.</x:v>
      </x:c>
      <x:c r="D45" s="2"/>
      <x:c r="E45" s="2"/>
      <x:c r="F45" s="2"/>
    </x:row>
    <x:row r="46" ht="68" customHeight="1">
      <x:c r="A46" s="6" t="str">
        <x:v>main_quests</x:v>
      </x:c>
      <x:c r="B46" s="6" t="str">
        <x:v>6 fiche(s) : Alerte sur les quais — objectif jouable; Coordination de circonstance — objectif jouable; Confinement à Avernus — objectif jouable; Retour dans une station contestée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6 fiche(s) : Guider un groupe de dockers; Confirmer une voie de secours; Copier un état de confinement; Récupérer un émetteur local</x:v>
      </x:c>
      <x:c r="C47" s="6" t="str">
        <x:v>Prototyper les règles proposées et exécuter les critères de recette; aucune fiche n’est déclarée intégrée ou validée.</x:v>
      </x:c>
      <x:c r="D47" s="2"/>
      <x:c r="E47" s="2"/>
      <x:c r="F47" s="2"/>
    </x:row>
    <x:row r="48" ht="68" customHeight="1">
      <x:c r="A48" s="6" t="str">
        <x:v>choices</x:v>
      </x:c>
      <x:c r="B48" s="6" t="str">
        <x:v>6 fiche(s) : Alerte sur les quais — stratégie locale; Coordination de circonstance — stratégie locale; Confinement à Avernus — stratégie locale; Retour dans une station contestée — stratégie locale</x:v>
      </x:c>
      <x:c r="C48" s="6" t="str">
        <x:v>Prototyper les règles proposées et exécuter les critères de recette; aucune fiche n’est déclarée intégrée ou validée.</x:v>
      </x:c>
      <x:c r="D48" s="2"/>
      <x:c r="E48" s="2"/>
      <x:c r="F48" s="2"/>
    </x:row>
    <x:row r="49" ht="68" customHeight="1">
      <x:c r="A49" s="6" t="str">
        <x:v>dialogues</x:v>
      </x:c>
      <x:c r="B49" s="6" t="str">
        <x:v>6 fiche(s) : Alerte sur les quais — intentions de conversation; Coordination de circonstance — intentions de conversation; Confinement à Avernus — intentions de conversation; Retour dans une station contestée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6 fiche(s) : Alerte sur les quais — raccord mis en scène; Coordination de circonstance — raccord mis en scène; Confinement à Avernus — raccord mis en scène; Retour dans une station contestée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1 fiche(s) : Armement de défense local</x:v>
      </x:c>
      <x:c r="C51" s="6" t="str">
        <x:v>Prototyper les règles proposées et exécuter les critères de recette; aucune fiche n’est déclarée intégrée ou validée.</x:v>
      </x:c>
      <x:c r="D51" s="2"/>
      <x:c r="E51" s="2"/>
      <x:c r="F51" s="2"/>
    </x:row>
    <x:row r="52" ht="54" customHeight="1">
      <x:c r="A52" s="6" t="str">
        <x:v>equipment</x:v>
      </x:c>
      <x:c r="B52" s="6" t="str">
        <x:v>2 fiche(s) : Dispositif de fermeture locale; Indicateur d’exposition abstrait</x:v>
      </x:c>
      <x:c r="C52" s="6" t="str">
        <x:v>Prototyper les règles proposées et exécuter les critères de recette; aucune fiche n’est déclarée intégrée ou validée.</x:v>
      </x:c>
      <x:c r="D52" s="2"/>
      <x:c r="E52" s="2"/>
      <x:c r="F52" s="2"/>
    </x:row>
    <x:row r="53" ht="54" customHeight="1">
      <x:c r="A53" s="6" t="str">
        <x:v>powers</x:v>
      </x:c>
      <x:c r="B53" s="6" t="str">
        <x:v>1 fiche(s) : Projection biotique proposée d’Aria</x:v>
      </x:c>
      <x:c r="C53" s="6" t="str">
        <x:v>Prototyper les règles proposées et exécuter les critères de recette; aucune fiche n’est déclarée intégrée ou validée.</x:v>
      </x:c>
      <x:c r="D53" s="2"/>
      <x:c r="E53" s="2"/>
      <x:c r="F53" s="2"/>
    </x:row>
    <x:row r="54" ht="54" customHeight="1">
      <x:c r="A54" s="6" t="str">
        <x:v>ally_moves</x:v>
      </x:c>
      <x:c r="B54" s="6" t="str">
        <x:v>2 fiche(s) : Repli sous pression; Tenir le passage</x:v>
      </x:c>
      <x:c r="C54" s="6" t="str">
        <x:v>Prototyper les règles proposées et exécuter les critères de recette; aucune fiche n’est déclarée intégrée ou validée.</x:v>
      </x:c>
      <x:c r="D54" s="2"/>
      <x:c r="E54" s="2"/>
      <x:c r="F54" s="2"/>
    </x:row>
    <x:row r="55" ht="54" customHeight="1">
      <x:c r="A55" s="6" t="str">
        <x:v>enemy_moves</x:v>
      </x:c>
      <x:c r="B55" s="6" t="str">
        <x:v>6 fiche(s) : Bond de contamination — proposition; Pression de proximité — proposition; Couloir interdit; Avancée en binôme</x:v>
      </x:c>
      <x:c r="C55" s="6" t="str">
        <x:v>Prototyper les règles proposées et exécuter les critères de recette; aucune fiche n’est déclarée intégrée ou validée.</x:v>
      </x:c>
      <x:c r="D55" s="2"/>
      <x:c r="E55" s="2"/>
      <x:c r="F55" s="2"/>
    </x:row>
    <x:row r="56" ht="54" customHeight="1">
      <x:c r="A56" s="6" t="str">
        <x:v>animations</x:v>
      </x:c>
      <x:c r="B56" s="6" t="str">
        <x:v>5 fiche(s) : Aria T’Loak — jeu de poses; Oleg Petrovsky — jeu de poses; Raymond Ashe — jeu de poses; L’Homme trouble — jeu de poses</x:v>
      </x:c>
      <x:c r="C56" s="6" t="str">
        <x:v>Produire les assets originaux puis vérifier en situation; ce catalogue ne livre ni image, ni son, ni animation.</x:v>
      </x:c>
      <x:c r="D56" s="2"/>
      <x:c r="E56" s="2"/>
      <x:c r="F56" s="2"/>
    </x:row>
    <x:row r="57" ht="54" customHeight="1">
      <x:c r="A57" s="6" t="str">
        <x:v>sprites</x:v>
      </x:c>
      <x:c r="B57" s="6" t="str">
        <x:v>5 fiche(s) : Aria T’Loak — planche de sprites; Oleg Petrovsky — planche de sprites; Raymond Ashe — planche de sprites; L’Homme trouble — planche de sprites</x:v>
      </x:c>
      <x:c r="C57" s="6" t="str">
        <x:v>Produire les assets originaux puis vérifier en situation; ce catalogue ne livre ni image, ni son, ni animation.</x:v>
      </x:c>
      <x:c r="D57" s="2"/>
      <x:c r="E57" s="2"/>
      <x:c r="F57" s="2"/>
    </x:row>
    <x:row r="58" ht="54" customHeight="1">
      <x:c r="A58" s="6" t="str">
        <x:v>vfx</x:v>
      </x:c>
      <x:c r="B58" s="6" t="str">
        <x:v>6 fiche(s) : Alerte sur les quais — signal visuel; Coordination de circonstance — signal visuel; Confinement à Avernus — signal visuel; Retour dans une station contestée — signal visuel</x:v>
      </x:c>
      <x:c r="C58" s="6" t="str">
        <x:v>Produire les assets originaux puis vérifier en situation; ce catalogue ne livre ni image, ni son, ni animation.</x:v>
      </x:c>
      <x:c r="D58" s="2"/>
      <x:c r="E58" s="2"/>
      <x:c r="F58" s="2"/>
    </x:row>
    <x:row r="59" ht="54" customHeight="1">
      <x:c r="A59" s="6" t="str">
        <x:v>audio</x:v>
      </x:c>
      <x:c r="B59" s="6" t="str">
        <x:v>4 fiche(s) : Omega — paysage sonore; Elbrus — paysage sonore; Avernus Station — paysage sonore; Afterlife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9 fiche(s) : Alerte sur les quais — contrôle du parcours; Coordination de circonstance — contrôle du parcours; Confinement à Avernus — contrôle du parcours; Retour dans une station contestée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Comparer les détails marqués À vérifier à une édition autorisée; les sources éditoriales n’attestent pas chaque détail graphique.</x:v>
      </x:c>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sheetData>
  <x:pageMargins left="0.7" right="0.7" top="0.75" bottom="0.75" header="0.3" footer="0.3"/>
</x:worksheet>
</file>