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434ce47cd14a99" /></Relationships>
</file>

<file path=xl/workbook.xml><?xml version="1.0" encoding="utf-8"?>
<x:workbook xmlns:x="http://schemas.openxmlformats.org/spreadsheetml/2006/main">
  <x:sheets>
    <x:sheet xmlns:r="http://schemas.openxmlformats.org/officeDocument/2006/relationships" name="Dashboard" sheetId="1" r:id="R2be2c5a730c0416c"/>
    <x:sheet xmlns:r="http://schemas.openxmlformats.org/officeDocument/2006/relationships" name="Personnages" sheetId="2" r:id="R551796c718bd4ec0"/>
    <x:sheet xmlns:r="http://schemas.openxmlformats.org/officeDocument/2006/relationships" name="PNJ" sheetId="3" r:id="Rb502cd13c9c84529"/>
    <x:sheet xmlns:r="http://schemas.openxmlformats.org/officeDocument/2006/relationships" name="Especes_factions" sheetId="4" r:id="Rdd21994f4cb34a75"/>
    <x:sheet xmlns:r="http://schemas.openxmlformats.org/officeDocument/2006/relationships" name="Mondes" sheetId="5" r:id="R9f041c4bb6ea4b4e"/>
    <x:sheet xmlns:r="http://schemas.openxmlformats.org/officeDocument/2006/relationships" name="Zones" sheetId="6" r:id="Re3b2da4c31bb41a4"/>
    <x:sheet xmlns:r="http://schemas.openxmlformats.org/officeDocument/2006/relationships" name="Liaisons" sheetId="7" r:id="Ra938106e30654c54"/>
    <x:sheet xmlns:r="http://schemas.openxmlformats.org/officeDocument/2006/relationships" name="Decors" sheetId="8" r:id="R39a4e2584a9f4e3b"/>
    <x:sheet xmlns:r="http://schemas.openxmlformats.org/officeDocument/2006/relationships" name="Props" sheetId="9" r:id="R0d9c1ef4555a4cde"/>
    <x:sheet xmlns:r="http://schemas.openxmlformats.org/officeDocument/2006/relationships" name="Ennemis_boss" sheetId="10" r:id="R774f3515b6c04212"/>
    <x:sheet xmlns:r="http://schemas.openxmlformats.org/officeDocument/2006/relationships" name="Missions" sheetId="11" r:id="Rc5796ac2f45e4c68"/>
    <x:sheet xmlns:r="http://schemas.openxmlformats.org/officeDocument/2006/relationships" name="Secondaires_DLC" sheetId="12" r:id="R66217bb00c534d0d"/>
    <x:sheet xmlns:r="http://schemas.openxmlformats.org/officeDocument/2006/relationships" name="Choix_relations" sheetId="13" r:id="Re84e6c8d165c4c13"/>
    <x:sheet xmlns:r="http://schemas.openxmlformats.org/officeDocument/2006/relationships" name="Dialogues" sheetId="14" r:id="R49a3828905c94913"/>
    <x:sheet xmlns:r="http://schemas.openxmlformats.org/officeDocument/2006/relationships" name="Cinematiques" sheetId="15" r:id="R43025211131643b7"/>
    <x:sheet xmlns:r="http://schemas.openxmlformats.org/officeDocument/2006/relationships" name="Armes" sheetId="16" r:id="R34d380f2c5994e71"/>
    <x:sheet xmlns:r="http://schemas.openxmlformats.org/officeDocument/2006/relationships" name="Armures_equipement" sheetId="17" r:id="Reef32f482a0149fc"/>
    <x:sheet xmlns:r="http://schemas.openxmlformats.org/officeDocument/2006/relationships" name="Pouvoirs" sheetId="18" r:id="R170ecaf3711245d1"/>
    <x:sheet xmlns:r="http://schemas.openxmlformats.org/officeDocument/2006/relationships" name="Movesets_allies" sheetId="19" r:id="Rb71651a4adf2400d"/>
    <x:sheet xmlns:r="http://schemas.openxmlformats.org/officeDocument/2006/relationships" name="Movesets_ennemis" sheetId="20" r:id="Rd72d3d0f017447ec"/>
    <x:sheet xmlns:r="http://schemas.openxmlformats.org/officeDocument/2006/relationships" name="Animations" sheetId="21" r:id="Rb0e3675781e145bc"/>
    <x:sheet xmlns:r="http://schemas.openxmlformats.org/officeDocument/2006/relationships" name="Sprites" sheetId="22" r:id="R7daf96d80bc8480a"/>
    <x:sheet xmlns:r="http://schemas.openxmlformats.org/officeDocument/2006/relationships" name="VFX" sheetId="23" r:id="R7d47bb64b880497c"/>
    <x:sheet xmlns:r="http://schemas.openxmlformats.org/officeDocument/2006/relationships" name="Audio" sheetId="24" r:id="R65aaee9641524c97"/>
    <x:sheet xmlns:r="http://schemas.openxmlformats.org/officeDocument/2006/relationships" name="UI_systemes" sheetId="25" r:id="R8661f935fb804705"/>
    <x:sheet xmlns:r="http://schemas.openxmlformats.org/officeDocument/2006/relationships" name="QA" sheetId="26" r:id="R59ee1f5b37ea4e63"/>
    <x:sheet xmlns:r="http://schemas.openxmlformats.org/officeDocument/2006/relationships" name="Continuite" sheetId="27" r:id="Rc3498edfdd6b44c1"/>
    <x:sheet xmlns:r="http://schemas.openxmlformats.org/officeDocument/2006/relationships" name="Guide" sheetId="28" r:id="R756d47145fca4c5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d603cedcc3704d3b" /><Relationship Type="http://schemas.openxmlformats.org/officeDocument/2006/relationships/theme" Target="/xl/theme/theme1.xml" Id="R6a32c7403573435a" /><Relationship Type="http://schemas.openxmlformats.org/officeDocument/2006/relationships/sharedStrings" Target="/xl/sharedStrings.xml" Id="R35d4bf93c96d47f5" /><Relationship Type="http://schemas.openxmlformats.org/officeDocument/2006/relationships/worksheet" Target="/xl/worksheets/sheet1.xml" Id="R2be2c5a730c0416c" /><Relationship Type="http://schemas.openxmlformats.org/officeDocument/2006/relationships/worksheet" Target="/xl/worksheets/sheet2.xml" Id="R551796c718bd4ec0" /><Relationship Type="http://schemas.openxmlformats.org/officeDocument/2006/relationships/worksheet" Target="/xl/worksheets/sheet3.xml" Id="Rb502cd13c9c84529" /><Relationship Type="http://schemas.openxmlformats.org/officeDocument/2006/relationships/worksheet" Target="/xl/worksheets/sheet4.xml" Id="Rdd21994f4cb34a75" /><Relationship Type="http://schemas.openxmlformats.org/officeDocument/2006/relationships/worksheet" Target="/xl/worksheets/sheet5.xml" Id="R9f041c4bb6ea4b4e" /><Relationship Type="http://schemas.openxmlformats.org/officeDocument/2006/relationships/worksheet" Target="/xl/worksheets/sheet6.xml" Id="Re3b2da4c31bb41a4" /><Relationship Type="http://schemas.openxmlformats.org/officeDocument/2006/relationships/worksheet" Target="/xl/worksheets/sheet7.xml" Id="Ra938106e30654c54" /><Relationship Type="http://schemas.openxmlformats.org/officeDocument/2006/relationships/worksheet" Target="/xl/worksheets/sheet8.xml" Id="R39a4e2584a9f4e3b" /><Relationship Type="http://schemas.openxmlformats.org/officeDocument/2006/relationships/worksheet" Target="/xl/worksheets/sheet9.xml" Id="R0d9c1ef4555a4cde" /><Relationship Type="http://schemas.openxmlformats.org/officeDocument/2006/relationships/worksheet" Target="/xl/worksheets/sheet10.xml" Id="R774f3515b6c04212" /><Relationship Type="http://schemas.openxmlformats.org/officeDocument/2006/relationships/worksheet" Target="/xl/worksheets/sheet11.xml" Id="Rc5796ac2f45e4c68" /><Relationship Type="http://schemas.openxmlformats.org/officeDocument/2006/relationships/worksheet" Target="/xl/worksheets/sheet12.xml" Id="R66217bb00c534d0d" /><Relationship Type="http://schemas.openxmlformats.org/officeDocument/2006/relationships/worksheet" Target="/xl/worksheets/sheet13.xml" Id="Re84e6c8d165c4c13" /><Relationship Type="http://schemas.openxmlformats.org/officeDocument/2006/relationships/worksheet" Target="/xl/worksheets/sheet14.xml" Id="R49a3828905c94913" /><Relationship Type="http://schemas.openxmlformats.org/officeDocument/2006/relationships/worksheet" Target="/xl/worksheets/sheet15.xml" Id="R43025211131643b7" /><Relationship Type="http://schemas.openxmlformats.org/officeDocument/2006/relationships/worksheet" Target="/xl/worksheets/sheet16.xml" Id="R34d380f2c5994e71" /><Relationship Type="http://schemas.openxmlformats.org/officeDocument/2006/relationships/worksheet" Target="/xl/worksheets/sheet17.xml" Id="Reef32f482a0149fc" /><Relationship Type="http://schemas.openxmlformats.org/officeDocument/2006/relationships/worksheet" Target="/xl/worksheets/sheet18.xml" Id="R170ecaf3711245d1" /><Relationship Type="http://schemas.openxmlformats.org/officeDocument/2006/relationships/worksheet" Target="/xl/worksheets/sheet19.xml" Id="Rb71651a4adf2400d" /><Relationship Type="http://schemas.openxmlformats.org/officeDocument/2006/relationships/worksheet" Target="/xl/worksheets/sheet20.xml" Id="Rd72d3d0f017447ec" /><Relationship Type="http://schemas.openxmlformats.org/officeDocument/2006/relationships/worksheet" Target="/xl/worksheets/sheet21.xml" Id="Rb0e3675781e145bc" /><Relationship Type="http://schemas.openxmlformats.org/officeDocument/2006/relationships/worksheet" Target="/xl/worksheets/sheet22.xml" Id="R7daf96d80bc8480a" /><Relationship Type="http://schemas.openxmlformats.org/officeDocument/2006/relationships/worksheet" Target="/xl/worksheets/sheet23.xml" Id="R7d47bb64b880497c" /><Relationship Type="http://schemas.openxmlformats.org/officeDocument/2006/relationships/worksheet" Target="/xl/worksheets/sheet24.xml" Id="R65aaee9641524c97" /><Relationship Type="http://schemas.openxmlformats.org/officeDocument/2006/relationships/worksheet" Target="/xl/worksheets/sheet25.xml" Id="R8661f935fb804705" /><Relationship Type="http://schemas.openxmlformats.org/officeDocument/2006/relationships/worksheet" Target="/xl/worksheets/sheet26.xml" Id="R59ee1f5b37ea4e63" /><Relationship Type="http://schemas.openxmlformats.org/officeDocument/2006/relationships/worksheet" Target="/xl/worksheets/sheet27.xml" Id="Rc3498edfdd6b44c1" /><Relationship Type="http://schemas.openxmlformats.org/officeDocument/2006/relationships/worksheet" Target="/xl/worksheets/sheet28.xml" Id="R756d47145fca4c55" /></Relationships>
</file>

<file path=xl/tables/table1.xml><?xml version="1.0" encoding="utf-8"?>
<x:table xmlns:x="http://schemas.openxmlformats.org/spreadsheetml/2006/main" id="1" name="INV_characters" displayName="INV_character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INV_npcs" displayName="INV_npc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INV_lore" displayName="INV_lore"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INV_worlds" displayName="INV_world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INV_zones" displayName="INV_zon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INV_links" displayName="INV_link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INV_scenery" displayName="INV_scenery"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INV_props" displayName="INV_prop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INV_enemies" displayName="INV_enemi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INV_main_quests" displayName="INV_main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INV_side_quests" displayName="INV_side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INV_choices" displayName="INV_choic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INV_dialogues" displayName="INV_dialogu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INV_cinematics" displayName="INV_cinematic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INV_weapons" displayName="INV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INV_equipment" displayName="INV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INV_powers" displayName="INV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INV_ally_moves" displayName="INV_ally_mov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INV_enemy_moves" displayName="INV_enem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INV_animations" displayName="INV_animation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INV_sprites" displayName="INV_sprite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INV_vfx" displayName="INV_vfx"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INV_audio" displayName="INV_audio"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INV_systems" displayName="INV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INV_qa" displayName="INV_qa"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INV_continuity" displayName="INV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1acecb812d4e31" /></Relationships>
</file>

<file path=xl/worksheets/_rels/sheet3.xml.rels>&#65279;<?xml version="1.0" encoding="utf-8"?><Relationships xmlns="http://schemas.openxmlformats.org/package/2006/relationships"><Relationship Type="http://schemas.openxmlformats.org/officeDocument/2006/relationships/table" Target="/xl/tables/table2.xml" Id="R1047a3de8d2b41e0" /></Relationships>
</file>

<file path=xl/worksheets/_rels/sheet4.xml.rels>&#65279;<?xml version="1.0" encoding="utf-8"?><Relationships xmlns="http://schemas.openxmlformats.org/package/2006/relationships"><Relationship Type="http://schemas.openxmlformats.org/officeDocument/2006/relationships/table" Target="/xl/tables/table3.xml" Id="R6d4c033402894185" /></Relationships>
</file>

<file path=xl/worksheets/_rels/sheet5.xml.rels>&#65279;<?xml version="1.0" encoding="utf-8"?><Relationships xmlns="http://schemas.openxmlformats.org/package/2006/relationships"><Relationship Type="http://schemas.openxmlformats.org/officeDocument/2006/relationships/table" Target="/xl/tables/table4.xml" Id="R09ff77e203734d94" /></Relationships>
</file>

<file path=xl/worksheets/_rels/sheet6.xml.rels>&#65279;<?xml version="1.0" encoding="utf-8"?><Relationships xmlns="http://schemas.openxmlformats.org/package/2006/relationships"><Relationship Type="http://schemas.openxmlformats.org/officeDocument/2006/relationships/table" Target="/xl/tables/table5.xml" Id="Rab48e79e93d04428" /></Relationships>
</file>

<file path=xl/worksheets/_rels/sheet7.xml.rels>&#65279;<?xml version="1.0" encoding="utf-8"?><Relationships xmlns="http://schemas.openxmlformats.org/package/2006/relationships"><Relationship Type="http://schemas.openxmlformats.org/officeDocument/2006/relationships/table" Target="/xl/tables/table6.xml" Id="R548445414028495e" /></Relationships>
</file>

<file path=xl/worksheets/_rels/sheet8.xml.rels>&#65279;<?xml version="1.0" encoding="utf-8"?><Relationships xmlns="http://schemas.openxmlformats.org/package/2006/relationships"><Relationship Type="http://schemas.openxmlformats.org/officeDocument/2006/relationships/table" Target="/xl/tables/table7.xml" Id="Rcc40e585eabf4025" /></Relationships>
</file>

<file path=xl/worksheets/_rels/sheet9.xml.rels>&#65279;<?xml version="1.0" encoding="utf-8"?><Relationships xmlns="http://schemas.openxmlformats.org/package/2006/relationships"><Relationship Type="http://schemas.openxmlformats.org/officeDocument/2006/relationships/table" Target="/xl/tables/table8.xml" Id="R1d016169b942499a" /></Relationships>
</file>

<file path=xl/worksheets/_rels/sheet10.xml.rels>&#65279;<?xml version="1.0" encoding="utf-8"?><Relationships xmlns="http://schemas.openxmlformats.org/package/2006/relationships"><Relationship Type="http://schemas.openxmlformats.org/officeDocument/2006/relationships/table" Target="/xl/tables/table9.xml" Id="R6e28661a15784723" /></Relationships>
</file>

<file path=xl/worksheets/_rels/sheet11.xml.rels>&#65279;<?xml version="1.0" encoding="utf-8"?><Relationships xmlns="http://schemas.openxmlformats.org/package/2006/relationships"><Relationship Type="http://schemas.openxmlformats.org/officeDocument/2006/relationships/table" Target="/xl/tables/table10.xml" Id="R3edd8711c4984ebc" /></Relationships>
</file>

<file path=xl/worksheets/_rels/sheet12.xml.rels>&#65279;<?xml version="1.0" encoding="utf-8"?><Relationships xmlns="http://schemas.openxmlformats.org/package/2006/relationships"><Relationship Type="http://schemas.openxmlformats.org/officeDocument/2006/relationships/table" Target="/xl/tables/table11.xml" Id="R3c028c0ac5854c0b" /></Relationships>
</file>

<file path=xl/worksheets/_rels/sheet13.xml.rels>&#65279;<?xml version="1.0" encoding="utf-8"?><Relationships xmlns="http://schemas.openxmlformats.org/package/2006/relationships"><Relationship Type="http://schemas.openxmlformats.org/officeDocument/2006/relationships/table" Target="/xl/tables/table12.xml" Id="R4cb65e0d81664989" /></Relationships>
</file>

<file path=xl/worksheets/_rels/sheet14.xml.rels>&#65279;<?xml version="1.0" encoding="utf-8"?><Relationships xmlns="http://schemas.openxmlformats.org/package/2006/relationships"><Relationship Type="http://schemas.openxmlformats.org/officeDocument/2006/relationships/table" Target="/xl/tables/table13.xml" Id="R2054cb253c794af5" /></Relationships>
</file>

<file path=xl/worksheets/_rels/sheet15.xml.rels>&#65279;<?xml version="1.0" encoding="utf-8"?><Relationships xmlns="http://schemas.openxmlformats.org/package/2006/relationships"><Relationship Type="http://schemas.openxmlformats.org/officeDocument/2006/relationships/table" Target="/xl/tables/table14.xml" Id="R87ad274099b24444" /></Relationships>
</file>

<file path=xl/worksheets/_rels/sheet16.xml.rels>&#65279;<?xml version="1.0" encoding="utf-8"?><Relationships xmlns="http://schemas.openxmlformats.org/package/2006/relationships"><Relationship Type="http://schemas.openxmlformats.org/officeDocument/2006/relationships/table" Target="/xl/tables/table15.xml" Id="Rb2ff7f56087e43a6" /></Relationships>
</file>

<file path=xl/worksheets/_rels/sheet17.xml.rels>&#65279;<?xml version="1.0" encoding="utf-8"?><Relationships xmlns="http://schemas.openxmlformats.org/package/2006/relationships"><Relationship Type="http://schemas.openxmlformats.org/officeDocument/2006/relationships/table" Target="/xl/tables/table16.xml" Id="R82a78589fe664f5f" /></Relationships>
</file>

<file path=xl/worksheets/_rels/sheet18.xml.rels>&#65279;<?xml version="1.0" encoding="utf-8"?><Relationships xmlns="http://schemas.openxmlformats.org/package/2006/relationships"><Relationship Type="http://schemas.openxmlformats.org/officeDocument/2006/relationships/table" Target="/xl/tables/table17.xml" Id="R37a4f3cd36db4490" /></Relationships>
</file>

<file path=xl/worksheets/_rels/sheet19.xml.rels>&#65279;<?xml version="1.0" encoding="utf-8"?><Relationships xmlns="http://schemas.openxmlformats.org/package/2006/relationships"><Relationship Type="http://schemas.openxmlformats.org/officeDocument/2006/relationships/table" Target="/xl/tables/table18.xml" Id="R57ca4c50a2274877" /></Relationships>
</file>

<file path=xl/worksheets/_rels/sheet20.xml.rels>&#65279;<?xml version="1.0" encoding="utf-8"?><Relationships xmlns="http://schemas.openxmlformats.org/package/2006/relationships"><Relationship Type="http://schemas.openxmlformats.org/officeDocument/2006/relationships/table" Target="/xl/tables/table19.xml" Id="R64fd9344568541f4" /></Relationships>
</file>

<file path=xl/worksheets/_rels/sheet21.xml.rels>&#65279;<?xml version="1.0" encoding="utf-8"?><Relationships xmlns="http://schemas.openxmlformats.org/package/2006/relationships"><Relationship Type="http://schemas.openxmlformats.org/officeDocument/2006/relationships/table" Target="/xl/tables/table20.xml" Id="R716523f2aac347c8" /></Relationships>
</file>

<file path=xl/worksheets/_rels/sheet22.xml.rels>&#65279;<?xml version="1.0" encoding="utf-8"?><Relationships xmlns="http://schemas.openxmlformats.org/package/2006/relationships"><Relationship Type="http://schemas.openxmlformats.org/officeDocument/2006/relationships/table" Target="/xl/tables/table21.xml" Id="R9f7e03e65a464c90" /></Relationships>
</file>

<file path=xl/worksheets/_rels/sheet23.xml.rels>&#65279;<?xml version="1.0" encoding="utf-8"?><Relationships xmlns="http://schemas.openxmlformats.org/package/2006/relationships"><Relationship Type="http://schemas.openxmlformats.org/officeDocument/2006/relationships/table" Target="/xl/tables/table22.xml" Id="R1d8e15184011454a" /></Relationships>
</file>

<file path=xl/worksheets/_rels/sheet24.xml.rels>&#65279;<?xml version="1.0" encoding="utf-8"?><Relationships xmlns="http://schemas.openxmlformats.org/package/2006/relationships"><Relationship Type="http://schemas.openxmlformats.org/officeDocument/2006/relationships/table" Target="/xl/tables/table23.xml" Id="Rdcdc30e7b5a54458" /></Relationships>
</file>

<file path=xl/worksheets/_rels/sheet25.xml.rels>&#65279;<?xml version="1.0" encoding="utf-8"?><Relationships xmlns="http://schemas.openxmlformats.org/package/2006/relationships"><Relationship Type="http://schemas.openxmlformats.org/officeDocument/2006/relationships/table" Target="/xl/tables/table24.xml" Id="R893d76f0b53b403f" /></Relationships>
</file>

<file path=xl/worksheets/_rels/sheet26.xml.rels>&#65279;<?xml version="1.0" encoding="utf-8"?><Relationships xmlns="http://schemas.openxmlformats.org/package/2006/relationships"><Relationship Type="http://schemas.openxmlformats.org/officeDocument/2006/relationships/table" Target="/xl/tables/table25.xml" Id="R5bd85a62acdf4ea3" /></Relationships>
</file>

<file path=xl/worksheets/_rels/sheet27.xml.rels>&#65279;<?xml version="1.0" encoding="utf-8"?><Relationships xmlns="http://schemas.openxmlformats.org/package/2006/relationships"><Relationship Type="http://schemas.openxmlformats.org/officeDocument/2006/relationships/table" Target="/xl/tables/table26.xml" Id="Racf5b66b0af648a0"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Invasion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117</x:v>
      </x:c>
      <x:c r="C5" s="2"/>
      <x:c r="D5" s="2" t="str">
        <x:v>Intégrés</x:v>
      </x:c>
      <x:c r="E5" s="31" t="n">
        <x:f>SUM(E10:F35)</x:f>
        <x:v>0</x:v>
      </x:c>
      <x:c r="F5" s="2"/>
      <x:c r="G5" s="2" t="str">
        <x:v>À vérifier</x:v>
      </x:c>
      <x:c r="H5" s="31" t="n">
        <x:f>SUM(H10:H35)</x:f>
        <x:v>10</x:v>
      </x:c>
      <x:c r="I5" s="2"/>
      <x:c r="J5" s="2" t="str">
        <x:v>Extrapolations</x:v>
      </x:c>
      <x:c r="K5" s="31" t="n">
        <x:f>SUM(I10:I35)</x:f>
        <x:v>96</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COUNTA('Personnages'!$A$7:$A$10)</x:f>
        <x:v>4</x:v>
      </x:c>
      <x:c r="C10" s="37" t="n">
        <x:f>COUNTIFS('Personnages'!$C$7:$C$10,"Défini")</x:f>
        <x:v>4</x:v>
      </x:c>
      <x:c r="D10" s="37" t="n">
        <x:f>COUNTIFS('Personnages'!$C$7:$C$10,"Prototype")</x:f>
        <x:v>0</x:v>
      </x:c>
      <x:c r="E10" s="37" t="n">
        <x:f>COUNTIFS('Personnages'!$C$7:$C$10,"Intégré")</x:f>
        <x:v>0</x:v>
      </x:c>
      <x:c r="F10" s="37" t="n">
        <x:f>COUNTIFS('Personnages'!$C$7:$C$10,"Validé")</x:f>
        <x:v>0</x:v>
      </x:c>
      <x:c r="G10" s="37" t="n">
        <x:f>COUNTIFS('Personnages'!$D$7:$D$10,"Établi")</x:f>
        <x:v>2</x:v>
      </x:c>
      <x:c r="H10" s="37" t="n">
        <x:f>COUNTIFS('Personnages'!$D$7:$D$10,"À vérifier")</x:f>
        <x:v>2</x:v>
      </x:c>
      <x:c r="I10" s="37" t="n">
        <x:f>COUNTIFS('Personnages'!$D$7:$D$10,"Extrapolation")</x:f>
        <x:v>0</x:v>
      </x:c>
      <x:c r="J10" s="37" t="n">
        <x:f>COUNTIFS('Personnages'!$D$7:$D$10,"Coupé attesté")</x:f>
        <x:v>0</x:v>
      </x:c>
      <x:c r="K10" s="37" t="n">
        <x:f>COUNTIFS('Personnages'!$D$7:$D$10,"Concept abandonné")</x:f>
        <x:v>0</x:v>
      </x:c>
      <x:c r="L10" s="37" t="n">
        <x:f>COUNTIFS('Personnages'!$D$7:$D$10,"Allégation écartée")</x:f>
        <x:v>0</x:v>
      </x:c>
      <x:c r="M10" s="37" t="n">
        <x:f>COUNTIFS('Personnages'!$E$7:$E$10,"P0")</x:f>
        <x:v>0</x:v>
      </x:c>
    </x:row>
    <x:row r="11" ht="22" customHeight="1">
      <x:c r="A11" s="2" t="str">
        <x:v>PNJ</x:v>
      </x:c>
      <x:c r="B11" s="38" t="n">
        <x:f>COUNTA('PNJ'!$A$7:$A$7)</x:f>
        <x:v>1</x:v>
      </x:c>
      <x:c r="C11" s="38" t="n">
        <x:f>COUNTIFS('PNJ'!$C$7:$C$7,"Défini")</x:f>
        <x:v>1</x:v>
      </x:c>
      <x:c r="D11" s="38" t="n">
        <x:f>COUNTIFS('PNJ'!$C$7:$C$7,"Prototype")</x:f>
        <x:v>0</x:v>
      </x:c>
      <x:c r="E11" s="38" t="n">
        <x:f>COUNTIFS('PNJ'!$C$7:$C$7,"Intégré")</x:f>
        <x:v>0</x:v>
      </x:c>
      <x:c r="F11" s="38" t="n">
        <x:f>COUNTIFS('PNJ'!$C$7:$C$7,"Validé")</x:f>
        <x:v>0</x:v>
      </x:c>
      <x:c r="G11" s="38" t="n">
        <x:f>COUNTIFS('PNJ'!$D$7:$D$7,"Établi")</x:f>
        <x:v>1</x:v>
      </x:c>
      <x:c r="H11" s="38" t="n">
        <x:f>COUNTIFS('PNJ'!$D$7:$D$7,"À vérifier")</x:f>
        <x:v>0</x:v>
      </x:c>
      <x:c r="I11" s="38" t="n">
        <x:f>COUNTIFS('PNJ'!$D$7:$D$7,"Extrapolation")</x:f>
        <x:v>0</x:v>
      </x:c>
      <x:c r="J11" s="38" t="n">
        <x:f>COUNTIFS('PNJ'!$D$7:$D$7,"Coupé attesté")</x:f>
        <x:v>0</x:v>
      </x:c>
      <x:c r="K11" s="38" t="n">
        <x:f>COUNTIFS('PNJ'!$D$7:$D$7,"Concept abandonné")</x:f>
        <x:v>0</x:v>
      </x:c>
      <x:c r="L11" s="38" t="n">
        <x:f>COUNTIFS('PNJ'!$D$7:$D$7,"Allégation écartée")</x:f>
        <x:v>0</x:v>
      </x:c>
      <x:c r="M11" s="38" t="n">
        <x:f>COUNTIFS('PNJ'!$E$7:$E$7,"P0")</x:f>
        <x:v>0</x:v>
      </x:c>
    </x:row>
    <x:row r="12" ht="22" customHeight="1">
      <x:c r="A12" s="33" t="str">
        <x:v>Espèces et factions</x:v>
      </x:c>
      <x:c r="B12" s="37" t="n">
        <x:f>COUNTA('Especes_factions'!$A$7:$A$16)</x:f>
        <x:v>10</x:v>
      </x:c>
      <x:c r="C12" s="37" t="n">
        <x:f>COUNTIFS('Especes_factions'!$C$7:$C$16,"Défini")</x:f>
        <x:v>6</x:v>
      </x:c>
      <x:c r="D12" s="37" t="n">
        <x:f>COUNTIFS('Especes_factions'!$C$7:$C$16,"Prototype")</x:f>
        <x:v>4</x:v>
      </x:c>
      <x:c r="E12" s="37" t="n">
        <x:f>COUNTIFS('Especes_factions'!$C$7:$C$16,"Intégré")</x:f>
        <x:v>0</x:v>
      </x:c>
      <x:c r="F12" s="37" t="n">
        <x:f>COUNTIFS('Especes_factions'!$C$7:$C$16,"Validé")</x:f>
        <x:v>0</x:v>
      </x:c>
      <x:c r="G12" s="37" t="n">
        <x:f>COUNTIFS('Especes_factions'!$D$7:$D$16,"Établi")</x:f>
        <x:v>6</x:v>
      </x:c>
      <x:c r="H12" s="37" t="n">
        <x:f>COUNTIFS('Especes_factions'!$D$7:$D$16,"À vérifier")</x:f>
        <x:v>4</x:v>
      </x:c>
      <x:c r="I12" s="37" t="n">
        <x:f>COUNTIFS('Especes_factions'!$D$7:$D$16,"Extrapolation")</x:f>
        <x:v>0</x:v>
      </x:c>
      <x:c r="J12" s="37" t="n">
        <x:f>COUNTIFS('Especes_factions'!$D$7:$D$16,"Coupé attesté")</x:f>
        <x:v>0</x:v>
      </x:c>
      <x:c r="K12" s="37" t="n">
        <x:f>COUNTIFS('Especes_factions'!$D$7:$D$16,"Concept abandonné")</x:f>
        <x:v>0</x:v>
      </x:c>
      <x:c r="L12" s="37" t="n">
        <x:f>COUNTIFS('Especes_factions'!$D$7:$D$16,"Allégation écartée")</x:f>
        <x:v>0</x:v>
      </x:c>
      <x:c r="M12" s="37" t="n">
        <x:f>COUNTIFS('Especes_factions'!$E$7:$E$16,"P0")</x:f>
        <x:v>4</x:v>
      </x:c>
    </x:row>
    <x:row r="13" ht="22" customHeight="1">
      <x:c r="A13" s="2" t="str">
        <x:v>Mondes</x:v>
      </x:c>
      <x:c r="B13" s="38" t="n">
        <x:f>COUNTA('Mondes'!$A$7:$A$10)</x:f>
        <x:v>4</x:v>
      </x:c>
      <x:c r="C13" s="38" t="n">
        <x:f>COUNTIFS('Mondes'!$C$7:$C$10,"Défini")</x:f>
        <x:v>4</x:v>
      </x:c>
      <x:c r="D13" s="38" t="n">
        <x:f>COUNTIFS('Mondes'!$C$7:$C$10,"Prototype")</x:f>
        <x:v>0</x:v>
      </x:c>
      <x:c r="E13" s="38" t="n">
        <x:f>COUNTIFS('Mondes'!$C$7:$C$10,"Intégré")</x:f>
        <x:v>0</x:v>
      </x:c>
      <x:c r="F13" s="38" t="n">
        <x:f>COUNTIFS('Mondes'!$C$7:$C$10,"Validé")</x:f>
        <x:v>0</x:v>
      </x:c>
      <x:c r="G13" s="38" t="n">
        <x:f>COUNTIFS('Mondes'!$D$7:$D$10,"Établi")</x:f>
        <x:v>1</x:v>
      </x:c>
      <x:c r="H13" s="38" t="n">
        <x:f>COUNTIFS('Mondes'!$D$7:$D$10,"À vérifier")</x:f>
        <x:v>3</x:v>
      </x:c>
      <x:c r="I13" s="38" t="n">
        <x:f>COUNTIFS('Mondes'!$D$7:$D$10,"Extrapolation")</x:f>
        <x:v>0</x:v>
      </x:c>
      <x:c r="J13" s="38" t="n">
        <x:f>COUNTIFS('Mondes'!$D$7:$D$10,"Coupé attesté")</x:f>
        <x:v>0</x:v>
      </x:c>
      <x:c r="K13" s="38" t="n">
        <x:f>COUNTIFS('Mondes'!$D$7:$D$10,"Concept abandonné")</x:f>
        <x:v>0</x:v>
      </x:c>
      <x:c r="L13" s="38" t="n">
        <x:f>COUNTIFS('Mondes'!$D$7:$D$10,"Allégation écartée")</x:f>
        <x:v>0</x:v>
      </x:c>
      <x:c r="M13" s="38" t="n">
        <x:f>COUNTIFS('Mondes'!$E$7:$E$10,"P0")</x:f>
        <x:v>0</x:v>
      </x:c>
    </x:row>
    <x:row r="14" ht="22" customHeight="1">
      <x:c r="A14" s="33" t="str">
        <x:v>Zones</x:v>
      </x:c>
      <x:c r="B14" s="37" t="n">
        <x:f>COUNTA('Zones'!$A$7:$A$10)</x:f>
        <x:v>4</x:v>
      </x:c>
      <x:c r="C14" s="37" t="n">
        <x:f>COUNTIFS('Zones'!$C$7:$C$10,"Défini")</x:f>
        <x:v>4</x:v>
      </x:c>
      <x:c r="D14" s="37" t="n">
        <x:f>COUNTIFS('Zones'!$C$7:$C$10,"Prototype")</x:f>
        <x:v>0</x:v>
      </x:c>
      <x:c r="E14" s="37" t="n">
        <x:f>COUNTIFS('Zones'!$C$7:$C$10,"Intégré")</x:f>
        <x:v>0</x:v>
      </x:c>
      <x:c r="F14" s="37" t="n">
        <x:f>COUNTIFS('Zones'!$C$7:$C$10,"Validé")</x:f>
        <x:v>0</x:v>
      </x:c>
      <x:c r="G14" s="37" t="n">
        <x:f>COUNTIFS('Zones'!$D$7:$D$10,"Établi")</x:f>
        <x:v>0</x:v>
      </x:c>
      <x:c r="H14" s="37" t="n">
        <x:f>COUNTIFS('Zones'!$D$7:$D$10,"À vérifier")</x:f>
        <x:v>0</x:v>
      </x:c>
      <x:c r="I14" s="37" t="n">
        <x:f>COUNTIFS('Zones'!$D$7:$D$10,"Extrapolation")</x:f>
        <x:v>4</x:v>
      </x:c>
      <x:c r="J14" s="37" t="n">
        <x:f>COUNTIFS('Zones'!$D$7:$D$10,"Coupé attesté")</x:f>
        <x:v>0</x:v>
      </x:c>
      <x:c r="K14" s="37" t="n">
        <x:f>COUNTIFS('Zones'!$D$7:$D$10,"Concept abandonné")</x:f>
        <x:v>0</x:v>
      </x:c>
      <x:c r="L14" s="37" t="n">
        <x:f>COUNTIFS('Zones'!$D$7:$D$10,"Allégation écartée")</x:f>
        <x:v>0</x:v>
      </x:c>
      <x:c r="M14" s="37" t="n">
        <x:f>COUNTIFS('Zones'!$E$7:$E$10,"P0")</x:f>
        <x:v>0</x:v>
      </x:c>
    </x:row>
    <x:row r="15" ht="22" customHeight="1">
      <x:c r="A15" s="2" t="str">
        <x:v>Liaisons</x:v>
      </x:c>
      <x:c r="B15" s="38" t="n">
        <x:f>COUNTA('Liaisons'!$A$7:$A$10)</x:f>
        <x:v>4</x:v>
      </x:c>
      <x:c r="C15" s="38" t="n">
        <x:f>COUNTIFS('Liaisons'!$C$7:$C$10,"Défini")</x:f>
        <x:v>4</x:v>
      </x:c>
      <x:c r="D15" s="38" t="n">
        <x:f>COUNTIFS('Liaisons'!$C$7:$C$10,"Prototype")</x:f>
        <x:v>0</x:v>
      </x:c>
      <x:c r="E15" s="38" t="n">
        <x:f>COUNTIFS('Liaisons'!$C$7:$C$10,"Intégré")</x:f>
        <x:v>0</x:v>
      </x:c>
      <x:c r="F15" s="38" t="n">
        <x:f>COUNTIFS('Liaisons'!$C$7:$C$10,"Validé")</x:f>
        <x:v>0</x:v>
      </x:c>
      <x:c r="G15" s="38" t="n">
        <x:f>COUNTIFS('Liaisons'!$D$7:$D$10,"Établi")</x:f>
        <x:v>0</x:v>
      </x:c>
      <x:c r="H15" s="38" t="n">
        <x:f>COUNTIFS('Liaisons'!$D$7:$D$10,"À vérifier")</x:f>
        <x:v>0</x:v>
      </x:c>
      <x:c r="I15" s="38" t="n">
        <x:f>COUNTIFS('Liaisons'!$D$7:$D$10,"Extrapolation")</x:f>
        <x:v>4</x:v>
      </x:c>
      <x:c r="J15" s="38" t="n">
        <x:f>COUNTIFS('Liaisons'!$D$7:$D$10,"Coupé attesté")</x:f>
        <x:v>0</x:v>
      </x:c>
      <x:c r="K15" s="38" t="n">
        <x:f>COUNTIFS('Liaisons'!$D$7:$D$10,"Concept abandonné")</x:f>
        <x:v>0</x:v>
      </x:c>
      <x:c r="L15" s="38" t="n">
        <x:f>COUNTIFS('Liaisons'!$D$7:$D$10,"Allégation écartée")</x:f>
        <x:v>0</x:v>
      </x:c>
      <x:c r="M15" s="38" t="n">
        <x:f>COUNTIFS('Liaisons'!$E$7:$E$10,"P0")</x:f>
        <x:v>0</x:v>
      </x:c>
    </x:row>
    <x:row r="16" ht="22" customHeight="1">
      <x:c r="A16" s="33" t="str">
        <x:v>Décors</x:v>
      </x:c>
      <x:c r="B16" s="37" t="n">
        <x:f>COUNTA('Decors'!$A$7:$A$10)</x:f>
        <x:v>4</x:v>
      </x:c>
      <x:c r="C16" s="37" t="n">
        <x:f>COUNTIFS('Decors'!$C$7:$C$10,"Défini")</x:f>
        <x:v>4</x:v>
      </x:c>
      <x:c r="D16" s="37" t="n">
        <x:f>COUNTIFS('Decors'!$C$7:$C$10,"Prototype")</x:f>
        <x:v>0</x:v>
      </x:c>
      <x:c r="E16" s="37" t="n">
        <x:f>COUNTIFS('Decors'!$C$7:$C$10,"Intégré")</x:f>
        <x:v>0</x:v>
      </x:c>
      <x:c r="F16" s="37" t="n">
        <x:f>COUNTIFS('Decors'!$C$7:$C$10,"Validé")</x:f>
        <x:v>0</x:v>
      </x:c>
      <x:c r="G16" s="37" t="n">
        <x:f>COUNTIFS('Decors'!$D$7:$D$10,"Établi")</x:f>
        <x:v>0</x:v>
      </x:c>
      <x:c r="H16" s="37" t="n">
        <x:f>COUNTIFS('Decors'!$D$7:$D$10,"À vérifier")</x:f>
        <x:v>0</x:v>
      </x:c>
      <x:c r="I16" s="37" t="n">
        <x:f>COUNTIFS('Decors'!$D$7:$D$10,"Extrapolation")</x:f>
        <x:v>4</x:v>
      </x:c>
      <x:c r="J16" s="37" t="n">
        <x:f>COUNTIFS('Decors'!$D$7:$D$10,"Coupé attesté")</x:f>
        <x:v>0</x:v>
      </x:c>
      <x:c r="K16" s="37" t="n">
        <x:f>COUNTIFS('Decors'!$D$7:$D$10,"Concept abandonné")</x:f>
        <x:v>0</x:v>
      </x:c>
      <x:c r="L16" s="37" t="n">
        <x:f>COUNTIFS('Decors'!$D$7:$D$10,"Allégation écartée")</x:f>
        <x:v>0</x:v>
      </x:c>
      <x:c r="M16" s="37" t="n">
        <x:f>COUNTIFS('Decors'!$E$7:$E$10,"P0")</x:f>
        <x:v>0</x:v>
      </x:c>
    </x:row>
    <x:row r="17" ht="22" customHeight="1">
      <x:c r="A17" s="2" t="str">
        <x:v>Props</x:v>
      </x:c>
      <x:c r="B17" s="38" t="n">
        <x:f>COUNTA('Props'!$A$7:$A$12)</x:f>
        <x:v>6</x:v>
      </x:c>
      <x:c r="C17" s="38" t="n">
        <x:f>COUNTIFS('Props'!$C$7:$C$12,"Défini")</x:f>
        <x:v>6</x:v>
      </x:c>
      <x:c r="D17" s="38" t="n">
        <x:f>COUNTIFS('Props'!$C$7:$C$12,"Prototype")</x:f>
        <x:v>0</x:v>
      </x:c>
      <x:c r="E17" s="38" t="n">
        <x:f>COUNTIFS('Props'!$C$7:$C$12,"Intégré")</x:f>
        <x:v>0</x:v>
      </x:c>
      <x:c r="F17" s="38" t="n">
        <x:f>COUNTIFS('Props'!$C$7:$C$12,"Validé")</x:f>
        <x:v>0</x:v>
      </x:c>
      <x:c r="G17" s="38" t="n">
        <x:f>COUNTIFS('Props'!$D$7:$D$12,"Établi")</x:f>
        <x:v>0</x:v>
      </x:c>
      <x:c r="H17" s="38" t="n">
        <x:f>COUNTIFS('Props'!$D$7:$D$12,"À vérifier")</x:f>
        <x:v>0</x:v>
      </x:c>
      <x:c r="I17" s="38" t="n">
        <x:f>COUNTIFS('Props'!$D$7:$D$12,"Extrapolation")</x:f>
        <x:v>6</x:v>
      </x:c>
      <x:c r="J17" s="38" t="n">
        <x:f>COUNTIFS('Props'!$D$7:$D$12,"Coupé attesté")</x:f>
        <x:v>0</x:v>
      </x:c>
      <x:c r="K17" s="38" t="n">
        <x:f>COUNTIFS('Props'!$D$7:$D$12,"Concept abandonné")</x:f>
        <x:v>0</x:v>
      </x:c>
      <x:c r="L17" s="38" t="n">
        <x:f>COUNTIFS('Props'!$D$7:$D$12,"Allégation écartée")</x:f>
        <x:v>0</x:v>
      </x:c>
      <x:c r="M17" s="38" t="n">
        <x:f>COUNTIFS('Props'!$E$7:$E$12,"P0")</x:f>
        <x:v>0</x:v>
      </x:c>
    </x:row>
    <x:row r="18" ht="22" customHeight="1">
      <x:c r="A18" s="33" t="str">
        <x:v>Ennemis et boss</x:v>
      </x:c>
      <x:c r="B18" s="37" t="n">
        <x:f>COUNTA('Ennemis_boss'!$A$7:$A$9)</x:f>
        <x:v>3</x:v>
      </x:c>
      <x:c r="C18" s="37" t="n">
        <x:f>COUNTIFS('Ennemis_boss'!$C$7:$C$9,"Défini")</x:f>
        <x:v>3</x:v>
      </x:c>
      <x:c r="D18" s="37" t="n">
        <x:f>COUNTIFS('Ennemis_boss'!$C$7:$C$9,"Prototype")</x:f>
        <x:v>0</x:v>
      </x:c>
      <x:c r="E18" s="37" t="n">
        <x:f>COUNTIFS('Ennemis_boss'!$C$7:$C$9,"Intégré")</x:f>
        <x:v>0</x:v>
      </x:c>
      <x:c r="F18" s="37" t="n">
        <x:f>COUNTIFS('Ennemis_boss'!$C$7:$C$9,"Validé")</x:f>
        <x:v>0</x:v>
      </x:c>
      <x:c r="G18" s="37" t="n">
        <x:f>COUNTIFS('Ennemis_boss'!$D$7:$D$9,"Établi")</x:f>
        <x:v>1</x:v>
      </x:c>
      <x:c r="H18" s="37" t="n">
        <x:f>COUNTIFS('Ennemis_boss'!$D$7:$D$9,"À vérifier")</x:f>
        <x:v>1</x:v>
      </x:c>
      <x:c r="I18" s="37" t="n">
        <x:f>COUNTIFS('Ennemis_boss'!$D$7:$D$9,"Extrapolation")</x:f>
        <x:v>1</x:v>
      </x:c>
      <x:c r="J18" s="37" t="n">
        <x:f>COUNTIFS('Ennemis_boss'!$D$7:$D$9,"Coupé attesté")</x:f>
        <x:v>0</x:v>
      </x:c>
      <x:c r="K18" s="37" t="n">
        <x:f>COUNTIFS('Ennemis_boss'!$D$7:$D$9,"Concept abandonné")</x:f>
        <x:v>0</x:v>
      </x:c>
      <x:c r="L18" s="37" t="n">
        <x:f>COUNTIFS('Ennemis_boss'!$D$7:$D$9,"Allégation écartée")</x:f>
        <x:v>0</x:v>
      </x:c>
      <x:c r="M18" s="37" t="n">
        <x:f>COUNTIFS('Ennemis_boss'!$E$7:$E$9,"P0")</x:f>
        <x:v>0</x:v>
      </x:c>
    </x:row>
    <x:row r="19" ht="22" customHeight="1">
      <x:c r="A19" s="2" t="str">
        <x:v>Missions</x:v>
      </x:c>
      <x:c r="B19" s="38" t="n">
        <x:f>COUNTA('Missions'!$A$7:$A$12)</x:f>
        <x:v>6</x:v>
      </x:c>
      <x:c r="C19" s="38" t="n">
        <x:f>COUNTIFS('Missions'!$C$7:$C$12,"Défini")</x:f>
        <x:v>6</x:v>
      </x:c>
      <x:c r="D19" s="38" t="n">
        <x:f>COUNTIFS('Missions'!$C$7:$C$12,"Prototype")</x:f>
        <x:v>0</x:v>
      </x:c>
      <x:c r="E19" s="38" t="n">
        <x:f>COUNTIFS('Missions'!$C$7:$C$12,"Intégré")</x:f>
        <x:v>0</x:v>
      </x:c>
      <x:c r="F19" s="38" t="n">
        <x:f>COUNTIFS('Missions'!$C$7:$C$12,"Validé")</x:f>
        <x:v>0</x:v>
      </x:c>
      <x:c r="G19" s="38" t="n">
        <x:f>COUNTIFS('Missions'!$D$7:$D$12,"Établi")</x:f>
        <x:v>0</x:v>
      </x:c>
      <x:c r="H19" s="38" t="n">
        <x:f>COUNTIFS('Missions'!$D$7:$D$12,"À vérifier")</x:f>
        <x:v>0</x:v>
      </x:c>
      <x:c r="I19" s="38" t="n">
        <x:f>COUNTIFS('Missions'!$D$7:$D$12,"Extrapolation")</x:f>
        <x:v>6</x:v>
      </x:c>
      <x:c r="J19" s="38" t="n">
        <x:f>COUNTIFS('Missions'!$D$7:$D$12,"Coupé attesté")</x:f>
        <x:v>0</x:v>
      </x:c>
      <x:c r="K19" s="38" t="n">
        <x:f>COUNTIFS('Missions'!$D$7:$D$12,"Concept abandonné")</x:f>
        <x:v>0</x:v>
      </x:c>
      <x:c r="L19" s="38" t="n">
        <x:f>COUNTIFS('Missions'!$D$7:$D$12,"Allégation écartée")</x:f>
        <x:v>0</x:v>
      </x:c>
      <x:c r="M19" s="38" t="n">
        <x:f>COUNTIFS('Missions'!$E$7:$E$12,"P0")</x:f>
        <x:v>6</x:v>
      </x:c>
    </x:row>
    <x:row r="20" ht="22" customHeight="1">
      <x:c r="A20" s="33" t="str">
        <x:v>Secondaires et DLC</x:v>
      </x:c>
      <x:c r="B20" s="37" t="n">
        <x:f>COUNTA('Secondaires_DLC'!$A$7:$A$12)</x:f>
        <x:v>6</x:v>
      </x:c>
      <x:c r="C20" s="37" t="n">
        <x:f>COUNTIFS('Secondaires_DLC'!$C$7:$C$12,"Défini")</x:f>
        <x:v>6</x:v>
      </x:c>
      <x:c r="D20" s="37" t="n">
        <x:f>COUNTIFS('Secondaires_DLC'!$C$7:$C$12,"Prototype")</x:f>
        <x:v>0</x:v>
      </x:c>
      <x:c r="E20" s="37" t="n">
        <x:f>COUNTIFS('Secondaires_DLC'!$C$7:$C$12,"Intégré")</x:f>
        <x:v>0</x:v>
      </x:c>
      <x:c r="F20" s="37" t="n">
        <x:f>COUNTIFS('Secondaires_DLC'!$C$7:$C$12,"Validé")</x:f>
        <x:v>0</x:v>
      </x:c>
      <x:c r="G20" s="37" t="n">
        <x:f>COUNTIFS('Secondaires_DLC'!$D$7:$D$12,"Établi")</x:f>
        <x:v>0</x:v>
      </x:c>
      <x:c r="H20" s="37" t="n">
        <x:f>COUNTIFS('Secondaires_DLC'!$D$7:$D$12,"À vérifier")</x:f>
        <x:v>0</x:v>
      </x:c>
      <x:c r="I20" s="37" t="n">
        <x:f>COUNTIFS('Secondaires_DLC'!$D$7:$D$12,"Extrapolation")</x:f>
        <x:v>6</x:v>
      </x:c>
      <x:c r="J20" s="37" t="n">
        <x:f>COUNTIFS('Secondaires_DLC'!$D$7:$D$12,"Coupé attesté")</x:f>
        <x:v>0</x:v>
      </x:c>
      <x:c r="K20" s="37" t="n">
        <x:f>COUNTIFS('Secondaires_DLC'!$D$7:$D$12,"Concept abandonné")</x:f>
        <x:v>0</x:v>
      </x:c>
      <x:c r="L20" s="37" t="n">
        <x:f>COUNTIFS('Secondaires_DLC'!$D$7:$D$12,"Allégation écartée")</x:f>
        <x:v>0</x:v>
      </x:c>
      <x:c r="M20" s="37" t="n">
        <x:f>COUNTIFS('Secondaires_DLC'!$E$7:$E$12,"P0")</x:f>
        <x:v>0</x:v>
      </x:c>
    </x:row>
    <x:row r="21" ht="22" customHeight="1">
      <x:c r="A21" s="2" t="str">
        <x:v>Choix et relations</x:v>
      </x:c>
      <x:c r="B21" s="38" t="n">
        <x:f>COUNTA('Choix_relations'!$A$7:$A$12)</x:f>
        <x:v>6</x:v>
      </x:c>
      <x:c r="C21" s="38" t="n">
        <x:f>COUNTIFS('Choix_relations'!$C$7:$C$12,"Défini")</x:f>
        <x:v>6</x:v>
      </x:c>
      <x:c r="D21" s="38" t="n">
        <x:f>COUNTIFS('Choix_relations'!$C$7:$C$12,"Prototype")</x:f>
        <x:v>0</x:v>
      </x:c>
      <x:c r="E21" s="38" t="n">
        <x:f>COUNTIFS('Choix_relations'!$C$7:$C$12,"Intégré")</x:f>
        <x:v>0</x:v>
      </x:c>
      <x:c r="F21" s="38" t="n">
        <x:f>COUNTIFS('Choix_relations'!$C$7:$C$12,"Validé")</x:f>
        <x:v>0</x:v>
      </x:c>
      <x:c r="G21" s="38" t="n">
        <x:f>COUNTIFS('Choix_relations'!$D$7:$D$12,"Établi")</x:f>
        <x:v>0</x:v>
      </x:c>
      <x:c r="H21" s="38" t="n">
        <x:f>COUNTIFS('Choix_relations'!$D$7:$D$12,"À vérifier")</x:f>
        <x:v>0</x:v>
      </x:c>
      <x:c r="I21" s="38" t="n">
        <x:f>COUNTIFS('Choix_relations'!$D$7:$D$12,"Extrapolation")</x:f>
        <x:v>6</x:v>
      </x:c>
      <x:c r="J21" s="38" t="n">
        <x:f>COUNTIFS('Choix_relations'!$D$7:$D$12,"Coupé attesté")</x:f>
        <x:v>0</x:v>
      </x:c>
      <x:c r="K21" s="38" t="n">
        <x:f>COUNTIFS('Choix_relations'!$D$7:$D$12,"Concept abandonné")</x:f>
        <x:v>0</x:v>
      </x:c>
      <x:c r="L21" s="38" t="n">
        <x:f>COUNTIFS('Choix_relations'!$D$7:$D$12,"Allégation écartée")</x:f>
        <x:v>0</x:v>
      </x:c>
      <x:c r="M21" s="38" t="n">
        <x:f>COUNTIFS('Choix_relations'!$E$7:$E$12,"P0")</x:f>
        <x:v>0</x:v>
      </x:c>
    </x:row>
    <x:row r="22" ht="22" customHeight="1">
      <x:c r="A22" s="33" t="str">
        <x:v>Dialogues</x:v>
      </x:c>
      <x:c r="B22" s="37" t="n">
        <x:f>COUNTA('Dialogues'!$A$7:$A$12)</x:f>
        <x:v>6</x:v>
      </x:c>
      <x:c r="C22" s="37" t="n">
        <x:f>COUNTIFS('Dialogues'!$C$7:$C$12,"Défini")</x:f>
        <x:v>6</x:v>
      </x:c>
      <x:c r="D22" s="37" t="n">
        <x:f>COUNTIFS('Dialogues'!$C$7:$C$12,"Prototype")</x:f>
        <x:v>0</x:v>
      </x:c>
      <x:c r="E22" s="37" t="n">
        <x:f>COUNTIFS('Dialogues'!$C$7:$C$12,"Intégré")</x:f>
        <x:v>0</x:v>
      </x:c>
      <x:c r="F22" s="37" t="n">
        <x:f>COUNTIFS('Dialogues'!$C$7:$C$12,"Validé")</x:f>
        <x:v>0</x:v>
      </x:c>
      <x:c r="G22" s="37" t="n">
        <x:f>COUNTIFS('Dialogues'!$D$7:$D$12,"Établi")</x:f>
        <x:v>0</x:v>
      </x:c>
      <x:c r="H22" s="37" t="n">
        <x:f>COUNTIFS('Dialogues'!$D$7:$D$12,"À vérifier")</x:f>
        <x:v>0</x:v>
      </x:c>
      <x:c r="I22" s="37" t="n">
        <x:f>COUNTIFS('Dialogues'!$D$7:$D$12,"Extrapolation")</x:f>
        <x:v>6</x:v>
      </x:c>
      <x:c r="J22" s="37" t="n">
        <x:f>COUNTIFS('Dialogues'!$D$7:$D$12,"Coupé attesté")</x:f>
        <x:v>0</x:v>
      </x:c>
      <x:c r="K22" s="37" t="n">
        <x:f>COUNTIFS('Dialogues'!$D$7:$D$12,"Concept abandonné")</x:f>
        <x:v>0</x:v>
      </x:c>
      <x:c r="L22" s="37" t="n">
        <x:f>COUNTIFS('Dialogues'!$D$7:$D$12,"Allégation écartée")</x:f>
        <x:v>0</x:v>
      </x:c>
      <x:c r="M22" s="37" t="n">
        <x:f>COUNTIFS('Dialogues'!$E$7:$E$12,"P0")</x:f>
        <x:v>0</x:v>
      </x:c>
    </x:row>
    <x:row r="23" ht="22" customHeight="1">
      <x:c r="A23" s="2" t="str">
        <x:v>Cinématiques</x:v>
      </x:c>
      <x:c r="B23" s="38" t="n">
        <x:f>COUNTA('Cinematiques'!$A$7:$A$12)</x:f>
        <x:v>6</x:v>
      </x:c>
      <x:c r="C23" s="38" t="n">
        <x:f>COUNTIFS('Cinematiques'!$C$7:$C$12,"Défini")</x:f>
        <x:v>6</x:v>
      </x:c>
      <x:c r="D23" s="38" t="n">
        <x:f>COUNTIFS('Cinematiques'!$C$7:$C$12,"Prototype")</x:f>
        <x:v>0</x:v>
      </x:c>
      <x:c r="E23" s="38" t="n">
        <x:f>COUNTIFS('Cinematiques'!$C$7:$C$12,"Intégré")</x:f>
        <x:v>0</x:v>
      </x:c>
      <x:c r="F23" s="38" t="n">
        <x:f>COUNTIFS('Cinematiques'!$C$7:$C$12,"Validé")</x:f>
        <x:v>0</x:v>
      </x:c>
      <x:c r="G23" s="38" t="n">
        <x:f>COUNTIFS('Cinematiques'!$D$7:$D$12,"Établi")</x:f>
        <x:v>0</x:v>
      </x:c>
      <x:c r="H23" s="38" t="n">
        <x:f>COUNTIFS('Cinematiques'!$D$7:$D$12,"À vérifier")</x:f>
        <x:v>0</x:v>
      </x:c>
      <x:c r="I23" s="38" t="n">
        <x:f>COUNTIFS('Cinematiques'!$D$7:$D$12,"Extrapolation")</x:f>
        <x:v>6</x:v>
      </x:c>
      <x:c r="J23" s="38" t="n">
        <x:f>COUNTIFS('Cinematiques'!$D$7:$D$12,"Coupé attesté")</x:f>
        <x:v>0</x:v>
      </x:c>
      <x:c r="K23" s="38" t="n">
        <x:f>COUNTIFS('Cinematiques'!$D$7:$D$12,"Concept abandonné")</x:f>
        <x:v>0</x:v>
      </x:c>
      <x:c r="L23" s="38" t="n">
        <x:f>COUNTIFS('Cinematiques'!$D$7:$D$12,"Allégation écartée")</x:f>
        <x:v>0</x:v>
      </x:c>
      <x:c r="M23" s="38" t="n">
        <x:f>COUNTIFS('Cinematiques'!$E$7:$E$12,"P0")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0</x:v>
      </x:c>
      <x:c r="H24" s="37" t="n">
        <x:f>COUNTIFS('Armes'!$D$7:$D$7,"À vérifier")</x:f>
        <x:v>0</x:v>
      </x:c>
      <x:c r="I24" s="37" t="n">
        <x:f>COUNTIFS('Armes'!$D$7:$D$7,"Extrapolation")</x:f>
        <x:v>1</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0</x:v>
      </x:c>
      <x:c r="H25" s="38" t="n">
        <x:f>COUNTIFS('Armures_equipement'!$D$7:$D$8,"À vérifier")</x:f>
        <x:v>0</x:v>
      </x:c>
      <x:c r="I25" s="38" t="n">
        <x:f>COUNTIFS('Armures_equipement'!$D$7:$D$8,"Extrapolation")</x:f>
        <x:v>2</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0</x:v>
      </x:c>
      <x:c r="H26" s="37" t="n">
        <x:f>COUNTIFS('Pouvoirs'!$D$7:$D$7,"À vérifier")</x:f>
        <x:v>0</x:v>
      </x:c>
      <x:c r="I26" s="37" t="n">
        <x:f>COUNTIFS('Pouvoirs'!$D$7:$D$7,"Extrapolation")</x:f>
        <x:v>1</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COUNTA('Movesets_allies'!$A$7:$A$8)</x:f>
        <x:v>2</x:v>
      </x:c>
      <x:c r="C27" s="38" t="n">
        <x:f>COUNTIFS('Movesets_allies'!$C$7:$C$8,"Défini")</x:f>
        <x:v>2</x:v>
      </x:c>
      <x:c r="D27" s="38" t="n">
        <x:f>COUNTIFS('Movesets_allies'!$C$7:$C$8,"Prototype")</x:f>
        <x:v>0</x:v>
      </x:c>
      <x:c r="E27" s="38" t="n">
        <x:f>COUNTIFS('Movesets_allies'!$C$7:$C$8,"Intégré")</x:f>
        <x:v>0</x:v>
      </x:c>
      <x:c r="F27" s="38" t="n">
        <x:f>COUNTIFS('Movesets_allies'!$C$7:$C$8,"Validé")</x:f>
        <x:v>0</x:v>
      </x:c>
      <x:c r="G27" s="38" t="n">
        <x:f>COUNTIFS('Movesets_allies'!$D$7:$D$8,"Établi")</x:f>
        <x:v>0</x:v>
      </x:c>
      <x:c r="H27" s="38" t="n">
        <x:f>COUNTIFS('Movesets_allies'!$D$7:$D$8,"À vérifier")</x:f>
        <x:v>0</x:v>
      </x:c>
      <x:c r="I27" s="38" t="n">
        <x:f>COUNTIFS('Movesets_allies'!$D$7:$D$8,"Extrapolation")</x:f>
        <x:v>2</x:v>
      </x:c>
      <x:c r="J27" s="38" t="n">
        <x:f>COUNTIFS('Movesets_allies'!$D$7:$D$8,"Coupé attesté")</x:f>
        <x:v>0</x:v>
      </x:c>
      <x:c r="K27" s="38" t="n">
        <x:f>COUNTIFS('Movesets_allies'!$D$7:$D$8,"Concept abandonné")</x:f>
        <x:v>0</x:v>
      </x:c>
      <x:c r="L27" s="38" t="n">
        <x:f>COUNTIFS('Movesets_allies'!$D$7:$D$8,"Allégation écartée")</x:f>
        <x:v>0</x:v>
      </x:c>
      <x:c r="M27" s="38" t="n">
        <x:f>COUNTIFS('Movesets_allies'!$E$7:$E$8,"P0")</x:f>
        <x:v>0</x:v>
      </x:c>
    </x:row>
    <x:row r="28" ht="22" customHeight="1">
      <x:c r="A28" s="33" t="str">
        <x:v>Movesets ennemis</x:v>
      </x:c>
      <x:c r="B28" s="37" t="n">
        <x:f>COUNTA('Movesets_ennemis'!$A$7:$A$12)</x:f>
        <x:v>6</x:v>
      </x:c>
      <x:c r="C28" s="37" t="n">
        <x:f>COUNTIFS('Movesets_ennemis'!$C$7:$C$12,"Défini")</x:f>
        <x:v>6</x:v>
      </x:c>
      <x:c r="D28" s="37" t="n">
        <x:f>COUNTIFS('Movesets_ennemis'!$C$7:$C$12,"Prototype")</x:f>
        <x:v>0</x:v>
      </x:c>
      <x:c r="E28" s="37" t="n">
        <x:f>COUNTIFS('Movesets_ennemis'!$C$7:$C$12,"Intégré")</x:f>
        <x:v>0</x:v>
      </x:c>
      <x:c r="F28" s="37" t="n">
        <x:f>COUNTIFS('Movesets_ennemis'!$C$7:$C$12,"Validé")</x:f>
        <x:v>0</x:v>
      </x:c>
      <x:c r="G28" s="37" t="n">
        <x:f>COUNTIFS('Movesets_ennemis'!$D$7:$D$12,"Établi")</x:f>
        <x:v>0</x:v>
      </x:c>
      <x:c r="H28" s="37" t="n">
        <x:f>COUNTIFS('Movesets_ennemis'!$D$7:$D$12,"À vérifier")</x:f>
        <x:v>0</x:v>
      </x:c>
      <x:c r="I28" s="37" t="n">
        <x:f>COUNTIFS('Movesets_ennemis'!$D$7:$D$12,"Extrapolation")</x:f>
        <x:v>6</x:v>
      </x:c>
      <x:c r="J28" s="37" t="n">
        <x:f>COUNTIFS('Movesets_ennemis'!$D$7:$D$12,"Coupé attesté")</x:f>
        <x:v>0</x:v>
      </x:c>
      <x:c r="K28" s="37" t="n">
        <x:f>COUNTIFS('Movesets_ennemis'!$D$7:$D$12,"Concept abandonné")</x:f>
        <x:v>0</x:v>
      </x:c>
      <x:c r="L28" s="37" t="n">
        <x:f>COUNTIFS('Movesets_ennemis'!$D$7:$D$12,"Allégation écartée")</x:f>
        <x:v>0</x:v>
      </x:c>
      <x:c r="M28" s="37" t="n">
        <x:f>COUNTIFS('Movesets_ennemis'!$E$7:$E$12,"P0")</x:f>
        <x:v>0</x:v>
      </x:c>
    </x:row>
    <x:row r="29" ht="22" customHeight="1">
      <x:c r="A29" s="2" t="str">
        <x:v>Animations</x:v>
      </x:c>
      <x:c r="B29" s="38" t="n">
        <x:f>COUNTA('Animations'!$A$7:$A$11)</x:f>
        <x:v>5</x:v>
      </x:c>
      <x:c r="C29" s="38" t="n">
        <x:f>COUNTIFS('Animations'!$C$7:$C$11,"Défini")</x:f>
        <x:v>5</x:v>
      </x:c>
      <x:c r="D29" s="38" t="n">
        <x:f>COUNTIFS('Animations'!$C$7:$C$11,"Prototype")</x:f>
        <x:v>0</x:v>
      </x:c>
      <x:c r="E29" s="38" t="n">
        <x:f>COUNTIFS('Animations'!$C$7:$C$11,"Intégré")</x:f>
        <x:v>0</x:v>
      </x:c>
      <x:c r="F29" s="38" t="n">
        <x:f>COUNTIFS('Animations'!$C$7:$C$11,"Validé")</x:f>
        <x:v>0</x:v>
      </x:c>
      <x:c r="G29" s="38" t="n">
        <x:f>COUNTIFS('Animations'!$D$7:$D$11,"Établi")</x:f>
        <x:v>0</x:v>
      </x:c>
      <x:c r="H29" s="38" t="n">
        <x:f>COUNTIFS('Animations'!$D$7:$D$11,"À vérifier")</x:f>
        <x:v>0</x:v>
      </x:c>
      <x:c r="I29" s="38" t="n">
        <x:f>COUNTIFS('Animations'!$D$7:$D$11,"Extrapolation")</x:f>
        <x:v>5</x:v>
      </x:c>
      <x:c r="J29" s="38" t="n">
        <x:f>COUNTIFS('Animations'!$D$7:$D$11,"Coupé attesté")</x:f>
        <x:v>0</x:v>
      </x:c>
      <x:c r="K29" s="38" t="n">
        <x:f>COUNTIFS('Animations'!$D$7:$D$11,"Concept abandonné")</x:f>
        <x:v>0</x:v>
      </x:c>
      <x:c r="L29" s="38" t="n">
        <x:f>COUNTIFS('Animations'!$D$7:$D$11,"Allégation écartée")</x:f>
        <x:v>0</x:v>
      </x:c>
      <x:c r="M29" s="38" t="n">
        <x:f>COUNTIFS('Animations'!$E$7:$E$11,"P0")</x:f>
        <x:v>0</x:v>
      </x:c>
    </x:row>
    <x:row r="30" ht="22" customHeight="1">
      <x:c r="A30" s="33" t="str">
        <x:v>Sprites</x:v>
      </x:c>
      <x:c r="B30" s="37" t="n">
        <x:f>COUNTA('Sprites'!$A$7:$A$11)</x:f>
        <x:v>5</x:v>
      </x:c>
      <x:c r="C30" s="37" t="n">
        <x:f>COUNTIFS('Sprites'!$C$7:$C$11,"Défini")</x:f>
        <x:v>5</x:v>
      </x:c>
      <x:c r="D30" s="37" t="n">
        <x:f>COUNTIFS('Sprites'!$C$7:$C$11,"Prototype")</x:f>
        <x:v>0</x:v>
      </x:c>
      <x:c r="E30" s="37" t="n">
        <x:f>COUNTIFS('Sprites'!$C$7:$C$11,"Intégré")</x:f>
        <x:v>0</x:v>
      </x:c>
      <x:c r="F30" s="37" t="n">
        <x:f>COUNTIFS('Sprites'!$C$7:$C$11,"Validé")</x:f>
        <x:v>0</x:v>
      </x:c>
      <x:c r="G30" s="37" t="n">
        <x:f>COUNTIFS('Sprites'!$D$7:$D$11,"Établi")</x:f>
        <x:v>0</x:v>
      </x:c>
      <x:c r="H30" s="37" t="n">
        <x:f>COUNTIFS('Sprites'!$D$7:$D$11,"À vérifier")</x:f>
        <x:v>0</x:v>
      </x:c>
      <x:c r="I30" s="37" t="n">
        <x:f>COUNTIFS('Sprites'!$D$7:$D$11,"Extrapolation")</x:f>
        <x:v>5</x:v>
      </x:c>
      <x:c r="J30" s="37" t="n">
        <x:f>COUNTIFS('Sprites'!$D$7:$D$11,"Coupé attesté")</x:f>
        <x:v>0</x:v>
      </x:c>
      <x:c r="K30" s="37" t="n">
        <x:f>COUNTIFS('Sprites'!$D$7:$D$11,"Concept abandonné")</x:f>
        <x:v>0</x:v>
      </x:c>
      <x:c r="L30" s="37" t="n">
        <x:f>COUNTIFS('Sprites'!$D$7:$D$11,"Allégation écartée")</x:f>
        <x:v>0</x:v>
      </x:c>
      <x:c r="M30" s="37" t="n">
        <x:f>COUNTIFS('Sprites'!$E$7:$E$11,"P0")</x:f>
        <x:v>0</x:v>
      </x:c>
    </x:row>
    <x:row r="31" ht="22" customHeight="1">
      <x:c r="A31" s="2" t="str">
        <x:v>VFX</x:v>
      </x:c>
      <x:c r="B31" s="38" t="n">
        <x:f>COUNTA('VFX'!$A$7:$A$12)</x:f>
        <x:v>6</x:v>
      </x:c>
      <x:c r="C31" s="38" t="n">
        <x:f>COUNTIFS('VFX'!$C$7:$C$12,"Défini")</x:f>
        <x:v>6</x:v>
      </x:c>
      <x:c r="D31" s="38" t="n">
        <x:f>COUNTIFS('VFX'!$C$7:$C$12,"Prototype")</x:f>
        <x:v>0</x:v>
      </x:c>
      <x:c r="E31" s="38" t="n">
        <x:f>COUNTIFS('VFX'!$C$7:$C$12,"Intégré")</x:f>
        <x:v>0</x:v>
      </x:c>
      <x:c r="F31" s="38" t="n">
        <x:f>COUNTIFS('VFX'!$C$7:$C$12,"Validé")</x:f>
        <x:v>0</x:v>
      </x:c>
      <x:c r="G31" s="38" t="n">
        <x:f>COUNTIFS('VFX'!$D$7:$D$12,"Établi")</x:f>
        <x:v>0</x:v>
      </x:c>
      <x:c r="H31" s="38" t="n">
        <x:f>COUNTIFS('VFX'!$D$7:$D$12,"À vérifier")</x:f>
        <x:v>0</x:v>
      </x:c>
      <x:c r="I31" s="38" t="n">
        <x:f>COUNTIFS('VFX'!$D$7:$D$12,"Extrapolation")</x:f>
        <x:v>6</x:v>
      </x:c>
      <x:c r="J31" s="38" t="n">
        <x:f>COUNTIFS('VFX'!$D$7:$D$12,"Coupé attesté")</x:f>
        <x:v>0</x:v>
      </x:c>
      <x:c r="K31" s="38" t="n">
        <x:f>COUNTIFS('VFX'!$D$7:$D$12,"Concept abandonné")</x:f>
        <x:v>0</x:v>
      </x:c>
      <x:c r="L31" s="38" t="n">
        <x:f>COUNTIFS('VFX'!$D$7:$D$12,"Allégation écartée")</x:f>
        <x:v>0</x:v>
      </x:c>
      <x:c r="M31" s="38" t="n">
        <x:f>COUNTIFS('VFX'!$E$7:$E$12,"P0")</x:f>
        <x:v>0</x:v>
      </x:c>
    </x:row>
    <x:row r="32" ht="22" customHeight="1">
      <x:c r="A32" s="33" t="str">
        <x:v>Audio</x:v>
      </x:c>
      <x:c r="B32" s="37" t="n">
        <x:f>COUNTA('Audio'!$A$7:$A$10)</x:f>
        <x:v>4</x:v>
      </x:c>
      <x:c r="C32" s="37" t="n">
        <x:f>COUNTIFS('Audio'!$C$7:$C$10,"Défini")</x:f>
        <x:v>4</x:v>
      </x:c>
      <x:c r="D32" s="37" t="n">
        <x:f>COUNTIFS('Audio'!$C$7:$C$10,"Prototype")</x:f>
        <x:v>0</x:v>
      </x:c>
      <x:c r="E32" s="37" t="n">
        <x:f>COUNTIFS('Audio'!$C$7:$C$10,"Intégré")</x:f>
        <x:v>0</x:v>
      </x:c>
      <x:c r="F32" s="37" t="n">
        <x:f>COUNTIFS('Audio'!$C$7:$C$10,"Validé")</x:f>
        <x:v>0</x:v>
      </x:c>
      <x:c r="G32" s="37" t="n">
        <x:f>COUNTIFS('Audio'!$D$7:$D$10,"Établi")</x:f>
        <x:v>0</x:v>
      </x:c>
      <x:c r="H32" s="37" t="n">
        <x:f>COUNTIFS('Audio'!$D$7:$D$10,"À vérifier")</x:f>
        <x:v>0</x:v>
      </x:c>
      <x:c r="I32" s="37" t="n">
        <x:f>COUNTIFS('Audio'!$D$7:$D$10,"Extrapolation")</x:f>
        <x:v>4</x:v>
      </x:c>
      <x:c r="J32" s="37" t="n">
        <x:f>COUNTIFS('Audio'!$D$7:$D$10,"Coupé attesté")</x:f>
        <x:v>0</x:v>
      </x:c>
      <x:c r="K32" s="37" t="n">
        <x:f>COUNTIFS('Audio'!$D$7:$D$10,"Concept abandonné")</x:f>
        <x:v>0</x:v>
      </x:c>
      <x:c r="L32" s="37" t="n">
        <x:f>COUNTIFS('Audio'!$D$7:$D$10,"Allégation écartée")</x:f>
        <x:v>0</x:v>
      </x:c>
      <x:c r="M32" s="37" t="n">
        <x:f>COUNTIFS('Audio'!$E$7:$E$10,"P0")</x:f>
        <x:v>0</x:v>
      </x:c>
    </x:row>
    <x:row r="33" ht="22" customHeight="1">
      <x:c r="A33" s="2" t="str">
        <x:v>Systèmes et UI</x:v>
      </x:c>
      <x:c r="B33" s="38" t="n">
        <x:f>COUNTA('UI_systemes'!$A$7:$A$10)</x:f>
        <x:v>4</x:v>
      </x:c>
      <x:c r="C33" s="38" t="n">
        <x:f>COUNTIFS('UI_systemes'!$C$7:$C$10,"Défini")</x:f>
        <x:v>4</x:v>
      </x:c>
      <x:c r="D33" s="38" t="n">
        <x:f>COUNTIFS('UI_systemes'!$C$7:$C$10,"Prototype")</x:f>
        <x:v>0</x:v>
      </x:c>
      <x:c r="E33" s="38" t="n">
        <x:f>COUNTIFS('UI_systemes'!$C$7:$C$10,"Intégré")</x:f>
        <x:v>0</x:v>
      </x:c>
      <x:c r="F33" s="38" t="n">
        <x:f>COUNTIFS('UI_systemes'!$C$7:$C$10,"Validé")</x:f>
        <x:v>0</x:v>
      </x:c>
      <x:c r="G33" s="38" t="n">
        <x:f>COUNTIFS('UI_systemes'!$D$7:$D$10,"Établi")</x:f>
        <x:v>0</x:v>
      </x:c>
      <x:c r="H33" s="38" t="n">
        <x:f>COUNTIFS('UI_systemes'!$D$7:$D$10,"À vérifier")</x:f>
        <x:v>0</x:v>
      </x:c>
      <x:c r="I33" s="38" t="n">
        <x:f>COUNTIFS('UI_systemes'!$D$7:$D$10,"Extrapolation")</x:f>
        <x:v>4</x:v>
      </x:c>
      <x:c r="J33" s="38" t="n">
        <x:f>COUNTIFS('UI_systemes'!$D$7:$D$10,"Coupé attesté")</x:f>
        <x:v>0</x:v>
      </x:c>
      <x:c r="K33" s="38" t="n">
        <x:f>COUNTIFS('UI_systemes'!$D$7:$D$10,"Concept abandonné")</x:f>
        <x:v>0</x:v>
      </x:c>
      <x:c r="L33" s="38" t="n">
        <x:f>COUNTIFS('UI_systemes'!$D$7:$D$10,"Allégation écartée")</x:f>
        <x:v>0</x:v>
      </x:c>
      <x:c r="M33" s="38" t="n">
        <x:f>COUNTIFS('UI_systemes'!$E$7:$E$10,"P0")</x:f>
        <x:v>0</x:v>
      </x:c>
    </x:row>
    <x:row r="34" ht="22" customHeight="1">
      <x:c r="A34" s="33" t="str">
        <x:v>QA</x:v>
      </x:c>
      <x:c r="B34" s="37" t="n">
        <x:f>COUNTA('QA'!$A$7:$A$15)</x:f>
        <x:v>9</x:v>
      </x:c>
      <x:c r="C34" s="37" t="n">
        <x:f>COUNTIFS('QA'!$C$7:$C$15,"Défini")</x:f>
        <x:v>9</x:v>
      </x:c>
      <x:c r="D34" s="37" t="n">
        <x:f>COUNTIFS('QA'!$C$7:$C$15,"Prototype")</x:f>
        <x:v>0</x:v>
      </x:c>
      <x:c r="E34" s="37" t="n">
        <x:f>COUNTIFS('QA'!$C$7:$C$15,"Intégré")</x:f>
        <x:v>0</x:v>
      </x:c>
      <x:c r="F34" s="37" t="n">
        <x:f>COUNTIFS('QA'!$C$7:$C$15,"Validé")</x:f>
        <x:v>0</x:v>
      </x:c>
      <x:c r="G34" s="37" t="n">
        <x:f>COUNTIFS('QA'!$D$7:$D$15,"Établi")</x:f>
        <x:v>0</x:v>
      </x:c>
      <x:c r="H34" s="37" t="n">
        <x:f>COUNTIFS('QA'!$D$7:$D$15,"À vérifier")</x:f>
        <x:v>0</x:v>
      </x:c>
      <x:c r="I34" s="37" t="n">
        <x:f>COUNTIFS('QA'!$D$7:$D$15,"Extrapolation")</x:f>
        <x:v>9</x:v>
      </x:c>
      <x:c r="J34" s="37" t="n">
        <x:f>COUNTIFS('QA'!$D$7:$D$15,"Coupé attesté")</x:f>
        <x:v>0</x:v>
      </x:c>
      <x:c r="K34" s="37" t="n">
        <x:f>COUNTIFS('QA'!$D$7:$D$15,"Concept abandonné")</x:f>
        <x:v>0</x:v>
      </x:c>
      <x:c r="L34" s="37" t="n">
        <x:f>COUNTIFS('QA'!$D$7:$D$15,"Allégation écartée")</x:f>
        <x:v>0</x:v>
      </x:c>
      <x:c r="M34" s="37" t="n">
        <x:f>COUNTIFS('QA'!$E$7:$E$15,"P0")</x:f>
        <x:v>9</x:v>
      </x:c>
    </x:row>
    <x:row r="35" ht="22" customHeight="1">
      <x:c r="A35" s="2" t="str">
        <x:v>Continuité</x:v>
      </x:c>
      <x:c r="B35" s="38" t="n">
        <x:f>COUNTA('Continuite'!$A$7:$A$8)</x:f>
        <x:v>2</x:v>
      </x:c>
      <x:c r="C35" s="38" t="n">
        <x:f>COUNTIFS('Continuite'!$C$7:$C$8,"Défini")</x:f>
        <x:v>2</x:v>
      </x:c>
      <x:c r="D35" s="38" t="n">
        <x:f>COUNTIFS('Continuite'!$C$7:$C$8,"Prototype")</x:f>
        <x:v>0</x:v>
      </x:c>
      <x:c r="E35" s="38" t="n">
        <x:f>COUNTIFS('Continuite'!$C$7:$C$8,"Intégré")</x:f>
        <x:v>0</x:v>
      </x:c>
      <x:c r="F35" s="38" t="n">
        <x:f>COUNTIFS('Continuite'!$C$7:$C$8,"Validé")</x:f>
        <x:v>0</x:v>
      </x:c>
      <x:c r="G35" s="38" t="n">
        <x:f>COUNTIFS('Continuite'!$D$7:$D$8,"Établi")</x:f>
        <x:v>0</x:v>
      </x:c>
      <x:c r="H35" s="38" t="n">
        <x:f>COUNTIFS('Continuite'!$D$7:$D$8,"À vérifier")</x:f>
        <x:v>0</x:v>
      </x:c>
      <x:c r="I35" s="38" t="n">
        <x:f>COUNTIFS('Continuite'!$D$7:$D$8,"Extrapolation")</x:f>
        <x:v>2</x:v>
      </x:c>
      <x:c r="J35" s="38" t="n">
        <x:f>COUNTIFS('Continuite'!$D$7:$D$8,"Coupé attesté")</x:f>
        <x:v>0</x:v>
      </x:c>
      <x:c r="K35" s="38" t="n">
        <x:f>COUNTIFS('Continuite'!$D$7:$D$8,"Concept abandonné")</x:f>
        <x:v>0</x:v>
      </x:c>
      <x:c r="L35" s="38" t="n">
        <x:f>COUNTIFS('Continuite'!$D$7:$D$8,"Allégation écartée")</x:f>
        <x:v>0</x:v>
      </x:c>
      <x:c r="M35" s="38" t="n">
        <x:f>COUNTIFS('Continuite'!$E$7:$E$8,"P0")</x:f>
        <x:v>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117</x:v>
      </x:c>
      <x:c r="C37" s="39" t="n">
        <x:f>SUM(C10:C35)</x:f>
        <x:v>113</x:v>
      </x:c>
      <x:c r="D37" s="39" t="n">
        <x:f>SUM(D10:D35)</x:f>
        <x:v>4</x:v>
      </x:c>
      <x:c r="E37" s="39" t="n">
        <x:f>SUM(E10:E35)</x:f>
        <x:v>0</x:v>
      </x:c>
      <x:c r="F37" s="39" t="n">
        <x:f>SUM(F10:F35)</x:f>
        <x:v>0</x:v>
      </x:c>
      <x:c r="G37" s="39" t="n">
        <x:f>SUM(G10:G35)</x:f>
        <x:v>11</x:v>
      </x:c>
      <x:c r="H37" s="39" t="n">
        <x:f>SUM(H10:H35)</x:f>
        <x:v>10</x:v>
      </x:c>
      <x:c r="I37" s="39" t="n">
        <x:f>SUM(I10:I35)</x:f>
        <x:v>96</x:v>
      </x:c>
      <x:c r="J37" s="39" t="n">
        <x:f>SUM(J10:J35)</x:f>
        <x:v>0</x:v>
      </x:c>
      <x:c r="K37" s="39" t="n">
        <x:f>SUM(K10:K35)</x:f>
        <x:v>0</x:v>
      </x:c>
      <x:c r="L37" s="39" t="n">
        <x:f>SUM(L10:L35)</x:f>
        <x:v>0</x:v>
      </x:c>
      <x:c r="M37" s="39" t="n">
        <x:f>SUM(M10:M35)</x:f>
        <x:v>19</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0"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Invasion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INV-ACT-ARIA</x:v>
      </x:c>
      <x:c r="B7" s="9" t="str">
        <x:v>Aria T’Loak</x:v>
      </x:c>
      <x:c r="C7" s="15" t="str">
        <x:v>Défini</x:v>
      </x:c>
      <x:c r="D7" s="16" t="str">
        <x:v>Établi</x:v>
      </x:c>
      <x:c r="E7" s="16" t="str">
        <x:v>P1</x:v>
      </x:c>
      <x:c r="F7" s="9" t="str">
        <x:v>Aria gouverne Omega et défend la station.</x:v>
      </x:c>
      <x:c r="G7" s="9" t="str">
        <x:v>Cheffe de groupe; contrôle d’espace et ordres de repli.</x:v>
      </x:c>
      <x:c r="H7" s="9" t="str">
        <x:v>Rôle narratif; aucune statistique officielle déduite.</x:v>
      </x:c>
      <x:c r="I7" s="9" t="str">
        <x:v>Direction proposée : Silhouette asari tendue, veste de combat et accents violets; tenue à vérifier. Vérifier le costume sur l'édition autorisée avant peinture finale.</x:v>
      </x:c>
      <x:c r="J7" s="9" t="str">
        <x:v>Appui ferme, poussée large, geste d’ordre et recul contrôlé.</x:v>
      </x:c>
      <x:c r="K7" s="9" t="str">
        <x:v>Interprétation originale; sous-titres attribués au locuteur et aucune reprise des voix du jeu.</x:v>
      </x:c>
      <x:c r="L7" s="9" t="str">
        <x:v>Livrable proposé : spécification INV/characters/act-aria; brancher au registre de contenu de l'œuvre seulement après production.</x:v>
      </x:c>
      <x:c r="M7" s="9" t="str">
        <x:v>Conserver le raccord d’occupation d’Omega et le départ d’Aria; une victoire tactique locale ne permet pas de gagner une guerre contraire au comic.</x:v>
      </x:c>
      <x:c r="N7" s="9" t="str">
        <x:v>Aria T’Loak possède une fiche de référence séparant rôle attesté, silhouette à contrôler et commandes proposées.</x:v>
      </x:c>
      <x:c r="O7" s="9" t="str"/>
      <x:c r="P7" s="9" t="str">
        <x:v>Mass Effect: Invasion, série concernée</x:v>
      </x:c>
      <x:c r="Q7" s="9" t="str">
        <x:v>INV-S-BOOK</x:v>
      </x:c>
      <x:c r="R7" s="9" t="str">
        <x:v>https://www.penguinrandomhouse.com/books/241636/mass-effect-volume-3-invasion-by-mac-walters-various-artists/</x:v>
      </x:c>
      <x:c r="S7" s="9" t="str">
        <x:v>Le rôle dans la source ne prouve ni recrutement jouable ni disponibilité permanente.</x:v>
      </x:c>
    </x:row>
    <x:row r="8" ht="68" customHeight="1">
      <x:c r="A8" s="19" t="str">
        <x:v>INV-ACT-PETROVSKY</x:v>
      </x:c>
      <x:c r="B8" s="7" t="str">
        <x:v>Oleg Petrovsky</x:v>
      </x:c>
      <x:c r="C8" s="15" t="str">
        <x:v>Défini</x:v>
      </x:c>
      <x:c r="D8" s="17" t="str">
        <x:v>À vérifier</x:v>
      </x:c>
      <x:c r="E8" s="17" t="str">
        <x:v>P1</x:v>
      </x:c>
      <x:c r="F8" s="7" t="str">
        <x:v>Petrovsky commande les opérations de Cerberus contre Omega.</x:v>
      </x:c>
      <x:c r="G8" s="7" t="str">
        <x:v>Allié circonstanciel puis adversaire stratégique; décisions à distance.</x:v>
      </x:c>
      <x:c r="H8" s="7" t="str">
        <x:v>Rôle narratif; aucune statistique officielle déduite.</x:v>
      </x:c>
      <x:c r="I8" s="7" t="str">
        <x:v>Direction proposée : Officier humain au port formel, uniforme clair/sombre et décor de passerelle. Vérifier le costume sur l'édition autorisée avant peinture finale.</x:v>
      </x:c>
      <x:c r="J8" s="7" t="str">
        <x:v>Observation d’une carte, ordre bref et mains jointes.</x:v>
      </x:c>
      <x:c r="K8" s="7" t="str">
        <x:v>Interprétation originale; sous-titres attribués au locuteur et aucune reprise des voix du jeu.</x:v>
      </x:c>
      <x:c r="L8" s="7" t="str">
        <x:v>Livrable proposé : spécification INV/characters/act-petrovsky; brancher au registre de contenu de l'œuvre seulement après production.</x:v>
      </x:c>
      <x:c r="M8" s="7" t="str">
        <x:v>Conserver le raccord d’occupation d’Omega et le départ d’Aria; une victoire tactique locale ne permet pas de gagner une guerre contraire au comic.</x:v>
      </x:c>
      <x:c r="N8" s="7" t="str">
        <x:v>Oleg Petrovsky possède une fiche de référence séparant rôle attesté, silhouette à contrôler et commandes proposées.</x:v>
      </x:c>
      <x:c r="O8" s="7" t="str"/>
      <x:c r="P8" s="7" t="str">
        <x:v>Mass Effect: Invasion, série concernée</x:v>
      </x:c>
      <x:c r="Q8" s="7" t="str">
        <x:v>INV-S-PETROVSKY</x:v>
      </x:c>
      <x:c r="R8" s="7" t="str">
        <x:v>https://masseffect.fandom.com/wiki/Oleg_Petrovsky</x:v>
      </x:c>
      <x:c r="S8" s="7" t="str">
        <x:v>Le rôle dans la source ne prouve ni recrutement jouable ni disponibilité permanente.</x:v>
      </x:c>
    </x:row>
    <x:row r="9" ht="68" customHeight="1">
      <x:c r="A9" s="18" t="str">
        <x:v>INV-ACT-ASHE</x:v>
      </x:c>
      <x:c r="B9" s="9" t="str">
        <x:v>Raymond Ashe</x:v>
      </x:c>
      <x:c r="C9" s="15" t="str">
        <x:v>Défini</x:v>
      </x:c>
      <x:c r="D9" s="16" t="str">
        <x:v>À vérifier</x:v>
      </x:c>
      <x:c r="E9" s="16" t="str">
        <x:v>P1</x:v>
      </x:c>
      <x:c r="F9" s="9" t="str">
        <x:v>Ashe est associé à Petrovsky dans l’opération.</x:v>
      </x:c>
      <x:c r="G9" s="9" t="str">
        <x:v>Figure de pression militaire, distincte de la prudence du général.</x:v>
      </x:c>
      <x:c r="H9" s="9" t="str">
        <x:v>Rôle narratif; aucune statistique officielle déduite.</x:v>
      </x:c>
      <x:c r="I9" s="9" t="str">
        <x:v>Direction proposée : Officier plus anguleux et posture avancée; grades exacts à contrôler. Vérifier le costume sur l'édition autorisée avant peinture finale.</x:v>
      </x:c>
      <x:c r="J9" s="9" t="str">
        <x:v>Pointage énergique, mouvement brusque et activation d’un panneau.</x:v>
      </x:c>
      <x:c r="K9" s="9" t="str">
        <x:v>Interprétation originale; sous-titres attribués au locuteur et aucune reprise des voix du jeu.</x:v>
      </x:c>
      <x:c r="L9" s="9" t="str">
        <x:v>Livrable proposé : spécification INV/characters/act-ashe; brancher au registre de contenu de l'œuvre seulement après production.</x:v>
      </x:c>
      <x:c r="M9" s="9" t="str">
        <x:v>Conserver le raccord d’occupation d’Omega et le départ d’Aria; une victoire tactique locale ne permet pas de gagner une guerre contraire au comic.</x:v>
      </x:c>
      <x:c r="N9" s="9" t="str">
        <x:v>Raymond Ashe possède une fiche de référence séparant rôle attesté, silhouette à contrôler et commandes proposées.</x:v>
      </x:c>
      <x:c r="O9" s="9" t="str"/>
      <x:c r="P9" s="9" t="str">
        <x:v>Mass Effect: Invasion, série concernée</x:v>
      </x:c>
      <x:c r="Q9" s="9" t="str">
        <x:v>INV-S-PETROVSKY</x:v>
      </x:c>
      <x:c r="R9" s="9" t="str">
        <x:v>https://masseffect.fandom.com/wiki/Oleg_Petrovsky</x:v>
      </x:c>
      <x:c r="S9" s="9" t="str">
        <x:v>Le rôle dans la source ne prouve ni recrutement jouable ni disponibilité permanente.</x:v>
      </x:c>
    </x:row>
    <x:row r="10" ht="68" customHeight="1">
      <x:c r="A10" s="19" t="str">
        <x:v>INV-ACT-DEFENDERS</x:v>
      </x:c>
      <x:c r="B10" s="7" t="str">
        <x:v>Défenseurs d’Omega</x:v>
      </x:c>
      <x:c r="C10" s="15" t="str">
        <x:v>Défini</x:v>
      </x:c>
      <x:c r="D10" s="17" t="str">
        <x:v>Établi</x:v>
      </x:c>
      <x:c r="E10" s="17" t="str">
        <x:v>P1</x:v>
      </x:c>
      <x:c r="F10" s="7" t="str">
        <x:v>Les gangs coopèrent dans la défense décrite au final.</x:v>
      </x:c>
      <x:c r="G10" s="7" t="str">
        <x:v>Soutien collectif original; rôles limités à la station.</x:v>
      </x:c>
      <x:c r="H10" s="7" t="str">
        <x:v>Rôle narratif; aucune statistique officielle déduite.</x:v>
      </x:c>
      <x:c r="I10" s="7" t="str">
        <x:v>Direction proposée : Armures et espèces variées, brassard de rôle temporaire inventé. Vérifier le costume sur l'édition autorisée avant peinture finale.</x:v>
      </x:c>
      <x:c r="J10" s="7" t="str">
        <x:v>Port de matériel, couverture et appel au repli.</x:v>
      </x:c>
      <x:c r="K10" s="7" t="str">
        <x:v>Interprétation originale; sous-titres attribués au locuteur et aucune reprise des voix du jeu.</x:v>
      </x:c>
      <x:c r="L10" s="7" t="str">
        <x:v>Livrable proposé : spécification INV/characters/act-defenders; brancher au registre de contenu de l'œuvre seulement après production.</x:v>
      </x:c>
      <x:c r="M10" s="7" t="str">
        <x:v>Conserver le raccord d’occupation d’Omega et le départ d’Aria; une victoire tactique locale ne permet pas de gagner une guerre contraire au comic.</x:v>
      </x:c>
      <x:c r="N10" s="7" t="str">
        <x:v>Défenseurs d’Omega possède une fiche de référence séparant rôle attesté, silhouette à contrôler et commandes proposées.</x:v>
      </x:c>
      <x:c r="O10" s="7" t="str"/>
      <x:c r="P10" s="7" t="str">
        <x:v>Mass Effect: Invasion, série concernée</x:v>
      </x:c>
      <x:c r="Q10" s="7" t="str">
        <x:v>INV-S-AUTHOR4</x:v>
      </x:c>
      <x:c r="R10" s="7" t="str">
        <x:v>https://farawaypress.com/comics/masseffectinvasion/masseffectinvasion4/</x:v>
      </x:c>
      <x:c r="S10" s="7" t="str">
        <x:v>Le rôle dans la source ne prouve ni recrutement jouable ni disponibilité permanente.</x:v>
      </x:c>
    </x:row>
  </x:sheetData>
  <x:conditionalFormatting sqref="D7:D10">
    <x:cfRule type="cellIs" dxfId="0" priority="1" operator="equal">
      <x:formula>"À vérifier"</x:formula>
    </x:cfRule>
    <x:cfRule type="cellIs" dxfId="1" priority="2" operator="equal">
      <x:formula>"Extrapolation"</x:formula>
    </x:cfRule>
  </x:conditionalFormatting>
  <x:conditionalFormatting sqref="C7:C10">
    <x:cfRule type="cellIs" dxfId="2" priority="3" operator="equal">
      <x:formula>"Validé"</x:formula>
    </x:cfRule>
  </x:conditionalFormatting>
  <x:conditionalFormatting sqref="E7:E10">
    <x:cfRule type="cellIs" dxfId="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7c1acecb812d4e31"/>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0"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Invasion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INV-ACT-TIM</x:v>
      </x:c>
      <x:c r="B7" s="9" t="str">
        <x:v>L’Homme trouble</x:v>
      </x:c>
      <x:c r="C7" s="15" t="str">
        <x:v>Défini</x:v>
      </x:c>
      <x:c r="D7" s="16" t="str">
        <x:v>Établi</x:v>
      </x:c>
      <x:c r="E7" s="16" t="str">
        <x:v>P1</x:v>
      </x:c>
      <x:c r="F7" s="9" t="str">
        <x:v>Cerberus est la force politique derrière la menace sur Omega.</x:v>
      </x:c>
      <x:c r="G7" s="9" t="str">
        <x:v>Interlocuteur distant; garder son information hors de la connaissance du joueur.</x:v>
      </x:c>
      <x:c r="H7" s="9" t="str">
        <x:v>Rôle narratif; aucune statistique officielle déduite.</x:v>
      </x:c>
      <x:c r="I7" s="9" t="str">
        <x:v>Direction proposée : Hologramme à fort contre-jour et visage calme. Vérifier le costume sur l'édition autorisée avant peinture finale.</x:v>
      </x:c>
      <x:c r="J7" s="9" t="str">
        <x:v>Immobile, interruption du signal et reprise mesurée.</x:v>
      </x:c>
      <x:c r="K7" s="9" t="str">
        <x:v>Interprétation originale; sous-titres attribués au locuteur et aucune reprise des voix du jeu.</x:v>
      </x:c>
      <x:c r="L7" s="9" t="str">
        <x:v>Livrable proposé : spécification INV/npcs/act-tim; brancher au registre de contenu de l'œuvre seulement après production.</x:v>
      </x:c>
      <x:c r="M7" s="9" t="str">
        <x:v>Conserver le raccord d’occupation d’Omega et le départ d’Aria; une victoire tactique locale ne permet pas de gagner une guerre contraire au comic.</x:v>
      </x:c>
      <x:c r="N7" s="9" t="str">
        <x:v>L’Homme trouble possède une fiche de référence séparant rôle attesté, silhouette à contrôler et commandes proposées.</x:v>
      </x:c>
      <x:c r="O7" s="9" t="str"/>
      <x:c r="P7" s="9" t="str">
        <x:v>Mass Effect: Invasion, série concernée</x:v>
      </x:c>
      <x:c r="Q7" s="9" t="str">
        <x:v>INV-S-BOOK</x:v>
      </x:c>
      <x:c r="R7" s="9" t="str">
        <x:v>https://www.penguinrandomhouse.com/books/241636/mass-effect-volume-3-invasion-by-mac-walters-various-artists/</x:v>
      </x:c>
      <x:c r="S7" s="9" t="str">
        <x:v>Le rôle dans la source ne prouve ni recrutement jouable ni disponibilité permanente.</x:v>
      </x:c>
    </x:row>
  </x:sheetData>
  <x:conditionalFormatting sqref="D7:D7">
    <x:cfRule type="cellIs" dxfId="4" priority="1" operator="equal">
      <x:formula>"À vérifier"</x:formula>
    </x:cfRule>
    <x:cfRule type="cellIs" dxfId="5" priority="2" operator="equal">
      <x:formula>"Extrapolation"</x:formula>
    </x:cfRule>
  </x:conditionalFormatting>
  <x:conditionalFormatting sqref="C7:C7">
    <x:cfRule type="cellIs" dxfId="6" priority="3" operator="equal">
      <x:formula>"Validé"</x:formula>
    </x:cfRule>
  </x:conditionalFormatting>
  <x:conditionalFormatting sqref="E7:E7">
    <x:cfRule type="cellIs" dxfId="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1047a3de8d2b41e0"/>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0"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Invasion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INV-REF-SCOPE</x:v>
      </x:c>
      <x:c r="B7" s="9" t="str">
        <x:v>Omega au centre du conflit</x:v>
      </x:c>
      <x:c r="C7" s="15" t="str">
        <x:v>Prototype</x:v>
      </x:c>
      <x:c r="D7" s="16" t="str">
        <x:v>Établi</x:v>
      </x:c>
      <x:c r="E7" s="16" t="str">
        <x:v>P0</x:v>
      </x:c>
      <x:c r="F7" s="9" t="str">
        <x:v>Aria défend Omega face à une menace liée à Cerberus.</x:v>
      </x:c>
      <x:c r="G7" s="9" t="str">
        <x:v>Conserver cet ancrage dans les données éditoriales; les variantes de jeu restent dans un espace séparé.</x:v>
      </x:c>
      <x:c r="H7" s="9" t="str"/>
      <x:c r="I7" s="9" t="str"/>
      <x:c r="J7" s="9" t="str"/>
      <x:c r="K7" s="9" t="str"/>
      <x:c r="L7" s="9" t="str">
        <x:v>Référence documentaire INV-REF-SCOPE consultable dans les lectures de src/chronicle-story.js, avec sources et progression séparée. Aucune scène, carte, animation ou incarnation de personnage n’est produite par cette fiche.</x:v>
      </x:c>
      <x:c r="M7" s="9" t="str">
        <x:v>Vérifier toute précision non contenue dans cette notice avant de la déclarer canon.</x:v>
      </x:c>
      <x:c r="N7" s="9" t="str">
        <x:v>Le dossier cite la source BOOK et distingue cette information de toute règle de gameplay.</x:v>
      </x:c>
      <x:c r="O7" s="9" t="str"/>
      <x:c r="P7" s="9" t="str">
        <x:v>Mass Effect: Invasion, série concernée</x:v>
      </x:c>
      <x:c r="Q7" s="9" t="str">
        <x:v>INV-S-BOOK</x:v>
      </x:c>
      <x:c r="R7" s="9" t="str">
        <x:v>https://www.penguinrandomhouse.com/books/241636/mass-effect-volume-3-invasion-by-mac-walters-various-artists/</x:v>
      </x:c>
      <x:c r="S7" s="9" t="str">
        <x:v>Fait résumé brièvement; aucun dialogue ni découpage intégral du comic reproduit.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INV-REF-FINAL</x:v>
      </x:c>
      <x:c r="B8" s="7" t="str">
        <x:v>Raccord du dernier numéro</x:v>
      </x:c>
      <x:c r="C8" s="15" t="str">
        <x:v>Prototype</x:v>
      </x:c>
      <x:c r="D8" s="17" t="str">
        <x:v>Établi</x:v>
      </x:c>
      <x:c r="E8" s="17" t="str">
        <x:v>P0</x:v>
      </x:c>
      <x:c r="F8" s="7" t="str">
        <x:v>Le scénariste confirme la fuite d’Aria et les doutes de Petrovsky au dernier numéro.</x:v>
      </x:c>
      <x:c r="G8" s="7" t="str">
        <x:v>Conserver cet ancrage dans les données éditoriales; les variantes de jeu restent dans un espace séparé.</x:v>
      </x:c>
      <x:c r="H8" s="7" t="str"/>
      <x:c r="I8" s="7" t="str"/>
      <x:c r="J8" s="7" t="str"/>
      <x:c r="K8" s="7" t="str"/>
      <x:c r="L8" s="7" t="str">
        <x:v>Référence documentaire INV-REF-FINAL consultable dans les lectures de src/chronicle-story.js, avec sources et progression séparée. Aucune scène, carte, animation ou incarnation de personnage n’est produite par cette fiche.</x:v>
      </x:c>
      <x:c r="M8" s="7" t="str">
        <x:v>Vérifier toute précision non contenue dans cette notice avant de la déclarer canon.</x:v>
      </x:c>
      <x:c r="N8" s="7" t="str">
        <x:v>Le dossier cite la source AUTHOR4 et distingue cette information de toute règle de gameplay.</x:v>
      </x:c>
      <x:c r="O8" s="7" t="str"/>
      <x:c r="P8" s="7" t="str">
        <x:v>Invasion #4</x:v>
      </x:c>
      <x:c r="Q8" s="7" t="str">
        <x:v>INV-S-AUTHOR4</x:v>
      </x:c>
      <x:c r="R8" s="7" t="str">
        <x:v>https://farawaypress.com/comics/masseffectinvasion/masseffectinvasion4/</x:v>
      </x:c>
      <x:c r="S8" s="7" t="str">
        <x:v>Fait résumé brièvement; aucun dialogue ni découpage intégral du comic reproduit. Prototype limité à une paraphrase documentaire sourcée et aux références visitées. Les autres livrables de l’œuvre restent à produire ; les personnages mentionnés ne sont pas recrutables et les lieux cités ne deviennent pas des niveaux.</x:v>
      </x:c>
    </x:row>
    <x:row r="9" ht="54" customHeight="1">
      <x:c r="A9" s="18" t="str">
        <x:v>INV-REF-DLC</x:v>
      </x:c>
      <x:c r="B9" s="9" t="str">
        <x:v>Suite dans Omega</x:v>
      </x:c>
      <x:c r="C9" s="15" t="str">
        <x:v>Défini</x:v>
      </x:c>
      <x:c r="D9" s="16" t="str">
        <x:v>Établi</x:v>
      </x:c>
      <x:c r="E9" s="16" t="str">
        <x:v>P0</x:v>
      </x:c>
      <x:c r="F9" s="9" t="str">
        <x:v>L’auteur présente le DLC Omega comme la suite de cet arc.</x:v>
      </x:c>
      <x:c r="G9" s="9" t="str">
        <x:v>Conserver cet ancrage dans les données éditoriales; les variantes de jeu restent dans un espace séparé.</x:v>
      </x:c>
      <x:c r="H9" s="9" t="str"/>
      <x:c r="I9" s="9" t="str"/>
      <x:c r="J9" s="9" t="str"/>
      <x:c r="K9" s="9" t="str"/>
      <x:c r="L9" s="9" t="str">
        <x:v>Livrable proposé : spécification INV/lore/ref-dlc; brancher au registre de contenu de l'œuvre seulement après production.</x:v>
      </x:c>
      <x:c r="M9" s="9" t="str">
        <x:v>Vérifier toute précision non contenue dans cette notice avant de la déclarer canon.</x:v>
      </x:c>
      <x:c r="N9" s="9" t="str">
        <x:v>Le dossier cite la source AUTHOR4 et distingue cette information de toute règle de gameplay.</x:v>
      </x:c>
      <x:c r="O9" s="9" t="str"/>
      <x:c r="P9" s="9" t="str">
        <x:v>Notes d’Invasion #4</x:v>
      </x:c>
      <x:c r="Q9" s="9" t="str">
        <x:v>INV-S-AUTHOR4</x:v>
      </x:c>
      <x:c r="R9" s="9" t="str">
        <x:v>https://farawaypress.com/comics/masseffectinvasion/masseffectinvasion4/</x:v>
      </x:c>
      <x:c r="S9" s="9" t="str">
        <x:v>Fait résumé brièvement; aucun dialogue ni découpage intégral du comic reproduit.</x:v>
      </x:c>
    </x:row>
    <x:row r="10" ht="82" customHeight="1">
      <x:c r="A10" s="19" t="str">
        <x:v>INV-REF-GANGS</x:v>
      </x:c>
      <x:c r="B10" s="7" t="str">
        <x:v>Coopération des gangs</x:v>
      </x:c>
      <x:c r="C10" s="15" t="str">
        <x:v>Prototype</x:v>
      </x:c>
      <x:c r="D10" s="17" t="str">
        <x:v>Établi</x:v>
      </x:c>
      <x:c r="E10" s="17" t="str">
        <x:v>P0</x:v>
      </x:c>
      <x:c r="F10" s="7" t="str">
        <x:v>Le scénariste souligne la coopération des gangs visible dans leurs tactiques et armes au final.</x:v>
      </x:c>
      <x:c r="G10" s="7" t="str">
        <x:v>Conserver cet ancrage dans les données éditoriales; les variantes de jeu restent dans un espace séparé.</x:v>
      </x:c>
      <x:c r="H10" s="7" t="str"/>
      <x:c r="I10" s="7" t="str"/>
      <x:c r="J10" s="7" t="str"/>
      <x:c r="K10" s="7" t="str"/>
      <x:c r="L10" s="7" t="str">
        <x:v>Référence documentaire INV-REF-GANGS consultable dans les lectures de src/chronicle-story.js, avec sources et progression séparée. Aucune scène, carte, animation ou incarnation de personnage n’est produite par cette fiche.</x:v>
      </x:c>
      <x:c r="M10" s="7" t="str">
        <x:v>Vérifier toute précision non contenue dans cette notice avant de la déclarer canon.</x:v>
      </x:c>
      <x:c r="N10" s="7" t="str">
        <x:v>Le dossier cite la source AUTHOR4 et distingue cette information de toute règle de gameplay.</x:v>
      </x:c>
      <x:c r="O10" s="7" t="str"/>
      <x:c r="P10" s="7" t="str">
        <x:v>Invasion #4</x:v>
      </x:c>
      <x:c r="Q10" s="7" t="str">
        <x:v>INV-S-AUTHOR4</x:v>
      </x:c>
      <x:c r="R10" s="7" t="str">
        <x:v>https://farawaypress.com/comics/masseffectinvasion/masseffectinvasion4/</x:v>
      </x:c>
      <x:c r="S10" s="7" t="str">
        <x:v>Fait résumé brièvement; aucun dialogue ni découpage intégral du comic reproduit. Prototype limité à une paraphrase documentaire sourcée et aux références visitées. Les autres livrables de l’œuvre restent à produire ; les personnages mentionnés ne sont pas recrutables et les lieux cités ne deviennent pas des niveaux.</x:v>
      </x:c>
    </x:row>
    <x:row r="11" ht="54" customHeight="1">
      <x:c r="A11" s="18" t="str">
        <x:v>INV-SC-BREACH-REF</x:v>
      </x:c>
      <x:c r="B11" s="9" t="str">
        <x:v>Alerte sur les quais</x:v>
      </x:c>
      <x:c r="C11" s="15" t="str">
        <x:v>Défini</x:v>
      </x:c>
      <x:c r="D11" s="16" t="str">
        <x:v>À vérifier</x:v>
      </x:c>
      <x:c r="E11" s="16" t="str">
        <x:v>P1</x:v>
      </x:c>
      <x:c r="F11" s="9" t="str">
        <x:v>Le récit décrit des Adjutants libérés par un transport sur Omega. </x:v>
      </x:c>
      <x:c r="G11" s="9" t="str">
        <x:v>Ancrage du module; les intitulés de quêtes et options ci-dessous sont des créations de production.</x:v>
      </x:c>
      <x:c r="H11" s="9" t="str"/>
      <x:c r="I11" s="9" t="str"/>
      <x:c r="J11" s="9" t="str"/>
      <x:c r="K11" s="9" t="str"/>
      <x:c r="L11" s="9" t="str">
        <x:v>Livrable proposé : spécification INV/lore/sc-breach-ref; brancher au registre de contenu de l'œuvre seulement après production.</x:v>
      </x:c>
      <x:c r="M11" s="9" t="str">
        <x:v>Conserver le raccord d’occupation d’Omega et le départ d’Aria; une victoire tactique locale ne permet pas de gagner une guerre contraire au comic.</x:v>
      </x:c>
      <x:c r="N11" s="9" t="str">
        <x:v>L’ancrage reste bref et son numéro/segment est identifiable dans les sources; les détails non confirmés portent À vérifier.</x:v>
      </x:c>
      <x:c r="O11" s="9" t="str"/>
      <x:c r="P11" s="9" t="str">
        <x:v>Invasion, attaque initiale; numéro à contrôler</x:v>
      </x:c>
      <x:c r="Q11" s="9" t="str">
        <x:v>INV-S-ADJ</x:v>
      </x:c>
      <x:c r="R11" s="9" t="str">
        <x:v>https://masseffect.fandom.com/wiki/Adjutant</x:v>
      </x:c>
      <x:c r="S11" s="9" t="str">
        <x:v>Ne remplace pas la lecture du numéro.</x:v>
      </x:c>
    </x:row>
    <x:row r="12" ht="54" customHeight="1">
      <x:c r="A12" s="19" t="str">
        <x:v>INV-SC-ALLIANCE-REF</x:v>
      </x:c>
      <x:c r="B12" s="7" t="str">
        <x:v>Coordination de circonstance</x:v>
      </x:c>
      <x:c r="C12" s="15" t="str">
        <x:v>Défini</x:v>
      </x:c>
      <x:c r="D12" s="17" t="str">
        <x:v>À vérifier</x:v>
      </x:c>
      <x:c r="E12" s="17" t="str">
        <x:v>P1</x:v>
      </x:c>
      <x:c r="F12" s="7" t="str">
        <x:v>Petrovsky et Aria coopèrent face à la menace initiale. </x:v>
      </x:c>
      <x:c r="G12" s="7" t="str">
        <x:v>Ancrage du module; les intitulés de quêtes et options ci-dessous sont des créations de production.</x:v>
      </x:c>
      <x:c r="H12" s="7" t="str"/>
      <x:c r="I12" s="7" t="str"/>
      <x:c r="J12" s="7" t="str"/>
      <x:c r="K12" s="7" t="str"/>
      <x:c r="L12" s="7" t="str">
        <x:v>Livrable proposé : spécification INV/lore/sc-alliance-ref; brancher au registre de contenu de l'œuvre seulement après production.</x:v>
      </x:c>
      <x:c r="M12" s="7" t="str">
        <x:v>Conserver le raccord d’occupation d’Omega et le départ d’Aria; une victoire tactique locale ne permet pas de gagner une guerre contraire au comic.</x:v>
      </x:c>
      <x:c r="N12" s="7" t="str">
        <x:v>L’ancrage reste bref et son numéro/segment est identifiable dans les sources; les détails non confirmés portent À vérifier.</x:v>
      </x:c>
      <x:c r="O12" s="7" t="str"/>
      <x:c r="P12" s="7" t="str">
        <x:v>Invasion, coopération initiale</x:v>
      </x:c>
      <x:c r="Q12" s="7" t="str">
        <x:v>INV-S-PETROVSKY</x:v>
      </x:c>
      <x:c r="R12" s="7" t="str">
        <x:v>https://masseffect.fandom.com/wiki/Oleg_Petrovsky</x:v>
      </x:c>
      <x:c r="S12" s="7" t="str">
        <x:v>Ne remplace pas la lecture du numéro.</x:v>
      </x:c>
    </x:row>
    <x:row r="13" ht="54" customHeight="1">
      <x:c r="A13" s="18" t="str">
        <x:v>INV-SC-AVERNUS-REF</x:v>
      </x:c>
      <x:c r="B13" s="9" t="str">
        <x:v>Confinement à Avernus</x:v>
      </x:c>
      <x:c r="C13" s="15" t="str">
        <x:v>Défini</x:v>
      </x:c>
      <x:c r="D13" s="16" t="str">
        <x:v>À vérifier</x:v>
      </x:c>
      <x:c r="E13" s="16" t="str">
        <x:v>P1</x:v>
      </x:c>
      <x:c r="F13" s="9" t="str">
        <x:v>Le récit rapporte une opération à Avernus Station liée aux Adjutants. </x:v>
      </x:c>
      <x:c r="G13" s="9" t="str">
        <x:v>Ancrage du module; les intitulés de quêtes et options ci-dessous sont des créations de production.</x:v>
      </x:c>
      <x:c r="H13" s="9" t="str"/>
      <x:c r="I13" s="9" t="str"/>
      <x:c r="J13" s="9" t="str"/>
      <x:c r="K13" s="9" t="str"/>
      <x:c r="L13" s="9" t="str">
        <x:v>Livrable proposé : spécification INV/lore/sc-avernus-ref; brancher au registre de contenu de l'œuvre seulement après production.</x:v>
      </x:c>
      <x:c r="M13" s="9" t="str">
        <x:v>Conserver le raccord d’occupation d’Omega et le départ d’Aria; une victoire tactique locale ne permet pas de gagner une guerre contraire au comic.</x:v>
      </x:c>
      <x:c r="N13" s="9" t="str">
        <x:v>L’ancrage reste bref et son numéro/segment est identifiable dans les sources; les détails non confirmés portent À vérifier.</x:v>
      </x:c>
      <x:c r="O13" s="9" t="str"/>
      <x:c r="P13" s="9" t="str">
        <x:v>Invasion, opération à Avernus</x:v>
      </x:c>
      <x:c r="Q13" s="9" t="str">
        <x:v>INV-S-ADJ</x:v>
      </x:c>
      <x:c r="R13" s="9" t="str">
        <x:v>https://masseffect.fandom.com/wiki/Adjutant</x:v>
      </x:c>
      <x:c r="S13" s="9" t="str">
        <x:v>Ne remplace pas la lecture du numéro.</x:v>
      </x:c>
    </x:row>
    <x:row r="14" ht="54" customHeight="1">
      <x:c r="A14" s="19" t="str">
        <x:v>INV-SC-RETURN-REF</x:v>
      </x:c>
      <x:c r="B14" s="7" t="str">
        <x:v>Retour dans une station contestée</x:v>
      </x:c>
      <x:c r="C14" s="15" t="str">
        <x:v>Défini</x:v>
      </x:c>
      <x:c r="D14" s="17" t="str">
        <x:v>Établi</x:v>
      </x:c>
      <x:c r="E14" s="17" t="str">
        <x:v>P1</x:v>
      </x:c>
      <x:c r="F14" s="7" t="str">
        <x:v>La défense d’Omega se transforme en conflit avec Cerberus. </x:v>
      </x:c>
      <x:c r="G14" s="7" t="str">
        <x:v>Ancrage du module; les intitulés de quêtes et options ci-dessous sont des créations de production.</x:v>
      </x:c>
      <x:c r="H14" s="7" t="str"/>
      <x:c r="I14" s="7" t="str"/>
      <x:c r="J14" s="7" t="str"/>
      <x:c r="K14" s="7" t="str"/>
      <x:c r="L14" s="7" t="str">
        <x:v>Livrable proposé : spécification INV/lore/sc-return-ref; brancher au registre de contenu de l'œuvre seulement après production.</x:v>
      </x:c>
      <x:c r="M14" s="7" t="str">
        <x:v>Conserver le raccord d’occupation d’Omega et le départ d’Aria; une victoire tactique locale ne permet pas de gagner une guerre contraire au comic.</x:v>
      </x:c>
      <x:c r="N14" s="7" t="str">
        <x:v>L’ancrage reste bref et son numéro/segment est identifiable dans les sources; les détails non confirmés portent À vérifier.</x:v>
      </x:c>
      <x:c r="O14" s="7" t="str"/>
      <x:c r="P14" s="7" t="str">
        <x:v>Invasion #1–4, retournement du conflit</x:v>
      </x:c>
      <x:c r="Q14" s="7" t="str">
        <x:v>INV-S-BOOK</x:v>
      </x:c>
      <x:c r="R14" s="7" t="str">
        <x:v>https://www.penguinrandomhouse.com/books/241636/mass-effect-volume-3-invasion-by-mac-walters-various-artists/</x:v>
      </x:c>
      <x:c r="S14" s="7" t="str">
        <x:v>Ne remplace pas la lecture du numéro.</x:v>
      </x:c>
    </x:row>
    <x:row r="15" ht="54" customHeight="1">
      <x:c r="A15" s="18" t="str">
        <x:v>INV-SC-TRAP-REF</x:v>
      </x:c>
      <x:c r="B15" s="9" t="str">
        <x:v>Piège d’Afterlife</x:v>
      </x:c>
      <x:c r="C15" s="15" t="str">
        <x:v>Défini</x:v>
      </x:c>
      <x:c r="D15" s="16" t="str">
        <x:v>À vérifier</x:v>
      </x:c>
      <x:c r="E15" s="16" t="str">
        <x:v>P1</x:v>
      </x:c>
      <x:c r="F15" s="9" t="str">
        <x:v>Le wiki décrit un piège impliquant Ashe et un Adjutant à Afterlife. </x:v>
      </x:c>
      <x:c r="G15" s="9" t="str">
        <x:v>Ancrage du module; les intitulés de quêtes et options ci-dessous sont des créations de production.</x:v>
      </x:c>
      <x:c r="H15" s="9" t="str"/>
      <x:c r="I15" s="9" t="str"/>
      <x:c r="J15" s="9" t="str"/>
      <x:c r="K15" s="9" t="str"/>
      <x:c r="L15" s="9" t="str">
        <x:v>Livrable proposé : spécification INV/lore/sc-trap-ref; brancher au registre de contenu de l'œuvre seulement après production.</x:v>
      </x:c>
      <x:c r="M15" s="9" t="str">
        <x:v>Conserver le raccord d’occupation d’Omega et le départ d’Aria; une victoire tactique locale ne permet pas de gagner une guerre contraire au comic.</x:v>
      </x:c>
      <x:c r="N15" s="9" t="str">
        <x:v>L’ancrage reste bref et son numéro/segment est identifiable dans les sources; les détails non confirmés portent À vérifier.</x:v>
      </x:c>
      <x:c r="O15" s="9" t="str"/>
      <x:c r="P15" s="9" t="str">
        <x:v>Invasion, confrontation finale; contrôler le découpage</x:v>
      </x:c>
      <x:c r="Q15" s="9" t="str">
        <x:v>INV-S-PETROVSKY</x:v>
      </x:c>
      <x:c r="R15" s="9" t="str">
        <x:v>https://masseffect.fandom.com/wiki/Oleg_Petrovsky</x:v>
      </x:c>
      <x:c r="S15" s="9" t="str">
        <x:v>Ne remplace pas la lecture du numéro.</x:v>
      </x:c>
    </x:row>
    <x:row r="16" ht="82" customHeight="1">
      <x:c r="A16" s="19" t="str">
        <x:v>INV-SC-EXILE-REF</x:v>
      </x:c>
      <x:c r="B16" s="7" t="str">
        <x:v>Ultimatum et départ</x:v>
      </x:c>
      <x:c r="C16" s="15" t="str">
        <x:v>Prototype</x:v>
      </x:c>
      <x:c r="D16" s="17" t="str">
        <x:v>Établi</x:v>
      </x:c>
      <x:c r="E16" s="17" t="str">
        <x:v>P1</x:v>
      </x:c>
      <x:c r="F16" s="7" t="str">
        <x:v>Le dernier numéro se conclut par le départ d’Aria. </x:v>
      </x:c>
      <x:c r="G16" s="7" t="str">
        <x:v>Ancrage du module; les intitulés de quêtes et options ci-dessous sont des créations de production.</x:v>
      </x:c>
      <x:c r="H16" s="7" t="str"/>
      <x:c r="I16" s="7" t="str"/>
      <x:c r="J16" s="7" t="str"/>
      <x:c r="K16" s="7" t="str"/>
      <x:c r="L16" s="7" t="str">
        <x:v>Référence documentaire INV-SC-EXILE-REF consultable dans les lectures de src/chronicle-story.js, avec sources et progression séparée. Aucune scène, carte, animation ou incarnation de personnage n’est produite par cette fiche.</x:v>
      </x:c>
      <x:c r="M16" s="7" t="str">
        <x:v>Conserver le raccord d’occupation d’Omega et le départ d’Aria; une victoire tactique locale ne permet pas de gagner une guerre contraire au comic.</x:v>
      </x:c>
      <x:c r="N16" s="7" t="str">
        <x:v>L’ancrage reste bref et son numéro/segment est identifiable dans les sources; les détails non confirmés portent À vérifier.</x:v>
      </x:c>
      <x:c r="O16" s="7" t="str"/>
      <x:c r="P16" s="7" t="str">
        <x:v>Invasion #4</x:v>
      </x:c>
      <x:c r="Q16" s="7" t="str">
        <x:v>INV-S-AUTHOR4</x:v>
      </x:c>
      <x:c r="R16" s="7" t="str">
        <x:v>https://farawaypress.com/comics/masseffectinvasion/masseffectinvasion4/</x:v>
      </x:c>
      <x:c r="S16" s="7" t="str">
        <x:v>Ne remplace pas la lecture du numéro.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16">
    <x:cfRule type="cellIs" dxfId="8" priority="1" operator="equal">
      <x:formula>"À vérifier"</x:formula>
    </x:cfRule>
    <x:cfRule type="cellIs" dxfId="9" priority="2" operator="equal">
      <x:formula>"Extrapolation"</x:formula>
    </x:cfRule>
  </x:conditionalFormatting>
  <x:conditionalFormatting sqref="C7:C16">
    <x:cfRule type="cellIs" dxfId="10" priority="3" operator="equal">
      <x:formula>"Validé"</x:formula>
    </x:cfRule>
  </x:conditionalFormatting>
  <x:conditionalFormatting sqref="E7:E16">
    <x:cfRule type="cellIs" dxfId="1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6d4c033402894185"/>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0" hidden="0" customWidth="1"/>
    <x:col min="19" max="19" width="9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Invasion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INV-WRL-OMEGA</x:v>
      </x:c>
      <x:c r="B7" s="9" t="str">
        <x:v>Omega</x:v>
      </x:c>
      <x:c r="C7" s="15" t="str">
        <x:v>Défini</x:v>
      </x:c>
      <x:c r="D7" s="16" t="str">
        <x:v>Établi</x:v>
      </x:c>
      <x:c r="E7" s="16" t="str">
        <x:v>P1</x:v>
      </x:c>
      <x:c r="F7" s="9" t="str">
        <x:v>Omega est l’enjeu principal de l’arc.</x:v>
      </x:c>
      <x:c r="G7" s="9" t="str">
        <x:v>Défense de territoire et de routes de repli.</x:v>
      </x:c>
      <x:c r="H7" s="9" t="str"/>
      <x:c r="I7" s="9" t="str">
        <x:v>Métal noirci, lumière ambre et zones de danger à hachures.</x:v>
      </x:c>
      <x:c r="J7" s="9" t="str"/>
      <x:c r="K7" s="9" t="str"/>
      <x:c r="L7" s="9" t="str">
        <x:v>Livrable proposé : spécification INV/worlds/wrl-omega; brancher au registre de contenu de l'œuvre seulement après production.</x:v>
      </x:c>
      <x:c r="M7" s="9" t="str">
        <x:v>Conserver le raccord d’occupation d’Omega et le départ d’Aria; une victoire tactique locale ne permet pas de gagner une guerre contraire au comic.</x:v>
      </x:c>
      <x:c r="N7" s="9" t="str">
        <x:v>Le nom Omega et sa fonction sont sourcés; les dimensions, chemins et interactions restent explicitement proposés.</x:v>
      </x:c>
      <x:c r="O7" s="9" t="str"/>
      <x:c r="P7" s="9" t="str">
        <x:v>Mass Effect: Invasion, série concernée</x:v>
      </x:c>
      <x:c r="Q7" s="9" t="str">
        <x:v>INV-S-BOOK</x:v>
      </x:c>
      <x:c r="R7" s="9" t="str">
        <x:v>https://www.penguinrandomhouse.com/books/241636/mass-effect-volume-3-invasion-by-mac-walters-various-artists/</x:v>
      </x:c>
      <x:c r="S7" s="9" t="str">
        <x:v>La géométrie jouable ci-dessous est originale et ne prétend pas reconstituer une carte officielle.</x:v>
      </x:c>
    </x:row>
    <x:row r="8" ht="54" customHeight="1">
      <x:c r="A8" s="19" t="str">
        <x:v>INV-WRL-ELBRUS</x:v>
      </x:c>
      <x:c r="B8" s="7" t="str">
        <x:v>Elbrus</x:v>
      </x:c>
      <x:c r="C8" s="15" t="str">
        <x:v>Défini</x:v>
      </x:c>
      <x:c r="D8" s="17" t="str">
        <x:v>À vérifier</x:v>
      </x:c>
      <x:c r="E8" s="17" t="str">
        <x:v>P1</x:v>
      </x:c>
      <x:c r="F8" s="7" t="str">
        <x:v>Le wiki identifie l’Elbrus comme le vaisseau de Petrovsky.</x:v>
      </x:c>
      <x:c r="G8" s="7" t="str">
        <x:v>Passerelle de coopération temporaire.</x:v>
      </x:c>
      <x:c r="H8" s="7" t="str"/>
      <x:c r="I8" s="7" t="str">
        <x:v>Gris militaire, blanc directionnel et écrans lisibles.</x:v>
      </x:c>
      <x:c r="J8" s="7" t="str"/>
      <x:c r="K8" s="7" t="str"/>
      <x:c r="L8" s="7" t="str">
        <x:v>Livrable proposé : spécification INV/worlds/wrl-elbrus; brancher au registre de contenu de l'œuvre seulement après production.</x:v>
      </x:c>
      <x:c r="M8" s="7" t="str">
        <x:v>Conserver le raccord d’occupation d’Omega et le départ d’Aria; une victoire tactique locale ne permet pas de gagner une guerre contraire au comic.</x:v>
      </x:c>
      <x:c r="N8" s="7" t="str">
        <x:v>Le nom Elbrus et sa fonction sont sourcés; les dimensions, chemins et interactions restent explicitement proposés.</x:v>
      </x:c>
      <x:c r="O8" s="7" t="str"/>
      <x:c r="P8" s="7" t="str">
        <x:v>Mass Effect: Invasion, série concernée</x:v>
      </x:c>
      <x:c r="Q8" s="7" t="str">
        <x:v>INV-S-PETROVSKY</x:v>
      </x:c>
      <x:c r="R8" s="7" t="str">
        <x:v>https://masseffect.fandom.com/wiki/Oleg_Petrovsky</x:v>
      </x:c>
      <x:c r="S8" s="7" t="str">
        <x:v>La géométrie jouable ci-dessous est originale et ne prétend pas reconstituer une carte officielle.</x:v>
      </x:c>
    </x:row>
    <x:row r="9" ht="54" customHeight="1">
      <x:c r="A9" s="18" t="str">
        <x:v>INV-WRL-AVERNUS</x:v>
      </x:c>
      <x:c r="B9" s="9" t="str">
        <x:v>Avernus Station</x:v>
      </x:c>
      <x:c r="C9" s="15" t="str">
        <x:v>Défini</x:v>
      </x:c>
      <x:c r="D9" s="16" t="str">
        <x:v>À vérifier</x:v>
      </x:c>
      <x:c r="E9" s="16" t="str">
        <x:v>P1</x:v>
      </x:c>
      <x:c r="F9" s="9" t="str">
        <x:v>Avernus est liée aux Adjutants dans le récit rapporté.</x:v>
      </x:c>
      <x:c r="G9" s="9" t="str">
        <x:v>Faire comprendre la source d’une crise sans une encyclopédie complète.</x:v>
      </x:c>
      <x:c r="H9" s="9" t="str"/>
      <x:c r="I9" s="9" t="str">
        <x:v>Surfaces froides, matériel de recherche abandonné et balises de confinement.</x:v>
      </x:c>
      <x:c r="J9" s="9" t="str"/>
      <x:c r="K9" s="9" t="str"/>
      <x:c r="L9" s="9" t="str">
        <x:v>Livrable proposé : spécification INV/worlds/wrl-avernus; brancher au registre de contenu de l'œuvre seulement après production.</x:v>
      </x:c>
      <x:c r="M9" s="9" t="str">
        <x:v>Conserver le raccord d’occupation d’Omega et le départ d’Aria; une victoire tactique locale ne permet pas de gagner une guerre contraire au comic.</x:v>
      </x:c>
      <x:c r="N9" s="9" t="str">
        <x:v>Le nom Avernus Station et sa fonction sont sourcés; les dimensions, chemins et interactions restent explicitement proposés.</x:v>
      </x:c>
      <x:c r="O9" s="9" t="str"/>
      <x:c r="P9" s="9" t="str">
        <x:v>Mass Effect: Invasion, série concernée</x:v>
      </x:c>
      <x:c r="Q9" s="9" t="str">
        <x:v>INV-S-ADJ</x:v>
      </x:c>
      <x:c r="R9" s="9" t="str">
        <x:v>https://masseffect.fandom.com/wiki/Adjutant</x:v>
      </x:c>
      <x:c r="S9" s="9" t="str">
        <x:v>La géométrie jouable ci-dessous est originale et ne prétend pas reconstituer une carte officielle.</x:v>
      </x:c>
    </x:row>
    <x:row r="10" ht="54" customHeight="1">
      <x:c r="A10" s="19" t="str">
        <x:v>INV-WRL-AFTERLIFE</x:v>
      </x:c>
      <x:c r="B10" s="7" t="str">
        <x:v>Afterlife</x:v>
      </x:c>
      <x:c r="C10" s="15" t="str">
        <x:v>Défini</x:v>
      </x:c>
      <x:c r="D10" s="17" t="str">
        <x:v>À vérifier</x:v>
      </x:c>
      <x:c r="E10" s="17" t="str">
        <x:v>P1</x:v>
      </x:c>
      <x:c r="F10" s="7" t="str">
        <x:v>Le wiki situe une confrontation importante à Afterlife.</x:v>
      </x:c>
      <x:c r="G10" s="7" t="str">
        <x:v>Retour à un lieu de pouvoir devenu piège.</x:v>
      </x:c>
      <x:c r="H10" s="7" t="str"/>
      <x:c r="I10" s="7" t="str">
        <x:v>Néons atténués, débris au sol hors trajet et lumière coupée par secteurs.</x:v>
      </x:c>
      <x:c r="J10" s="7" t="str"/>
      <x:c r="K10" s="7" t="str"/>
      <x:c r="L10" s="7" t="str">
        <x:v>Livrable proposé : spécification INV/worlds/wrl-afterlife; brancher au registre de contenu de l'œuvre seulement après production.</x:v>
      </x:c>
      <x:c r="M10" s="7" t="str">
        <x:v>Conserver le raccord d’occupation d’Omega et le départ d’Aria; une victoire tactique locale ne permet pas de gagner une guerre contraire au comic.</x:v>
      </x:c>
      <x:c r="N10" s="7" t="str">
        <x:v>Le nom Afterlife et sa fonction sont sourcés; les dimensions, chemins et interactions restent explicitement proposés.</x:v>
      </x:c>
      <x:c r="O10" s="7" t="str"/>
      <x:c r="P10" s="7" t="str">
        <x:v>Mass Effect: Invasion, série concernée</x:v>
      </x:c>
      <x:c r="Q10" s="7" t="str">
        <x:v>INV-S-PETROVSKY</x:v>
      </x:c>
      <x:c r="R10" s="7" t="str">
        <x:v>https://masseffect.fandom.com/wiki/Oleg_Petrovsky</x:v>
      </x:c>
      <x:c r="S10" s="7" t="str">
        <x:v>La géométrie jouable ci-dessous est originale et ne prétend pas reconstituer une carte officielle.</x:v>
      </x:c>
    </x:row>
  </x:sheetData>
  <x:conditionalFormatting sqref="D7:D10">
    <x:cfRule type="cellIs" dxfId="12" priority="1" operator="equal">
      <x:formula>"À vérifier"</x:formula>
    </x:cfRule>
    <x:cfRule type="cellIs" dxfId="13" priority="2" operator="equal">
      <x:formula>"Extrapolation"</x:formula>
    </x:cfRule>
  </x:conditionalFormatting>
  <x:conditionalFormatting sqref="C7:C10">
    <x:cfRule type="cellIs" dxfId="14" priority="3" operator="equal">
      <x:formula>"Validé"</x:formula>
    </x:cfRule>
  </x:conditionalFormatting>
  <x:conditionalFormatting sqref="E7:E10">
    <x:cfRule type="cellIs" dxfId="1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09ff77e203734d94"/>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Invasion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INV-ZONE-OMEGA</x:v>
      </x:c>
      <x:c r="B7" s="9" t="str">
        <x:v>Omega — espace jouable proposé</x:v>
      </x:c>
      <x:c r="C7" s="15" t="str">
        <x:v>Défini</x:v>
      </x:c>
      <x:c r="D7" s="16" t="str">
        <x:v>Extrapolation</x:v>
      </x:c>
      <x:c r="E7" s="16" t="str">
        <x:v>P1</x:v>
      </x:c>
      <x:c r="F7" s="9" t="str">
        <x:v>Trois couloirs connectés à une place refuge; éviter une carte trop vaste pour les sprites.</x:v>
      </x:c>
      <x:c r="G7" s="9" t="str">
        <x:v>Défense de territoire et de routes de repli.</x:v>
      </x:c>
      <x:c r="H7" s="9" t="str">
        <x:v>La progression privilégie l’extraction et le passage, pas l’élimination d’une foule entière.</x:v>
      </x:c>
      <x:c r="I7" s="9" t="str">
        <x:v>Métal noirci, lumière ambre et zones de danger à hachures.</x:v>
      </x:c>
      <x:c r="J7" s="9" t="str">
        <x:v>Garder les trajectoires de sprites sur le sol navigable; traversées de premier plan traitées par masques.</x:v>
      </x:c>
      <x:c r="K7" s="9" t="str"/>
      <x:c r="L7" s="9" t="str">
        <x:v>Scène 3D prévue inv/zones/omega; volumes de navigation, ancrages d'actions et caméras fixes séparés.</x:v>
      </x:c>
      <x:c r="M7" s="9" t="str">
        <x:v>Conserver le raccord d’occupation d’Omega et le départ d’Aria; une victoire tactique locale ne permet pas de gagner une guerre contraire au comic.</x:v>
      </x:c>
      <x:c r="N7" s="9" t="str">
        <x:v>Le blocage de Omega permet un parcours aller-retour sans caméra aveugle; chaque danger annoncé possède une sortie lisible.</x:v>
      </x:c>
      <x:c r="O7" s="9" t="str">
        <x:v>INV-WRL-OMEGA</x:v>
      </x:c>
      <x:c r="P7" s="9" t="str">
        <x:v>Plan original, dimensions à prototyper.</x:v>
      </x:c>
      <x:c r="Q7" s="9" t="str"/>
      <x:c r="R7" s="9" t="str"/>
      <x:c r="S7" s="9" t="str"/>
    </x:row>
    <x:row r="8" ht="54" customHeight="1">
      <x:c r="A8" s="19" t="str">
        <x:v>INV-ZONE-ELBRUS</x:v>
      </x:c>
      <x:c r="B8" s="7" t="str">
        <x:v>Elbrus — espace jouable proposé</x:v>
      </x:c>
      <x:c r="C8" s="15" t="str">
        <x:v>Défini</x:v>
      </x:c>
      <x:c r="D8" s="17" t="str">
        <x:v>Extrapolation</x:v>
      </x:c>
      <x:c r="E8" s="17" t="str">
        <x:v>P1</x:v>
      </x:c>
      <x:c r="F8" s="7" t="str">
        <x:v>Carte centrale, baie d’observation et console de liaison.</x:v>
      </x:c>
      <x:c r="G8" s="7" t="str">
        <x:v>Passerelle de coopération temporaire.</x:v>
      </x:c>
      <x:c r="H8" s="7" t="str">
        <x:v>Pas de libre achat d’armes dans un vaisseau allié de circonstance.</x:v>
      </x:c>
      <x:c r="I8" s="7" t="str">
        <x:v>Gris militaire, blanc directionnel et écrans lisibles.</x:v>
      </x:c>
      <x:c r="J8" s="7" t="str">
        <x:v>Garder les trajectoires de sprites sur le sol navigable; traversées de premier plan traitées par masques.</x:v>
      </x:c>
      <x:c r="K8" s="7" t="str"/>
      <x:c r="L8" s="7" t="str">
        <x:v>Scène 3D prévue inv/zones/elbrus; volumes de navigation, ancrages d'actions et caméras fixes séparés.</x:v>
      </x:c>
      <x:c r="M8" s="7" t="str">
        <x:v>Conserver le raccord d’occupation d’Omega et le départ d’Aria; une victoire tactique locale ne permet pas de gagner une guerre contraire au comic.</x:v>
      </x:c>
      <x:c r="N8" s="7" t="str">
        <x:v>Le blocage de Elbrus permet un parcours aller-retour sans caméra aveugle; chaque danger annoncé possède une sortie lisible.</x:v>
      </x:c>
      <x:c r="O8" s="7" t="str">
        <x:v>INV-WRL-ELBRUS</x:v>
      </x:c>
      <x:c r="P8" s="7" t="str">
        <x:v>Plan original, dimensions à prototyper.</x:v>
      </x:c>
      <x:c r="Q8" s="7" t="str"/>
      <x:c r="R8" s="7" t="str"/>
      <x:c r="S8" s="7" t="str"/>
    </x:row>
    <x:row r="9" ht="54" customHeight="1">
      <x:c r="A9" s="18" t="str">
        <x:v>INV-ZONE-AVERNUS</x:v>
      </x:c>
      <x:c r="B9" s="9" t="str">
        <x:v>Avernus Station — espace jouable proposé</x:v>
      </x:c>
      <x:c r="C9" s="15" t="str">
        <x:v>Défini</x:v>
      </x:c>
      <x:c r="D9" s="16" t="str">
        <x:v>Extrapolation</x:v>
      </x:c>
      <x:c r="E9" s="16" t="str">
        <x:v>P1</x:v>
      </x:c>
      <x:c r="F9" s="9" t="str">
        <x:v>Sas, salle de contrôle et aire isolée à circulation en boucle.</x:v>
      </x:c>
      <x:c r="G9" s="9" t="str">
        <x:v>Faire comprendre la source d’une crise sans une encyclopédie complète.</x:v>
      </x:c>
      <x:c r="H9" s="9" t="str">
        <x:v>Exposition représentée par pression locale proposée; ne pas inventer un traitement canon.</x:v>
      </x:c>
      <x:c r="I9" s="9" t="str">
        <x:v>Surfaces froides, matériel de recherche abandonné et balises de confinement.</x:v>
      </x:c>
      <x:c r="J9" s="9" t="str">
        <x:v>Garder les trajectoires de sprites sur le sol navigable; traversées de premier plan traitées par masques.</x:v>
      </x:c>
      <x:c r="K9" s="9" t="str"/>
      <x:c r="L9" s="9" t="str">
        <x:v>Scène 3D prévue inv/zones/avernus; volumes de navigation, ancrages d'actions et caméras fixes séparés.</x:v>
      </x:c>
      <x:c r="M9" s="9" t="str">
        <x:v>Conserver le raccord d’occupation d’Omega et le départ d’Aria; une victoire tactique locale ne permet pas de gagner une guerre contraire au comic.</x:v>
      </x:c>
      <x:c r="N9" s="9" t="str">
        <x:v>Le blocage de Avernus Station permet un parcours aller-retour sans caméra aveugle; chaque danger annoncé possède une sortie lisible.</x:v>
      </x:c>
      <x:c r="O9" s="9" t="str">
        <x:v>INV-WRL-AVERNUS</x:v>
      </x:c>
      <x:c r="P9" s="9" t="str">
        <x:v>Plan original, dimensions à prototyper.</x:v>
      </x:c>
      <x:c r="Q9" s="9" t="str"/>
      <x:c r="R9" s="9" t="str"/>
      <x:c r="S9" s="9" t="str"/>
    </x:row>
    <x:row r="10" ht="54" customHeight="1">
      <x:c r="A10" s="19" t="str">
        <x:v>INV-ZONE-AFTERLIFE</x:v>
      </x:c>
      <x:c r="B10" s="7" t="str">
        <x:v>Afterlife — espace jouable proposé</x:v>
      </x:c>
      <x:c r="C10" s="15" t="str">
        <x:v>Défini</x:v>
      </x:c>
      <x:c r="D10" s="17" t="str">
        <x:v>Extrapolation</x:v>
      </x:c>
      <x:c r="E10" s="17" t="str">
        <x:v>P1</x:v>
      </x:c>
      <x:c r="F10" s="7" t="str">
        <x:v>Salle principale, balcon et deux accès visibles.</x:v>
      </x:c>
      <x:c r="G10" s="7" t="str">
        <x:v>Retour à un lieu de pouvoir devenu piège.</x:v>
      </x:c>
      <x:c r="H10" s="7" t="str">
        <x:v>La fermeture d’un accès est toujours annoncée avant résolution.</x:v>
      </x:c>
      <x:c r="I10" s="7" t="str">
        <x:v>Néons atténués, débris au sol hors trajet et lumière coupée par secteurs.</x:v>
      </x:c>
      <x:c r="J10" s="7" t="str">
        <x:v>Garder les trajectoires de sprites sur le sol navigable; traversées de premier plan traitées par masques.</x:v>
      </x:c>
      <x:c r="K10" s="7" t="str"/>
      <x:c r="L10" s="7" t="str">
        <x:v>Scène 3D prévue inv/zones/afterlife; volumes de navigation, ancrages d'actions et caméras fixes séparés.</x:v>
      </x:c>
      <x:c r="M10" s="7" t="str">
        <x:v>Conserver le raccord d’occupation d’Omega et le départ d’Aria; une victoire tactique locale ne permet pas de gagner une guerre contraire au comic.</x:v>
      </x:c>
      <x:c r="N10" s="7" t="str">
        <x:v>Le blocage de Afterlife permet un parcours aller-retour sans caméra aveugle; chaque danger annoncé possède une sortie lisible.</x:v>
      </x:c>
      <x:c r="O10" s="7" t="str">
        <x:v>INV-WRL-AFTERLIFE</x:v>
      </x:c>
      <x:c r="P10" s="7" t="str">
        <x:v>Plan original, dimensions à prototyper.</x:v>
      </x:c>
      <x:c r="Q10" s="7" t="str"/>
      <x:c r="R10" s="7" t="str"/>
      <x:c r="S10" s="7" t="str"/>
    </x:row>
  </x:sheetData>
  <x:conditionalFormatting sqref="D7:D10">
    <x:cfRule type="cellIs" dxfId="16" priority="1" operator="equal">
      <x:formula>"À vérifier"</x:formula>
    </x:cfRule>
    <x:cfRule type="cellIs" dxfId="17" priority="2" operator="equal">
      <x:formula>"Extrapolation"</x:formula>
    </x:cfRule>
  </x:conditionalFormatting>
  <x:conditionalFormatting sqref="C7:C10">
    <x:cfRule type="cellIs" dxfId="18" priority="3" operator="equal">
      <x:formula>"Validé"</x:formula>
    </x:cfRule>
  </x:conditionalFormatting>
  <x:conditionalFormatting sqref="E7:E10">
    <x:cfRule type="cellIs" dxfId="19"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ab48e79e93d04428"/>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Invasion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INV-LINK-OMEGA</x:v>
      </x:c>
      <x:c r="B7" s="9" t="str">
        <x:v>Omega — accès et sortie</x:v>
      </x:c>
      <x:c r="C7" s="15" t="str">
        <x:v>Défini</x:v>
      </x:c>
      <x:c r="D7" s="16" t="str">
        <x:v>Extrapolation</x:v>
      </x:c>
      <x:c r="E7" s="16" t="str">
        <x:v>P1</x:v>
      </x:c>
      <x:c r="F7" s="9" t="str">
        <x:v>Quai → secteurs civils → centre de commandement; accès ferment selon la phase.</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INV/OMEGA; sauvegarder zone, point d'entrée et version de chapitre.</x:v>
      </x:c>
      <x:c r="M7" s="9" t="str">
        <x:v>Conserver le raccord d’occupation d’Omega et le départ d’Aria; une victoire tactique locale ne permet pas de gagner une guerre contraire au comic.</x:v>
      </x:c>
      <x:c r="N7" s="9" t="str">
        <x:v>Entrer, ressortir et recharger au seuil restitue le même état du chapitre; aucun accès ne court-circuite sa conclusion fixée.</x:v>
      </x:c>
      <x:c r="O7" s="9" t="str">
        <x:v>INV-ZONE-OMEGA</x:v>
      </x:c>
      <x:c r="P7" s="9" t="str">
        <x:v>Raccord de gameplay original; ordre narratif selon les ancrages sourcés.</x:v>
      </x:c>
      <x:c r="Q7" s="9" t="str"/>
      <x:c r="R7" s="9" t="str"/>
      <x:c r="S7" s="9" t="str"/>
    </x:row>
    <x:row r="8" ht="54" customHeight="1">
      <x:c r="A8" s="19" t="str">
        <x:v>INV-LINK-ELBRUS</x:v>
      </x:c>
      <x:c r="B8" s="7" t="str">
        <x:v>Elbrus — accès et sortie</x:v>
      </x:c>
      <x:c r="C8" s="15" t="str">
        <x:v>Défini</x:v>
      </x:c>
      <x:c r="D8" s="17" t="str">
        <x:v>Extrapolation</x:v>
      </x:c>
      <x:c r="E8" s="17" t="str">
        <x:v>P1</x:v>
      </x:c>
      <x:c r="F8" s="7" t="str">
        <x:v>Embarquement narratif vers une opération limitée; accès bloqué après rupture d’alliance.</x:v>
      </x:c>
      <x:c r="G8" s="7" t="str">
        <x:v>Conserver les raccords nécessaires au parcours sans inventer une route galactique officielle.</x:v>
      </x:c>
      <x:c r="H8" s="7" t="str">
        <x:v>Prévisualiser la destination; déclenchement sur confirmation hors combat; conserver objectifs et objets de mission au retour.</x:v>
      </x:c>
      <x:c r="I8" s="7" t="str">
        <x:v>Marquage de direction doublé d’un nom de destination; pas de code fondé sur une seule couleur.</x:v>
      </x:c>
      <x:c r="J8" s="7" t="str"/>
      <x:c r="K8" s="7" t="str"/>
      <x:c r="L8" s="7" t="str">
        <x:v>Liaison proposée INV/ELBRUS; sauvegarder zone, point d'entrée et version de chapitre.</x:v>
      </x:c>
      <x:c r="M8" s="7" t="str">
        <x:v>Conserver le raccord d’occupation d’Omega et le départ d’Aria; une victoire tactique locale ne permet pas de gagner une guerre contraire au comic.</x:v>
      </x:c>
      <x:c r="N8" s="7" t="str">
        <x:v>Entrer, ressortir et recharger au seuil restitue le même état du chapitre; aucun accès ne court-circuite sa conclusion fixée.</x:v>
      </x:c>
      <x:c r="O8" s="7" t="str">
        <x:v>INV-ZONE-ELBRUS</x:v>
      </x:c>
      <x:c r="P8" s="7" t="str">
        <x:v>Raccord de gameplay original; ordre narratif selon les ancrages sourcés.</x:v>
      </x:c>
      <x:c r="Q8" s="7" t="str"/>
      <x:c r="R8" s="7" t="str"/>
      <x:c r="S8" s="7" t="str"/>
    </x:row>
    <x:row r="9" ht="54" customHeight="1">
      <x:c r="A9" s="18" t="str">
        <x:v>INV-LINK-AVERNUS</x:v>
      </x:c>
      <x:c r="B9" s="9" t="str">
        <x:v>Avernus Station — accès et sortie</x:v>
      </x:c>
      <x:c r="C9" s="15" t="str">
        <x:v>Défini</x:v>
      </x:c>
      <x:c r="D9" s="16" t="str">
        <x:v>Extrapolation</x:v>
      </x:c>
      <x:c r="E9" s="16" t="str">
        <x:v>P1</x:v>
      </x:c>
      <x:c r="F9" s="9" t="str">
        <x:v>Entrée depuis l’opération, contrôle local puis départ; aucune exploration scientifique illimitée.</x:v>
      </x:c>
      <x:c r="G9" s="9" t="str">
        <x:v>Conserver les raccords nécessaires au parcours sans inventer une route galactique officielle.</x:v>
      </x:c>
      <x:c r="H9" s="9" t="str">
        <x:v>Prévisualiser la destination; déclenchement sur confirmation hors combat; conserver objectifs et objets de mission au retour.</x:v>
      </x:c>
      <x:c r="I9" s="9" t="str">
        <x:v>Marquage de direction doublé d’un nom de destination; pas de code fondé sur une seule couleur.</x:v>
      </x:c>
      <x:c r="J9" s="9" t="str"/>
      <x:c r="K9" s="9" t="str"/>
      <x:c r="L9" s="9" t="str">
        <x:v>Liaison proposée INV/AVERNUS; sauvegarder zone, point d'entrée et version de chapitre.</x:v>
      </x:c>
      <x:c r="M9" s="9" t="str">
        <x:v>Conserver le raccord d’occupation d’Omega et le départ d’Aria; une victoire tactique locale ne permet pas de gagner une guerre contraire au comic.</x:v>
      </x:c>
      <x:c r="N9" s="9" t="str">
        <x:v>Entrer, ressortir et recharger au seuil restitue le même état du chapitre; aucun accès ne court-circuite sa conclusion fixée.</x:v>
      </x:c>
      <x:c r="O9" s="9" t="str">
        <x:v>INV-ZONE-AVERNUS</x:v>
      </x:c>
      <x:c r="P9" s="9" t="str">
        <x:v>Raccord de gameplay original; ordre narratif selon les ancrages sourcés.</x:v>
      </x:c>
      <x:c r="Q9" s="9" t="str"/>
      <x:c r="R9" s="9" t="str"/>
      <x:c r="S9" s="9" t="str"/>
    </x:row>
    <x:row r="10" ht="54" customHeight="1">
      <x:c r="A10" s="19" t="str">
        <x:v>INV-LINK-AFTERLIFE</x:v>
      </x:c>
      <x:c r="B10" s="7" t="str">
        <x:v>Afterlife — accès et sortie</x:v>
      </x:c>
      <x:c r="C10" s="15" t="str">
        <x:v>Défini</x:v>
      </x:c>
      <x:c r="D10" s="17" t="str">
        <x:v>Extrapolation</x:v>
      </x:c>
      <x:c r="E10" s="17" t="str">
        <x:v>P1</x:v>
      </x:c>
      <x:c r="F10" s="7" t="str">
        <x:v>Accès de retour puis sortie d’exil; pas de restauration immédiate du hub.</x:v>
      </x:c>
      <x:c r="G10" s="7" t="str">
        <x:v>Conserver les raccords nécessaires au parcours sans inventer une route galactique officielle.</x:v>
      </x:c>
      <x:c r="H10" s="7" t="str">
        <x:v>Prévisualiser la destination; déclenchement sur confirmation hors combat; conserver objectifs et objets de mission au retour.</x:v>
      </x:c>
      <x:c r="I10" s="7" t="str">
        <x:v>Marquage de direction doublé d’un nom de destination; pas de code fondé sur une seule couleur.</x:v>
      </x:c>
      <x:c r="J10" s="7" t="str"/>
      <x:c r="K10" s="7" t="str"/>
      <x:c r="L10" s="7" t="str">
        <x:v>Liaison proposée INV/AFTERLIFE; sauvegarder zone, point d'entrée et version de chapitre.</x:v>
      </x:c>
      <x:c r="M10" s="7" t="str">
        <x:v>Conserver le raccord d’occupation d’Omega et le départ d’Aria; une victoire tactique locale ne permet pas de gagner une guerre contraire au comic.</x:v>
      </x:c>
      <x:c r="N10" s="7" t="str">
        <x:v>Entrer, ressortir et recharger au seuil restitue le même état du chapitre; aucun accès ne court-circuite sa conclusion fixée.</x:v>
      </x:c>
      <x:c r="O10" s="7" t="str">
        <x:v>INV-ZONE-AFTERLIFE</x:v>
      </x:c>
      <x:c r="P10" s="7" t="str">
        <x:v>Raccord de gameplay original; ordre narratif selon les ancrages sourcés.</x:v>
      </x:c>
      <x:c r="Q10" s="7" t="str"/>
      <x:c r="R10" s="7" t="str"/>
      <x:c r="S10" s="7" t="str"/>
    </x:row>
  </x:sheetData>
  <x:conditionalFormatting sqref="D7:D10">
    <x:cfRule type="cellIs" dxfId="20" priority="1" operator="equal">
      <x:formula>"À vérifier"</x:formula>
    </x:cfRule>
    <x:cfRule type="cellIs" dxfId="21" priority="2" operator="equal">
      <x:formula>"Extrapolation"</x:formula>
    </x:cfRule>
  </x:conditionalFormatting>
  <x:conditionalFormatting sqref="C7:C10">
    <x:cfRule type="cellIs" dxfId="22" priority="3" operator="equal">
      <x:formula>"Validé"</x:formula>
    </x:cfRule>
  </x:conditionalFormatting>
  <x:conditionalFormatting sqref="E7:E10">
    <x:cfRule type="cellIs" dxfId="2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548445414028495e"/>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Invasion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INV-SET-OMEGA</x:v>
      </x:c>
      <x:c r="B7" s="9" t="str">
        <x:v>Omega — décor et repère</x:v>
      </x:c>
      <x:c r="C7" s="15" t="str">
        <x:v>Défini</x:v>
      </x:c>
      <x:c r="D7" s="16" t="str">
        <x:v>Extrapolation</x:v>
      </x:c>
      <x:c r="E7" s="16" t="str">
        <x:v>P1</x:v>
      </x:c>
      <x:c r="F7" s="9" t="str">
        <x:v>Vue sur le noyau industriel et silhouette d’Afterlife.</x:v>
      </x:c>
      <x:c r="G7" s="9" t="str">
        <x:v>Défense de territoire et de routes de repli.</x:v>
      </x:c>
      <x:c r="H7" s="9" t="str"/>
      <x:c r="I7" s="9" t="str">
        <x:v>Métal noirci, lumière ambre et zones de danger à hachures.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inv/sets/omega; collisions simples et matériau de repère distinct.</x:v>
      </x:c>
      <x:c r="M7" s="9" t="str">
        <x:v>Conserver le raccord d’occupation d’Omega et le départ d’Aria; une victoire tactique locale ne permet pas de gagner une guerre contraire au comic.</x:v>
      </x:c>
      <x:c r="N7" s="9" t="str">
        <x:v>Le repère décrit reste visible depuis l'entrée et depuis le retour; aucune décoration ne masque un signal d'interaction.</x:v>
      </x:c>
      <x:c r="O7" s="9" t="str">
        <x:v>INV-ZONE-OMEGA</x:v>
      </x:c>
      <x:c r="P7" s="9" t="str">
        <x:v>Direction artistique originale, matériaux à confronter aux planches.</x:v>
      </x:c>
      <x:c r="Q7" s="9" t="str"/>
      <x:c r="R7" s="9" t="str"/>
      <x:c r="S7" s="9" t="str"/>
    </x:row>
    <x:row r="8" ht="68" customHeight="1">
      <x:c r="A8" s="19" t="str">
        <x:v>INV-SET-ELBRUS</x:v>
      </x:c>
      <x:c r="B8" s="7" t="str">
        <x:v>Elbrus — décor et repère</x:v>
      </x:c>
      <x:c r="C8" s="15" t="str">
        <x:v>Défini</x:v>
      </x:c>
      <x:c r="D8" s="17" t="str">
        <x:v>Extrapolation</x:v>
      </x:c>
      <x:c r="E8" s="17" t="str">
        <x:v>P1</x:v>
      </x:c>
      <x:c r="F8" s="7" t="str">
        <x:v>La carte de la station reste le point focal.</x:v>
      </x:c>
      <x:c r="G8" s="7" t="str">
        <x:v>Passerelle de coopération temporaire.</x:v>
      </x:c>
      <x:c r="H8" s="7" t="str"/>
      <x:c r="I8" s="7" t="str">
        <x:v>Gris militaire, blanc directionnel et écrans lisibles. Séparer gros volumes, surfaces de parcours et petits accessoires; réserver le contraste maximal aux éléments utilisables.</x:v>
      </x:c>
      <x:c r="J8" s="7" t="str">
        <x:v>Seuls les éléments mobiles nécessaires à la lecture du lieu ont une boucle; les lumières restent stables en mode confort.</x:v>
      </x:c>
      <x:c r="K8" s="7" t="str"/>
      <x:c r="L8" s="7" t="str">
        <x:v>Kit modulaire prévu inv/sets/elbrus; collisions simples et matériau de repère distinct.</x:v>
      </x:c>
      <x:c r="M8" s="7" t="str">
        <x:v>Conserver le raccord d’occupation d’Omega et le départ d’Aria; une victoire tactique locale ne permet pas de gagner une guerre contraire au comic.</x:v>
      </x:c>
      <x:c r="N8" s="7" t="str">
        <x:v>Le repère décrit reste visible depuis l'entrée et depuis le retour; aucune décoration ne masque un signal d'interaction.</x:v>
      </x:c>
      <x:c r="O8" s="7" t="str">
        <x:v>INV-ZONE-ELBRUS</x:v>
      </x:c>
      <x:c r="P8" s="7" t="str">
        <x:v>Direction artistique originale, matériaux à confronter aux planches.</x:v>
      </x:c>
      <x:c r="Q8" s="7" t="str"/>
      <x:c r="R8" s="7" t="str"/>
      <x:c r="S8" s="7" t="str"/>
    </x:row>
    <x:row r="9" ht="68" customHeight="1">
      <x:c r="A9" s="18" t="str">
        <x:v>INV-SET-AVERNUS</x:v>
      </x:c>
      <x:c r="B9" s="9" t="str">
        <x:v>Avernus Station — décor et repère</x:v>
      </x:c>
      <x:c r="C9" s="15" t="str">
        <x:v>Défini</x:v>
      </x:c>
      <x:c r="D9" s="16" t="str">
        <x:v>Extrapolation</x:v>
      </x:c>
      <x:c r="E9" s="16" t="str">
        <x:v>P1</x:v>
      </x:c>
      <x:c r="F9" s="9" t="str">
        <x:v>Vitrage brisé et canal technique vers la zone suivante.</x:v>
      </x:c>
      <x:c r="G9" s="9" t="str">
        <x:v>Faire comprendre la source d’une crise sans une encyclopédie complète.</x:v>
      </x:c>
      <x:c r="H9" s="9" t="str"/>
      <x:c r="I9" s="9" t="str">
        <x:v>Surfaces froides, matériel de recherche abandonné et balises de confinement. Séparer gros volumes, surfaces de parcours et petits accessoires; réserver le contraste maximal aux éléments utilisables.</x:v>
      </x:c>
      <x:c r="J9" s="9" t="str">
        <x:v>Seuls les éléments mobiles nécessaires à la lecture du lieu ont une boucle; les lumières restent stables en mode confort.</x:v>
      </x:c>
      <x:c r="K9" s="9" t="str"/>
      <x:c r="L9" s="9" t="str">
        <x:v>Kit modulaire prévu inv/sets/avernus; collisions simples et matériau de repère distinct.</x:v>
      </x:c>
      <x:c r="M9" s="9" t="str">
        <x:v>Conserver le raccord d’occupation d’Omega et le départ d’Aria; une victoire tactique locale ne permet pas de gagner une guerre contraire au comic.</x:v>
      </x:c>
      <x:c r="N9" s="9" t="str">
        <x:v>Le repère décrit reste visible depuis l'entrée et depuis le retour; aucune décoration ne masque un signal d'interaction.</x:v>
      </x:c>
      <x:c r="O9" s="9" t="str">
        <x:v>INV-ZONE-AVERNUS</x:v>
      </x:c>
      <x:c r="P9" s="9" t="str">
        <x:v>Direction artistique originale, matériaux à confronter aux planches.</x:v>
      </x:c>
      <x:c r="Q9" s="9" t="str"/>
      <x:c r="R9" s="9" t="str"/>
      <x:c r="S9" s="9" t="str"/>
    </x:row>
    <x:row r="10" ht="68" customHeight="1">
      <x:c r="A10" s="19" t="str">
        <x:v>INV-SET-AFTERLIFE</x:v>
      </x:c>
      <x:c r="B10" s="7" t="str">
        <x:v>Afterlife — décor et repère</x:v>
      </x:c>
      <x:c r="C10" s="15" t="str">
        <x:v>Défini</x:v>
      </x:c>
      <x:c r="D10" s="17" t="str">
        <x:v>Extrapolation</x:v>
      </x:c>
      <x:c r="E10" s="17" t="str">
        <x:v>P1</x:v>
      </x:c>
      <x:c r="F10" s="7" t="str">
        <x:v>Fauteuil et scène centrale comme silhouette de pouvoir.</x:v>
      </x:c>
      <x:c r="G10" s="7" t="str">
        <x:v>Retour à un lieu de pouvoir devenu piège.</x:v>
      </x:c>
      <x:c r="H10" s="7" t="str"/>
      <x:c r="I10" s="7" t="str">
        <x:v>Néons atténués, débris au sol hors trajet et lumière coupée par secteurs. Séparer gros volumes, surfaces de parcours et petits accessoires; réserver le contraste maximal aux éléments utilisables.</x:v>
      </x:c>
      <x:c r="J10" s="7" t="str">
        <x:v>Seuls les éléments mobiles nécessaires à la lecture du lieu ont une boucle; les lumières restent stables en mode confort.</x:v>
      </x:c>
      <x:c r="K10" s="7" t="str"/>
      <x:c r="L10" s="7" t="str">
        <x:v>Kit modulaire prévu inv/sets/afterlife; collisions simples et matériau de repère distinct.</x:v>
      </x:c>
      <x:c r="M10" s="7" t="str">
        <x:v>Conserver le raccord d’occupation d’Omega et le départ d’Aria; une victoire tactique locale ne permet pas de gagner une guerre contraire au comic.</x:v>
      </x:c>
      <x:c r="N10" s="7" t="str">
        <x:v>Le repère décrit reste visible depuis l'entrée et depuis le retour; aucune décoration ne masque un signal d'interaction.</x:v>
      </x:c>
      <x:c r="O10" s="7" t="str">
        <x:v>INV-ZONE-AFTERLIFE</x:v>
      </x:c>
      <x:c r="P10" s="7" t="str">
        <x:v>Direction artistique originale, matériaux à confronter aux planches.</x:v>
      </x:c>
      <x:c r="Q10" s="7" t="str"/>
      <x:c r="R10" s="7" t="str"/>
      <x:c r="S10" s="7" t="str"/>
    </x:row>
  </x:sheetData>
  <x:conditionalFormatting sqref="D7:D10">
    <x:cfRule type="cellIs" dxfId="24" priority="1" operator="equal">
      <x:formula>"À vérifier"</x:formula>
    </x:cfRule>
    <x:cfRule type="cellIs" dxfId="25" priority="2" operator="equal">
      <x:formula>"Extrapolation"</x:formula>
    </x:cfRule>
  </x:conditionalFormatting>
  <x:conditionalFormatting sqref="C7:C10">
    <x:cfRule type="cellIs" dxfId="26" priority="3" operator="equal">
      <x:formula>"Validé"</x:formula>
    </x:cfRule>
  </x:conditionalFormatting>
  <x:conditionalFormatting sqref="E7:E10">
    <x:cfRule type="cellIs" dxfId="2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cc40e585eabf4025"/>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Invasion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INV-SC-BREACH-PROP</x:v>
      </x:c>
      <x:c r="B7" s="9" t="str">
        <x:v>Verrou de quai</x:v>
      </x:c>
      <x:c r="C7" s="15" t="str">
        <x:v>Défini</x:v>
      </x:c>
      <x:c r="D7" s="16" t="str">
        <x:v>Extrapolation</x:v>
      </x:c>
      <x:c r="E7" s="16" t="str">
        <x:v>P1</x:v>
      </x:c>
      <x:c r="F7" s="9" t="str">
        <x:v>Commande de confinement proposée.</x:v>
      </x:c>
      <x:c r="G7" s="9" t="str">
        <x:v>Offrir une action de terrain compréhensible.</x:v>
      </x:c>
      <x:c r="H7" s="9" t="str">
        <x:v>La porte bloque le passage mais peut retenir un allié; prévisualiser les positions avant fermeture.</x:v>
      </x:c>
      <x:c r="I7" s="9" t="str">
        <x:v>Panneau à état ouvert/fermé avec silhouette de passage.</x:v>
      </x:c>
      <x:c r="J7" s="9" t="str">
        <x:v>État repos, sélection, utilisation et remise en place; l’objet conserve son pivot entre ces états.</x:v>
      </x:c>
      <x:c r="K7" s="9" t="str">
        <x:v>Bruit de manipulation original et confirmation visible.</x:v>
      </x:c>
      <x:c r="L7" s="9" t="str">
        <x:v>Objet proposé INV/BREACH/prop; composant inspectable distinct du déclencheur narratif.</x:v>
      </x:c>
      <x:c r="M7" s="9" t="str">
        <x:v>Conserver le raccord d’occupation d’Omega et le départ d’Aria; une victoire tactique locale ne permet pas de gagner une guerre contraire au comic.</x:v>
      </x:c>
      <x:c r="N7" s="9" t="str">
        <x:v>L’objet possède un état visible avant et après interaction; il ne peut pas être perdu ni dupliqué par rechargement.</x:v>
      </x:c>
      <x:c r="O7" s="9" t="str">
        <x:v>INV-SC-BREACH-MAIN</x:v>
      </x:c>
      <x:c r="P7" s="9" t="str">
        <x:v>Accessoire ou interaction de production proposé; ne vaut pas relevé exhaustif de la planche.</x:v>
      </x:c>
      <x:c r="Q7" s="9" t="str"/>
      <x:c r="R7" s="9" t="str"/>
      <x:c r="S7" s="9" t="str"/>
    </x:row>
    <x:row r="8" ht="54" customHeight="1">
      <x:c r="A8" s="19" t="str">
        <x:v>INV-SC-ALLIANCE-PROP</x:v>
      </x:c>
      <x:c r="B8" s="7" t="str">
        <x:v>Carte de coordination</x:v>
      </x:c>
      <x:c r="C8" s="15" t="str">
        <x:v>Défini</x:v>
      </x:c>
      <x:c r="D8" s="17" t="str">
        <x:v>Extrapolation</x:v>
      </x:c>
      <x:c r="E8" s="17" t="str">
        <x:v>P1</x:v>
      </x:c>
      <x:c r="F8" s="7" t="str">
        <x:v>Interface stratégique originale.</x:v>
      </x:c>
      <x:c r="G8" s="7" t="str">
        <x:v>Comparer les deux soutiens.</x:v>
      </x:c>
      <x:c r="H8" s="7" t="str">
        <x:v>Afficher portée, délai proposé et incompatibilité avant confirmation.</x:v>
      </x:c>
      <x:c r="I8" s="7" t="str">
        <x:v>Deux routes et pictogrammes de soutien, aucune statistique prétendue officielle.</x:v>
      </x:c>
      <x:c r="J8" s="7" t="str">
        <x:v>État repos, sélection, utilisation et remise en place; l’objet conserve son pivot entre ces états.</x:v>
      </x:c>
      <x:c r="K8" s="7" t="str">
        <x:v>Bruit de manipulation original et confirmation visible.</x:v>
      </x:c>
      <x:c r="L8" s="7" t="str">
        <x:v>Objet proposé INV/ALLIANCE/prop; composant inspectable distinct du déclencheur narratif.</x:v>
      </x:c>
      <x:c r="M8" s="7" t="str">
        <x:v>Conserver le raccord d’occupation d’Omega et le départ d’Aria; une victoire tactique locale ne permet pas de gagner une guerre contraire au comic.</x:v>
      </x:c>
      <x:c r="N8" s="7" t="str">
        <x:v>L’objet possède un état visible avant et après interaction; il ne peut pas être perdu ni dupliqué par rechargement.</x:v>
      </x:c>
      <x:c r="O8" s="7" t="str">
        <x:v>INV-SC-ALLIANCE-MAIN</x:v>
      </x:c>
      <x:c r="P8" s="7" t="str">
        <x:v>Accessoire ou interaction de production proposé; ne vaut pas relevé exhaustif de la planche.</x:v>
      </x:c>
      <x:c r="Q8" s="7" t="str"/>
      <x:c r="R8" s="7" t="str"/>
      <x:c r="S8" s="7" t="str"/>
    </x:row>
    <x:row r="9" ht="54" customHeight="1">
      <x:c r="A9" s="18" t="str">
        <x:v>INV-SC-AVERNUS-PROP</x:v>
      </x:c>
      <x:c r="B9" s="9" t="str">
        <x:v>Contrôle sectoriel</x:v>
      </x:c>
      <x:c r="C9" s="15" t="str">
        <x:v>Défini</x:v>
      </x:c>
      <x:c r="D9" s="16" t="str">
        <x:v>Extrapolation</x:v>
      </x:c>
      <x:c r="E9" s="16" t="str">
        <x:v>P1</x:v>
      </x:c>
      <x:c r="F9" s="9" t="str">
        <x:v>Panneau original de confinement.</x:v>
      </x:c>
      <x:c r="G9" s="9" t="str">
        <x:v>Rendre les conséquences de chaque option visibles.</x:v>
      </x:c>
      <x:c r="H9" s="9" t="str">
        <x:v>Confirmer seulement après prévisualisation du groupe; avertir si un allié serait isolé.</x:v>
      </x:c>
      <x:c r="I9" s="9" t="str">
        <x:v>Schéma de trois compartiments et état textuel.</x:v>
      </x:c>
      <x:c r="J9" s="9" t="str">
        <x:v>État repos, sélection, utilisation et remise en place; l’objet conserve son pivot entre ces états.</x:v>
      </x:c>
      <x:c r="K9" s="9" t="str">
        <x:v>Bruit de manipulation original et confirmation visible.</x:v>
      </x:c>
      <x:c r="L9" s="9" t="str">
        <x:v>Objet proposé INV/AVERNUS/prop; composant inspectable distinct du déclencheur narratif.</x:v>
      </x:c>
      <x:c r="M9" s="9" t="str">
        <x:v>Conserver le raccord d’occupation d’Omega et le départ d’Aria; une victoire tactique locale ne permet pas de gagner une guerre contraire au comic.</x:v>
      </x:c>
      <x:c r="N9" s="9" t="str">
        <x:v>L’objet possède un état visible avant et après interaction; il ne peut pas être perdu ni dupliqué par rechargement.</x:v>
      </x:c>
      <x:c r="O9" s="9" t="str">
        <x:v>INV-SC-AVERNUS-MAIN</x:v>
      </x:c>
      <x:c r="P9" s="9" t="str">
        <x:v>Accessoire ou interaction de production proposé; ne vaut pas relevé exhaustif de la planche.</x:v>
      </x:c>
      <x:c r="Q9" s="9" t="str"/>
      <x:c r="R9" s="9" t="str"/>
      <x:c r="S9" s="9" t="str"/>
    </x:row>
    <x:row r="10" ht="54" customHeight="1">
      <x:c r="A10" s="19" t="str">
        <x:v>INV-SC-RETURN-PROP</x:v>
      </x:c>
      <x:c r="B10" s="7" t="str">
        <x:v>Plan local annoté</x:v>
      </x:c>
      <x:c r="C10" s="15" t="str">
        <x:v>Défini</x:v>
      </x:c>
      <x:c r="D10" s="17" t="str">
        <x:v>Extrapolation</x:v>
      </x:c>
      <x:c r="E10" s="17" t="str">
        <x:v>P1</x:v>
      </x:c>
      <x:c r="F10" s="7" t="str">
        <x:v>Carte originale d’accès désormais fermés.</x:v>
      </x:c>
      <x:c r="G10" s="7" t="str">
        <x:v>Éviter de perdre le joueur après le changement de phase.</x:v>
      </x:c>
      <x:c r="H10" s="7" t="str">
        <x:v>Les anciens accès restent dessinés mais barrés avec une raison.</x:v>
      </x:c>
      <x:c r="I10" s="7" t="str">
        <x:v>Traits pleins, pointillés et étiquettes courtes.</x:v>
      </x:c>
      <x:c r="J10" s="7" t="str">
        <x:v>État repos, sélection, utilisation et remise en place; l’objet conserve son pivot entre ces états.</x:v>
      </x:c>
      <x:c r="K10" s="7" t="str">
        <x:v>Bruit de manipulation original et confirmation visible.</x:v>
      </x:c>
      <x:c r="L10" s="7" t="str">
        <x:v>Objet proposé INV/RETURN/prop; composant inspectable distinct du déclencheur narratif.</x:v>
      </x:c>
      <x:c r="M10" s="7" t="str">
        <x:v>Conserver le raccord d’occupation d’Omega et le départ d’Aria; une victoire tactique locale ne permet pas de gagner une guerre contraire au comic.</x:v>
      </x:c>
      <x:c r="N10" s="7" t="str">
        <x:v>L’objet possède un état visible avant et après interaction; il ne peut pas être perdu ni dupliqué par rechargement.</x:v>
      </x:c>
      <x:c r="O10" s="7" t="str">
        <x:v>INV-SC-RETURN-MAIN</x:v>
      </x:c>
      <x:c r="P10" s="7" t="str">
        <x:v>Accessoire ou interaction de production proposé; ne vaut pas relevé exhaustif de la planche.</x:v>
      </x:c>
      <x:c r="Q10" s="7" t="str"/>
      <x:c r="R10" s="7" t="str"/>
      <x:c r="S10" s="7" t="str"/>
    </x:row>
    <x:row r="11" ht="54" customHeight="1">
      <x:c r="A11" s="18" t="str">
        <x:v>INV-SC-TRAP-PROP</x:v>
      </x:c>
      <x:c r="B11" s="9" t="str">
        <x:v>Barrière de scène</x:v>
      </x:c>
      <x:c r="C11" s="15" t="str">
        <x:v>Défini</x:v>
      </x:c>
      <x:c r="D11" s="16" t="str">
        <x:v>Extrapolation</x:v>
      </x:c>
      <x:c r="E11" s="16" t="str">
        <x:v>P1</x:v>
      </x:c>
      <x:c r="F11" s="9" t="str">
        <x:v>Obstacle mobile original du prototype.</x:v>
      </x:c>
      <x:c r="G11" s="9" t="str">
        <x:v>Créer une séparation tactique sans changer l’architecture canon.</x:v>
      </x:c>
      <x:c r="H11" s="9" t="str">
        <x:v>Déplacer une seule fois; ne peut bloquer les deux sorties.</x:v>
      </x:c>
      <x:c r="I11" s="9" t="str">
        <x:v>Masse basse à bord clair.</x:v>
      </x:c>
      <x:c r="J11" s="9" t="str">
        <x:v>État repos, sélection, utilisation et remise en place; l’objet conserve son pivot entre ces états.</x:v>
      </x:c>
      <x:c r="K11" s="9" t="str">
        <x:v>Bruit de manipulation original et confirmation visible.</x:v>
      </x:c>
      <x:c r="L11" s="9" t="str">
        <x:v>Objet proposé INV/TRAP/prop; composant inspectable distinct du déclencheur narratif.</x:v>
      </x:c>
      <x:c r="M11" s="9" t="str">
        <x:v>Conserver le raccord d’occupation d’Omega et le départ d’Aria; une victoire tactique locale ne permet pas de gagner une guerre contraire au comic.</x:v>
      </x:c>
      <x:c r="N11" s="9" t="str">
        <x:v>L’objet possède un état visible avant et après interaction; il ne peut pas être perdu ni dupliqué par rechargement.</x:v>
      </x:c>
      <x:c r="O11" s="9" t="str">
        <x:v>INV-SC-TRAP-MAIN</x:v>
      </x:c>
      <x:c r="P11" s="9" t="str">
        <x:v>Accessoire ou interaction de production proposé; ne vaut pas relevé exhaustif de la planche.</x:v>
      </x:c>
      <x:c r="Q11" s="9" t="str"/>
      <x:c r="R11" s="9" t="str"/>
      <x:c r="S11" s="9" t="str"/>
    </x:row>
    <x:row r="12" ht="54" customHeight="1">
      <x:c r="A12" s="19" t="str">
        <x:v>INV-SC-EXILE-PROP</x:v>
      </x:c>
      <x:c r="B12" s="7" t="str">
        <x:v>Liste de départ</x:v>
      </x:c>
      <x:c r="C12" s="15" t="str">
        <x:v>Défini</x:v>
      </x:c>
      <x:c r="D12" s="17" t="str">
        <x:v>Extrapolation</x:v>
      </x:c>
      <x:c r="E12" s="17" t="str">
        <x:v>P1</x:v>
      </x:c>
      <x:c r="F12" s="7" t="str">
        <x:v>Outil de préparation original.</x:v>
      </x:c>
      <x:c r="G12" s="7" t="str">
        <x:v>Afficher ce qui sera conservé dans le module.</x:v>
      </x:c>
      <x:c r="H12" s="7" t="str">
        <x:v>Les objets narratifs obligatoires sont verrouillés contre la vente et l’oubli.</x:v>
      </x:c>
      <x:c r="I12" s="7" t="str">
        <x:v>Cases simples avec statut transporté/non nécessaire.</x:v>
      </x:c>
      <x:c r="J12" s="7" t="str">
        <x:v>État repos, sélection, utilisation et remise en place; l’objet conserve son pivot entre ces états.</x:v>
      </x:c>
      <x:c r="K12" s="7" t="str">
        <x:v>Bruit de manipulation original et confirmation visible.</x:v>
      </x:c>
      <x:c r="L12" s="7" t="str">
        <x:v>Objet proposé INV/EXILE/prop; composant inspectable distinct du déclencheur narratif.</x:v>
      </x:c>
      <x:c r="M12" s="7" t="str">
        <x:v>Conserver le raccord d’occupation d’Omega et le départ d’Aria; une victoire tactique locale ne permet pas de gagner une guerre contraire au comic.</x:v>
      </x:c>
      <x:c r="N12" s="7" t="str">
        <x:v>L’objet possède un état visible avant et après interaction; il ne peut pas être perdu ni dupliqué par rechargement.</x:v>
      </x:c>
      <x:c r="O12" s="7" t="str">
        <x:v>INV-SC-EXILE-MAIN</x:v>
      </x:c>
      <x:c r="P12" s="7" t="str">
        <x:v>Accessoire ou interaction de production proposé; ne vaut pas relevé exhaustif de la planche.</x:v>
      </x:c>
      <x:c r="Q12" s="7" t="str"/>
      <x:c r="R12" s="7" t="str"/>
      <x:c r="S12" s="7" t="str"/>
    </x:row>
  </x:sheetData>
  <x:conditionalFormatting sqref="D7:D12">
    <x:cfRule type="cellIs" dxfId="28" priority="1" operator="equal">
      <x:formula>"À vérifier"</x:formula>
    </x:cfRule>
    <x:cfRule type="cellIs" dxfId="29" priority="2" operator="equal">
      <x:formula>"Extrapolation"</x:formula>
    </x:cfRule>
  </x:conditionalFormatting>
  <x:conditionalFormatting sqref="C7:C12">
    <x:cfRule type="cellIs" dxfId="30" priority="3" operator="equal">
      <x:formula>"Validé"</x:formula>
    </x:cfRule>
  </x:conditionalFormatting>
  <x:conditionalFormatting sqref="E7:E12">
    <x:cfRule type="cellIs" dxfId="3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1d016169b942499a"/>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0"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Invasion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INV-EN-ADJ</x:v>
      </x:c>
      <x:c r="B7" s="9" t="str">
        <x:v>Adjutant</x:v>
      </x:c>
      <x:c r="C7" s="15" t="str">
        <x:v>Défini</x:v>
      </x:c>
      <x:c r="D7" s="16" t="str">
        <x:v>À vérifier</x:v>
      </x:c>
      <x:c r="E7" s="16" t="str">
        <x:v>P1</x:v>
      </x:c>
      <x:c r="F7" s="9" t="str">
        <x:v>Les Adjutants constituent la menace de l’attaque d’Omega.</x:v>
      </x:c>
      <x:c r="G7" s="9" t="str">
        <x:v>Pression rapprochée et contrôle d’exposition.</x:v>
      </x:c>
      <x:c r="H7" s="9" t="str">
        <x:v>Profil proposé : Exposition abstraite proposée; avertissement avant tout changement d’état et reprise locale en cas d’échec.</x:v>
      </x:c>
      <x:c r="I7" s="9" t="str">
        <x:v>Silhouette proposée : Corps massif et asymétrique à comparer aux planches; articulation lisible.</x:v>
      </x:c>
      <x:c r="J7" s="9" t="str">
        <x:v>Préparation ramassée, bond lisible et récupération lourde.</x:v>
      </x:c>
      <x:c r="K7" s="9" t="str">
        <x:v>Grondement original avec pictogramme de menace.</x:v>
      </x:c>
      <x:c r="L7" s="9" t="str">
        <x:v>Livrable proposé : spécification INV/enemies/en-adj; brancher au registre de contenu de l'œuvre seulement après production.</x:v>
      </x:c>
      <x:c r="M7" s="9" t="str">
        <x:v>Conserver le raccord d’occupation d’Omega et le départ d’Aria; une victoire tactique locale ne permet pas de gagner une guerre contraire au comic.</x:v>
      </x:c>
      <x:c r="N7" s="9" t="str">
        <x:v>Adjutant a une silhouette distincte, un comportement télégraphié et une contre-mesure documentée; aucune valeur n'est annoncée comme statistique officielle.</x:v>
      </x:c>
      <x:c r="O7" s="9" t="str"/>
      <x:c r="P7" s="9" t="str">
        <x:v>Mass Effect: Invasion, série concernée</x:v>
      </x:c>
      <x:c r="Q7" s="9" t="str">
        <x:v>INV-S-ADJ</x:v>
      </x:c>
      <x:c r="R7" s="9" t="str">
        <x:v>https://masseffect.fandom.com/wiki/Adjutant</x:v>
      </x:c>
      <x:c r="S7" s="9" t="str">
        <x:v>L’adversaire ou groupe est attesté selon la source; le combat ATB et ses réglages sont entièrement proposés.</x:v>
      </x:c>
    </x:row>
    <x:row r="8" ht="68" customHeight="1">
      <x:c r="A8" s="19" t="str">
        <x:v>INV-EN-CERBERUS</x:v>
      </x:c>
      <x:c r="B8" s="7" t="str">
        <x:v>Forces de Cerberus</x:v>
      </x:c>
      <x:c r="C8" s="15" t="str">
        <x:v>Défini</x:v>
      </x:c>
      <x:c r="D8" s="17" t="str">
        <x:v>Établi</x:v>
      </x:c>
      <x:c r="E8" s="17" t="str">
        <x:v>P1</x:v>
      </x:c>
      <x:c r="F8" s="7" t="str">
        <x:v>Cerberus cherche à prendre Omega.</x:v>
      </x:c>
      <x:c r="G8" s="7" t="str">
        <x:v>Opposition militaire structurée.</x:v>
      </x:c>
      <x:c r="H8" s="7" t="str">
        <x:v>Profil proposé : Couverture et contrôle d’accès; les renforts empruntent une porte visible.</x:v>
      </x:c>
      <x:c r="I8" s="7" t="str">
        <x:v>Silhouette proposée : Armures blanches et sombres à vérifier; silhouette distincte des gangs.</x:v>
      </x:c>
      <x:c r="J8" s="7" t="str">
        <x:v>Appui au couvert et changement de position annoncé.</x:v>
      </x:c>
      <x:c r="K8" s="7" t="str">
        <x:v>Radio filtrée et tirs courts.</x:v>
      </x:c>
      <x:c r="L8" s="7" t="str">
        <x:v>Livrable proposé : spécification INV/enemies/en-cerberus; brancher au registre de contenu de l'œuvre seulement après production.</x:v>
      </x:c>
      <x:c r="M8" s="7" t="str">
        <x:v>Conserver le raccord d’occupation d’Omega et le départ d’Aria; une victoire tactique locale ne permet pas de gagner une guerre contraire au comic.</x:v>
      </x:c>
      <x:c r="N8" s="7" t="str">
        <x:v>Forces de Cerberus a une silhouette distincte, un comportement télégraphié et une contre-mesure documentée; aucune valeur n'est annoncée comme statistique officielle.</x:v>
      </x:c>
      <x:c r="O8" s="7" t="str"/>
      <x:c r="P8" s="7" t="str">
        <x:v>Mass Effect: Invasion, série concernée</x:v>
      </x:c>
      <x:c r="Q8" s="7" t="str">
        <x:v>INV-S-BOOK</x:v>
      </x:c>
      <x:c r="R8" s="7" t="str">
        <x:v>https://www.penguinrandomhouse.com/books/241636/mass-effect-volume-3-invasion-by-mac-walters-various-artists/</x:v>
      </x:c>
      <x:c r="S8" s="7" t="str">
        <x:v>L’adversaire ou groupe est attesté selon la source; le combat ATB et ses réglages sont entièrement proposés.</x:v>
      </x:c>
    </x:row>
    <x:row r="9" ht="68" customHeight="1">
      <x:c r="A9" s="18" t="str">
        <x:v>INV-EN-BOARDING</x:v>
      </x:c>
      <x:c r="B9" s="9" t="str">
        <x:v>Équipe de contrôle du quai — proposition</x:v>
      </x:c>
      <x:c r="C9" s="15" t="str">
        <x:v>Défini</x:v>
      </x:c>
      <x:c r="D9" s="16" t="str">
        <x:v>Extrapolation</x:v>
      </x:c>
      <x:c r="E9" s="16" t="str">
        <x:v>P1</x:v>
      </x:c>
      <x:c r="F9" s="9" t="str">
        <x:v>Un groupe tactique original représente la pression d’occupation dans le prototype.</x:v>
      </x:c>
      <x:c r="G9" s="9" t="str">
        <x:v>Rencontre locale ajoutée, pas unité nommée officielle.</x:v>
      </x:c>
      <x:c r="H9" s="9" t="str">
        <x:v>Profil proposé : Ouvre/ferme un accès selon une préparation visible; la neutralisation n’inverse pas l’occupation.</x:v>
      </x:c>
      <x:c r="I9" s="9" t="str">
        <x:v>Silhouette proposée : Silhouettes militaires génériques sans insigne de régiment inventé.</x:v>
      </x:c>
      <x:c r="J9" s="9" t="str">
        <x:v>Geste vers la console, maintien puis déplacement.</x:v>
      </x:c>
      <x:c r="K9" s="9" t="str">
        <x:v>Verrou de porte et confirmation radio originale.</x:v>
      </x:c>
      <x:c r="L9" s="9" t="str">
        <x:v>Livrable proposé : spécification INV/enemies/en-boarding; brancher au registre de contenu de l'œuvre seulement après production.</x:v>
      </x:c>
      <x:c r="M9" s="9" t="str">
        <x:v>Conserver le raccord d’occupation d’Omega et le départ d’Aria; une victoire tactique locale ne permet pas de gagner une guerre contraire au comic.</x:v>
      </x:c>
      <x:c r="N9" s="9" t="str">
        <x:v>Équipe de contrôle du quai — proposition a une silhouette distincte, un comportement télégraphié et une contre-mesure documentée; aucune valeur n'est annoncée comme statistique officielle.</x:v>
      </x:c>
      <x:c r="O9" s="9" t="str"/>
      <x:c r="P9" s="9" t="str">
        <x:v>Mass Effect: Invasion, série concernée</x:v>
      </x:c>
      <x:c r="Q9" s="9" t="str"/>
      <x:c r="R9" s="9" t="str"/>
      <x:c r="S9" s="9" t="str">
        <x:v>L’adversaire ou groupe est attesté selon la source; le combat ATB et ses réglages sont entièrement proposés.</x:v>
      </x:c>
    </x:row>
  </x:sheetData>
  <x:conditionalFormatting sqref="D7:D9">
    <x:cfRule type="cellIs" dxfId="32" priority="1" operator="equal">
      <x:formula>"À vérifier"</x:formula>
    </x:cfRule>
    <x:cfRule type="cellIs" dxfId="33" priority="2" operator="equal">
      <x:formula>"Extrapolation"</x:formula>
    </x:cfRule>
  </x:conditionalFormatting>
  <x:conditionalFormatting sqref="C7:C9">
    <x:cfRule type="cellIs" dxfId="34" priority="3" operator="equal">
      <x:formula>"Validé"</x:formula>
    </x:cfRule>
  </x:conditionalFormatting>
  <x:conditionalFormatting sqref="E7:E9">
    <x:cfRule type="cellIs" dxfId="3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6e28661a15784723"/>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Invasion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INV-SC-BREACH-MAIN</x:v>
      </x:c>
      <x:c r="B7" s="9" t="str">
        <x:v>Alerte sur les quais — objectif jouable</x:v>
      </x:c>
      <x:c r="C7" s="15" t="str">
        <x:v>Défini</x:v>
      </x:c>
      <x:c r="D7" s="16" t="str">
        <x:v>Extrapolation</x:v>
      </x:c>
      <x:c r="E7" s="16" t="str">
        <x:v>P0</x:v>
      </x:c>
      <x:c r="F7" s="9" t="str">
        <x:v>Sécuriser une voie de retrait vers un secteur protégé.</x:v>
      </x:c>
      <x:c r="G7" s="9" t="str">
        <x:v>Alerte → identification de la menace → défense d’accès → repli.</x:v>
      </x:c>
      <x:c r="H7" s="9" t="str">
        <x:v>Le groupe protège des sorties avec une réserve de pression; les corps ne deviennent pas automatiquement des unités supplémentaires sans signal.</x:v>
      </x:c>
      <x:c r="I7" s="9" t="str">
        <x:v>Transport en silhouette, rangées de caisses et sortie refuge éclairée.</x:v>
      </x:c>
      <x:c r="J7" s="9" t="str">
        <x:v>Entrée prudente, geste d'inspection et retour au contrôle pour « Alerte sur les quais »; poser les sprites avant tout changement de caméra.</x:v>
      </x:c>
      <x:c r="K7" s="9" t="str">
        <x:v>Clang de rampe puis alarme localisée.</x:v>
      </x:c>
      <x:c r="L7" s="9" t="str">
        <x:v>Graphe proposé INV/quests/BREACH: entrée → objectif actif → résolution → raccord; conditions terminales séparées des points facultatifs.</x:v>
      </x:c>
      <x:c r="M7" s="9" t="str">
        <x:v>Conserver le raccord d’occupation d’Omega et le départ d’Aria; une victoire tactique locale ne permet pas de gagner une guerre contraire au comic.</x:v>
      </x:c>
      <x:c r="N7" s="9" t="str">
        <x:v>L'objectif « Alerte sur les quais » atteint son raccord annoncé après chaque méthode; sauvegarde, rechargement et saut de scène n'en changent ni le groupe ni les informations acquises.</x:v>
      </x:c>
      <x:c r="O7" s="9" t="str">
        <x:v>INV-SC-BREACH-REF</x:v>
      </x:c>
      <x:c r="P7" s="9" t="str">
        <x:v>Conception originale rattachée à Invasion, attaque initiale; numéro à contrôler</x:v>
      </x:c>
      <x:c r="Q7" s="9" t="str"/>
      <x:c r="R7" s="9" t="str"/>
      <x:c r="S7" s="9" t="str"/>
    </x:row>
    <x:row r="8" ht="68" customHeight="1">
      <x:c r="A8" s="19" t="str">
        <x:v>INV-SC-ALLIANCE-MAIN</x:v>
      </x:c>
      <x:c r="B8" s="7" t="str">
        <x:v>Coordination de circonstance — objectif jouable</x:v>
      </x:c>
      <x:c r="C8" s="15" t="str">
        <x:v>Défini</x:v>
      </x:c>
      <x:c r="D8" s="17" t="str">
        <x:v>Extrapolation</x:v>
      </x:c>
      <x:c r="E8" s="17" t="str">
        <x:v>P0</x:v>
      </x:c>
      <x:c r="F8" s="7" t="str">
        <x:v>Préparer une action conjointe en gardant les objectifs distincts.</x:v>
      </x:c>
      <x:c r="G8" s="7" t="str">
        <x:v>Briefing → affectation de deux soutiens → défense → réévaluation.</x:v>
      </x:c>
      <x:c r="H8" s="7" t="str">
        <x:v>Chaque soutien indique sa portée et sa durée; l’alliance n’accorde ni confiance définitive ni recrutement de Petrovsky.</x:v>
      </x:c>
      <x:c r="I8" s="7" t="str">
        <x:v>Carte nette sur fond militaire dépouillé.</x:v>
      </x:c>
      <x:c r="J8" s="7" t="str">
        <x:v>Entrée prudente, geste d'inspection et retour au contrôle pour « Coordination de circonstance »; poser les sprites avant tout changement de caméra.</x:v>
      </x:c>
      <x:c r="K8" s="7" t="str">
        <x:v>Ordres brefs et moteur grave régulier.</x:v>
      </x:c>
      <x:c r="L8" s="7" t="str">
        <x:v>Graphe proposé INV/quests/ALLIANCE: entrée → objectif actif → résolution → raccord; conditions terminales séparées des points facultatifs.</x:v>
      </x:c>
      <x:c r="M8" s="7" t="str">
        <x:v>Conserver le raccord d’occupation d’Omega et le départ d’Aria; une victoire tactique locale ne permet pas de gagner une guerre contraire au comic.</x:v>
      </x:c>
      <x:c r="N8" s="7" t="str">
        <x:v>L'objectif « Coordination de circonstance » atteint son raccord annoncé après chaque méthode; sauvegarde, rechargement et saut de scène n'en changent ni le groupe ni les informations acquises.</x:v>
      </x:c>
      <x:c r="O8" s="7" t="str">
        <x:v>INV-SC-ALLIANCE-REF</x:v>
      </x:c>
      <x:c r="P8" s="7" t="str">
        <x:v>Conception originale rattachée à Invasion, coopération initiale</x:v>
      </x:c>
      <x:c r="Q8" s="7" t="str"/>
      <x:c r="R8" s="7" t="str"/>
      <x:c r="S8" s="7" t="str"/>
    </x:row>
    <x:row r="9" ht="68" customHeight="1">
      <x:c r="A9" s="18" t="str">
        <x:v>INV-SC-AVERNUS-MAIN</x:v>
      </x:c>
      <x:c r="B9" s="9" t="str">
        <x:v>Confinement à Avernus — objectif jouable</x:v>
      </x:c>
      <x:c r="C9" s="15" t="str">
        <x:v>Défini</x:v>
      </x:c>
      <x:c r="D9" s="16" t="str">
        <x:v>Extrapolation</x:v>
      </x:c>
      <x:c r="E9" s="16" t="str">
        <x:v>P0</x:v>
      </x:c>
      <x:c r="F9" s="9" t="str">
        <x:v>Traverser le secteur de confinement et activer une issue opérationnelle.</x:v>
      </x:c>
      <x:c r="G9" s="9" t="str">
        <x:v>Sas → lecture des risques → action sur contrôle → départ.</x:v>
      </x:c>
      <x:c r="H9" s="9" t="str">
        <x:v>Trois secteurs proposés s’isolent séparément; aucun bouton ne guérit ou ne supprime tous les Adjutants de l’univers.</x:v>
      </x:c>
      <x:c r="I9" s="9" t="str">
        <x:v>Baies froides, grilles et panneaux de confinement lisibles.</x:v>
      </x:c>
      <x:c r="J9" s="9" t="str">
        <x:v>Entrée prudente, geste d'inspection et retour au contrôle pour « Confinement à Avernus »; poser les sprites avant tout changement de caméra.</x:v>
      </x:c>
      <x:c r="K9" s="9" t="str">
        <x:v>Pulsation de ventilation qui s’arrête après chaque fermeture.</x:v>
      </x:c>
      <x:c r="L9" s="9" t="str">
        <x:v>Graphe proposé INV/quests/AVERNUS: entrée → objectif actif → résolution → raccord; conditions terminales séparées des points facultatifs.</x:v>
      </x:c>
      <x:c r="M9" s="9" t="str">
        <x:v>Conserver le raccord d’occupation d’Omega et le départ d’Aria; une victoire tactique locale ne permet pas de gagner une guerre contraire au comic.</x:v>
      </x:c>
      <x:c r="N9" s="9" t="str">
        <x:v>L'objectif « Confinement à Avernus » atteint son raccord annoncé après chaque méthode; sauvegarde, rechargement et saut de scène n'en changent ni le groupe ni les informations acquises.</x:v>
      </x:c>
      <x:c r="O9" s="9" t="str">
        <x:v>INV-SC-AVERNUS-REF</x:v>
      </x:c>
      <x:c r="P9" s="9" t="str">
        <x:v>Conception originale rattachée à Invasion, opération à Avernus</x:v>
      </x:c>
      <x:c r="Q9" s="9" t="str"/>
      <x:c r="R9" s="9" t="str"/>
      <x:c r="S9" s="9" t="str"/>
    </x:row>
    <x:row r="10" ht="68" customHeight="1">
      <x:c r="A10" s="19" t="str">
        <x:v>INV-SC-RETURN-MAIN</x:v>
      </x:c>
      <x:c r="B10" s="7" t="str">
        <x:v>Retour dans une station contestée — objectif jouable</x:v>
      </x:c>
      <x:c r="C10" s="15" t="str">
        <x:v>Défini</x:v>
      </x:c>
      <x:c r="D10" s="17" t="str">
        <x:v>Extrapolation</x:v>
      </x:c>
      <x:c r="E10" s="17" t="str">
        <x:v>P0</x:v>
      </x:c>
      <x:c r="F10" s="7" t="str">
        <x:v>Réunir les défenseurs et rejoindre un point de communication.</x:v>
      </x:c>
      <x:c r="G10" s="7" t="str">
        <x:v>Constat → choix de route → défense mobile → contact.</x:v>
      </x:c>
      <x:c r="H10" s="7" t="str">
        <x:v>La carte change d’accès, pas de coordonnées arbitraires; les routes connues deviennent des risques lisibles.</x:v>
      </x:c>
      <x:c r="I10" s="7" t="str">
        <x:v>Nouveaux checkpoints superposés au décor initial sans le reconstruire entièrement.</x:v>
      </x:c>
      <x:c r="J10" s="7" t="str">
        <x:v>Entrée prudente, geste d'inspection et retour au contrôle pour « Retour dans une station contestée »; poser les sprites avant tout changement de caméra.</x:v>
      </x:c>
      <x:c r="K10" s="7" t="str">
        <x:v>Radio militaire au premier plan et ancienne ambiance étouffée.</x:v>
      </x:c>
      <x:c r="L10" s="7" t="str">
        <x:v>Graphe proposé INV/quests/RETURN: entrée → objectif actif → résolution → raccord; conditions terminales séparées des points facultatifs.</x:v>
      </x:c>
      <x:c r="M10" s="7" t="str">
        <x:v>Conserver le raccord d’occupation d’Omega et le départ d’Aria; une victoire tactique locale ne permet pas de gagner une guerre contraire au comic.</x:v>
      </x:c>
      <x:c r="N10" s="7" t="str">
        <x:v>L'objectif « Retour dans une station contestée » atteint son raccord annoncé après chaque méthode; sauvegarde, rechargement et saut de scène n'en changent ni le groupe ni les informations acquises.</x:v>
      </x:c>
      <x:c r="O10" s="7" t="str">
        <x:v>INV-SC-RETURN-REF</x:v>
      </x:c>
      <x:c r="P10" s="7" t="str">
        <x:v>Conception originale rattachée à Invasion #1–4, retournement du conflit</x:v>
      </x:c>
      <x:c r="Q10" s="7" t="str"/>
      <x:c r="R10" s="7" t="str"/>
      <x:c r="S10" s="7" t="str"/>
    </x:row>
    <x:row r="11" ht="68" customHeight="1">
      <x:c r="A11" s="18" t="str">
        <x:v>INV-SC-TRAP-MAIN</x:v>
      </x:c>
      <x:c r="B11" s="9" t="str">
        <x:v>Piège d’Afterlife — objectif jouable</x:v>
      </x:c>
      <x:c r="C11" s="15" t="str">
        <x:v>Défini</x:v>
      </x:c>
      <x:c r="D11" s="16" t="str">
        <x:v>Extrapolation</x:v>
      </x:c>
      <x:c r="E11" s="16" t="str">
        <x:v>P0</x:v>
      </x:c>
      <x:c r="F11" s="9" t="str">
        <x:v>Dégager les lignes de sortie pendant une confrontation concentrée.</x:v>
      </x:c>
      <x:c r="G11" s="9" t="str">
        <x:v>Entrée → fermeture annoncée → menace de zone → issue narrative.</x:v>
      </x:c>
      <x:c r="H11" s="9" t="str">
        <x:v>Le danger se lit par cônes et trajectoires; l’attaque de zone peut être évitée par placement, pas par un temps de réaction minuscule.</x:v>
      </x:c>
      <x:c r="I11" s="9" t="str">
        <x:v>Centre dégagé et balcon servant de repère.</x:v>
      </x:c>
      <x:c r="J11" s="9" t="str">
        <x:v>Entrée prudente, geste d'inspection et retour au contrôle pour « Piège d’Afterlife »; poser les sprites avant tout changement de caméra.</x:v>
      </x:c>
      <x:c r="K11" s="9" t="str">
        <x:v>Coupe de la musique, mouvement lourd et alarmes brèves.</x:v>
      </x:c>
      <x:c r="L11" s="9" t="str">
        <x:v>Graphe proposé INV/quests/TRAP: entrée → objectif actif → résolution → raccord; conditions terminales séparées des points facultatifs.</x:v>
      </x:c>
      <x:c r="M11" s="9" t="str">
        <x:v>Conserver le raccord d’occupation d’Omega et le départ d’Aria; une victoire tactique locale ne permet pas de gagner une guerre contraire au comic.</x:v>
      </x:c>
      <x:c r="N11" s="9" t="str">
        <x:v>L'objectif « Piège d’Afterlife » atteint son raccord annoncé après chaque méthode; sauvegarde, rechargement et saut de scène n'en changent ni le groupe ni les informations acquises.</x:v>
      </x:c>
      <x:c r="O11" s="9" t="str">
        <x:v>INV-SC-TRAP-REF</x:v>
      </x:c>
      <x:c r="P11" s="9" t="str">
        <x:v>Conception originale rattachée à Invasion, confrontation finale; contrôler le découpage</x:v>
      </x:c>
      <x:c r="Q11" s="9" t="str"/>
      <x:c r="R11" s="9" t="str"/>
      <x:c r="S11" s="9" t="str"/>
    </x:row>
    <x:row r="12" ht="68" customHeight="1">
      <x:c r="A12" s="19" t="str">
        <x:v>INV-SC-EXILE-MAIN</x:v>
      </x:c>
      <x:c r="B12" s="7" t="str">
        <x:v>Ultimatum et départ — objectif jouable</x:v>
      </x:c>
      <x:c r="C12" s="15" t="str">
        <x:v>Défini</x:v>
      </x:c>
      <x:c r="D12" s="17" t="str">
        <x:v>Extrapolation</x:v>
      </x:c>
      <x:c r="E12" s="17" t="str">
        <x:v>P0</x:v>
      </x:c>
      <x:c r="F12" s="7" t="str">
        <x:v>Organiser une sortie sans promettre une victoire impossible dans cet arc.</x:v>
      </x:c>
      <x:c r="G12" s="7" t="str">
        <x:v>Constat stratégique → décisions de préparation → départ fixé → raccord ME3.</x:v>
      </x:c>
      <x:c r="H12" s="7" t="str">
        <x:v>Les choix portent sur l’ordre de préparation et les ressources locales conservées; aucune option ne détruit la flotte adverse.</x:v>
      </x:c>
      <x:c r="I12" s="7" t="str">
        <x:v>Omega en arrière-plan, palette refroidie et espace négatif devant le personnage.</x:v>
      </x:c>
      <x:c r="J12" s="7" t="str">
        <x:v>Entrée prudente, geste d'inspection et retour au contrôle pour « Ultimatum et départ »; poser les sprites avant tout changement de caméra.</x:v>
      </x:c>
      <x:c r="K12" s="7" t="str">
        <x:v>Thème original interrompu, moteur lent et silence de fin.</x:v>
      </x:c>
      <x:c r="L12" s="7" t="str">
        <x:v>Graphe proposé INV/quests/EXILE: entrée → objectif actif → résolution → raccord; conditions terminales séparées des points facultatifs.</x:v>
      </x:c>
      <x:c r="M12" s="7" t="str">
        <x:v>Conserver le raccord d’occupation d’Omega et le départ d’Aria; une victoire tactique locale ne permet pas de gagner une guerre contraire au comic.</x:v>
      </x:c>
      <x:c r="N12" s="7" t="str">
        <x:v>L'objectif « Ultimatum et départ » atteint son raccord annoncé après chaque méthode; sauvegarde, rechargement et saut de scène n'en changent ni le groupe ni les informations acquises.</x:v>
      </x:c>
      <x:c r="O12" s="7" t="str">
        <x:v>INV-SC-EXILE-REF</x:v>
      </x:c>
      <x:c r="P12" s="7" t="str">
        <x:v>Conception originale rattachée à Invasion #4</x:v>
      </x:c>
      <x:c r="Q12" s="7" t="str"/>
      <x:c r="R12" s="7" t="str"/>
      <x:c r="S12" s="7" t="str"/>
    </x:row>
  </x:sheetData>
  <x:conditionalFormatting sqref="D7:D12">
    <x:cfRule type="cellIs" dxfId="36" priority="1" operator="equal">
      <x:formula>"À vérifier"</x:formula>
    </x:cfRule>
    <x:cfRule type="cellIs" dxfId="37" priority="2" operator="equal">
      <x:formula>"Extrapolation"</x:formula>
    </x:cfRule>
  </x:conditionalFormatting>
  <x:conditionalFormatting sqref="C7:C12">
    <x:cfRule type="cellIs" dxfId="38" priority="3" operator="equal">
      <x:formula>"Validé"</x:formula>
    </x:cfRule>
  </x:conditionalFormatting>
  <x:conditionalFormatting sqref="E7:E12">
    <x:cfRule type="cellIs" dxfId="39"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edd8711c4984ebc"/>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Invasion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INV-SC-BREACH-SIDE</x:v>
      </x:c>
      <x:c r="B7" s="9" t="str">
        <x:v>Guider un groupe de dockers</x:v>
      </x:c>
      <x:c r="C7" s="15" t="str">
        <x:v>Défini</x:v>
      </x:c>
      <x:c r="D7" s="16" t="str">
        <x:v>Extrapolation</x:v>
      </x:c>
      <x:c r="E7" s="16" t="str">
        <x:v>P2</x:v>
      </x:c>
      <x:c r="F7" s="9" t="str">
        <x:v>Extraction originale de figurants anonymes.</x:v>
      </x:c>
      <x:c r="G7" s="9" t="str">
        <x:v>Mettre en valeur l’enjeu civil sans ajouter de héros canon.</x:v>
      </x:c>
      <x:c r="H7" s="9" t="str">
        <x:v>Facultatif; le compteur décrit uniquement la simulation locale.</x:v>
      </x:c>
      <x:c r="I7" s="9" t="str">
        <x:v>Transport en silhouette, rangées de caisses et sortie refuge éclairée.</x:v>
      </x:c>
      <x:c r="J7" s="9" t="str">
        <x:v>Inspection, interaction courte, confirmation; permettre de renoncer sans bloquer le chemin principal.</x:v>
      </x:c>
      <x:c r="K7" s="9" t="str">
        <x:v>Confirmation discrète; aucune réplique source réemployée.</x:v>
      </x:c>
      <x:c r="L7" s="9" t="str">
        <x:v>Objectif facultatif INV/BREACH/optional; récompense locale de contexte, pas de modification de la fin.</x:v>
      </x:c>
      <x:c r="M7" s="9" t="str">
        <x:v>Conserver le raccord d’occupation d’Omega et le départ d’Aria; une victoire tactique locale ne permet pas de gagner une guerre contraire au comic.</x:v>
      </x:c>
      <x:c r="N7" s="9" t="str">
        <x:v>Terminer, ignorer ou abandonner cette tâche laisse le récit principal accessible et conserve correctement l’état en sauvegarde.</x:v>
      </x:c>
      <x:c r="O7" s="9" t="str">
        <x:v>INV-SC-BREACH-MAIN</x:v>
      </x:c>
      <x:c r="P7" s="9" t="str">
        <x:v>Ajout original; cette tâche n’est pas attestée dans le comic.</x:v>
      </x:c>
      <x:c r="Q7" s="9" t="str"/>
      <x:c r="R7" s="9" t="str"/>
      <x:c r="S7" s="9" t="str"/>
    </x:row>
    <x:row r="8" ht="54" customHeight="1">
      <x:c r="A8" s="19" t="str">
        <x:v>INV-SC-ALLIANCE-SIDE</x:v>
      </x:c>
      <x:c r="B8" s="7" t="str">
        <x:v>Confirmer une voie de secours</x:v>
      </x:c>
      <x:c r="C8" s="15" t="str">
        <x:v>Défini</x:v>
      </x:c>
      <x:c r="D8" s="17" t="str">
        <x:v>Extrapolation</x:v>
      </x:c>
      <x:c r="E8" s="17" t="str">
        <x:v>P2</x:v>
      </x:c>
      <x:c r="F8" s="7" t="str">
        <x:v>Vérifier une route alternative originale.</x:v>
      </x:c>
      <x:c r="G8" s="7" t="str">
        <x:v>Limiter une surprise de navigation.</x:v>
      </x:c>
      <x:c r="H8" s="7" t="str">
        <x:v>Révèle la sortie sur la carte sans modifier la décision adverse.</x:v>
      </x:c>
      <x:c r="I8" s="7" t="str">
        <x:v>Carte nette sur fond militaire dépouillé.</x:v>
      </x:c>
      <x:c r="J8" s="7" t="str">
        <x:v>Inspection, interaction courte, confirmation; permettre de renoncer sans bloquer le chemin principal.</x:v>
      </x:c>
      <x:c r="K8" s="7" t="str">
        <x:v>Confirmation discrète; aucune réplique source réemployée.</x:v>
      </x:c>
      <x:c r="L8" s="7" t="str">
        <x:v>Objectif facultatif INV/ALLIANCE/optional; récompense locale de contexte, pas de modification de la fin.</x:v>
      </x:c>
      <x:c r="M8" s="7" t="str">
        <x:v>Conserver le raccord d’occupation d’Omega et le départ d’Aria; une victoire tactique locale ne permet pas de gagner une guerre contraire au comic.</x:v>
      </x:c>
      <x:c r="N8" s="7" t="str">
        <x:v>Terminer, ignorer ou abandonner cette tâche laisse le récit principal accessible et conserve correctement l’état en sauvegarde.</x:v>
      </x:c>
      <x:c r="O8" s="7" t="str">
        <x:v>INV-SC-ALLIANCE-MAIN</x:v>
      </x:c>
      <x:c r="P8" s="7" t="str">
        <x:v>Ajout original; cette tâche n’est pas attestée dans le comic.</x:v>
      </x:c>
      <x:c r="Q8" s="7" t="str"/>
      <x:c r="R8" s="7" t="str"/>
      <x:c r="S8" s="7" t="str"/>
    </x:row>
    <x:row r="9" ht="54" customHeight="1">
      <x:c r="A9" s="18" t="str">
        <x:v>INV-SC-AVERNUS-SIDE</x:v>
      </x:c>
      <x:c r="B9" s="9" t="str">
        <x:v>Copier un état de confinement</x:v>
      </x:c>
      <x:c r="C9" s="15" t="str">
        <x:v>Défini</x:v>
      </x:c>
      <x:c r="D9" s="16" t="str">
        <x:v>Extrapolation</x:v>
      </x:c>
      <x:c r="E9" s="16" t="str">
        <x:v>P2</x:v>
      </x:c>
      <x:c r="F9" s="9" t="str">
        <x:v>Rapport technique original limité à la scène.</x:v>
      </x:c>
      <x:c r="G9" s="9" t="str">
        <x:v>Expliquer les contraintes du niveau.</x:v>
      </x:c>
      <x:c r="H9" s="9" t="str">
        <x:v>N’ajoute aucune conclusion canon sur l’origine des créatures.</x:v>
      </x:c>
      <x:c r="I9" s="9" t="str">
        <x:v>Baies froides, grilles et panneaux de confinement lisibles.</x:v>
      </x:c>
      <x:c r="J9" s="9" t="str">
        <x:v>Inspection, interaction courte, confirmation; permettre de renoncer sans bloquer le chemin principal.</x:v>
      </x:c>
      <x:c r="K9" s="9" t="str">
        <x:v>Confirmation discrète; aucune réplique source réemployée.</x:v>
      </x:c>
      <x:c r="L9" s="9" t="str">
        <x:v>Objectif facultatif INV/AVERNUS/optional; récompense locale de contexte, pas de modification de la fin.</x:v>
      </x:c>
      <x:c r="M9" s="9" t="str">
        <x:v>Conserver le raccord d’occupation d’Omega et le départ d’Aria; une victoire tactique locale ne permet pas de gagner une guerre contraire au comic.</x:v>
      </x:c>
      <x:c r="N9" s="9" t="str">
        <x:v>Terminer, ignorer ou abandonner cette tâche laisse le récit principal accessible et conserve correctement l’état en sauvegarde.</x:v>
      </x:c>
      <x:c r="O9" s="9" t="str">
        <x:v>INV-SC-AVERNUS-MAIN</x:v>
      </x:c>
      <x:c r="P9" s="9" t="str">
        <x:v>Ajout original; cette tâche n’est pas attestée dans le comic.</x:v>
      </x:c>
      <x:c r="Q9" s="9" t="str"/>
      <x:c r="R9" s="9" t="str"/>
      <x:c r="S9" s="9" t="str"/>
    </x:row>
    <x:row r="10" ht="54" customHeight="1">
      <x:c r="A10" s="19" t="str">
        <x:v>INV-SC-RETURN-SIDE</x:v>
      </x:c>
      <x:c r="B10" s="7" t="str">
        <x:v>Récupérer un émetteur local</x:v>
      </x:c>
      <x:c r="C10" s="15" t="str">
        <x:v>Défini</x:v>
      </x:c>
      <x:c r="D10" s="17" t="str">
        <x:v>Extrapolation</x:v>
      </x:c>
      <x:c r="E10" s="17" t="str">
        <x:v>P2</x:v>
      </x:c>
      <x:c r="F10" s="7" t="str">
        <x:v>Objectif facultatif original.</x:v>
      </x:c>
      <x:c r="G10" s="7" t="str">
        <x:v>Permettre un appel de soutien supplémentaire limité.</x:v>
      </x:c>
      <x:c r="H10" s="7" t="str">
        <x:v>L’émetteur n’annule pas l’avantage stratégique adverse.</x:v>
      </x:c>
      <x:c r="I10" s="7" t="str">
        <x:v>Nouveaux checkpoints superposés au décor initial sans le reconstruire entièrement.</x:v>
      </x:c>
      <x:c r="J10" s="7" t="str">
        <x:v>Inspection, interaction courte, confirmation; permettre de renoncer sans bloquer le chemin principal.</x:v>
      </x:c>
      <x:c r="K10" s="7" t="str">
        <x:v>Confirmation discrète; aucune réplique source réemployée.</x:v>
      </x:c>
      <x:c r="L10" s="7" t="str">
        <x:v>Objectif facultatif INV/RETURN/optional; récompense locale de contexte, pas de modification de la fin.</x:v>
      </x:c>
      <x:c r="M10" s="7" t="str">
        <x:v>Conserver le raccord d’occupation d’Omega et le départ d’Aria; une victoire tactique locale ne permet pas de gagner une guerre contraire au comic.</x:v>
      </x:c>
      <x:c r="N10" s="7" t="str">
        <x:v>Terminer, ignorer ou abandonner cette tâche laisse le récit principal accessible et conserve correctement l’état en sauvegarde.</x:v>
      </x:c>
      <x:c r="O10" s="7" t="str">
        <x:v>INV-SC-RETURN-MAIN</x:v>
      </x:c>
      <x:c r="P10" s="7" t="str">
        <x:v>Ajout original; cette tâche n’est pas attestée dans le comic.</x:v>
      </x:c>
      <x:c r="Q10" s="7" t="str"/>
      <x:c r="R10" s="7" t="str"/>
      <x:c r="S10" s="7" t="str"/>
    </x:row>
    <x:row r="11" ht="54" customHeight="1">
      <x:c r="A11" s="18" t="str">
        <x:v>INV-SC-TRAP-SIDE</x:v>
      </x:c>
      <x:c r="B11" s="9" t="str">
        <x:v>Préparer le passage arrière</x:v>
      </x:c>
      <x:c r="C11" s="15" t="str">
        <x:v>Défini</x:v>
      </x:c>
      <x:c r="D11" s="16" t="str">
        <x:v>Extrapolation</x:v>
      </x:c>
      <x:c r="E11" s="16" t="str">
        <x:v>P2</x:v>
      </x:c>
      <x:c r="F11" s="9" t="str">
        <x:v>Ouverture facultative originale.</x:v>
      </x:c>
      <x:c r="G11" s="9" t="str">
        <x:v>Réduire le nombre d’actions du repli.</x:v>
      </x:c>
      <x:c r="H11" s="9" t="str">
        <x:v>Le piège narratif reste déclenché au même ancrage.</x:v>
      </x:c>
      <x:c r="I11" s="9" t="str">
        <x:v>Centre dégagé et balcon servant de repère.</x:v>
      </x:c>
      <x:c r="J11" s="9" t="str">
        <x:v>Inspection, interaction courte, confirmation; permettre de renoncer sans bloquer le chemin principal.</x:v>
      </x:c>
      <x:c r="K11" s="9" t="str">
        <x:v>Confirmation discrète; aucune réplique source réemployée.</x:v>
      </x:c>
      <x:c r="L11" s="9" t="str">
        <x:v>Objectif facultatif INV/TRAP/optional; récompense locale de contexte, pas de modification de la fin.</x:v>
      </x:c>
      <x:c r="M11" s="9" t="str">
        <x:v>Conserver le raccord d’occupation d’Omega et le départ d’Aria; une victoire tactique locale ne permet pas de gagner une guerre contraire au comic.</x:v>
      </x:c>
      <x:c r="N11" s="9" t="str">
        <x:v>Terminer, ignorer ou abandonner cette tâche laisse le récit principal accessible et conserve correctement l’état en sauvegarde.</x:v>
      </x:c>
      <x:c r="O11" s="9" t="str">
        <x:v>INV-SC-TRAP-MAIN</x:v>
      </x:c>
      <x:c r="P11" s="9" t="str">
        <x:v>Ajout original; cette tâche n’est pas attestée dans le comic.</x:v>
      </x:c>
      <x:c r="Q11" s="9" t="str"/>
      <x:c r="R11" s="9" t="str"/>
      <x:c r="S11" s="9" t="str"/>
    </x:row>
    <x:row r="12" ht="54" customHeight="1">
      <x:c r="A12" s="19" t="str">
        <x:v>INV-SC-EXILE-SIDE</x:v>
      </x:c>
      <x:c r="B12" s="7" t="str">
        <x:v>Archiver les itinéraires connus</x:v>
      </x:c>
      <x:c r="C12" s="15" t="str">
        <x:v>Défini</x:v>
      </x:c>
      <x:c r="D12" s="17" t="str">
        <x:v>Extrapolation</x:v>
      </x:c>
      <x:c r="E12" s="17" t="str">
        <x:v>P2</x:v>
      </x:c>
      <x:c r="F12" s="7" t="str">
        <x:v>Tâche originale de mémoire de carte.</x:v>
      </x:c>
      <x:c r="G12" s="7" t="str">
        <x:v>Préparer un lien documentaire vers le futur DLC.</x:v>
      </x:c>
      <x:c r="H12" s="7" t="str">
        <x:v>Ne débloque pas la reconquête dans ce classeur.</x:v>
      </x:c>
      <x:c r="I12" s="7" t="str">
        <x:v>Omega en arrière-plan, palette refroidie et espace négatif devant le personnage.</x:v>
      </x:c>
      <x:c r="J12" s="7" t="str">
        <x:v>Inspection, interaction courte, confirmation; permettre de renoncer sans bloquer le chemin principal.</x:v>
      </x:c>
      <x:c r="K12" s="7" t="str">
        <x:v>Confirmation discrète; aucune réplique source réemployée.</x:v>
      </x:c>
      <x:c r="L12" s="7" t="str">
        <x:v>Objectif facultatif INV/EXILE/optional; récompense locale de contexte, pas de modification de la fin.</x:v>
      </x:c>
      <x:c r="M12" s="7" t="str">
        <x:v>Conserver le raccord d’occupation d’Omega et le départ d’Aria; une victoire tactique locale ne permet pas de gagner une guerre contraire au comic.</x:v>
      </x:c>
      <x:c r="N12" s="7" t="str">
        <x:v>Terminer, ignorer ou abandonner cette tâche laisse le récit principal accessible et conserve correctement l’état en sauvegarde.</x:v>
      </x:c>
      <x:c r="O12" s="7" t="str">
        <x:v>INV-SC-EXILE-MAIN</x:v>
      </x:c>
      <x:c r="P12" s="7" t="str">
        <x:v>Ajout original; cette tâche n’est pas attestée dans le comic.</x:v>
      </x:c>
      <x:c r="Q12" s="7" t="str"/>
      <x:c r="R12" s="7" t="str"/>
      <x:c r="S12" s="7" t="str"/>
    </x:row>
  </x:sheetData>
  <x:conditionalFormatting sqref="D7:D12">
    <x:cfRule type="cellIs" dxfId="40" priority="1" operator="equal">
      <x:formula>"À vérifier"</x:formula>
    </x:cfRule>
    <x:cfRule type="cellIs" dxfId="41" priority="2" operator="equal">
      <x:formula>"Extrapolation"</x:formula>
    </x:cfRule>
  </x:conditionalFormatting>
  <x:conditionalFormatting sqref="C7:C12">
    <x:cfRule type="cellIs" dxfId="42" priority="3" operator="equal">
      <x:formula>"Validé"</x:formula>
    </x:cfRule>
  </x:conditionalFormatting>
  <x:conditionalFormatting sqref="E7:E12">
    <x:cfRule type="cellIs" dxfId="43"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c028c0ac5854c0b"/>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Invasion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INV-SC-BREACH-CHOICE</x:v>
      </x:c>
      <x:c r="B7" s="9" t="str">
        <x:v>Alerte sur les quais — stratégie locale</x:v>
      </x:c>
      <x:c r="C7" s="15" t="str">
        <x:v>Défini</x:v>
      </x:c>
      <x:c r="D7" s="16" t="str">
        <x:v>Extrapolation</x:v>
      </x:c>
      <x:c r="E7" s="16" t="str">
        <x:v>P1</x:v>
      </x:c>
      <x:c r="F7" s="9" t="str">
        <x:v>Verrouiller un accès ou extraire d’abord les personnes visibles.</x:v>
      </x:c>
      <x:c r="G7" s="9" t="str">
        <x:v>Choix de méthode dans une adaptation; aucun embranchement alternatif n’est déclaré officiel.</x:v>
      </x:c>
      <x:c r="H7" s="9" t="str">
        <x:v>Modifier le placement et le risque local; aucun total officiel de victimes n’est inventé.</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INV/BREACH; stocker la méthode choisie et les conséquences temporaires, puis rejoindre le point de raccord.</x:v>
      </x:c>
      <x:c r="M7" s="9" t="str">
        <x:v>Conserver le raccord d’occupation d’Omega et le départ d’Aria; une victoire tactique locale ne permet pas de gagner une guerre contraire au comic.</x:v>
      </x:c>
      <x:c r="N7" s="9" t="str">
        <x:v>Les deux méthodes peuvent être comprises avant sélection; chacune rejoint le même ancrage canon sans supprimer un personnage nécessaire.</x:v>
      </x:c>
      <x:c r="O7" s="9" t="str">
        <x:v>INV-SC-BREACH-MAIN</x:v>
      </x:c>
      <x:c r="P7" s="9" t="str">
        <x:v>Bifurcation de gameplay originale, pas un choix présent dans l’œuvre.</x:v>
      </x:c>
      <x:c r="Q7" s="9" t="str"/>
      <x:c r="R7" s="9" t="str"/>
      <x:c r="S7" s="9" t="str"/>
    </x:row>
    <x:row r="8" ht="54" customHeight="1">
      <x:c r="A8" s="19" t="str">
        <x:v>INV-SC-ALLIANCE-CHOICE</x:v>
      </x:c>
      <x:c r="B8" s="7" t="str">
        <x:v>Coordination de circonstance — stratégie locale</x:v>
      </x:c>
      <x:c r="C8" s="15" t="str">
        <x:v>Défini</x:v>
      </x:c>
      <x:c r="D8" s="17" t="str">
        <x:v>Extrapolation</x:v>
      </x:c>
      <x:c r="E8" s="17" t="str">
        <x:v>P1</x:v>
      </x:c>
      <x:c r="F8" s="7" t="str">
        <x:v>Demander un soutien de tir ou un soutien de transport.</x:v>
      </x:c>
      <x:c r="G8" s="7" t="str">
        <x:v>Choix de méthode dans une adaptation; aucun embranchement alternatif n’est déclaré officiel.</x:v>
      </x:c>
      <x:c r="H8" s="7" t="str">
        <x:v>Le premier protège un couloir, le second raccourcit un trajet d’extraction; les deux ont une seule fenêtre proposée.</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INV/ALLIANCE; stocker la méthode choisie et les conséquences temporaires, puis rejoindre le point de raccord.</x:v>
      </x:c>
      <x:c r="M8" s="7" t="str">
        <x:v>Conserver le raccord d’occupation d’Omega et le départ d’Aria; une victoire tactique locale ne permet pas de gagner une guerre contraire au comic.</x:v>
      </x:c>
      <x:c r="N8" s="7" t="str">
        <x:v>Les deux méthodes peuvent être comprises avant sélection; chacune rejoint le même ancrage canon sans supprimer un personnage nécessaire.</x:v>
      </x:c>
      <x:c r="O8" s="7" t="str">
        <x:v>INV-SC-ALLIANCE-MAIN</x:v>
      </x:c>
      <x:c r="P8" s="7" t="str">
        <x:v>Bifurcation de gameplay originale, pas un choix présent dans l’œuvre.</x:v>
      </x:c>
      <x:c r="Q8" s="7" t="str"/>
      <x:c r="R8" s="7" t="str"/>
      <x:c r="S8" s="7" t="str"/>
    </x:row>
    <x:row r="9" ht="54" customHeight="1">
      <x:c r="A9" s="18" t="str">
        <x:v>INV-SC-AVERNUS-CHOICE</x:v>
      </x:c>
      <x:c r="B9" s="9" t="str">
        <x:v>Confinement à Avernus — stratégie locale</x:v>
      </x:c>
      <x:c r="C9" s="15" t="str">
        <x:v>Défini</x:v>
      </x:c>
      <x:c r="D9" s="16" t="str">
        <x:v>Extrapolation</x:v>
      </x:c>
      <x:c r="E9" s="16" t="str">
        <x:v>P1</x:v>
      </x:c>
      <x:c r="F9" s="9" t="str">
        <x:v>Isoler un secteur ou détourner son alimentation.</x:v>
      </x:c>
      <x:c r="G9" s="9" t="str">
        <x:v>Choix de méthode dans une adaptation; aucun embranchement alternatif n’est déclaré officiel.</x:v>
      </x:c>
      <x:c r="H9" s="9" t="str">
        <x:v>Isolation réduit la mobilité, alimentation déplace le danger; sortie finale commune.</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INV/AVERNUS; stocker la méthode choisie et les conséquences temporaires, puis rejoindre le point de raccord.</x:v>
      </x:c>
      <x:c r="M9" s="9" t="str">
        <x:v>Conserver le raccord d’occupation d’Omega et le départ d’Aria; une victoire tactique locale ne permet pas de gagner une guerre contraire au comic.</x:v>
      </x:c>
      <x:c r="N9" s="9" t="str">
        <x:v>Les deux méthodes peuvent être comprises avant sélection; chacune rejoint le même ancrage canon sans supprimer un personnage nécessaire.</x:v>
      </x:c>
      <x:c r="O9" s="9" t="str">
        <x:v>INV-SC-AVERNUS-MAIN</x:v>
      </x:c>
      <x:c r="P9" s="9" t="str">
        <x:v>Bifurcation de gameplay originale, pas un choix présent dans l’œuvre.</x:v>
      </x:c>
      <x:c r="Q9" s="9" t="str"/>
      <x:c r="R9" s="9" t="str"/>
      <x:c r="S9" s="9" t="str"/>
    </x:row>
    <x:row r="10" ht="54" customHeight="1">
      <x:c r="A10" s="19" t="str">
        <x:v>INV-SC-RETURN-CHOICE</x:v>
      </x:c>
      <x:c r="B10" s="7" t="str">
        <x:v>Retour dans une station contestée — stratégie locale</x:v>
      </x:c>
      <x:c r="C10" s="15" t="str">
        <x:v>Défini</x:v>
      </x:c>
      <x:c r="D10" s="17" t="str">
        <x:v>Extrapolation</x:v>
      </x:c>
      <x:c r="E10" s="17" t="str">
        <x:v>P1</x:v>
      </x:c>
      <x:c r="F10" s="7" t="str">
        <x:v>Passer par un ancien poste de garde ou par une route industrielle.</x:v>
      </x:c>
      <x:c r="G10" s="7" t="str">
        <x:v>Choix de méthode dans une adaptation; aucun embranchement alternatif n’est déclaré officiel.</x:v>
      </x:c>
      <x:c r="H10" s="7" t="str">
        <x:v>Poste : affrontement bref; route : interaction technique sous menace. Même destination.</x:v>
      </x:c>
      <x:c r="I10" s="7" t="str">
        <x:v>Deux options nommées avec leur conséquence immédiate; coût affiché avant engagement.</x:v>
      </x:c>
      <x:c r="J10" s="7" t="str">
        <x:v>Geler les poses de dialogue pendant le choix; ne pas consommer une action en quittant le menu.</x:v>
      </x:c>
      <x:c r="K10" s="7" t="str">
        <x:v>Retour de sélection sobre; confirmation distincte d’une simple navigation.</x:v>
      </x:c>
      <x:c r="L10" s="7" t="str">
        <x:v>Décision locale INV/RETURN; stocker la méthode choisie et les conséquences temporaires, puis rejoindre le point de raccord.</x:v>
      </x:c>
      <x:c r="M10" s="7" t="str">
        <x:v>Conserver le raccord d’occupation d’Omega et le départ d’Aria; une victoire tactique locale ne permet pas de gagner une guerre contraire au comic.</x:v>
      </x:c>
      <x:c r="N10" s="7" t="str">
        <x:v>Les deux méthodes peuvent être comprises avant sélection; chacune rejoint le même ancrage canon sans supprimer un personnage nécessaire.</x:v>
      </x:c>
      <x:c r="O10" s="7" t="str">
        <x:v>INV-SC-RETURN-MAIN</x:v>
      </x:c>
      <x:c r="P10" s="7" t="str">
        <x:v>Bifurcation de gameplay originale, pas un choix présent dans l’œuvre.</x:v>
      </x:c>
      <x:c r="Q10" s="7" t="str"/>
      <x:c r="R10" s="7" t="str"/>
      <x:c r="S10" s="7" t="str"/>
    </x:row>
    <x:row r="11" ht="54" customHeight="1">
      <x:c r="A11" s="18" t="str">
        <x:v>INV-SC-TRAP-CHOICE</x:v>
      </x:c>
      <x:c r="B11" s="9" t="str">
        <x:v>Piège d’Afterlife — stratégie locale</x:v>
      </x:c>
      <x:c r="C11" s="15" t="str">
        <x:v>Défini</x:v>
      </x:c>
      <x:c r="D11" s="16" t="str">
        <x:v>Extrapolation</x:v>
      </x:c>
      <x:c r="E11" s="16" t="str">
        <x:v>P1</x:v>
      </x:c>
      <x:c r="F11" s="9" t="str">
        <x:v>Éloigner la menace du passage ou protéger d’abord un soutien.</x:v>
      </x:c>
      <x:c r="G11" s="9" t="str">
        <x:v>Choix de méthode dans une adaptation; aucun embranchement alternatif n’est déclaré officiel.</x:v>
      </x:c>
      <x:c r="H11" s="9" t="str">
        <x:v>Change l’ordre des actions et les ressources locales; ne réécrit pas le destin d’Ashe.</x:v>
      </x:c>
      <x:c r="I11" s="9" t="str">
        <x:v>Deux options nommées avec leur conséquence immédiate; coût affiché avant engagement.</x:v>
      </x:c>
      <x:c r="J11" s="9" t="str">
        <x:v>Geler les poses de dialogue pendant le choix; ne pas consommer une action en quittant le menu.</x:v>
      </x:c>
      <x:c r="K11" s="9" t="str">
        <x:v>Retour de sélection sobre; confirmation distincte d’une simple navigation.</x:v>
      </x:c>
      <x:c r="L11" s="9" t="str">
        <x:v>Décision locale INV/TRAP; stocker la méthode choisie et les conséquences temporaires, puis rejoindre le point de raccord.</x:v>
      </x:c>
      <x:c r="M11" s="9" t="str">
        <x:v>Conserver le raccord d’occupation d’Omega et le départ d’Aria; une victoire tactique locale ne permet pas de gagner une guerre contraire au comic.</x:v>
      </x:c>
      <x:c r="N11" s="9" t="str">
        <x:v>Les deux méthodes peuvent être comprises avant sélection; chacune rejoint le même ancrage canon sans supprimer un personnage nécessaire.</x:v>
      </x:c>
      <x:c r="O11" s="9" t="str">
        <x:v>INV-SC-TRAP-MAIN</x:v>
      </x:c>
      <x:c r="P11" s="9" t="str">
        <x:v>Bifurcation de gameplay originale, pas un choix présent dans l’œuvre.</x:v>
      </x:c>
      <x:c r="Q11" s="9" t="str"/>
      <x:c r="R11" s="9" t="str"/>
      <x:c r="S11" s="9" t="str"/>
    </x:row>
    <x:row r="12" ht="54" customHeight="1">
      <x:c r="A12" s="19" t="str">
        <x:v>INV-SC-EXILE-CHOICE</x:v>
      </x:c>
      <x:c r="B12" s="7" t="str">
        <x:v>Ultimatum et départ — stratégie locale</x:v>
      </x:c>
      <x:c r="C12" s="15" t="str">
        <x:v>Défini</x:v>
      </x:c>
      <x:c r="D12" s="17" t="str">
        <x:v>Extrapolation</x:v>
      </x:c>
      <x:c r="E12" s="17" t="str">
        <x:v>P1</x:v>
      </x:c>
      <x:c r="F12" s="7" t="str">
        <x:v>Prioriser le matériel d’information ou la préparation des soutiens.</x:v>
      </x:c>
      <x:c r="G12" s="7" t="str">
        <x:v>Choix de méthode dans une adaptation; aucun embranchement alternatif n’est déclaré officiel.</x:v>
      </x:c>
      <x:c r="H12" s="7" t="str">
        <x:v>Variante locale de journal et d’inventaire de simulation; même départ canon.</x:v>
      </x:c>
      <x:c r="I12" s="7" t="str">
        <x:v>Deux options nommées avec leur conséquence immédiate; coût affiché avant engagement.</x:v>
      </x:c>
      <x:c r="J12" s="7" t="str">
        <x:v>Geler les poses de dialogue pendant le choix; ne pas consommer une action en quittant le menu.</x:v>
      </x:c>
      <x:c r="K12" s="7" t="str">
        <x:v>Retour de sélection sobre; confirmation distincte d’une simple navigation.</x:v>
      </x:c>
      <x:c r="L12" s="7" t="str">
        <x:v>Décision locale INV/EXILE; stocker la méthode choisie et les conséquences temporaires, puis rejoindre le point de raccord.</x:v>
      </x:c>
      <x:c r="M12" s="7" t="str">
        <x:v>Conserver le raccord d’occupation d’Omega et le départ d’Aria; une victoire tactique locale ne permet pas de gagner une guerre contraire au comic.</x:v>
      </x:c>
      <x:c r="N12" s="7" t="str">
        <x:v>Les deux méthodes peuvent être comprises avant sélection; chacune rejoint le même ancrage canon sans supprimer un personnage nécessaire.</x:v>
      </x:c>
      <x:c r="O12" s="7" t="str">
        <x:v>INV-SC-EXILE-MAIN</x:v>
      </x:c>
      <x:c r="P12" s="7" t="str">
        <x:v>Bifurcation de gameplay originale, pas un choix présent dans l’œuvre.</x:v>
      </x:c>
      <x:c r="Q12" s="7" t="str"/>
      <x:c r="R12" s="7" t="str"/>
      <x:c r="S12" s="7" t="str"/>
    </x:row>
  </x:sheetData>
  <x:conditionalFormatting sqref="D7:D12">
    <x:cfRule type="cellIs" dxfId="44" priority="1" operator="equal">
      <x:formula>"À vérifier"</x:formula>
    </x:cfRule>
    <x:cfRule type="cellIs" dxfId="45" priority="2" operator="equal">
      <x:formula>"Extrapolation"</x:formula>
    </x:cfRule>
  </x:conditionalFormatting>
  <x:conditionalFormatting sqref="C7:C12">
    <x:cfRule type="cellIs" dxfId="46" priority="3" operator="equal">
      <x:formula>"Validé"</x:formula>
    </x:cfRule>
  </x:conditionalFormatting>
  <x:conditionalFormatting sqref="E7:E12">
    <x:cfRule type="cellIs" dxfId="4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4cb65e0d81664989"/>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Invasion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INV-SC-BREACH-DIA</x:v>
      </x:c>
      <x:c r="B7" s="9" t="str">
        <x:v>Alerte sur les quais — intentions de conversation</x:v>
      </x:c>
      <x:c r="C7" s="15" t="str">
        <x:v>Défini</x:v>
      </x:c>
      <x:c r="D7" s="16" t="str">
        <x:v>Extrapolation</x:v>
      </x:c>
      <x:c r="E7" s="16" t="str">
        <x:v>P1</x:v>
      </x:c>
      <x:c r="F7" s="9" t="str">
        <x:v>Aria donne des instructions claires; les témoins ne connaissent pas encore la nature complète de l’attaque.</x:v>
      </x:c>
      <x:c r="G7" s="9" t="str">
        <x:v>Préserver le thème « rupture du quotidien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Alerte sur les quais »; poser les sprites avant tout changement de caméra.</x:v>
      </x:c>
      <x:c r="K7" s="9" t="str">
        <x:v>Dialogue original à écrire; texte intégral accessible, avance manuelle et rappel des locuteurs.</x:v>
      </x:c>
      <x:c r="L7" s="9" t="str">
        <x:v>Arbre proposé INV/BREACH/dialogue; séparer ce qui est su, ce qui est affirmé et ce qui reste caché au joueur.</x:v>
      </x:c>
      <x:c r="M7" s="9" t="str">
        <x:v>Conserver le raccord d’occupation d’Omega et le départ d’Aria; une victoire tactique locale ne permet pas de gagner une guerre contraire au comic.</x:v>
      </x:c>
      <x:c r="N7" s="9" t="str">
        <x:v>Le lecteur peut identifier le locuteur, son but et le niveau de certitude; aucune phrase du comic n’est reproduite comme dialogue final.</x:v>
      </x:c>
      <x:c r="O7" s="9" t="str">
        <x:v>INV-SC-BREACH-MAIN</x:v>
      </x:c>
      <x:c r="P7" s="9" t="str">
        <x:v>Écriture originale à partir des thèmes, sans transcrire les bulles.</x:v>
      </x:c>
      <x:c r="Q7" s="9" t="str"/>
      <x:c r="R7" s="9" t="str"/>
      <x:c r="S7" s="9" t="str"/>
    </x:row>
    <x:row r="8" ht="54" customHeight="1">
      <x:c r="A8" s="19" t="str">
        <x:v>INV-SC-ALLIANCE-DIA</x:v>
      </x:c>
      <x:c r="B8" s="7" t="str">
        <x:v>Coordination de circonstance — intentions de conversation</x:v>
      </x:c>
      <x:c r="C8" s="15" t="str">
        <x:v>Défini</x:v>
      </x:c>
      <x:c r="D8" s="17" t="str">
        <x:v>Extrapolation</x:v>
      </x:c>
      <x:c r="E8" s="17" t="str">
        <x:v>P1</x:v>
      </x:c>
      <x:c r="F8" s="7" t="str">
        <x:v>Présenter l’intérêt partagé et les lignes rouges d’Aria sans révéler tous les plans de Cerberus.</x:v>
      </x:c>
      <x:c r="G8" s="7" t="str">
        <x:v>Préserver le thème « intérêts incompatibles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Coordination de circonstance »; poser les sprites avant tout changement de caméra.</x:v>
      </x:c>
      <x:c r="K8" s="7" t="str">
        <x:v>Dialogue original à écrire; texte intégral accessible, avance manuelle et rappel des locuteurs.</x:v>
      </x:c>
      <x:c r="L8" s="7" t="str">
        <x:v>Arbre proposé INV/ALLIANCE/dialogue; séparer ce qui est su, ce qui est affirmé et ce qui reste caché au joueur.</x:v>
      </x:c>
      <x:c r="M8" s="7" t="str">
        <x:v>Conserver le raccord d’occupation d’Omega et le départ d’Aria; une victoire tactique locale ne permet pas de gagner une guerre contraire au comic.</x:v>
      </x:c>
      <x:c r="N8" s="7" t="str">
        <x:v>Le lecteur peut identifier le locuteur, son but et le niveau de certitude; aucune phrase du comic n’est reproduite comme dialogue final.</x:v>
      </x:c>
      <x:c r="O8" s="7" t="str">
        <x:v>INV-SC-ALLIANCE-MAIN</x:v>
      </x:c>
      <x:c r="P8" s="7" t="str">
        <x:v>Écriture originale à partir des thèmes, sans transcrire les bulles.</x:v>
      </x:c>
      <x:c r="Q8" s="7" t="str"/>
      <x:c r="R8" s="7" t="str"/>
      <x:c r="S8" s="7" t="str"/>
    </x:row>
    <x:row r="9" ht="54" customHeight="1">
      <x:c r="A9" s="18" t="str">
        <x:v>INV-SC-AVERNUS-DIA</x:v>
      </x:c>
      <x:c r="B9" s="9" t="str">
        <x:v>Confinement à Avernus — intentions de conversation</x:v>
      </x:c>
      <x:c r="C9" s="15" t="str">
        <x:v>Défini</x:v>
      </x:c>
      <x:c r="D9" s="16" t="str">
        <x:v>Extrapolation</x:v>
      </x:c>
      <x:c r="E9" s="16" t="str">
        <x:v>P1</x:v>
      </x:c>
      <x:c r="F9" s="9" t="str">
        <x:v>Questions sur les expériences et sur l’urgence, en distinguant faits vus et explications des officiers.</x:v>
      </x:c>
      <x:c r="G9" s="9" t="str">
        <x:v>Préserver le thème « cause et responsabilité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Confinement à Avernus »; poser les sprites avant tout changement de caméra.</x:v>
      </x:c>
      <x:c r="K9" s="9" t="str">
        <x:v>Dialogue original à écrire; texte intégral accessible, avance manuelle et rappel des locuteurs.</x:v>
      </x:c>
      <x:c r="L9" s="9" t="str">
        <x:v>Arbre proposé INV/AVERNUS/dialogue; séparer ce qui est su, ce qui est affirmé et ce qui reste caché au joueur.</x:v>
      </x:c>
      <x:c r="M9" s="9" t="str">
        <x:v>Conserver le raccord d’occupation d’Omega et le départ d’Aria; une victoire tactique locale ne permet pas de gagner une guerre contraire au comic.</x:v>
      </x:c>
      <x:c r="N9" s="9" t="str">
        <x:v>Le lecteur peut identifier le locuteur, son but et le niveau de certitude; aucune phrase du comic n’est reproduite comme dialogue final.</x:v>
      </x:c>
      <x:c r="O9" s="9" t="str">
        <x:v>INV-SC-AVERNUS-MAIN</x:v>
      </x:c>
      <x:c r="P9" s="9" t="str">
        <x:v>Écriture originale à partir des thèmes, sans transcrire les bulles.</x:v>
      </x:c>
      <x:c r="Q9" s="9" t="str"/>
      <x:c r="R9" s="9" t="str"/>
      <x:c r="S9" s="9" t="str"/>
    </x:row>
    <x:row r="10" ht="68" customHeight="1">
      <x:c r="A10" s="19" t="str">
        <x:v>INV-SC-RETURN-DIA</x:v>
      </x:c>
      <x:c r="B10" s="7" t="str">
        <x:v>Retour dans une station contestée — intentions de conversation</x:v>
      </x:c>
      <x:c r="C10" s="15" t="str">
        <x:v>Défini</x:v>
      </x:c>
      <x:c r="D10" s="17" t="str">
        <x:v>Extrapolation</x:v>
      </x:c>
      <x:c r="E10" s="17" t="str">
        <x:v>P1</x:v>
      </x:c>
      <x:c r="F10" s="7" t="str">
        <x:v>Aria coordonne sans prétendre contrôler chaque faction; les soutiens expriment leurs limites.</x:v>
      </x:c>
      <x:c r="G10" s="7" t="str">
        <x:v>Préserver le thème « territoire perdu »; échanges nouveaux, sans recopier les bulles.</x:v>
      </x:c>
      <x:c r="H10" s="7" t="str">
        <x:v>Proposer questions de contexte, reformulation et fin de conversation; les informations nécessaires restent accessibles après une réponse sceptique.</x:v>
      </x:c>
      <x:c r="I10" s="7" t="str">
        <x:v>Portraits sobres avec locuteur et destinataire; encart distinct si l’information est un soupçon.</x:v>
      </x:c>
      <x:c r="J10" s="7" t="str">
        <x:v>Entrée prudente, geste d'inspection et retour au contrôle pour « Retour dans une station contestée »; poser les sprites avant tout changement de caméra.</x:v>
      </x:c>
      <x:c r="K10" s="7" t="str">
        <x:v>Dialogue original à écrire; texte intégral accessible, avance manuelle et rappel des locuteurs.</x:v>
      </x:c>
      <x:c r="L10" s="7" t="str">
        <x:v>Arbre proposé INV/RETURN/dialogue; séparer ce qui est su, ce qui est affirmé et ce qui reste caché au joueur.</x:v>
      </x:c>
      <x:c r="M10" s="7" t="str">
        <x:v>Conserver le raccord d’occupation d’Omega et le départ d’Aria; une victoire tactique locale ne permet pas de gagner une guerre contraire au comic.</x:v>
      </x:c>
      <x:c r="N10" s="7" t="str">
        <x:v>Le lecteur peut identifier le locuteur, son but et le niveau de certitude; aucune phrase du comic n’est reproduite comme dialogue final.</x:v>
      </x:c>
      <x:c r="O10" s="7" t="str">
        <x:v>INV-SC-RETURN-MAIN</x:v>
      </x:c>
      <x:c r="P10" s="7" t="str">
        <x:v>Écriture originale à partir des thèmes, sans transcrire les bulles.</x:v>
      </x:c>
      <x:c r="Q10" s="7" t="str"/>
      <x:c r="R10" s="7" t="str"/>
      <x:c r="S10" s="7" t="str"/>
    </x:row>
    <x:row r="11" ht="54" customHeight="1">
      <x:c r="A11" s="18" t="str">
        <x:v>INV-SC-TRAP-DIA</x:v>
      </x:c>
      <x:c r="B11" s="9" t="str">
        <x:v>Piège d’Afterlife — intentions de conversation</x:v>
      </x:c>
      <x:c r="C11" s="15" t="str">
        <x:v>Défini</x:v>
      </x:c>
      <x:c r="D11" s="16" t="str">
        <x:v>Extrapolation</x:v>
      </x:c>
      <x:c r="E11" s="16" t="str">
        <x:v>P1</x:v>
      </x:c>
      <x:c r="F11" s="9" t="str">
        <x:v>Divergence de méthodes entre commandants; ne pas transformer les propos adverses en vérité du journal.</x:v>
      </x:c>
      <x:c r="G11" s="9" t="str">
        <x:v>Préserver le thème « coût de l’escalade »; échanges nouveaux, sans recopier les bulles.</x:v>
      </x:c>
      <x:c r="H11" s="9" t="str">
        <x:v>Proposer questions de contexte, reformulation et fin de conversation; les informations nécessaires restent accessibles après une réponse sceptique.</x:v>
      </x:c>
      <x:c r="I11" s="9" t="str">
        <x:v>Portraits sobres avec locuteur et destinataire; encart distinct si l’information est un soupçon.</x:v>
      </x:c>
      <x:c r="J11" s="9" t="str">
        <x:v>Entrée prudente, geste d'inspection et retour au contrôle pour « Piège d’Afterlife »; poser les sprites avant tout changement de caméra.</x:v>
      </x:c>
      <x:c r="K11" s="9" t="str">
        <x:v>Dialogue original à écrire; texte intégral accessible, avance manuelle et rappel des locuteurs.</x:v>
      </x:c>
      <x:c r="L11" s="9" t="str">
        <x:v>Arbre proposé INV/TRAP/dialogue; séparer ce qui est su, ce qui est affirmé et ce qui reste caché au joueur.</x:v>
      </x:c>
      <x:c r="M11" s="9" t="str">
        <x:v>Conserver le raccord d’occupation d’Omega et le départ d’Aria; une victoire tactique locale ne permet pas de gagner une guerre contraire au comic.</x:v>
      </x:c>
      <x:c r="N11" s="9" t="str">
        <x:v>Le lecteur peut identifier le locuteur, son but et le niveau de certitude; aucune phrase du comic n’est reproduite comme dialogue final.</x:v>
      </x:c>
      <x:c r="O11" s="9" t="str">
        <x:v>INV-SC-TRAP-MAIN</x:v>
      </x:c>
      <x:c r="P11" s="9" t="str">
        <x:v>Écriture originale à partir des thèmes, sans transcrire les bulles.</x:v>
      </x:c>
      <x:c r="Q11" s="9" t="str"/>
      <x:c r="R11" s="9" t="str"/>
      <x:c r="S11" s="9" t="str"/>
    </x:row>
    <x:row r="12" ht="54" customHeight="1">
      <x:c r="A12" s="19" t="str">
        <x:v>INV-SC-EXILE-DIA</x:v>
      </x:c>
      <x:c r="B12" s="7" t="str">
        <x:v>Ultimatum et départ — intentions de conversation</x:v>
      </x:c>
      <x:c r="C12" s="15" t="str">
        <x:v>Défini</x:v>
      </x:c>
      <x:c r="D12" s="17" t="str">
        <x:v>Extrapolation</x:v>
      </x:c>
      <x:c r="E12" s="17" t="str">
        <x:v>P1</x:v>
      </x:c>
      <x:c r="F12" s="7" t="str">
        <x:v>Aria conserve une intention de retour; Petrovsky reste un adversaire dont les doutes ne font pas un allié.</x:v>
      </x:c>
      <x:c r="G12" s="7" t="str">
        <x:v>Préserver le thème « survivre à une défaite stratégique »; échanges nouveaux, sans recopier les bulles.</x:v>
      </x:c>
      <x:c r="H12" s="7" t="str">
        <x:v>Proposer questions de contexte, reformulation et fin de conversation; les informations nécessaires restent accessibles après une réponse sceptique.</x:v>
      </x:c>
      <x:c r="I12" s="7" t="str">
        <x:v>Portraits sobres avec locuteur et destinataire; encart distinct si l’information est un soupçon.</x:v>
      </x:c>
      <x:c r="J12" s="7" t="str">
        <x:v>Entrée prudente, geste d'inspection et retour au contrôle pour « Ultimatum et départ »; poser les sprites avant tout changement de caméra.</x:v>
      </x:c>
      <x:c r="K12" s="7" t="str">
        <x:v>Dialogue original à écrire; texte intégral accessible, avance manuelle et rappel des locuteurs.</x:v>
      </x:c>
      <x:c r="L12" s="7" t="str">
        <x:v>Arbre proposé INV/EXILE/dialogue; séparer ce qui est su, ce qui est affirmé et ce qui reste caché au joueur.</x:v>
      </x:c>
      <x:c r="M12" s="7" t="str">
        <x:v>Conserver le raccord d’occupation d’Omega et le départ d’Aria; une victoire tactique locale ne permet pas de gagner une guerre contraire au comic.</x:v>
      </x:c>
      <x:c r="N12" s="7" t="str">
        <x:v>Le lecteur peut identifier le locuteur, son but et le niveau de certitude; aucune phrase du comic n’est reproduite comme dialogue final.</x:v>
      </x:c>
      <x:c r="O12" s="7" t="str">
        <x:v>INV-SC-EXILE-MAIN</x:v>
      </x:c>
      <x:c r="P12" s="7" t="str">
        <x:v>Écriture originale à partir des thèmes, sans transcrire les bulles.</x:v>
      </x:c>
      <x:c r="Q12" s="7" t="str"/>
      <x:c r="R12" s="7" t="str"/>
      <x:c r="S12" s="7" t="str"/>
    </x:row>
  </x:sheetData>
  <x:conditionalFormatting sqref="D7:D12">
    <x:cfRule type="cellIs" dxfId="48" priority="1" operator="equal">
      <x:formula>"À vérifier"</x:formula>
    </x:cfRule>
    <x:cfRule type="cellIs" dxfId="49" priority="2" operator="equal">
      <x:formula>"Extrapolation"</x:formula>
    </x:cfRule>
  </x:conditionalFormatting>
  <x:conditionalFormatting sqref="C7:C12">
    <x:cfRule type="cellIs" dxfId="50" priority="3" operator="equal">
      <x:formula>"Validé"</x:formula>
    </x:cfRule>
  </x:conditionalFormatting>
  <x:conditionalFormatting sqref="E7:E12">
    <x:cfRule type="cellIs" dxfId="5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2054cb253c794af5"/>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Invasion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INV-SC-BREACH-CINE</x:v>
      </x:c>
      <x:c r="B7" s="9" t="str">
        <x:v>Alerte sur les quais — raccord mis en scène</x:v>
      </x:c>
      <x:c r="C7" s="15" t="str">
        <x:v>Défini</x:v>
      </x:c>
      <x:c r="D7" s="16" t="str">
        <x:v>Extrapolation</x:v>
      </x:c>
      <x:c r="E7" s="16" t="str">
        <x:v>P1</x:v>
      </x:c>
      <x:c r="F7" s="9" t="str">
        <x:v>Départ serré sur une activité de quai, ouverture sur la rupture du périmètre.</x:v>
      </x:c>
      <x:c r="G7" s="9" t="str">
        <x:v>Alerte → identification de la menace → défense d’accès → repli.</x:v>
      </x:c>
      <x:c r="H7" s="9" t="str"/>
      <x:c r="I7" s="9" t="str">
        <x:v>Transport en silhouette, rangées de caisses et sortie refuge éclairée.</x:v>
      </x:c>
      <x:c r="J7" s="9" t="str">
        <x:v>Entrée prudente, geste d'inspection et retour au contrôle pour « Alerte sur les quais »; poser les sprites avant tout changement de caméra.</x:v>
      </x:c>
      <x:c r="K7" s="9" t="str">
        <x:v>Clang de rampe puis alarme localisée.</x:v>
      </x:c>
      <x:c r="L7" s="9" t="str">
        <x:v>Séquence proposée INV/BREACH/cinematic; mise à jour des états avant restitution du contrôle; bouton passer et relecture séparés.</x:v>
      </x:c>
      <x:c r="M7" s="9" t="str">
        <x:v>Conserver le raccord d’occupation d’Omega et le départ d’Aria; une victoire tactique locale ne permet pas de gagner une guerre contraire au comic.</x:v>
      </x:c>
      <x:c r="N7" s="9" t="str">
        <x:v>La version passée et la version regardée aboutissent au même placement, inventaire et objectif; les sous-titres ne sont pas coupés.</x:v>
      </x:c>
      <x:c r="O7" s="9" t="str">
        <x:v>INV-SC-BREACH-MAIN</x:v>
      </x:c>
      <x:c r="P7" s="9" t="str">
        <x:v>Découpage original pour sprites 2D sur décor 3D.</x:v>
      </x:c>
      <x:c r="Q7" s="9" t="str"/>
      <x:c r="R7" s="9" t="str"/>
      <x:c r="S7" s="9" t="str"/>
    </x:row>
    <x:row r="8" ht="54" customHeight="1">
      <x:c r="A8" s="19" t="str">
        <x:v>INV-SC-ALLIANCE-CINE</x:v>
      </x:c>
      <x:c r="B8" s="7" t="str">
        <x:v>Coordination de circonstance — raccord mis en scène</x:v>
      </x:c>
      <x:c r="C8" s="15" t="str">
        <x:v>Défini</x:v>
      </x:c>
      <x:c r="D8" s="17" t="str">
        <x:v>Extrapolation</x:v>
      </x:c>
      <x:c r="E8" s="17" t="str">
        <x:v>P1</x:v>
      </x:c>
      <x:c r="F8" s="7" t="str">
        <x:v>Carte de la station entre les interlocuteurs; changement de cadre lorsque le joueur choisit une route.</x:v>
      </x:c>
      <x:c r="G8" s="7" t="str">
        <x:v>Briefing → affectation de deux soutiens → défense → réévaluation.</x:v>
      </x:c>
      <x:c r="H8" s="7" t="str"/>
      <x:c r="I8" s="7" t="str">
        <x:v>Carte nette sur fond militaire dépouillé.</x:v>
      </x:c>
      <x:c r="J8" s="7" t="str">
        <x:v>Entrée prudente, geste d'inspection et retour au contrôle pour « Coordination de circonstance »; poser les sprites avant tout changement de caméra.</x:v>
      </x:c>
      <x:c r="K8" s="7" t="str">
        <x:v>Ordres brefs et moteur grave régulier.</x:v>
      </x:c>
      <x:c r="L8" s="7" t="str">
        <x:v>Séquence proposée INV/ALLIANCE/cinematic; mise à jour des états avant restitution du contrôle; bouton passer et relecture séparés.</x:v>
      </x:c>
      <x:c r="M8" s="7" t="str">
        <x:v>Conserver le raccord d’occupation d’Omega et le départ d’Aria; une victoire tactique locale ne permet pas de gagner une guerre contraire au comic.</x:v>
      </x:c>
      <x:c r="N8" s="7" t="str">
        <x:v>La version passée et la version regardée aboutissent au même placement, inventaire et objectif; les sous-titres ne sont pas coupés.</x:v>
      </x:c>
      <x:c r="O8" s="7" t="str">
        <x:v>INV-SC-ALLIANCE-MAIN</x:v>
      </x:c>
      <x:c r="P8" s="7" t="str">
        <x:v>Découpage original pour sprites 2D sur décor 3D.</x:v>
      </x:c>
      <x:c r="Q8" s="7" t="str"/>
      <x:c r="R8" s="7" t="str"/>
      <x:c r="S8" s="7" t="str"/>
    </x:row>
    <x:row r="9" ht="54" customHeight="1">
      <x:c r="A9" s="18" t="str">
        <x:v>INV-SC-AVERNUS-CINE</x:v>
      </x:c>
      <x:c r="B9" s="9" t="str">
        <x:v>Confinement à Avernus — raccord mis en scène</x:v>
      </x:c>
      <x:c r="C9" s="15" t="str">
        <x:v>Défini</x:v>
      </x:c>
      <x:c r="D9" s="16" t="str">
        <x:v>Extrapolation</x:v>
      </x:c>
      <x:c r="E9" s="16" t="str">
        <x:v>P1</x:v>
      </x:c>
      <x:c r="F9" s="9" t="str">
        <x:v>Largeur du couloir visible, caméra de contrôle séparée de la zone hostile.</x:v>
      </x:c>
      <x:c r="G9" s="9" t="str">
        <x:v>Sas → lecture des risques → action sur contrôle → départ.</x:v>
      </x:c>
      <x:c r="H9" s="9" t="str"/>
      <x:c r="I9" s="9" t="str">
        <x:v>Baies froides, grilles et panneaux de confinement lisibles.</x:v>
      </x:c>
      <x:c r="J9" s="9" t="str">
        <x:v>Entrée prudente, geste d'inspection et retour au contrôle pour « Confinement à Avernus »; poser les sprites avant tout changement de caméra.</x:v>
      </x:c>
      <x:c r="K9" s="9" t="str">
        <x:v>Pulsation de ventilation qui s’arrête après chaque fermeture.</x:v>
      </x:c>
      <x:c r="L9" s="9" t="str">
        <x:v>Séquence proposée INV/AVERNUS/cinematic; mise à jour des états avant restitution du contrôle; bouton passer et relecture séparés.</x:v>
      </x:c>
      <x:c r="M9" s="9" t="str">
        <x:v>Conserver le raccord d’occupation d’Omega et le départ d’Aria; une victoire tactique locale ne permet pas de gagner une guerre contraire au comic.</x:v>
      </x:c>
      <x:c r="N9" s="9" t="str">
        <x:v>La version passée et la version regardée aboutissent au même placement, inventaire et objectif; les sous-titres ne sont pas coupés.</x:v>
      </x:c>
      <x:c r="O9" s="9" t="str">
        <x:v>INV-SC-AVERNUS-MAIN</x:v>
      </x:c>
      <x:c r="P9" s="9" t="str">
        <x:v>Découpage original pour sprites 2D sur décor 3D.</x:v>
      </x:c>
      <x:c r="Q9" s="9" t="str"/>
      <x:c r="R9" s="9" t="str"/>
      <x:c r="S9" s="9" t="str"/>
    </x:row>
    <x:row r="10" ht="68" customHeight="1">
      <x:c r="A10" s="19" t="str">
        <x:v>INV-SC-RETURN-CINE</x:v>
      </x:c>
      <x:c r="B10" s="7" t="str">
        <x:v>Retour dans une station contestée — raccord mis en scène</x:v>
      </x:c>
      <x:c r="C10" s="15" t="str">
        <x:v>Défini</x:v>
      </x:c>
      <x:c r="D10" s="17" t="str">
        <x:v>Extrapolation</x:v>
      </x:c>
      <x:c r="E10" s="17" t="str">
        <x:v>P1</x:v>
      </x:c>
      <x:c r="F10" s="7" t="str">
        <x:v>Reprendre un point de vue déjà vu pour montrer le changement d’occupation.</x:v>
      </x:c>
      <x:c r="G10" s="7" t="str">
        <x:v>Constat → choix de route → défense mobile → contact.</x:v>
      </x:c>
      <x:c r="H10" s="7" t="str"/>
      <x:c r="I10" s="7" t="str">
        <x:v>Nouveaux checkpoints superposés au décor initial sans le reconstruire entièrement.</x:v>
      </x:c>
      <x:c r="J10" s="7" t="str">
        <x:v>Entrée prudente, geste d'inspection et retour au contrôle pour « Retour dans une station contestée »; poser les sprites avant tout changement de caméra.</x:v>
      </x:c>
      <x:c r="K10" s="7" t="str">
        <x:v>Radio militaire au premier plan et ancienne ambiance étouffée.</x:v>
      </x:c>
      <x:c r="L10" s="7" t="str">
        <x:v>Séquence proposée INV/RETURN/cinematic; mise à jour des états avant restitution du contrôle; bouton passer et relecture séparés.</x:v>
      </x:c>
      <x:c r="M10" s="7" t="str">
        <x:v>Conserver le raccord d’occupation d’Omega et le départ d’Aria; une victoire tactique locale ne permet pas de gagner une guerre contraire au comic.</x:v>
      </x:c>
      <x:c r="N10" s="7" t="str">
        <x:v>La version passée et la version regardée aboutissent au même placement, inventaire et objectif; les sous-titres ne sont pas coupés.</x:v>
      </x:c>
      <x:c r="O10" s="7" t="str">
        <x:v>INV-SC-RETURN-MAIN</x:v>
      </x:c>
      <x:c r="P10" s="7" t="str">
        <x:v>Découpage original pour sprites 2D sur décor 3D.</x:v>
      </x:c>
      <x:c r="Q10" s="7" t="str"/>
      <x:c r="R10" s="7" t="str"/>
      <x:c r="S10" s="7" t="str"/>
    </x:row>
    <x:row r="11" ht="54" customHeight="1">
      <x:c r="A11" s="18" t="str">
        <x:v>INV-SC-TRAP-CINE</x:v>
      </x:c>
      <x:c r="B11" s="9" t="str">
        <x:v>Piège d’Afterlife — raccord mis en scène</x:v>
      </x:c>
      <x:c r="C11" s="15" t="str">
        <x:v>Défini</x:v>
      </x:c>
      <x:c r="D11" s="16" t="str">
        <x:v>Extrapolation</x:v>
      </x:c>
      <x:c r="E11" s="16" t="str">
        <x:v>P1</x:v>
      </x:c>
      <x:c r="F11" s="9" t="str">
        <x:v>Vue large sur les deux accès, gros plan seulement après résolution du danger.</x:v>
      </x:c>
      <x:c r="G11" s="9" t="str">
        <x:v>Entrée → fermeture annoncée → menace de zone → issue narrative.</x:v>
      </x:c>
      <x:c r="H11" s="9" t="str"/>
      <x:c r="I11" s="9" t="str">
        <x:v>Centre dégagé et balcon servant de repère.</x:v>
      </x:c>
      <x:c r="J11" s="9" t="str">
        <x:v>Entrée prudente, geste d'inspection et retour au contrôle pour « Piège d’Afterlife »; poser les sprites avant tout changement de caméra.</x:v>
      </x:c>
      <x:c r="K11" s="9" t="str">
        <x:v>Coupe de la musique, mouvement lourd et alarmes brèves.</x:v>
      </x:c>
      <x:c r="L11" s="9" t="str">
        <x:v>Séquence proposée INV/TRAP/cinematic; mise à jour des états avant restitution du contrôle; bouton passer et relecture séparés.</x:v>
      </x:c>
      <x:c r="M11" s="9" t="str">
        <x:v>Conserver le raccord d’occupation d’Omega et le départ d’Aria; une victoire tactique locale ne permet pas de gagner une guerre contraire au comic.</x:v>
      </x:c>
      <x:c r="N11" s="9" t="str">
        <x:v>La version passée et la version regardée aboutissent au même placement, inventaire et objectif; les sous-titres ne sont pas coupés.</x:v>
      </x:c>
      <x:c r="O11" s="9" t="str">
        <x:v>INV-SC-TRAP-MAIN</x:v>
      </x:c>
      <x:c r="P11" s="9" t="str">
        <x:v>Découpage original pour sprites 2D sur décor 3D.</x:v>
      </x:c>
      <x:c r="Q11" s="9" t="str"/>
      <x:c r="R11" s="9" t="str"/>
      <x:c r="S11" s="9" t="str"/>
    </x:row>
    <x:row r="12" ht="54" customHeight="1">
      <x:c r="A12" s="19" t="str">
        <x:v>INV-SC-EXILE-CINE</x:v>
      </x:c>
      <x:c r="B12" s="7" t="str">
        <x:v>Ultimatum et départ — raccord mis en scène</x:v>
      </x:c>
      <x:c r="C12" s="15" t="str">
        <x:v>Défini</x:v>
      </x:c>
      <x:c r="D12" s="17" t="str">
        <x:v>Extrapolation</x:v>
      </x:c>
      <x:c r="E12" s="17" t="str">
        <x:v>P1</x:v>
      </x:c>
      <x:c r="F12" s="7" t="str">
        <x:v>Éloignement de la station, silhouette d’Aria immobile puis extinction du contrôle.</x:v>
      </x:c>
      <x:c r="G12" s="7" t="str">
        <x:v>Constat stratégique → décisions de préparation → départ fixé → raccord ME3.</x:v>
      </x:c>
      <x:c r="H12" s="7" t="str"/>
      <x:c r="I12" s="7" t="str">
        <x:v>Omega en arrière-plan, palette refroidie et espace négatif devant le personnage.</x:v>
      </x:c>
      <x:c r="J12" s="7" t="str">
        <x:v>Entrée prudente, geste d'inspection et retour au contrôle pour « Ultimatum et départ »; poser les sprites avant tout changement de caméra.</x:v>
      </x:c>
      <x:c r="K12" s="7" t="str">
        <x:v>Thème original interrompu, moteur lent et silence de fin.</x:v>
      </x:c>
      <x:c r="L12" s="7" t="str">
        <x:v>Séquence proposée INV/EXILE/cinematic; mise à jour des états avant restitution du contrôle; bouton passer et relecture séparés.</x:v>
      </x:c>
      <x:c r="M12" s="7" t="str">
        <x:v>Conserver le raccord d’occupation d’Omega et le départ d’Aria; une victoire tactique locale ne permet pas de gagner une guerre contraire au comic.</x:v>
      </x:c>
      <x:c r="N12" s="7" t="str">
        <x:v>La version passée et la version regardée aboutissent au même placement, inventaire et objectif; les sous-titres ne sont pas coupés.</x:v>
      </x:c>
      <x:c r="O12" s="7" t="str">
        <x:v>INV-SC-EXILE-MAIN</x:v>
      </x:c>
      <x:c r="P12" s="7" t="str">
        <x:v>Découpage original pour sprites 2D sur décor 3D.</x:v>
      </x:c>
      <x:c r="Q12" s="7" t="str"/>
      <x:c r="R12" s="7" t="str"/>
      <x:c r="S12" s="7" t="str"/>
    </x:row>
  </x:sheetData>
  <x:conditionalFormatting sqref="D7:D12">
    <x:cfRule type="cellIs" dxfId="52" priority="1" operator="equal">
      <x:formula>"À vérifier"</x:formula>
    </x:cfRule>
    <x:cfRule type="cellIs" dxfId="53" priority="2" operator="equal">
      <x:formula>"Extrapolation"</x:formula>
    </x:cfRule>
  </x:conditionalFormatting>
  <x:conditionalFormatting sqref="C7:C12">
    <x:cfRule type="cellIs" dxfId="54" priority="3" operator="equal">
      <x:formula>"Validé"</x:formula>
    </x:cfRule>
  </x:conditionalFormatting>
  <x:conditionalFormatting sqref="E7:E12">
    <x:cfRule type="cellIs" dxfId="5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87ad274099b24444"/>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Invasion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INV-KIT-OMEGA</x:v>
      </x:c>
      <x:c r="B7" s="9" t="str">
        <x:v>Armement de défense local</x:v>
      </x:c>
      <x:c r="C7" s="15" t="str">
        <x:v>Défini</x:v>
      </x:c>
      <x:c r="D7" s="16" t="str">
        <x:v>Extrapolation</x:v>
      </x:c>
      <x:c r="E7" s="16" t="str">
        <x:v>P1</x:v>
      </x:c>
      <x:c r="F7" s="9" t="str">
        <x:v>Profils d’armes à choisir après référence visuelle des gangs.</x:v>
      </x:c>
      <x:c r="G7" s="9" t="str">
        <x:v>Différencier tir de suppression et tir précis.</x:v>
      </x:c>
      <x:c r="H7" s="9" t="str">
        <x:v>Deux profils proposés; coût ATB et portée affichés, aucune marque canon ajoutée.</x:v>
      </x:c>
      <x:c r="I7" s="9" t="str">
        <x:v>Armes usées de silhouettes différentes.</x:v>
      </x:c>
      <x:c r="J7" s="9" t="str">
        <x:v>Visée, recul court et changement de couvert.</x:v>
      </x:c>
      <x:c r="K7" s="9" t="str">
        <x:v>Confirmation audiovisuelle originale, doublée d’un libellé.</x:v>
      </x:c>
      <x:c r="L7" s="9" t="str">
        <x:v>Spécification de ressource INV/kit/OMEGA; données séparées du moteur, interface de coût et états d'épuisement prévus.</x:v>
      </x:c>
      <x:c r="M7" s="9" t="str">
        <x:v>Conserver le raccord d’occupation d’Omega et le départ d’Aria; une victoire tactique locale ne permet pas de gagner une guerre contraire au comic.</x:v>
      </x:c>
      <x:c r="N7" s="9" t="str">
        <x:v>Chaque profil a un usage distinct et une contre-mesure visible.</x:v>
      </x:c>
      <x:c r="O7" s="9" t="str"/>
      <x:c r="P7" s="9" t="str">
        <x:v>Création de gameplay et direction visuelle originales; modèle exact à vérifier si une arme source est évoquée.</x:v>
      </x:c>
      <x:c r="Q7" s="9" t="str"/>
      <x:c r="R7" s="9" t="str"/>
      <x:c r="S7" s="9"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b2ff7f56087e43a6"/>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Invasion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INV-KIT-BARRIER</x:v>
      </x:c>
      <x:c r="B7" s="9" t="str">
        <x:v>Dispositif de fermeture locale</x:v>
      </x:c>
      <x:c r="C7" s="15" t="str">
        <x:v>Défini</x:v>
      </x:c>
      <x:c r="D7" s="16" t="str">
        <x:v>Extrapolation</x:v>
      </x:c>
      <x:c r="E7" s="16" t="str">
        <x:v>P1</x:v>
      </x:c>
      <x:c r="F7" s="9" t="str">
        <x:v>Équipement de terrain original du prototype.</x:v>
      </x:c>
      <x:c r="G7" s="9" t="str">
        <x:v>Isoler un couloir pour un repli.</x:v>
      </x:c>
      <x:c r="H7" s="9" t="str">
        <x:v>Pose sur ancrages autorisés; refus explicite si elle bloquerait toute sortie.</x:v>
      </x:c>
      <x:c r="I7" s="9" t="str">
        <x:v>Boîtier et lignes de fermeture sobres.</x:v>
      </x:c>
      <x:c r="J7" s="9" t="str">
        <x:v>Pose, activation et retrait.</x:v>
      </x:c>
      <x:c r="K7" s="9" t="str">
        <x:v>Confirmation audiovisuelle originale, doublée d’un libellé.</x:v>
      </x:c>
      <x:c r="L7" s="9" t="str">
        <x:v>Spécification de ressource INV/kit/BARRIER; données séparées du moteur, interface de coût et états d'épuisement prévus.</x:v>
      </x:c>
      <x:c r="M7" s="9" t="str">
        <x:v>Conserver le raccord d’occupation d’Omega et le départ d’Aria; une victoire tactique locale ne permet pas de gagner une guerre contraire au comic.</x:v>
      </x:c>
      <x:c r="N7" s="9" t="str">
        <x:v>La navigation du groupe reste valide après activation.</x:v>
      </x:c>
      <x:c r="O7" s="9" t="str"/>
      <x:c r="P7" s="9" t="str">
        <x:v>Création de gameplay et direction visuelle originales; modèle exact à vérifier si une arme source est évoquée.</x:v>
      </x:c>
      <x:c r="Q7" s="9" t="str"/>
      <x:c r="R7" s="9" t="str"/>
      <x:c r="S7" s="9" t="str"/>
    </x:row>
    <x:row r="8" ht="54" customHeight="1">
      <x:c r="A8" s="19" t="str">
        <x:v>INV-KIT-EXPOSURE</x:v>
      </x:c>
      <x:c r="B8" s="7" t="str">
        <x:v>Indicateur d’exposition abstrait</x:v>
      </x:c>
      <x:c r="C8" s="15" t="str">
        <x:v>Défini</x:v>
      </x:c>
      <x:c r="D8" s="17" t="str">
        <x:v>Extrapolation</x:v>
      </x:c>
      <x:c r="E8" s="17" t="str">
        <x:v>P1</x:v>
      </x:c>
      <x:c r="F8" s="7" t="str">
        <x:v>Interface de combat originale, sans valeur médicale canon.</x:v>
      </x:c>
      <x:c r="G8" s="7" t="str">
        <x:v>Rendre la menace compréhensible.</x:v>
      </x:c>
      <x:c r="H8" s="7" t="str">
        <x:v>Trois états qualitatifs proposés : libre, exposé, critique; récupération uniquement selon les règles du scénario.</x:v>
      </x:c>
      <x:c r="I8" s="7" t="str">
        <x:v>Icône segmentée plus texte.</x:v>
      </x:c>
      <x:c r="J8" s="7" t="str">
        <x:v>Transition douce entre états.</x:v>
      </x:c>
      <x:c r="K8" s="7" t="str">
        <x:v>Confirmation audiovisuelle originale, doublée d’un libellé.</x:v>
      </x:c>
      <x:c r="L8" s="7" t="str">
        <x:v>Spécification de ressource INV/kit/EXPOSURE; données séparées du moteur, interface de coût et états d'épuisement prévus.</x:v>
      </x:c>
      <x:c r="M8" s="7" t="str">
        <x:v>Conserver le raccord d’occupation d’Omega et le départ d’Aria; une victoire tactique locale ne permet pas de gagner une guerre contraire au comic.</x:v>
      </x:c>
      <x:c r="N8" s="7" t="str">
        <x:v>Le joueur voit la cause de chaque changement et les moyens de prévention.</x:v>
      </x:c>
      <x:c r="O8" s="7" t="str"/>
      <x:c r="P8" s="7" t="str">
        <x:v>Création de gameplay et direction visuelle originales; modèle exact à vérifier si une arme source est évoquée.</x:v>
      </x:c>
      <x:c r="Q8" s="7" t="str"/>
      <x:c r="R8" s="7" t="str"/>
      <x:c r="S8" s="7" t="str"/>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82a78589fe664f5f"/>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Invasion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INV-KIT-ARIA</x:v>
      </x:c>
      <x:c r="B7" s="9" t="str">
        <x:v>Projection biotique proposée d’Aria</x:v>
      </x:c>
      <x:c r="C7" s="15" t="str">
        <x:v>Défini</x:v>
      </x:c>
      <x:c r="D7" s="16" t="str">
        <x:v>Extrapolation</x:v>
      </x:c>
      <x:c r="E7" s="16" t="str">
        <x:v>P1</x:v>
      </x:c>
      <x:c r="F7" s="9" t="str">
        <x:v>Commande de contrôle originale liée à son rôle.</x:v>
      </x:c>
      <x:c r="G7" s="9" t="str">
        <x:v>Créer une fenêtre de repli.</x:v>
      </x:c>
      <x:c r="H7" s="9" t="str">
        <x:v>Projeter une cible compatible vers un emplacement libre; prévisualiser la trajectoire et protéger les zones civiles.</x:v>
      </x:c>
      <x:c r="I7" s="9" t="str">
        <x:v>Arc violet doublé d’une flèche.</x:v>
      </x:c>
      <x:c r="J7" s="9" t="str">
        <x:v>Ancrage des pieds, geste large et retour.</x:v>
      </x:c>
      <x:c r="K7" s="9" t="str">
        <x:v>Confirmation audiovisuelle originale, doublée d’un libellé.</x:v>
      </x:c>
      <x:c r="L7" s="9" t="str">
        <x:v>Spécification de ressource INV/kit/ARIA; données séparées du moteur, interface de coût et états d'épuisement prévus.</x:v>
      </x:c>
      <x:c r="M7" s="9" t="str">
        <x:v>Conserver le raccord d’occupation d’Omega et le départ d’Aria; une victoire tactique locale ne permet pas de gagner une guerre contraire au comic.</x:v>
      </x:c>
      <x:c r="N7" s="9" t="str">
        <x:v>Aucune cible n’est projetée à travers un mur ni hors de la carte.</x:v>
      </x:c>
      <x:c r="O7" s="9" t="str"/>
      <x:c r="P7" s="9" t="str">
        <x:v>Création de gameplay et direction visuelle originales; modèle exact à vérifier si une arme source est évoquée.</x:v>
      </x:c>
      <x:c r="Q7" s="9" t="str"/>
      <x:c r="R7" s="9" t="str"/>
      <x:c r="S7" s="9"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7a4f3cd36db4490"/>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Invasion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INV-ALLY-ARIA</x:v>
      </x:c>
      <x:c r="B7" s="9" t="str">
        <x:v>Repli sous pression</x:v>
      </x:c>
      <x:c r="C7" s="15" t="str">
        <x:v>Défini</x:v>
      </x:c>
      <x:c r="D7" s="16" t="str">
        <x:v>Extrapolation</x:v>
      </x:c>
      <x:c r="E7" s="16" t="str">
        <x:v>P1</x:v>
      </x:c>
      <x:c r="F7" s="9" t="str">
        <x:v>Action de groupe originale pour Aria T’Loak.</x:v>
      </x:c>
      <x:c r="G7" s="9" t="str">
        <x:v>Cheffe de groupe; contrôle d’espace et ordres de repli.</x:v>
      </x:c>
      <x:c r="H7" s="9" t="str">
        <x:v>Proposition : réserver une action qui protège la traversée d’un allié entre deux couverts; ne soigne pas une infection.</x:v>
      </x:c>
      <x:c r="I7" s="9" t="str">
        <x:v>Couloir de retrait bordé d’un contour violet et d’un symbole de bouclier.</x:v>
      </x:c>
      <x:c r="J7" s="9" t="str">
        <x:v>Appui ferme, poussée large, geste d’ordre et recul contrôlé.</x:v>
      </x:c>
      <x:c r="K7" s="9" t="str">
        <x:v>Confirmation courte doublée d’un pictogramme; événement silencieux visible dans le journal de combat.</x:v>
      </x:c>
      <x:c r="L7" s="9" t="str">
        <x:v>Commande ATB proposée INV/ARIA/assist; résoudre cible, coût proposé, contre-mesure et annulation avant les dégâts.</x:v>
      </x:c>
      <x:c r="M7" s="9" t="str">
        <x:v>Conserver le raccord d’occupation d’Omega et le départ d’Aria; une victoire tactique locale ne permet pas de gagner une guerre contraire au comic.</x:v>
      </x:c>
      <x:c r="N7" s="9" t="str">
        <x:v>La commande indique son coût avant validation, échoue proprement si la cible devient invalide et ne déclenche pas une action canon supplémentaire.</x:v>
      </x:c>
      <x:c r="O7" s="9" t="str">
        <x:v>INV-ACT-ARIA, INV-ANI-ARIA</x:v>
      </x:c>
      <x:c r="P7" s="9" t="str">
        <x:v>Adaptation originale du rôle; pas un pouvoir officiel du comic.</x:v>
      </x:c>
      <x:c r="Q7" s="9" t="str"/>
      <x:c r="R7" s="9" t="str"/>
      <x:c r="S7" s="9" t="str"/>
    </x:row>
    <x:row r="8" ht="54" customHeight="1">
      <x:c r="A8" s="19" t="str">
        <x:v>INV-ALLY-DEFENDERS</x:v>
      </x:c>
      <x:c r="B8" s="7" t="str">
        <x:v>Tenir le passage</x:v>
      </x:c>
      <x:c r="C8" s="15" t="str">
        <x:v>Défini</x:v>
      </x:c>
      <x:c r="D8" s="17" t="str">
        <x:v>Extrapolation</x:v>
      </x:c>
      <x:c r="E8" s="17" t="str">
        <x:v>P1</x:v>
      </x:c>
      <x:c r="F8" s="7" t="str">
        <x:v>Action de groupe originale pour Défenseurs d’Omega.</x:v>
      </x:c>
      <x:c r="G8" s="7" t="str">
        <x:v>Soutien collectif original; rôles limités à la station.</x:v>
      </x:c>
      <x:c r="H8" s="7" t="str">
        <x:v>Une réserve de soutien retarde un groupe hostile sur un seul accès; afficher clairement qu’elle est temporaire.</x:v>
      </x:c>
      <x:c r="I8" s="7" t="str">
        <x:v>Pictogramme du passage et barre de préparation proposée.</x:v>
      </x:c>
      <x:c r="J8" s="7" t="str">
        <x:v>Port de matériel, couverture et appel au repli.</x:v>
      </x:c>
      <x:c r="K8" s="7" t="str">
        <x:v>Confirmation courte doublée d’un pictogramme; événement silencieux visible dans le journal de combat.</x:v>
      </x:c>
      <x:c r="L8" s="7" t="str">
        <x:v>Commande ATB proposée INV/DEFENDERS/assist; résoudre cible, coût proposé, contre-mesure et annulation avant les dégâts.</x:v>
      </x:c>
      <x:c r="M8" s="7" t="str">
        <x:v>Conserver le raccord d’occupation d’Omega et le départ d’Aria; une victoire tactique locale ne permet pas de gagner une guerre contraire au comic.</x:v>
      </x:c>
      <x:c r="N8" s="7" t="str">
        <x:v>La commande indique son coût avant validation, échoue proprement si la cible devient invalide et ne déclenche pas une action canon supplémentaire.</x:v>
      </x:c>
      <x:c r="O8" s="7" t="str">
        <x:v>INV-ACT-DEFENDERS, INV-ANI-DEFENDERS</x:v>
      </x:c>
      <x:c r="P8" s="7" t="str">
        <x:v>Adaptation originale du rôle; pas un pouvoir officiel du comic.</x:v>
      </x:c>
      <x:c r="Q8" s="7" t="str"/>
      <x:c r="R8" s="7" t="str"/>
      <x:c r="S8" s="7" t="str"/>
    </x:row>
  </x:sheetData>
  <x:conditionalFormatting sqref="D7:D8">
    <x:cfRule type="cellIs" dxfId="68" priority="1" operator="equal">
      <x:formula>"À vérifier"</x:formula>
    </x:cfRule>
    <x:cfRule type="cellIs" dxfId="69" priority="2" operator="equal">
      <x:formula>"Extrapolation"</x:formula>
    </x:cfRule>
  </x:conditionalFormatting>
  <x:conditionalFormatting sqref="C7:C8">
    <x:cfRule type="cellIs" dxfId="70" priority="3" operator="equal">
      <x:formula>"Validé"</x:formula>
    </x:cfRule>
  </x:conditionalFormatting>
  <x:conditionalFormatting sqref="E7:E8">
    <x:cfRule type="cellIs" dxfId="7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57ca4c50a2274877"/>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Invasion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INV-EN-ADJ-M1</x:v>
      </x:c>
      <x:c r="B7" s="9" t="str">
        <x:v>Bond de contamination — proposition</x:v>
      </x:c>
      <x:c r="C7" s="15" t="str">
        <x:v>Défini</x:v>
      </x:c>
      <x:c r="D7" s="16" t="str">
        <x:v>Extrapolation</x:v>
      </x:c>
      <x:c r="E7" s="16" t="str">
        <x:v>P1</x:v>
      </x:c>
      <x:c r="F7" s="9" t="str">
        <x:v>Pattern original de saut de zone.</x:v>
      </x:c>
      <x:c r="G7" s="9" t="str">
        <x:v>Pression rapprochée et contrôle d’exposition.</x:v>
      </x:c>
      <x:c r="H7" s="9" t="str">
        <x:v>Marquer la zone puis laisser une action de déplacement; une protection interrompt seulement le contact local.</x:v>
      </x:c>
      <x:c r="I7" s="9" t="str">
        <x:v>Cercle hachuré et corps accroupi.</x:v>
      </x:c>
      <x:c r="J7" s="9" t="str">
        <x:v>Préparation ramassée, bond lisible et récupération lourde.</x:v>
      </x:c>
      <x:c r="K7" s="9" t="str">
        <x:v>Grondement original avec pictogramme de menace.</x:v>
      </x:c>
      <x:c r="L7" s="9" t="str">
        <x:v>Action proposée INV/ADJ/1; étapes annonce → attente ATB → validation cible → résolution; annulation explicite si neutralisé.</x:v>
      </x:c>
      <x:c r="M7" s="9" t="str">
        <x:v>Conserver le raccord d’occupation d’Omega et le départ d’Aria; une victoire tactique locale ne permet pas de gagner une guerre contraire au comic.</x:v>
      </x:c>
      <x:c r="N7" s="9" t="str">
        <x:v>Le joueur peut reconnaître la préparation et employer la contre-mesure avant la résolution; aucune attaque invisible ou imparable hors séquence annoncée.</x:v>
      </x:c>
      <x:c r="O7" s="9" t="str">
        <x:v>INV-EN-ADJ</x:v>
      </x:c>
      <x:c r="P7" s="9" t="str">
        <x:v>Pattern original; pas de valeur numérique canon.</x:v>
      </x:c>
      <x:c r="Q7" s="9" t="str"/>
      <x:c r="R7" s="9" t="str"/>
      <x:c r="S7" s="9" t="str"/>
    </x:row>
    <x:row r="8" ht="54" customHeight="1">
      <x:c r="A8" s="19" t="str">
        <x:v>INV-EN-ADJ-M2</x:v>
      </x:c>
      <x:c r="B8" s="7" t="str">
        <x:v>Pression de proximité — proposition</x:v>
      </x:c>
      <x:c r="C8" s="15" t="str">
        <x:v>Défini</x:v>
      </x:c>
      <x:c r="D8" s="17" t="str">
        <x:v>Extrapolation</x:v>
      </x:c>
      <x:c r="E8" s="17" t="str">
        <x:v>P1</x:v>
      </x:c>
      <x:c r="F8" s="7" t="str">
        <x:v>Zone de danger originale.</x:v>
      </x:c>
      <x:c r="G8" s="7" t="str">
        <x:v>Pression rapprochée et contrôle d’exposition.</x:v>
      </x:c>
      <x:c r="H8" s="7" t="str">
        <x:v>Quitter le voisinage ou repousser avant saturation; aucune jauge n’est une mesure biologique canon.</x:v>
      </x:c>
      <x:c r="I8" s="7" t="str">
        <x:v>Anneau segmenté et état textuel exposition.</x:v>
      </x:c>
      <x:c r="J8" s="7" t="str">
        <x:v>Préparation ramassée, bond lisible et récupération lourde.</x:v>
      </x:c>
      <x:c r="K8" s="7" t="str">
        <x:v>Grondement original avec pictogramme de menace.</x:v>
      </x:c>
      <x:c r="L8" s="7" t="str">
        <x:v>Action proposée INV/ADJ/2; étapes annonce → attente ATB → validation cible → résolution; annulation explicite si neutralisé.</x:v>
      </x:c>
      <x:c r="M8" s="7" t="str">
        <x:v>Conserver le raccord d’occupation d’Omega et le départ d’Aria; une victoire tactique locale ne permet pas de gagner une guerre contraire au comic.</x:v>
      </x:c>
      <x:c r="N8" s="7" t="str">
        <x:v>Le joueur peut reconnaître la préparation et employer la contre-mesure avant la résolution; aucune attaque invisible ou imparable hors séquence annoncée.</x:v>
      </x:c>
      <x:c r="O8" s="7" t="str">
        <x:v>INV-EN-ADJ</x:v>
      </x:c>
      <x:c r="P8" s="7" t="str">
        <x:v>Pattern original; pas de valeur numérique canon.</x:v>
      </x:c>
      <x:c r="Q8" s="7" t="str"/>
      <x:c r="R8" s="7" t="str"/>
      <x:c r="S8" s="7" t="str"/>
    </x:row>
    <x:row r="9" ht="54" customHeight="1">
      <x:c r="A9" s="18" t="str">
        <x:v>INV-EN-CERBERUS-M1</x:v>
      </x:c>
      <x:c r="B9" s="9" t="str">
        <x:v>Couloir interdit</x:v>
      </x:c>
      <x:c r="C9" s="15" t="str">
        <x:v>Défini</x:v>
      </x:c>
      <x:c r="D9" s="16" t="str">
        <x:v>Extrapolation</x:v>
      </x:c>
      <x:c r="E9" s="16" t="str">
        <x:v>P1</x:v>
      </x:c>
      <x:c r="F9" s="9" t="str">
        <x:v>Pattern original de suppression.</x:v>
      </x:c>
      <x:c r="G9" s="9" t="str">
        <x:v>Opposition militaire structurée.</x:v>
      </x:c>
      <x:c r="H9" s="9" t="str">
        <x:v>Couvert ou interruption de l’opérateur rompt la ligne; la zone ne traverse pas les murs.</x:v>
      </x:c>
      <x:c r="I9" s="9" t="str">
        <x:v>Bande au sol avec symbole de tir.</x:v>
      </x:c>
      <x:c r="J9" s="9" t="str">
        <x:v>Appui au couvert et changement de position annoncé.</x:v>
      </x:c>
      <x:c r="K9" s="9" t="str">
        <x:v>Radio filtrée et tirs courts.</x:v>
      </x:c>
      <x:c r="L9" s="9" t="str">
        <x:v>Action proposée INV/CERBERUS/1; étapes annonce → attente ATB → validation cible → résolution; annulation explicite si neutralisé.</x:v>
      </x:c>
      <x:c r="M9" s="9" t="str">
        <x:v>Conserver le raccord d’occupation d’Omega et le départ d’Aria; une victoire tactique locale ne permet pas de gagner une guerre contraire au comic.</x:v>
      </x:c>
      <x:c r="N9" s="9" t="str">
        <x:v>Le joueur peut reconnaître la préparation et employer la contre-mesure avant la résolution; aucune attaque invisible ou imparable hors séquence annoncée.</x:v>
      </x:c>
      <x:c r="O9" s="9" t="str">
        <x:v>INV-EN-CERBERUS</x:v>
      </x:c>
      <x:c r="P9" s="9" t="str">
        <x:v>Pattern original; pas de valeur numérique canon.</x:v>
      </x:c>
      <x:c r="Q9" s="9" t="str"/>
      <x:c r="R9" s="9" t="str"/>
      <x:c r="S9" s="9" t="str"/>
    </x:row>
    <x:row r="10" ht="54" customHeight="1">
      <x:c r="A10" s="19" t="str">
        <x:v>INV-EN-CERBERUS-M2</x:v>
      </x:c>
      <x:c r="B10" s="7" t="str">
        <x:v>Avancée en binôme</x:v>
      </x:c>
      <x:c r="C10" s="15" t="str">
        <x:v>Défini</x:v>
      </x:c>
      <x:c r="D10" s="17" t="str">
        <x:v>Extrapolation</x:v>
      </x:c>
      <x:c r="E10" s="17" t="str">
        <x:v>P1</x:v>
      </x:c>
      <x:c r="F10" s="7" t="str">
        <x:v>Pattern original de progression.</x:v>
      </x:c>
      <x:c r="G10" s="7" t="str">
        <x:v>Opposition militaire structurée.</x:v>
      </x:c>
      <x:c r="H10" s="7" t="str">
        <x:v>Une unité se déplace pendant que l’autre couvre; exploiter le changement de rôle.</x:v>
      </x:c>
      <x:c r="I10" s="7" t="str">
        <x:v>Deux marqueurs reliés.</x:v>
      </x:c>
      <x:c r="J10" s="7" t="str">
        <x:v>Appui au couvert et changement de position annoncé.</x:v>
      </x:c>
      <x:c r="K10" s="7" t="str">
        <x:v>Radio filtrée et tirs courts.</x:v>
      </x:c>
      <x:c r="L10" s="7" t="str">
        <x:v>Action proposée INV/CERBERUS/2; étapes annonce → attente ATB → validation cible → résolution; annulation explicite si neutralisé.</x:v>
      </x:c>
      <x:c r="M10" s="7" t="str">
        <x:v>Conserver le raccord d’occupation d’Omega et le départ d’Aria; une victoire tactique locale ne permet pas de gagner une guerre contraire au comic.</x:v>
      </x:c>
      <x:c r="N10" s="7" t="str">
        <x:v>Le joueur peut reconnaître la préparation et employer la contre-mesure avant la résolution; aucune attaque invisible ou imparable hors séquence annoncée.</x:v>
      </x:c>
      <x:c r="O10" s="7" t="str">
        <x:v>INV-EN-CERBERUS</x:v>
      </x:c>
      <x:c r="P10" s="7" t="str">
        <x:v>Pattern original; pas de valeur numérique canon.</x:v>
      </x:c>
      <x:c r="Q10" s="7" t="str"/>
      <x:c r="R10" s="7" t="str"/>
      <x:c r="S10" s="7" t="str"/>
    </x:row>
    <x:row r="11" ht="54" customHeight="1">
      <x:c r="A11" s="18" t="str">
        <x:v>INV-EN-BOARDING-M1</x:v>
      </x:c>
      <x:c r="B11" s="9" t="str">
        <x:v>Fermeture de sas</x:v>
      </x:c>
      <x:c r="C11" s="15" t="str">
        <x:v>Défini</x:v>
      </x:c>
      <x:c r="D11" s="16" t="str">
        <x:v>Extrapolation</x:v>
      </x:c>
      <x:c r="E11" s="16" t="str">
        <x:v>P1</x:v>
      </x:c>
      <x:c r="F11" s="9" t="str">
        <x:v>Action originale de terrain.</x:v>
      </x:c>
      <x:c r="G11" s="9" t="str">
        <x:v>Rencontre locale ajoutée, pas unité nommée officielle.</x:v>
      </x:c>
      <x:c r="H11" s="9" t="str">
        <x:v>Interrompre la commande ou choisir la sortie secondaire avant fermeture.</x:v>
      </x:c>
      <x:c r="I11" s="9" t="str">
        <x:v>Panneau et porte clignotent en alternance.</x:v>
      </x:c>
      <x:c r="J11" s="9" t="str">
        <x:v>Geste vers la console, maintien puis déplacement.</x:v>
      </x:c>
      <x:c r="K11" s="9" t="str">
        <x:v>Verrou de porte et confirmation radio originale.</x:v>
      </x:c>
      <x:c r="L11" s="9" t="str">
        <x:v>Action proposée INV/BOARDING/1; étapes annonce → attente ATB → validation cible → résolution; annulation explicite si neutralisé.</x:v>
      </x:c>
      <x:c r="M11" s="9" t="str">
        <x:v>Conserver le raccord d’occupation d’Omega et le départ d’Aria; une victoire tactique locale ne permet pas de gagner une guerre contraire au comic.</x:v>
      </x:c>
      <x:c r="N11" s="9" t="str">
        <x:v>Le joueur peut reconnaître la préparation et employer la contre-mesure avant la résolution; aucune attaque invisible ou imparable hors séquence annoncée.</x:v>
      </x:c>
      <x:c r="O11" s="9" t="str">
        <x:v>INV-EN-BOARDING</x:v>
      </x:c>
      <x:c r="P11" s="9" t="str">
        <x:v>Pattern original; pas de valeur numérique canon.</x:v>
      </x:c>
      <x:c r="Q11" s="9" t="str"/>
      <x:c r="R11" s="9" t="str"/>
      <x:c r="S11" s="9" t="str"/>
    </x:row>
    <x:row r="12" ht="54" customHeight="1">
      <x:c r="A12" s="19" t="str">
        <x:v>INV-EN-BOARDING-M2</x:v>
      </x:c>
      <x:c r="B12" s="7" t="str">
        <x:v>Inspection de refuge</x:v>
      </x:c>
      <x:c r="C12" s="15" t="str">
        <x:v>Défini</x:v>
      </x:c>
      <x:c r="D12" s="17" t="str">
        <x:v>Extrapolation</x:v>
      </x:c>
      <x:c r="E12" s="17" t="str">
        <x:v>P1</x:v>
      </x:c>
      <x:c r="F12" s="7" t="str">
        <x:v>Pression originale sur une zone.</x:v>
      </x:c>
      <x:c r="G12" s="7" t="str">
        <x:v>Rencontre locale ajoutée, pas unité nommée officielle.</x:v>
      </x:c>
      <x:c r="H12" s="7" t="str">
        <x:v>Évacuer les figurants visibles ou détourner le groupe; pas de bilan civil officiel calculé.</x:v>
      </x:c>
      <x:c r="I12" s="7" t="str">
        <x:v>Cône de recherche et symbole refuge.</x:v>
      </x:c>
      <x:c r="J12" s="7" t="str">
        <x:v>Geste vers la console, maintien puis déplacement.</x:v>
      </x:c>
      <x:c r="K12" s="7" t="str">
        <x:v>Verrou de porte et confirmation radio originale.</x:v>
      </x:c>
      <x:c r="L12" s="7" t="str">
        <x:v>Action proposée INV/BOARDING/2; étapes annonce → attente ATB → validation cible → résolution; annulation explicite si neutralisé.</x:v>
      </x:c>
      <x:c r="M12" s="7" t="str">
        <x:v>Conserver le raccord d’occupation d’Omega et le départ d’Aria; une victoire tactique locale ne permet pas de gagner une guerre contraire au comic.</x:v>
      </x:c>
      <x:c r="N12" s="7" t="str">
        <x:v>Le joueur peut reconnaître la préparation et employer la contre-mesure avant la résolution; aucune attaque invisible ou imparable hors séquence annoncée.</x:v>
      </x:c>
      <x:c r="O12" s="7" t="str">
        <x:v>INV-EN-BOARDING</x:v>
      </x:c>
      <x:c r="P12" s="7" t="str">
        <x:v>Pattern original; pas de valeur numérique canon.</x:v>
      </x:c>
      <x:c r="Q12" s="7" t="str"/>
      <x:c r="R12" s="7" t="str"/>
      <x:c r="S12" s="7" t="str"/>
    </x:row>
  </x:sheetData>
  <x:conditionalFormatting sqref="D7:D12">
    <x:cfRule type="cellIs" dxfId="72" priority="1" operator="equal">
      <x:formula>"À vérifier"</x:formula>
    </x:cfRule>
    <x:cfRule type="cellIs" dxfId="73" priority="2" operator="equal">
      <x:formula>"Extrapolation"</x:formula>
    </x:cfRule>
  </x:conditionalFormatting>
  <x:conditionalFormatting sqref="C7:C12">
    <x:cfRule type="cellIs" dxfId="74" priority="3" operator="equal">
      <x:formula>"Validé"</x:formula>
    </x:cfRule>
  </x:conditionalFormatting>
  <x:conditionalFormatting sqref="E7:E12">
    <x:cfRule type="cellIs" dxfId="7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64fd9344568541f4"/>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Invasion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INV-ANI-ARIA</x:v>
      </x:c>
      <x:c r="B7" s="9" t="str">
        <x:v>Aria T’Loak — jeu de poses</x:v>
      </x:c>
      <x:c r="C7" s="15" t="str">
        <x:v>Défini</x:v>
      </x:c>
      <x:c r="D7" s="16" t="str">
        <x:v>Extrapolation</x:v>
      </x:c>
      <x:c r="E7" s="16" t="str">
        <x:v>P1</x:v>
      </x:c>
      <x:c r="F7" s="9" t="str">
        <x:v>Définir les transitions propres au rôle de Aria T’Loak.</x:v>
      </x:c>
      <x:c r="G7" s="9" t="str">
        <x:v>Cheffe de groupe; contrôle d’espace et ordres de repli.</x:v>
      </x:c>
      <x:c r="H7" s="9" t="str"/>
      <x:c r="I7" s="9" t="str">
        <x:v>Silhouette asari tendue, veste de combat et accents violets; tenue à vérifier.</x:v>
      </x:c>
      <x:c r="J7" s="9" t="str">
        <x:v>Appui ferme, poussée large, geste d’ordre et recul contrôlé.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INV/ARIA; paramètres direction, locomotion, accessoire et interruption.</x:v>
      </x:c>
      <x:c r="M7" s="9" t="str">
        <x:v>Conserver le raccord d’occupation d’Omega et le départ d’Aria; une victoire tactique locale ne permet pas de gagner une guerre contraire au comic.</x:v>
      </x:c>
      <x:c r="N7" s="9" t="str">
        <x:v>Un enchaînement déplacement → interaction → interruption → reprise conserve le pivot et les accessoires de Aria T’Loak.</x:v>
      </x:c>
      <x:c r="O7" s="9" t="str">
        <x:v>INV-ACT-ARIA, INV-SPR-ARIA</x:v>
      </x:c>
      <x:c r="P7" s="9" t="str">
        <x:v>Conception originale, aucune cadence extraite du comic.</x:v>
      </x:c>
      <x:c r="Q7" s="9" t="str"/>
      <x:c r="R7" s="9" t="str"/>
      <x:c r="S7" s="9" t="str"/>
    </x:row>
    <x:row r="8" ht="68" customHeight="1">
      <x:c r="A8" s="19" t="str">
        <x:v>INV-ANI-PETROVSKY</x:v>
      </x:c>
      <x:c r="B8" s="7" t="str">
        <x:v>Oleg Petrovsky — jeu de poses</x:v>
      </x:c>
      <x:c r="C8" s="15" t="str">
        <x:v>Défini</x:v>
      </x:c>
      <x:c r="D8" s="17" t="str">
        <x:v>Extrapolation</x:v>
      </x:c>
      <x:c r="E8" s="17" t="str">
        <x:v>P1</x:v>
      </x:c>
      <x:c r="F8" s="7" t="str">
        <x:v>Définir les transitions propres au rôle de Oleg Petrovsky.</x:v>
      </x:c>
      <x:c r="G8" s="7" t="str">
        <x:v>Allié circonstanciel puis adversaire stratégique; décisions à distance.</x:v>
      </x:c>
      <x:c r="H8" s="7" t="str"/>
      <x:c r="I8" s="7" t="str">
        <x:v>Officier humain au port formel, uniforme clair/sombre et décor de passerelle.</x:v>
      </x:c>
      <x:c r="J8" s="7" t="str">
        <x:v>Observation d’une carte, ordre bref et mains jointes.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INV/PETROVSKY; paramètres direction, locomotion, accessoire et interruption.</x:v>
      </x:c>
      <x:c r="M8" s="7" t="str">
        <x:v>Conserver le raccord d’occupation d’Omega et le départ d’Aria; une victoire tactique locale ne permet pas de gagner une guerre contraire au comic.</x:v>
      </x:c>
      <x:c r="N8" s="7" t="str">
        <x:v>Un enchaînement déplacement → interaction → interruption → reprise conserve le pivot et les accessoires de Oleg Petrovsky.</x:v>
      </x:c>
      <x:c r="O8" s="7" t="str">
        <x:v>INV-ACT-PETROVSKY, INV-SPR-PETROVSKY</x:v>
      </x:c>
      <x:c r="P8" s="7" t="str">
        <x:v>Conception originale, aucune cadence extraite du comic.</x:v>
      </x:c>
      <x:c r="Q8" s="7" t="str"/>
      <x:c r="R8" s="7" t="str"/>
      <x:c r="S8" s="7" t="str"/>
    </x:row>
    <x:row r="9" ht="68" customHeight="1">
      <x:c r="A9" s="18" t="str">
        <x:v>INV-ANI-ASHE</x:v>
      </x:c>
      <x:c r="B9" s="9" t="str">
        <x:v>Raymond Ashe — jeu de poses</x:v>
      </x:c>
      <x:c r="C9" s="15" t="str">
        <x:v>Défini</x:v>
      </x:c>
      <x:c r="D9" s="16" t="str">
        <x:v>Extrapolation</x:v>
      </x:c>
      <x:c r="E9" s="16" t="str">
        <x:v>P1</x:v>
      </x:c>
      <x:c r="F9" s="9" t="str">
        <x:v>Définir les transitions propres au rôle de Raymond Ashe.</x:v>
      </x:c>
      <x:c r="G9" s="9" t="str">
        <x:v>Figure de pression militaire, distincte de la prudence du général.</x:v>
      </x:c>
      <x:c r="H9" s="9" t="str"/>
      <x:c r="I9" s="9" t="str">
        <x:v>Officier plus anguleux et posture avancée; grades exacts à contrôler.</x:v>
      </x:c>
      <x:c r="J9" s="9" t="str">
        <x:v>Pointage énergique, mouvement brusque et activation d’un panneau.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INV/ASHE; paramètres direction, locomotion, accessoire et interruption.</x:v>
      </x:c>
      <x:c r="M9" s="9" t="str">
        <x:v>Conserver le raccord d’occupation d’Omega et le départ d’Aria; une victoire tactique locale ne permet pas de gagner une guerre contraire au comic.</x:v>
      </x:c>
      <x:c r="N9" s="9" t="str">
        <x:v>Un enchaînement déplacement → interaction → interruption → reprise conserve le pivot et les accessoires de Raymond Ashe.</x:v>
      </x:c>
      <x:c r="O9" s="9" t="str">
        <x:v>INV-ACT-ASHE, INV-SPR-ASHE</x:v>
      </x:c>
      <x:c r="P9" s="9" t="str">
        <x:v>Conception originale, aucune cadence extraite du comic.</x:v>
      </x:c>
      <x:c r="Q9" s="9" t="str"/>
      <x:c r="R9" s="9" t="str"/>
      <x:c r="S9" s="9" t="str"/>
    </x:row>
    <x:row r="10" ht="68" customHeight="1">
      <x:c r="A10" s="19" t="str">
        <x:v>INV-ANI-TIM</x:v>
      </x:c>
      <x:c r="B10" s="7" t="str">
        <x:v>L’Homme trouble — jeu de poses</x:v>
      </x:c>
      <x:c r="C10" s="15" t="str">
        <x:v>Défini</x:v>
      </x:c>
      <x:c r="D10" s="17" t="str">
        <x:v>Extrapolation</x:v>
      </x:c>
      <x:c r="E10" s="17" t="str">
        <x:v>P1</x:v>
      </x:c>
      <x:c r="F10" s="7" t="str">
        <x:v>Définir les transitions propres au rôle de L’Homme trouble.</x:v>
      </x:c>
      <x:c r="G10" s="7" t="str">
        <x:v>Interlocuteur distant; garder son information hors de la connaissance du joueur.</x:v>
      </x:c>
      <x:c r="H10" s="7" t="str"/>
      <x:c r="I10" s="7" t="str">
        <x:v>Hologramme à fort contre-jour et visage calme.</x:v>
      </x:c>
      <x:c r="J10" s="7" t="str">
        <x:v>Immobile, interruption du signal et reprise mesurée.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INV/TIM; paramètres direction, locomotion, accessoire et interruption.</x:v>
      </x:c>
      <x:c r="M10" s="7" t="str">
        <x:v>Conserver le raccord d’occupation d’Omega et le départ d’Aria; une victoire tactique locale ne permet pas de gagner une guerre contraire au comic.</x:v>
      </x:c>
      <x:c r="N10" s="7" t="str">
        <x:v>Un enchaînement déplacement → interaction → interruption → reprise conserve le pivot et les accessoires de L’Homme trouble.</x:v>
      </x:c>
      <x:c r="O10" s="7" t="str">
        <x:v>INV-ACT-TIM, INV-SPR-TIM</x:v>
      </x:c>
      <x:c r="P10" s="7" t="str">
        <x:v>Conception originale, aucune cadence extraite du comic.</x:v>
      </x:c>
      <x:c r="Q10" s="7" t="str"/>
      <x:c r="R10" s="7" t="str"/>
      <x:c r="S10" s="7" t="str"/>
    </x:row>
    <x:row r="11" ht="68" customHeight="1">
      <x:c r="A11" s="18" t="str">
        <x:v>INV-ANI-DEFENDERS</x:v>
      </x:c>
      <x:c r="B11" s="9" t="str">
        <x:v>Défenseurs d’Omega — jeu de poses</x:v>
      </x:c>
      <x:c r="C11" s="15" t="str">
        <x:v>Défini</x:v>
      </x:c>
      <x:c r="D11" s="16" t="str">
        <x:v>Extrapolation</x:v>
      </x:c>
      <x:c r="E11" s="16" t="str">
        <x:v>P1</x:v>
      </x:c>
      <x:c r="F11" s="9" t="str">
        <x:v>Définir les transitions propres au rôle de Défenseurs d’Omega.</x:v>
      </x:c>
      <x:c r="G11" s="9" t="str">
        <x:v>Soutien collectif original; rôles limités à la station.</x:v>
      </x:c>
      <x:c r="H11" s="9" t="str"/>
      <x:c r="I11" s="9" t="str">
        <x:v>Armures et espèces variées, brassard de rôle temporaire inventé.</x:v>
      </x:c>
      <x:c r="J11" s="9" t="str">
        <x:v>Port de matériel, couverture et appel au repli. Décomposer anticipation, action, retour et interruption; garder un état neutre utilisable après une cinématique sautée.</x:v>
      </x:c>
      <x:c r="K11" s="9" t="str">
        <x:v>Associer les contacts de sol ou de siège à des événements; éviter le bruitage répété sur une pose tenue.</x:v>
      </x:c>
      <x:c r="L11" s="9" t="str">
        <x:v>Table d'animation prévue INV/DEFENDERS; paramètres direction, locomotion, accessoire et interruption.</x:v>
      </x:c>
      <x:c r="M11" s="9" t="str">
        <x:v>Conserver le raccord d’occupation d’Omega et le départ d’Aria; une victoire tactique locale ne permet pas de gagner une guerre contraire au comic.</x:v>
      </x:c>
      <x:c r="N11" s="9" t="str">
        <x:v>Un enchaînement déplacement → interaction → interruption → reprise conserve le pivot et les accessoires de Défenseurs d’Omega.</x:v>
      </x:c>
      <x:c r="O11" s="9" t="str">
        <x:v>INV-ACT-DEFENDERS, INV-SPR-DEFENDERS</x:v>
      </x:c>
      <x:c r="P11" s="9" t="str">
        <x:v>Conception originale, aucune cadence extraite du comic.</x:v>
      </x:c>
      <x:c r="Q11" s="9" t="str"/>
      <x:c r="R11" s="9" t="str"/>
      <x:c r="S11" s="9" t="str"/>
    </x:row>
  </x:sheetData>
  <x:conditionalFormatting sqref="D7:D11">
    <x:cfRule type="cellIs" dxfId="76" priority="1" operator="equal">
      <x:formula>"À vérifier"</x:formula>
    </x:cfRule>
    <x:cfRule type="cellIs" dxfId="77" priority="2" operator="equal">
      <x:formula>"Extrapolation"</x:formula>
    </x:cfRule>
  </x:conditionalFormatting>
  <x:conditionalFormatting sqref="C7:C11">
    <x:cfRule type="cellIs" dxfId="78" priority="3" operator="equal">
      <x:formula>"Validé"</x:formula>
    </x:cfRule>
  </x:conditionalFormatting>
  <x:conditionalFormatting sqref="E7:E11">
    <x:cfRule type="cellIs" dxfId="79"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716523f2aac347c8"/>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Invasion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INV-SPR-ARIA</x:v>
      </x:c>
      <x:c r="B7" s="9" t="str">
        <x:v>Aria T’Loak — planche de sprites</x:v>
      </x:c>
      <x:c r="C7" s="15" t="str">
        <x:v>Défini</x:v>
      </x:c>
      <x:c r="D7" s="16" t="str">
        <x:v>Extrapolation</x:v>
      </x:c>
      <x:c r="E7" s="16" t="str">
        <x:v>P1</x:v>
      </x:c>
      <x:c r="F7" s="9" t="str">
        <x:v>Produire une silhouette lisible pour Aria T’Loak dans le module Invasion.</x:v>
      </x:c>
      <x:c r="G7" s="9" t="str">
        <x:v>Cheffe de groupe; contrôle d’espace et ordres de repli.</x:v>
      </x:c>
      <x:c r="H7" s="9" t="str"/>
      <x:c r="I7" s="9" t="str">
        <x:v>Silhouette asari tendue, veste de combat et accents violets; tenue à vérifier. Prévoir face, dos et profils trois-quarts; conserver le même pivot de pieds dans chaque pose.</x:v>
      </x:c>
      <x:c r="J7" s="9" t="str">
        <x:v>Appui ferme, poussée large, geste d’ordre et recul contrôlé. Séparer arme/objet tenu du corps lorsque le changement de main est nécessaire.</x:v>
      </x:c>
      <x:c r="K7" s="9" t="str"/>
      <x:c r="L7" s="9" t="str">
        <x:v>Atlas prévu inv/actors/aria; métadonnées pivot, masque d'occlusion, orientation et état. Aucun fichier de sprite n'est livré par ce catalogue.</x:v>
      </x:c>
      <x:c r="M7" s="9" t="str">
        <x:v>Conserver le raccord d’occupation d’Omega et le départ d’Aria; une victoire tactique locale ne permet pas de gagner une guerre contraire au comic.</x:v>
      </x:c>
      <x:c r="N7" s="9" t="str">
        <x:v>La planche permet d'identifier Aria T’Loak sans portrait UI à l'échelle de jeu; pieds stables devant les occultations du décor 3D.</x:v>
      </x:c>
      <x:c r="O7" s="9" t="str">
        <x:v>INV-ACT-ARIA</x:v>
      </x:c>
      <x:c r="P7" s="9" t="str">
        <x:v>Conception originale; référence visuelle du personnage à contrôler.</x:v>
      </x:c>
      <x:c r="Q7" s="9" t="str"/>
      <x:c r="R7" s="9" t="str"/>
      <x:c r="S7" s="9" t="str"/>
    </x:row>
    <x:row r="8" ht="68" customHeight="1">
      <x:c r="A8" s="19" t="str">
        <x:v>INV-SPR-PETROVSKY</x:v>
      </x:c>
      <x:c r="B8" s="7" t="str">
        <x:v>Oleg Petrovsky — planche de sprites</x:v>
      </x:c>
      <x:c r="C8" s="15" t="str">
        <x:v>Défini</x:v>
      </x:c>
      <x:c r="D8" s="17" t="str">
        <x:v>Extrapolation</x:v>
      </x:c>
      <x:c r="E8" s="17" t="str">
        <x:v>P1</x:v>
      </x:c>
      <x:c r="F8" s="7" t="str">
        <x:v>Produire une silhouette lisible pour Oleg Petrovsky dans le module Invasion.</x:v>
      </x:c>
      <x:c r="G8" s="7" t="str">
        <x:v>Allié circonstanciel puis adversaire stratégique; décisions à distance.</x:v>
      </x:c>
      <x:c r="H8" s="7" t="str"/>
      <x:c r="I8" s="7" t="str">
        <x:v>Officier humain au port formel, uniforme clair/sombre et décor de passerelle. Prévoir face, dos et profils trois-quarts; conserver le même pivot de pieds dans chaque pose.</x:v>
      </x:c>
      <x:c r="J8" s="7" t="str">
        <x:v>Observation d’une carte, ordre bref et mains jointes. Séparer arme/objet tenu du corps lorsque le changement de main est nécessaire.</x:v>
      </x:c>
      <x:c r="K8" s="7" t="str"/>
      <x:c r="L8" s="7" t="str">
        <x:v>Atlas prévu inv/actors/petrovsky; métadonnées pivot, masque d'occlusion, orientation et état. Aucun fichier de sprite n'est livré par ce catalogue.</x:v>
      </x:c>
      <x:c r="M8" s="7" t="str">
        <x:v>Conserver le raccord d’occupation d’Omega et le départ d’Aria; une victoire tactique locale ne permet pas de gagner une guerre contraire au comic.</x:v>
      </x:c>
      <x:c r="N8" s="7" t="str">
        <x:v>La planche permet d'identifier Oleg Petrovsky sans portrait UI à l'échelle de jeu; pieds stables devant les occultations du décor 3D.</x:v>
      </x:c>
      <x:c r="O8" s="7" t="str">
        <x:v>INV-ACT-PETROVSKY</x:v>
      </x:c>
      <x:c r="P8" s="7" t="str">
        <x:v>Conception originale; référence visuelle du personnage à contrôler.</x:v>
      </x:c>
      <x:c r="Q8" s="7" t="str"/>
      <x:c r="R8" s="7" t="str"/>
      <x:c r="S8" s="7" t="str"/>
    </x:row>
    <x:row r="9" ht="68" customHeight="1">
      <x:c r="A9" s="18" t="str">
        <x:v>INV-SPR-ASHE</x:v>
      </x:c>
      <x:c r="B9" s="9" t="str">
        <x:v>Raymond Ashe — planche de sprites</x:v>
      </x:c>
      <x:c r="C9" s="15" t="str">
        <x:v>Défini</x:v>
      </x:c>
      <x:c r="D9" s="16" t="str">
        <x:v>Extrapolation</x:v>
      </x:c>
      <x:c r="E9" s="16" t="str">
        <x:v>P1</x:v>
      </x:c>
      <x:c r="F9" s="9" t="str">
        <x:v>Produire une silhouette lisible pour Raymond Ashe dans le module Invasion.</x:v>
      </x:c>
      <x:c r="G9" s="9" t="str">
        <x:v>Figure de pression militaire, distincte de la prudence du général.</x:v>
      </x:c>
      <x:c r="H9" s="9" t="str"/>
      <x:c r="I9" s="9" t="str">
        <x:v>Officier plus anguleux et posture avancée; grades exacts à contrôler. Prévoir face, dos et profils trois-quarts; conserver le même pivot de pieds dans chaque pose.</x:v>
      </x:c>
      <x:c r="J9" s="9" t="str">
        <x:v>Pointage énergique, mouvement brusque et activation d’un panneau. Séparer arme/objet tenu du corps lorsque le changement de main est nécessaire.</x:v>
      </x:c>
      <x:c r="K9" s="9" t="str"/>
      <x:c r="L9" s="9" t="str">
        <x:v>Atlas prévu inv/actors/ashe; métadonnées pivot, masque d'occlusion, orientation et état. Aucun fichier de sprite n'est livré par ce catalogue.</x:v>
      </x:c>
      <x:c r="M9" s="9" t="str">
        <x:v>Conserver le raccord d’occupation d’Omega et le départ d’Aria; une victoire tactique locale ne permet pas de gagner une guerre contraire au comic.</x:v>
      </x:c>
      <x:c r="N9" s="9" t="str">
        <x:v>La planche permet d'identifier Raymond Ashe sans portrait UI à l'échelle de jeu; pieds stables devant les occultations du décor 3D.</x:v>
      </x:c>
      <x:c r="O9" s="9" t="str">
        <x:v>INV-ACT-ASHE</x:v>
      </x:c>
      <x:c r="P9" s="9" t="str">
        <x:v>Conception originale; référence visuelle du personnage à contrôler.</x:v>
      </x:c>
      <x:c r="Q9" s="9" t="str"/>
      <x:c r="R9" s="9" t="str"/>
      <x:c r="S9" s="9" t="str"/>
    </x:row>
    <x:row r="10" ht="54" customHeight="1">
      <x:c r="A10" s="19" t="str">
        <x:v>INV-SPR-TIM</x:v>
      </x:c>
      <x:c r="B10" s="7" t="str">
        <x:v>L’Homme trouble — planche de sprites</x:v>
      </x:c>
      <x:c r="C10" s="15" t="str">
        <x:v>Défini</x:v>
      </x:c>
      <x:c r="D10" s="17" t="str">
        <x:v>Extrapolation</x:v>
      </x:c>
      <x:c r="E10" s="17" t="str">
        <x:v>P1</x:v>
      </x:c>
      <x:c r="F10" s="7" t="str">
        <x:v>Produire une silhouette lisible pour L’Homme trouble dans le module Invasion.</x:v>
      </x:c>
      <x:c r="G10" s="7" t="str">
        <x:v>Interlocuteur distant; garder son information hors de la connaissance du joueur.</x:v>
      </x:c>
      <x:c r="H10" s="7" t="str"/>
      <x:c r="I10" s="7" t="str">
        <x:v>Hologramme à fort contre-jour et visage calme. Prévoir face, dos et profils trois-quarts; conserver le même pivot de pieds dans chaque pose.</x:v>
      </x:c>
      <x:c r="J10" s="7" t="str">
        <x:v>Immobile, interruption du signal et reprise mesurée. Séparer arme/objet tenu du corps lorsque le changement de main est nécessaire.</x:v>
      </x:c>
      <x:c r="K10" s="7" t="str"/>
      <x:c r="L10" s="7" t="str">
        <x:v>Atlas prévu inv/actors/tim; métadonnées pivot, masque d'occlusion, orientation et état. Aucun fichier de sprite n'est livré par ce catalogue.</x:v>
      </x:c>
      <x:c r="M10" s="7" t="str">
        <x:v>Conserver le raccord d’occupation d’Omega et le départ d’Aria; une victoire tactique locale ne permet pas de gagner une guerre contraire au comic.</x:v>
      </x:c>
      <x:c r="N10" s="7" t="str">
        <x:v>La planche permet d'identifier L’Homme trouble sans portrait UI à l'échelle de jeu; pieds stables devant les occultations du décor 3D.</x:v>
      </x:c>
      <x:c r="O10" s="7" t="str">
        <x:v>INV-ACT-TIM</x:v>
      </x:c>
      <x:c r="P10" s="7" t="str">
        <x:v>Conception originale; référence visuelle du personnage à contrôler.</x:v>
      </x:c>
      <x:c r="Q10" s="7" t="str"/>
      <x:c r="R10" s="7" t="str"/>
      <x:c r="S10" s="7" t="str"/>
    </x:row>
    <x:row r="11" ht="68" customHeight="1">
      <x:c r="A11" s="18" t="str">
        <x:v>INV-SPR-DEFENDERS</x:v>
      </x:c>
      <x:c r="B11" s="9" t="str">
        <x:v>Défenseurs d’Omega — planche de sprites</x:v>
      </x:c>
      <x:c r="C11" s="15" t="str">
        <x:v>Défini</x:v>
      </x:c>
      <x:c r="D11" s="16" t="str">
        <x:v>Extrapolation</x:v>
      </x:c>
      <x:c r="E11" s="16" t="str">
        <x:v>P1</x:v>
      </x:c>
      <x:c r="F11" s="9" t="str">
        <x:v>Produire une silhouette lisible pour Défenseurs d’Omega dans le module Invasion.</x:v>
      </x:c>
      <x:c r="G11" s="9" t="str">
        <x:v>Soutien collectif original; rôles limités à la station.</x:v>
      </x:c>
      <x:c r="H11" s="9" t="str"/>
      <x:c r="I11" s="9" t="str">
        <x:v>Armures et espèces variées, brassard de rôle temporaire inventé. Prévoir face, dos et profils trois-quarts; conserver le même pivot de pieds dans chaque pose.</x:v>
      </x:c>
      <x:c r="J11" s="9" t="str">
        <x:v>Port de matériel, couverture et appel au repli. Séparer arme/objet tenu du corps lorsque le changement de main est nécessaire.</x:v>
      </x:c>
      <x:c r="K11" s="9" t="str"/>
      <x:c r="L11" s="9" t="str">
        <x:v>Atlas prévu inv/actors/defenders; métadonnées pivot, masque d'occlusion, orientation et état. Aucun fichier de sprite n'est livré par ce catalogue.</x:v>
      </x:c>
      <x:c r="M11" s="9" t="str">
        <x:v>Conserver le raccord d’occupation d’Omega et le départ d’Aria; une victoire tactique locale ne permet pas de gagner une guerre contraire au comic.</x:v>
      </x:c>
      <x:c r="N11" s="9" t="str">
        <x:v>La planche permet d'identifier Défenseurs d’Omega sans portrait UI à l'échelle de jeu; pieds stables devant les occultations du décor 3D.</x:v>
      </x:c>
      <x:c r="O11" s="9" t="str">
        <x:v>INV-ACT-DEFENDERS</x:v>
      </x:c>
      <x:c r="P11" s="9" t="str">
        <x:v>Conception originale; référence visuelle du personnage à contrôler.</x:v>
      </x:c>
      <x:c r="Q11" s="9" t="str"/>
      <x:c r="R11" s="9" t="str"/>
      <x:c r="S11" s="9" t="str"/>
    </x:row>
  </x:sheetData>
  <x:conditionalFormatting sqref="D7:D11">
    <x:cfRule type="cellIs" dxfId="80" priority="1" operator="equal">
      <x:formula>"À vérifier"</x:formula>
    </x:cfRule>
    <x:cfRule type="cellIs" dxfId="81" priority="2" operator="equal">
      <x:formula>"Extrapolation"</x:formula>
    </x:cfRule>
  </x:conditionalFormatting>
  <x:conditionalFormatting sqref="C7:C11">
    <x:cfRule type="cellIs" dxfId="82" priority="3" operator="equal">
      <x:formula>"Validé"</x:formula>
    </x:cfRule>
  </x:conditionalFormatting>
  <x:conditionalFormatting sqref="E7:E11">
    <x:cfRule type="cellIs" dxfId="83"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9f7e03e65a464c90"/>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Invasion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INV-SC-BREACH-VFX</x:v>
      </x:c>
      <x:c r="B7" s="9" t="str">
        <x:v>Alerte sur les quais — signal visuel</x:v>
      </x:c>
      <x:c r="C7" s="15" t="str">
        <x:v>Défini</x:v>
      </x:c>
      <x:c r="D7" s="16" t="str">
        <x:v>Extrapolation</x:v>
      </x:c>
      <x:c r="E7" s="16" t="str">
        <x:v>P1</x:v>
      </x:c>
      <x:c r="F7" s="9" t="str">
        <x:v>Bord de menace hachuré qui progresse par segments, sans simulation médicale.</x:v>
      </x:c>
      <x:c r="G7" s="9" t="str">
        <x:v>Rendre lisibles les interactions propres à cette séquence à la taille réelle du jeu.</x:v>
      </x:c>
      <x:c r="H7" s="9" t="str"/>
      <x:c r="I7" s="9" t="str">
        <x:v>Bord de menace hachuré qui progresse par segments, sans simulation médicale.</x:v>
      </x:c>
      <x:c r="J7" s="9" t="str">
        <x:v>Anticipation séparée de l’impact; variante sans flash, sans secousse et à contraste renforcé.</x:v>
      </x:c>
      <x:c r="K7" s="9" t="str">
        <x:v>Clang de rampe puis alarme localisée.</x:v>
      </x:c>
      <x:c r="L7" s="9" t="str">
        <x:v>Émetteur proposé INV/BREACH/vfx; ancrage sur monde 3D et tri compatible avec les sprites; options de confort indépendantes.</x:v>
      </x:c>
      <x:c r="M7" s="9" t="str">
        <x:v>Conserver le raccord d’occupation d’Omega et le départ d’Aria; une victoire tactique locale ne permet pas de gagner une guerre contraire au comic.</x:v>
      </x:c>
      <x:c r="N7" s="9" t="str">
        <x:v>Le signal reste identifiable en pause et sans son; aucun flash plein écran indispensable pour comprendre la résolution.</x:v>
      </x:c>
      <x:c r="O7" s="9" t="str">
        <x:v>INV-SC-BREACH-MAIN</x:v>
      </x:c>
      <x:c r="P7" s="9" t="str">
        <x:v>VFX original; intensité et timing à régler au prototype.</x:v>
      </x:c>
      <x:c r="Q7" s="9" t="str"/>
      <x:c r="R7" s="9" t="str"/>
      <x:c r="S7" s="9" t="str"/>
    </x:row>
    <x:row r="8" ht="54" customHeight="1">
      <x:c r="A8" s="19" t="str">
        <x:v>INV-SC-ALLIANCE-VFX</x:v>
      </x:c>
      <x:c r="B8" s="7" t="str">
        <x:v>Coordination de circonstance — signal visuel</x:v>
      </x:c>
      <x:c r="C8" s="15" t="str">
        <x:v>Défini</x:v>
      </x:c>
      <x:c r="D8" s="17" t="str">
        <x:v>Extrapolation</x:v>
      </x:c>
      <x:c r="E8" s="17" t="str">
        <x:v>P1</x:v>
      </x:c>
      <x:c r="F8" s="7" t="str">
        <x:v>Traits distincts pour forces locales et Cerberus, avec motifs non fondés seulement sur la couleur.</x:v>
      </x:c>
      <x:c r="G8" s="7" t="str">
        <x:v>Rendre lisibles les interactions propres à cette séquence à la taille réelle du jeu.</x:v>
      </x:c>
      <x:c r="H8" s="7" t="str"/>
      <x:c r="I8" s="7" t="str">
        <x:v>Traits distincts pour forces locales et Cerberus, avec motifs non fondés seulement sur la couleur.</x:v>
      </x:c>
      <x:c r="J8" s="7" t="str">
        <x:v>Anticipation séparée de l’impact; variante sans flash, sans secousse et à contraste renforcé.</x:v>
      </x:c>
      <x:c r="K8" s="7" t="str">
        <x:v>Ordres brefs et moteur grave régulier.</x:v>
      </x:c>
      <x:c r="L8" s="7" t="str">
        <x:v>Émetteur proposé INV/ALLIANCE/vfx; ancrage sur monde 3D et tri compatible avec les sprites; options de confort indépendantes.</x:v>
      </x:c>
      <x:c r="M8" s="7" t="str">
        <x:v>Conserver le raccord d’occupation d’Omega et le départ d’Aria; une victoire tactique locale ne permet pas de gagner une guerre contraire au comic.</x:v>
      </x:c>
      <x:c r="N8" s="7" t="str">
        <x:v>Le signal reste identifiable en pause et sans son; aucun flash plein écran indispensable pour comprendre la résolution.</x:v>
      </x:c>
      <x:c r="O8" s="7" t="str">
        <x:v>INV-SC-ALLIANCE-MAIN</x:v>
      </x:c>
      <x:c r="P8" s="7" t="str">
        <x:v>VFX original; intensité et timing à régler au prototype.</x:v>
      </x:c>
      <x:c r="Q8" s="7" t="str"/>
      <x:c r="R8" s="7" t="str"/>
      <x:c r="S8" s="7" t="str"/>
    </x:row>
    <x:row r="9" ht="54" customHeight="1">
      <x:c r="A9" s="18" t="str">
        <x:v>INV-SC-AVERNUS-VFX</x:v>
      </x:c>
      <x:c r="B9" s="9" t="str">
        <x:v>Confinement à Avernus — signal visuel</x:v>
      </x:c>
      <x:c r="C9" s="15" t="str">
        <x:v>Défini</x:v>
      </x:c>
      <x:c r="D9" s="16" t="str">
        <x:v>Extrapolation</x:v>
      </x:c>
      <x:c r="E9" s="16" t="str">
        <x:v>P1</x:v>
      </x:c>
      <x:c r="F9" s="9" t="str">
        <x:v>Lumière de joint et carte des compartiments fermés, sans particules opaques.</x:v>
      </x:c>
      <x:c r="G9" s="9" t="str">
        <x:v>Rendre lisibles les interactions propres à cette séquence à la taille réelle du jeu.</x:v>
      </x:c>
      <x:c r="H9" s="9" t="str"/>
      <x:c r="I9" s="9" t="str">
        <x:v>Lumière de joint et carte des compartiments fermés, sans particules opaques.</x:v>
      </x:c>
      <x:c r="J9" s="9" t="str">
        <x:v>Anticipation séparée de l’impact; variante sans flash, sans secousse et à contraste renforcé.</x:v>
      </x:c>
      <x:c r="K9" s="9" t="str">
        <x:v>Pulsation de ventilation qui s’arrête après chaque fermeture.</x:v>
      </x:c>
      <x:c r="L9" s="9" t="str">
        <x:v>Émetteur proposé INV/AVERNUS/vfx; ancrage sur monde 3D et tri compatible avec les sprites; options de confort indépendantes.</x:v>
      </x:c>
      <x:c r="M9" s="9" t="str">
        <x:v>Conserver le raccord d’occupation d’Omega et le départ d’Aria; une victoire tactique locale ne permet pas de gagner une guerre contraire au comic.</x:v>
      </x:c>
      <x:c r="N9" s="9" t="str">
        <x:v>Le signal reste identifiable en pause et sans son; aucun flash plein écran indispensable pour comprendre la résolution.</x:v>
      </x:c>
      <x:c r="O9" s="9" t="str">
        <x:v>INV-SC-AVERNUS-MAIN</x:v>
      </x:c>
      <x:c r="P9" s="9" t="str">
        <x:v>VFX original; intensité et timing à régler au prototype.</x:v>
      </x:c>
      <x:c r="Q9" s="9" t="str"/>
      <x:c r="R9" s="9" t="str"/>
      <x:c r="S9" s="9" t="str"/>
    </x:row>
    <x:row r="10" ht="54" customHeight="1">
      <x:c r="A10" s="19" t="str">
        <x:v>INV-SC-RETURN-VFX</x:v>
      </x:c>
      <x:c r="B10" s="7" t="str">
        <x:v>Retour dans une station contestée — signal visuel</x:v>
      </x:c>
      <x:c r="C10" s="15" t="str">
        <x:v>Défini</x:v>
      </x:c>
      <x:c r="D10" s="17" t="str">
        <x:v>Extrapolation</x:v>
      </x:c>
      <x:c r="E10" s="17" t="str">
        <x:v>P1</x:v>
      </x:c>
      <x:c r="F10" s="7" t="str">
        <x:v>Marquage d’occupation qui ne masque pas les sorties.</x:v>
      </x:c>
      <x:c r="G10" s="7" t="str">
        <x:v>Rendre lisibles les interactions propres à cette séquence à la taille réelle du jeu.</x:v>
      </x:c>
      <x:c r="H10" s="7" t="str"/>
      <x:c r="I10" s="7" t="str">
        <x:v>Marquage d’occupation qui ne masque pas les sorties.</x:v>
      </x:c>
      <x:c r="J10" s="7" t="str">
        <x:v>Anticipation séparée de l’impact; variante sans flash, sans secousse et à contraste renforcé.</x:v>
      </x:c>
      <x:c r="K10" s="7" t="str">
        <x:v>Radio militaire au premier plan et ancienne ambiance étouffée.</x:v>
      </x:c>
      <x:c r="L10" s="7" t="str">
        <x:v>Émetteur proposé INV/RETURN/vfx; ancrage sur monde 3D et tri compatible avec les sprites; options de confort indépendantes.</x:v>
      </x:c>
      <x:c r="M10" s="7" t="str">
        <x:v>Conserver le raccord d’occupation d’Omega et le départ d’Aria; une victoire tactique locale ne permet pas de gagner une guerre contraire au comic.</x:v>
      </x:c>
      <x:c r="N10" s="7" t="str">
        <x:v>Le signal reste identifiable en pause et sans son; aucun flash plein écran indispensable pour comprendre la résolution.</x:v>
      </x:c>
      <x:c r="O10" s="7" t="str">
        <x:v>INV-SC-RETURN-MAIN</x:v>
      </x:c>
      <x:c r="P10" s="7" t="str">
        <x:v>VFX original; intensité et timing à régler au prototype.</x:v>
      </x:c>
      <x:c r="Q10" s="7" t="str"/>
      <x:c r="R10" s="7" t="str"/>
      <x:c r="S10" s="7" t="str"/>
    </x:row>
    <x:row r="11" ht="54" customHeight="1">
      <x:c r="A11" s="18" t="str">
        <x:v>INV-SC-TRAP-VFX</x:v>
      </x:c>
      <x:c r="B11" s="9" t="str">
        <x:v>Piège d’Afterlife — signal visuel</x:v>
      </x:c>
      <x:c r="C11" s="15" t="str">
        <x:v>Défini</x:v>
      </x:c>
      <x:c r="D11" s="16" t="str">
        <x:v>Extrapolation</x:v>
      </x:c>
      <x:c r="E11" s="16" t="str">
        <x:v>P1</x:v>
      </x:c>
      <x:c r="F11" s="9" t="str">
        <x:v>Trajectoire de projection en pointillés, point d’impact marqué avant confirmation.</x:v>
      </x:c>
      <x:c r="G11" s="9" t="str">
        <x:v>Rendre lisibles les interactions propres à cette séquence à la taille réelle du jeu.</x:v>
      </x:c>
      <x:c r="H11" s="9" t="str"/>
      <x:c r="I11" s="9" t="str">
        <x:v>Trajectoire de projection en pointillés, point d’impact marqué avant confirmation.</x:v>
      </x:c>
      <x:c r="J11" s="9" t="str">
        <x:v>Anticipation séparée de l’impact; variante sans flash, sans secousse et à contraste renforcé.</x:v>
      </x:c>
      <x:c r="K11" s="9" t="str">
        <x:v>Coupe de la musique, mouvement lourd et alarmes brèves.</x:v>
      </x:c>
      <x:c r="L11" s="9" t="str">
        <x:v>Émetteur proposé INV/TRAP/vfx; ancrage sur monde 3D et tri compatible avec les sprites; options de confort indépendantes.</x:v>
      </x:c>
      <x:c r="M11" s="9" t="str">
        <x:v>Conserver le raccord d’occupation d’Omega et le départ d’Aria; une victoire tactique locale ne permet pas de gagner une guerre contraire au comic.</x:v>
      </x:c>
      <x:c r="N11" s="9" t="str">
        <x:v>Le signal reste identifiable en pause et sans son; aucun flash plein écran indispensable pour comprendre la résolution.</x:v>
      </x:c>
      <x:c r="O11" s="9" t="str">
        <x:v>INV-SC-TRAP-MAIN</x:v>
      </x:c>
      <x:c r="P11" s="9" t="str">
        <x:v>VFX original; intensité et timing à régler au prototype.</x:v>
      </x:c>
      <x:c r="Q11" s="9" t="str"/>
      <x:c r="R11" s="9" t="str"/>
      <x:c r="S11" s="9" t="str"/>
    </x:row>
    <x:row r="12" ht="54" customHeight="1">
      <x:c r="A12" s="19" t="str">
        <x:v>INV-SC-EXILE-VFX</x:v>
      </x:c>
      <x:c r="B12" s="7" t="str">
        <x:v>Ultimatum et départ — signal visuel</x:v>
      </x:c>
      <x:c r="C12" s="15" t="str">
        <x:v>Défini</x:v>
      </x:c>
      <x:c r="D12" s="17" t="str">
        <x:v>Extrapolation</x:v>
      </x:c>
      <x:c r="E12" s="17" t="str">
        <x:v>P1</x:v>
      </x:c>
      <x:c r="F12" s="7" t="str">
        <x:v>La carte d’Omega change d’état d’occupation; aucune explosion ajoutée comme fin alternative.</x:v>
      </x:c>
      <x:c r="G12" s="7" t="str">
        <x:v>Rendre lisibles les interactions propres à cette séquence à la taille réelle du jeu.</x:v>
      </x:c>
      <x:c r="H12" s="7" t="str"/>
      <x:c r="I12" s="7" t="str">
        <x:v>La carte d’Omega change d’état d’occupation; aucune explosion ajoutée comme fin alternative.</x:v>
      </x:c>
      <x:c r="J12" s="7" t="str">
        <x:v>Anticipation séparée de l’impact; variante sans flash, sans secousse et à contraste renforcé.</x:v>
      </x:c>
      <x:c r="K12" s="7" t="str">
        <x:v>Thème original interrompu, moteur lent et silence de fin.</x:v>
      </x:c>
      <x:c r="L12" s="7" t="str">
        <x:v>Émetteur proposé INV/EXILE/vfx; ancrage sur monde 3D et tri compatible avec les sprites; options de confort indépendantes.</x:v>
      </x:c>
      <x:c r="M12" s="7" t="str">
        <x:v>Conserver le raccord d’occupation d’Omega et le départ d’Aria; une victoire tactique locale ne permet pas de gagner une guerre contraire au comic.</x:v>
      </x:c>
      <x:c r="N12" s="7" t="str">
        <x:v>Le signal reste identifiable en pause et sans son; aucun flash plein écran indispensable pour comprendre la résolution.</x:v>
      </x:c>
      <x:c r="O12" s="7" t="str">
        <x:v>INV-SC-EXILE-MAIN</x:v>
      </x:c>
      <x:c r="P12" s="7" t="str">
        <x:v>VFX original; intensité et timing à régler au prototype.</x:v>
      </x:c>
      <x:c r="Q12" s="7" t="str"/>
      <x:c r="R12" s="7" t="str"/>
      <x:c r="S12" s="7" t="str"/>
    </x:row>
  </x:sheetData>
  <x:conditionalFormatting sqref="D7:D12">
    <x:cfRule type="cellIs" dxfId="84" priority="1" operator="equal">
      <x:formula>"À vérifier"</x:formula>
    </x:cfRule>
    <x:cfRule type="cellIs" dxfId="85" priority="2" operator="equal">
      <x:formula>"Extrapolation"</x:formula>
    </x:cfRule>
  </x:conditionalFormatting>
  <x:conditionalFormatting sqref="C7:C12">
    <x:cfRule type="cellIs" dxfId="86" priority="3" operator="equal">
      <x:formula>"Validé"</x:formula>
    </x:cfRule>
  </x:conditionalFormatting>
  <x:conditionalFormatting sqref="E7:E12">
    <x:cfRule type="cellIs" dxfId="8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1d8e15184011454a"/>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Invasion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INV-AUD-OMEGA</x:v>
      </x:c>
      <x:c r="B7" s="9" t="str">
        <x:v>Omega — paysage sonore</x:v>
      </x:c>
      <x:c r="C7" s="15" t="str">
        <x:v>Défini</x:v>
      </x:c>
      <x:c r="D7" s="16" t="str">
        <x:v>Extrapolation</x:v>
      </x:c>
      <x:c r="E7" s="16" t="str">
        <x:v>P1</x:v>
      </x:c>
      <x:c r="F7" s="9" t="str">
        <x:v>Alarmes sectorielles, coque qui travaille et annonces de repli originales.</x:v>
      </x:c>
      <x:c r="G7" s="9" t="str">
        <x:v>Défense de territoire et de routes de repli.</x:v>
      </x:c>
      <x:c r="H7" s="9" t="str">
        <x:v>Doubler les alarmes utiles par texte, symbole ou changement de pose; les bruits d’ambiance ne portent pas seuls une information obligatoire.</x:v>
      </x:c>
      <x:c r="I7" s="9" t="str">
        <x:v>Métal noirci, lumière ambre et zones de danger à hachures.</x:v>
      </x:c>
      <x:c r="J7" s="9" t="str">
        <x:v>Déclencher les contacts mécaniques au mouvement visible; éviter les boucles désynchronisées des portes.</x:v>
      </x:c>
      <x:c r="K7" s="9" t="str">
        <x:v>Alarmes sectorielles, coque qui travaille et annonces de repli originales. Composer une ambiance originale en couches fond / activité / danger, avec réglage indépendant des voix.</x:v>
      </x:c>
      <x:c r="L7" s="9" t="str">
        <x:v>Bus proposé INV/OMEGA; snapshots exploration, tension et dialogue; fondus après chargement.</x:v>
      </x:c>
      <x:c r="M7" s="9" t="str">
        <x:v>Conserver le raccord d’occupation d’Omega et le départ d’Aria; une victoire tactique locale ne permet pas de gagner une guerre contraire au comic.</x:v>
      </x:c>
      <x:c r="N7" s="9" t="str">
        <x:v>Un parcours muet reste compréhensible; l’entrée en dialogue baisse les ambiances sans couper brutalement leur réverbération.</x:v>
      </x:c>
      <x:c r="O7" s="9" t="str">
        <x:v>INV-ZONE-OMEGA</x:v>
      </x:c>
      <x:c r="P7" s="9" t="str">
        <x:v>Création sonore originale; aucune piste commerciale requise.</x:v>
      </x:c>
      <x:c r="Q7" s="9" t="str"/>
      <x:c r="R7" s="9" t="str"/>
      <x:c r="S7" s="9" t="str"/>
    </x:row>
    <x:row r="8" ht="68" customHeight="1">
      <x:c r="A8" s="19" t="str">
        <x:v>INV-AUD-ELBRUS</x:v>
      </x:c>
      <x:c r="B8" s="7" t="str">
        <x:v>Elbrus — paysage sonore</x:v>
      </x:c>
      <x:c r="C8" s="15" t="str">
        <x:v>Défini</x:v>
      </x:c>
      <x:c r="D8" s="17" t="str">
        <x:v>Extrapolation</x:v>
      </x:c>
      <x:c r="E8" s="17" t="str">
        <x:v>P1</x:v>
      </x:c>
      <x:c r="F8" s="7" t="str">
        <x:v>Basse de moteur stable et messages tactiques filtrés.</x:v>
      </x:c>
      <x:c r="G8" s="7" t="str">
        <x:v>Passerelle de coopération temporaire.</x:v>
      </x:c>
      <x:c r="H8" s="7" t="str">
        <x:v>Doubler les alarmes utiles par texte, symbole ou changement de pose; les bruits d’ambiance ne portent pas seuls une information obligatoire.</x:v>
      </x:c>
      <x:c r="I8" s="7" t="str">
        <x:v>Gris militaire, blanc directionnel et écrans lisibles.</x:v>
      </x:c>
      <x:c r="J8" s="7" t="str">
        <x:v>Déclencher les contacts mécaniques au mouvement visible; éviter les boucles désynchronisées des portes.</x:v>
      </x:c>
      <x:c r="K8" s="7" t="str">
        <x:v>Basse de moteur stable et messages tactiques filtrés. Composer une ambiance originale en couches fond / activité / danger, avec réglage indépendant des voix.</x:v>
      </x:c>
      <x:c r="L8" s="7" t="str">
        <x:v>Bus proposé INV/ELBRUS; snapshots exploration, tension et dialogue; fondus après chargement.</x:v>
      </x:c>
      <x:c r="M8" s="7" t="str">
        <x:v>Conserver le raccord d’occupation d’Omega et le départ d’Aria; une victoire tactique locale ne permet pas de gagner une guerre contraire au comic.</x:v>
      </x:c>
      <x:c r="N8" s="7" t="str">
        <x:v>Un parcours muet reste compréhensible; l’entrée en dialogue baisse les ambiances sans couper brutalement leur réverbération.</x:v>
      </x:c>
      <x:c r="O8" s="7" t="str">
        <x:v>INV-ZONE-ELBRUS</x:v>
      </x:c>
      <x:c r="P8" s="7" t="str">
        <x:v>Création sonore originale; aucune piste commerciale requise.</x:v>
      </x:c>
      <x:c r="Q8" s="7" t="str"/>
      <x:c r="R8" s="7" t="str"/>
      <x:c r="S8" s="7" t="str"/>
    </x:row>
    <x:row r="9" ht="68" customHeight="1">
      <x:c r="A9" s="18" t="str">
        <x:v>INV-AUD-AVERNUS</x:v>
      </x:c>
      <x:c r="B9" s="9" t="str">
        <x:v>Avernus Station — paysage sonore</x:v>
      </x:c>
      <x:c r="C9" s="15" t="str">
        <x:v>Défini</x:v>
      </x:c>
      <x:c r="D9" s="16" t="str">
        <x:v>Extrapolation</x:v>
      </x:c>
      <x:c r="E9" s="16" t="str">
        <x:v>P1</x:v>
      </x:c>
      <x:c r="F9" s="9" t="str">
        <x:v>Ventilation interrompue, contacts métalliques et silence entre alarmes.</x:v>
      </x:c>
      <x:c r="G9" s="9" t="str">
        <x:v>Faire comprendre la source d’une crise sans une encyclopédie complète.</x:v>
      </x:c>
      <x:c r="H9" s="9" t="str">
        <x:v>Doubler les alarmes utiles par texte, symbole ou changement de pose; les bruits d’ambiance ne portent pas seuls une information obligatoire.</x:v>
      </x:c>
      <x:c r="I9" s="9" t="str">
        <x:v>Surfaces froides, matériel de recherche abandonné et balises de confinement.</x:v>
      </x:c>
      <x:c r="J9" s="9" t="str">
        <x:v>Déclencher les contacts mécaniques au mouvement visible; éviter les boucles désynchronisées des portes.</x:v>
      </x:c>
      <x:c r="K9" s="9" t="str">
        <x:v>Ventilation interrompue, contacts métalliques et silence entre alarmes. Composer une ambiance originale en couches fond / activité / danger, avec réglage indépendant des voix.</x:v>
      </x:c>
      <x:c r="L9" s="9" t="str">
        <x:v>Bus proposé INV/AVERNUS; snapshots exploration, tension et dialogue; fondus après chargement.</x:v>
      </x:c>
      <x:c r="M9" s="9" t="str">
        <x:v>Conserver le raccord d’occupation d’Omega et le départ d’Aria; une victoire tactique locale ne permet pas de gagner une guerre contraire au comic.</x:v>
      </x:c>
      <x:c r="N9" s="9" t="str">
        <x:v>Un parcours muet reste compréhensible; l’entrée en dialogue baisse les ambiances sans couper brutalement leur réverbération.</x:v>
      </x:c>
      <x:c r="O9" s="9" t="str">
        <x:v>INV-ZONE-AVERNUS</x:v>
      </x:c>
      <x:c r="P9" s="9" t="str">
        <x:v>Création sonore originale; aucune piste commerciale requise.</x:v>
      </x:c>
      <x:c r="Q9" s="9" t="str"/>
      <x:c r="R9" s="9" t="str"/>
      <x:c r="S9" s="9" t="str"/>
    </x:row>
    <x:row r="10" ht="68" customHeight="1">
      <x:c r="A10" s="19" t="str">
        <x:v>INV-AUD-AFTERLIFE</x:v>
      </x:c>
      <x:c r="B10" s="7" t="str">
        <x:v>Afterlife — paysage sonore</x:v>
      </x:c>
      <x:c r="C10" s="15" t="str">
        <x:v>Défini</x:v>
      </x:c>
      <x:c r="D10" s="17" t="str">
        <x:v>Extrapolation</x:v>
      </x:c>
      <x:c r="E10" s="17" t="str">
        <x:v>P1</x:v>
      </x:c>
      <x:c r="F10" s="7" t="str">
        <x:v>Ancienne pulsation de club filtrée, alarmes et thème suspendu.</x:v>
      </x:c>
      <x:c r="G10" s="7" t="str">
        <x:v>Retour à un lieu de pouvoir devenu piège.</x:v>
      </x:c>
      <x:c r="H10" s="7" t="str">
        <x:v>Doubler les alarmes utiles par texte, symbole ou changement de pose; les bruits d’ambiance ne portent pas seuls une information obligatoire.</x:v>
      </x:c>
      <x:c r="I10" s="7" t="str">
        <x:v>Néons atténués, débris au sol hors trajet et lumière coupée par secteurs.</x:v>
      </x:c>
      <x:c r="J10" s="7" t="str">
        <x:v>Déclencher les contacts mécaniques au mouvement visible; éviter les boucles désynchronisées des portes.</x:v>
      </x:c>
      <x:c r="K10" s="7" t="str">
        <x:v>Ancienne pulsation de club filtrée, alarmes et thème suspendu. Composer une ambiance originale en couches fond / activité / danger, avec réglage indépendant des voix.</x:v>
      </x:c>
      <x:c r="L10" s="7" t="str">
        <x:v>Bus proposé INV/AFTERLIFE; snapshots exploration, tension et dialogue; fondus après chargement.</x:v>
      </x:c>
      <x:c r="M10" s="7" t="str">
        <x:v>Conserver le raccord d’occupation d’Omega et le départ d’Aria; une victoire tactique locale ne permet pas de gagner une guerre contraire au comic.</x:v>
      </x:c>
      <x:c r="N10" s="7" t="str">
        <x:v>Un parcours muet reste compréhensible; l’entrée en dialogue baisse les ambiances sans couper brutalement leur réverbération.</x:v>
      </x:c>
      <x:c r="O10" s="7" t="str">
        <x:v>INV-ZONE-AFTERLIFE</x:v>
      </x:c>
      <x:c r="P10" s="7" t="str">
        <x:v>Création sonore originale; aucune piste commerciale requise.</x:v>
      </x:c>
      <x:c r="Q10" s="7" t="str"/>
      <x:c r="R10" s="7" t="str"/>
      <x:c r="S10" s="7" t="str"/>
    </x:row>
  </x:sheetData>
  <x:conditionalFormatting sqref="D7:D10">
    <x:cfRule type="cellIs" dxfId="88" priority="1" operator="equal">
      <x:formula>"À vérifier"</x:formula>
    </x:cfRule>
    <x:cfRule type="cellIs" dxfId="89" priority="2" operator="equal">
      <x:formula>"Extrapolation"</x:formula>
    </x:cfRule>
  </x:conditionalFormatting>
  <x:conditionalFormatting sqref="C7:C10">
    <x:cfRule type="cellIs" dxfId="90" priority="3" operator="equal">
      <x:formula>"Validé"</x:formula>
    </x:cfRule>
  </x:conditionalFormatting>
  <x:conditionalFormatting sqref="E7:E10">
    <x:cfRule type="cellIs" dxfId="91"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dcdc30e7b5a54458"/>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Invasion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INV-SYS-CANON</x:v>
      </x:c>
      <x:c r="B7" s="9" t="str">
        <x:v>Journal à deux niveaux</x:v>
      </x:c>
      <x:c r="C7" s="15" t="str">
        <x:v>Défini</x:v>
      </x:c>
      <x:c r="D7" s="16" t="str">
        <x:v>Extrapolation</x:v>
      </x:c>
      <x:c r="E7" s="16" t="str">
        <x:v>P1</x:v>
      </x:c>
      <x:c r="F7" s="9" t="str">
        <x:v>Dans Invasion,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INV/SYS-CANON; à appliquer au futur contenu de l'œuvre.</x:v>
      </x:c>
      <x:c r="M7" s="9" t="str">
        <x:v>Conserver le raccord d’occupation d’Omega et le départ d’Aria; une victoire tactique locale ne permet pas de gagner une guerre contraire au comic.</x:v>
      </x:c>
      <x:c r="N7" s="9" t="str">
        <x:v>Chaque entrée de journal porte sa provenance; un résultat de combat ne change jamais le niveau de certitude du fait source.</x:v>
      </x:c>
      <x:c r="O7" s="9" t="str">
        <x:v>INV-REF-SCOPE</x:v>
      </x:c>
      <x:c r="P7" s="9" t="str">
        <x:v>Règle originale de production; les ancrages de continuité sont documentés dans les fiches REF.</x:v>
      </x:c>
      <x:c r="Q7" s="9" t="str"/>
      <x:c r="R7" s="9" t="str"/>
      <x:c r="S7" s="9" t="str"/>
    </x:row>
    <x:row r="8" ht="54" customHeight="1">
      <x:c r="A8" s="19" t="str">
        <x:v>INV-SYS-GROUP</x:v>
      </x:c>
      <x:c r="B8" s="7" t="str">
        <x:v>Groupe propre au chapitre</x:v>
      </x:c>
      <x:c r="C8" s="15" t="str">
        <x:v>Défini</x:v>
      </x:c>
      <x:c r="D8" s="17" t="str">
        <x:v>Extrapolation</x:v>
      </x:c>
      <x:c r="E8" s="17" t="str">
        <x:v>P1</x:v>
      </x:c>
      <x:c r="F8" s="7" t="str">
        <x:v>Aria dirige un groupe local proposé; les soutiens de Cerberus sont temporaires et changent de disponibilité selon la phase.</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INV/SYS-GROUP; à appliquer au futur contenu de l'œuvre.</x:v>
      </x:c>
      <x:c r="M8" s="7" t="str">
        <x:v>Conserver le raccord d’occupation d’Omega et le départ d’Aria; une victoire tactique locale ne permet pas de gagner une guerre contraire au comic.</x:v>
      </x:c>
      <x:c r="N8" s="7" t="str">
        <x:v>Recharger un chapitre restitue uniquement son groupe autorisé, ses positions et ses commandes proposées.</x:v>
      </x:c>
      <x:c r="O8" s="7" t="str">
        <x:v>INV-REF-SCOPE</x:v>
      </x:c>
      <x:c r="P8" s="7" t="str">
        <x:v>Règle originale de production; les ancrages de continuité sont documentés dans les fiches REF.</x:v>
      </x:c>
      <x:c r="Q8" s="7" t="str"/>
      <x:c r="R8" s="7" t="str"/>
      <x:c r="S8" s="7" t="str"/>
    </x:row>
    <x:row r="9" ht="54" customHeight="1">
      <x:c r="A9" s="18" t="str">
        <x:v>INV-SYS-ATB</x:v>
      </x:c>
      <x:c r="B9" s="9" t="str">
        <x:v>Rythme ATB proposé</x:v>
      </x:c>
      <x:c r="C9" s="15" t="str">
        <x:v>Défini</x:v>
      </x:c>
      <x:c r="D9" s="16" t="str">
        <x:v>Extrapolation</x:v>
      </x:c>
      <x:c r="E9" s="16" t="str">
        <x:v>P1</x:v>
      </x:c>
      <x:c r="F9" s="9" t="str">
        <x:v>Défense de couloirs, extraction et contrôle d’exposition; le temps de combat se suspend pendant les décisions stratégiques.</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INV/SYS-ATB; à appliquer au futur contenu de l'œuvre.</x:v>
      </x:c>
      <x:c r="M9" s="9" t="str">
        <x:v>Conserver le raccord d’occupation d’Omega et le départ d’Aria; une victoire tactique locale ne permet pas de gagner une guerre contraire au comic.</x:v>
      </x:c>
      <x:c r="N9" s="9" t="str">
        <x:v>Un lecteur peut suivre chaque préparation sans son; la vitesse réglable ne modifie pas les conditions du raccord narratif.</x:v>
      </x:c>
      <x:c r="O9" s="9" t="str">
        <x:v>INV-REF-SCOPE</x:v>
      </x:c>
      <x:c r="P9" s="9" t="str">
        <x:v>Règle originale de production; les ancrages de continuité sont documentés dans les fiches REF.</x:v>
      </x:c>
      <x:c r="Q9" s="9" t="str"/>
      <x:c r="R9" s="9" t="str"/>
      <x:c r="S9" s="9" t="str"/>
    </x:row>
    <x:row r="10" ht="54" customHeight="1">
      <x:c r="A10" s="19" t="str">
        <x:v>INV-SYS-SAVE</x:v>
      </x:c>
      <x:c r="B10" s="7" t="str">
        <x:v>Sauvegarde des modules</x:v>
      </x:c>
      <x:c r="C10" s="15" t="str">
        <x:v>Défini</x:v>
      </x:c>
      <x:c r="D10" s="17" t="str">
        <x:v>Extrapolation</x:v>
      </x:c>
      <x:c r="E10" s="17" t="str">
        <x:v>P1</x:v>
      </x:c>
      <x:c r="F10" s="7" t="str">
        <x:v>Conserver la progression de Invasion sans exporter une issue hypothétique vers la continuité des jeux.</x:v>
      </x:c>
      <x:c r="G10" s="7" t="str">
        <x:v>Stocker le numéro/segment, la méthode locale, les indices acquis et le raccord déjà vu; ne pas écrire dans une sauvegarde canon du jeu.</x:v>
      </x:c>
      <x:c r="H10" s="7" t="str">
        <x:v>Stocker le numéro/segment, la méthode locale, les indices acquis et le raccord déjà vu; ne pas écrire dans une sauvegarde canon du jeu.</x:v>
      </x:c>
      <x:c r="I10" s="7" t="str"/>
      <x:c r="J10" s="7" t="str"/>
      <x:c r="K10" s="7" t="str"/>
      <x:c r="L10" s="7" t="str">
        <x:v>Contrat de production INV/SYS-SAVE; à appliquer au futur contenu de l'œuvre.</x:v>
      </x:c>
      <x:c r="M10" s="7" t="str">
        <x:v>Conserver le raccord d’occupation d’Omega et le départ d’Aria; une victoire tactique locale ne permet pas de gagner une guerre contraire au comic.</x:v>
      </x:c>
      <x:c r="N10" s="7" t="str">
        <x:v>Sauvegarder, quitter et reprendre avant/après un raccord ne double aucun objet, objectif ou récompense.</x:v>
      </x:c>
      <x:c r="O10" s="7" t="str">
        <x:v>INV-REF-SCOPE</x:v>
      </x:c>
      <x:c r="P10" s="7" t="str">
        <x:v>Règle originale de production; les ancrages de continuité sont documentés dans les fiches REF.</x:v>
      </x:c>
      <x:c r="Q10" s="7" t="str"/>
      <x:c r="R10" s="7" t="str"/>
      <x:c r="S10" s="7"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893d76f0b53b403f"/>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Invasion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INV-SC-BREACH-QA</x:v>
      </x:c>
      <x:c r="B7" s="9" t="str">
        <x:v>Alerte sur les quais — contrôle du parcours</x:v>
      </x:c>
      <x:c r="C7" s="15" t="str">
        <x:v>Défini</x:v>
      </x:c>
      <x:c r="D7" s="16" t="str">
        <x:v>Extrapolation</x:v>
      </x:c>
      <x:c r="E7" s="16" t="str">
        <x:v>P0</x:v>
      </x:c>
      <x:c r="F7" s="9" t="str">
        <x:v>Rejouer « Alerte sur les quais » par les deux méthodes proposées, avec tâche facultative ignorée puis terminée, et en sautant le raccord.</x:v>
      </x:c>
      <x:c r="G7" s="9" t="str">
        <x:v>Alerte → identification de la menace → défense d’accès → repli.</x:v>
      </x:c>
      <x:c r="H7" s="9" t="str">
        <x:v>Le groupe protège des sorties avec une réserve de pression; les corps ne deviennent pas automatiquement des unités supplémentaires sans signal.</x:v>
      </x:c>
      <x:c r="I7" s="9" t="str"/>
      <x:c r="J7" s="9" t="str"/>
      <x:c r="K7" s="9" t="str"/>
      <x:c r="L7" s="9" t="str">
        <x:v>Scénarios de recette à exécuter pour INV/BREACH; consigner résultat réel et preuve seulement lors d’une future réalisation.</x:v>
      </x:c>
      <x:c r="M7" s="9" t="str">
        <x:v>Fiche de recette définie; aucun test du jeu n’a été exécuté par ce catalogue.</x:v>
      </x:c>
      <x:c r="N7" s="9" t="str">
        <x:v>L'objectif « Alerte sur les quais » atteint son raccord annoncé après chaque méthode; sauvegarde, rechargement et saut de scène n'en changent ni le groupe ni les informations acquises.</x:v>
      </x:c>
      <x:c r="O7" s="9" t="str">
        <x:v>INV-SC-BREACH-MAIN, INV-SC-BREACH-CHOICE, INV-SC-BREACH-CINE, INV-SC-BREACH-PROP</x:v>
      </x:c>
      <x:c r="P7" s="9" t="str">
        <x:v>Critère de production original, pas une validation déjà obtenue.</x:v>
      </x:c>
      <x:c r="Q7" s="9" t="str"/>
      <x:c r="R7" s="9" t="str"/>
      <x:c r="S7" s="9" t="str"/>
    </x:row>
    <x:row r="8" ht="68" customHeight="1">
      <x:c r="A8" s="19" t="str">
        <x:v>INV-SC-ALLIANCE-QA</x:v>
      </x:c>
      <x:c r="B8" s="7" t="str">
        <x:v>Coordination de circonstance — contrôle du parcours</x:v>
      </x:c>
      <x:c r="C8" s="15" t="str">
        <x:v>Défini</x:v>
      </x:c>
      <x:c r="D8" s="17" t="str">
        <x:v>Extrapolation</x:v>
      </x:c>
      <x:c r="E8" s="17" t="str">
        <x:v>P0</x:v>
      </x:c>
      <x:c r="F8" s="7" t="str">
        <x:v>Rejouer « Coordination de circonstance » par les deux méthodes proposées, avec tâche facultative ignorée puis terminée, et en sautant le raccord.</x:v>
      </x:c>
      <x:c r="G8" s="7" t="str">
        <x:v>Briefing → affectation de deux soutiens → défense → réévaluation.</x:v>
      </x:c>
      <x:c r="H8" s="7" t="str">
        <x:v>Chaque soutien indique sa portée et sa durée; l’alliance n’accorde ni confiance définitive ni recrutement de Petrovsky.</x:v>
      </x:c>
      <x:c r="I8" s="7" t="str"/>
      <x:c r="J8" s="7" t="str"/>
      <x:c r="K8" s="7" t="str"/>
      <x:c r="L8" s="7" t="str">
        <x:v>Scénarios de recette à exécuter pour INV/ALLIANCE; consigner résultat réel et preuve seulement lors d’une future réalisation.</x:v>
      </x:c>
      <x:c r="M8" s="7" t="str">
        <x:v>Fiche de recette définie; aucun test du jeu n’a été exécuté par ce catalogue.</x:v>
      </x:c>
      <x:c r="N8" s="7" t="str">
        <x:v>L'objectif « Coordination de circonstance » atteint son raccord annoncé après chaque méthode; sauvegarde, rechargement et saut de scène n'en changent ni le groupe ni les informations acquises.</x:v>
      </x:c>
      <x:c r="O8" s="7" t="str">
        <x:v>INV-SC-ALLIANCE-MAIN, INV-SC-ALLIANCE-CHOICE, INV-SC-ALLIANCE-CINE, INV-SC-ALLIANCE-PROP</x:v>
      </x:c>
      <x:c r="P8" s="7" t="str">
        <x:v>Critère de production original, pas une validation déjà obtenue.</x:v>
      </x:c>
      <x:c r="Q8" s="7" t="str"/>
      <x:c r="R8" s="7" t="str"/>
      <x:c r="S8" s="7" t="str"/>
    </x:row>
    <x:row r="9" ht="68" customHeight="1">
      <x:c r="A9" s="18" t="str">
        <x:v>INV-SC-AVERNUS-QA</x:v>
      </x:c>
      <x:c r="B9" s="9" t="str">
        <x:v>Confinement à Avernus — contrôle du parcours</x:v>
      </x:c>
      <x:c r="C9" s="15" t="str">
        <x:v>Défini</x:v>
      </x:c>
      <x:c r="D9" s="16" t="str">
        <x:v>Extrapolation</x:v>
      </x:c>
      <x:c r="E9" s="16" t="str">
        <x:v>P0</x:v>
      </x:c>
      <x:c r="F9" s="9" t="str">
        <x:v>Rejouer « Confinement à Avernus » par les deux méthodes proposées, avec tâche facultative ignorée puis terminée, et en sautant le raccord.</x:v>
      </x:c>
      <x:c r="G9" s="9" t="str">
        <x:v>Sas → lecture des risques → action sur contrôle → départ.</x:v>
      </x:c>
      <x:c r="H9" s="9" t="str">
        <x:v>Trois secteurs proposés s’isolent séparément; aucun bouton ne guérit ou ne supprime tous les Adjutants de l’univers.</x:v>
      </x:c>
      <x:c r="I9" s="9" t="str"/>
      <x:c r="J9" s="9" t="str"/>
      <x:c r="K9" s="9" t="str"/>
      <x:c r="L9" s="9" t="str">
        <x:v>Scénarios de recette à exécuter pour INV/AVERNUS; consigner résultat réel et preuve seulement lors d’une future réalisation.</x:v>
      </x:c>
      <x:c r="M9" s="9" t="str">
        <x:v>Fiche de recette définie; aucun test du jeu n’a été exécuté par ce catalogue.</x:v>
      </x:c>
      <x:c r="N9" s="9" t="str">
        <x:v>L'objectif « Confinement à Avernus » atteint son raccord annoncé après chaque méthode; sauvegarde, rechargement et saut de scène n'en changent ni le groupe ni les informations acquises.</x:v>
      </x:c>
      <x:c r="O9" s="9" t="str">
        <x:v>INV-SC-AVERNUS-MAIN, INV-SC-AVERNUS-CHOICE, INV-SC-AVERNUS-CINE, INV-SC-AVERNUS-PROP</x:v>
      </x:c>
      <x:c r="P9" s="9" t="str">
        <x:v>Critère de production original, pas une validation déjà obtenue.</x:v>
      </x:c>
      <x:c r="Q9" s="9" t="str"/>
      <x:c r="R9" s="9" t="str"/>
      <x:c r="S9" s="9" t="str"/>
    </x:row>
    <x:row r="10" ht="68" customHeight="1">
      <x:c r="A10" s="19" t="str">
        <x:v>INV-SC-RETURN-QA</x:v>
      </x:c>
      <x:c r="B10" s="7" t="str">
        <x:v>Retour dans une station contestée — contrôle du parcours</x:v>
      </x:c>
      <x:c r="C10" s="15" t="str">
        <x:v>Défini</x:v>
      </x:c>
      <x:c r="D10" s="17" t="str">
        <x:v>Extrapolation</x:v>
      </x:c>
      <x:c r="E10" s="17" t="str">
        <x:v>P0</x:v>
      </x:c>
      <x:c r="F10" s="7" t="str">
        <x:v>Rejouer « Retour dans une station contestée » par les deux méthodes proposées, avec tâche facultative ignorée puis terminée, et en sautant le raccord.</x:v>
      </x:c>
      <x:c r="G10" s="7" t="str">
        <x:v>Constat → choix de route → défense mobile → contact.</x:v>
      </x:c>
      <x:c r="H10" s="7" t="str">
        <x:v>La carte change d’accès, pas de coordonnées arbitraires; les routes connues deviennent des risques lisibles.</x:v>
      </x:c>
      <x:c r="I10" s="7" t="str"/>
      <x:c r="J10" s="7" t="str"/>
      <x:c r="K10" s="7" t="str"/>
      <x:c r="L10" s="7" t="str">
        <x:v>Scénarios de recette à exécuter pour INV/RETURN; consigner résultat réel et preuve seulement lors d’une future réalisation.</x:v>
      </x:c>
      <x:c r="M10" s="7" t="str">
        <x:v>Fiche de recette définie; aucun test du jeu n’a été exécuté par ce catalogue.</x:v>
      </x:c>
      <x:c r="N10" s="7" t="str">
        <x:v>L'objectif « Retour dans une station contestée » atteint son raccord annoncé après chaque méthode; sauvegarde, rechargement et saut de scène n'en changent ni le groupe ni les informations acquises.</x:v>
      </x:c>
      <x:c r="O10" s="7" t="str">
        <x:v>INV-SC-RETURN-MAIN, INV-SC-RETURN-CHOICE, INV-SC-RETURN-CINE, INV-SC-RETURN-PROP</x:v>
      </x:c>
      <x:c r="P10" s="7" t="str">
        <x:v>Critère de production original, pas une validation déjà obtenue.</x:v>
      </x:c>
      <x:c r="Q10" s="7" t="str"/>
      <x:c r="R10" s="7" t="str"/>
      <x:c r="S10" s="7" t="str"/>
    </x:row>
    <x:row r="11" ht="68" customHeight="1">
      <x:c r="A11" s="18" t="str">
        <x:v>INV-SC-TRAP-QA</x:v>
      </x:c>
      <x:c r="B11" s="9" t="str">
        <x:v>Piège d’Afterlife — contrôle du parcours</x:v>
      </x:c>
      <x:c r="C11" s="15" t="str">
        <x:v>Défini</x:v>
      </x:c>
      <x:c r="D11" s="16" t="str">
        <x:v>Extrapolation</x:v>
      </x:c>
      <x:c r="E11" s="16" t="str">
        <x:v>P0</x:v>
      </x:c>
      <x:c r="F11" s="9" t="str">
        <x:v>Rejouer « Piège d’Afterlife » par les deux méthodes proposées, avec tâche facultative ignorée puis terminée, et en sautant le raccord.</x:v>
      </x:c>
      <x:c r="G11" s="9" t="str">
        <x:v>Entrée → fermeture annoncée → menace de zone → issue narrative.</x:v>
      </x:c>
      <x:c r="H11" s="9" t="str">
        <x:v>Le danger se lit par cônes et trajectoires; l’attaque de zone peut être évitée par placement, pas par un temps de réaction minuscule.</x:v>
      </x:c>
      <x:c r="I11" s="9" t="str"/>
      <x:c r="J11" s="9" t="str"/>
      <x:c r="K11" s="9" t="str"/>
      <x:c r="L11" s="9" t="str">
        <x:v>Scénarios de recette à exécuter pour INV/TRAP; consigner résultat réel et preuve seulement lors d’une future réalisation.</x:v>
      </x:c>
      <x:c r="M11" s="9" t="str">
        <x:v>Fiche de recette définie; aucun test du jeu n’a été exécuté par ce catalogue.</x:v>
      </x:c>
      <x:c r="N11" s="9" t="str">
        <x:v>L'objectif « Piège d’Afterlife » atteint son raccord annoncé après chaque méthode; sauvegarde, rechargement et saut de scène n'en changent ni le groupe ni les informations acquises.</x:v>
      </x:c>
      <x:c r="O11" s="9" t="str">
        <x:v>INV-SC-TRAP-MAIN, INV-SC-TRAP-CHOICE, INV-SC-TRAP-CINE, INV-SC-TRAP-PROP</x:v>
      </x:c>
      <x:c r="P11" s="9" t="str">
        <x:v>Critère de production original, pas une validation déjà obtenue.</x:v>
      </x:c>
      <x:c r="Q11" s="9" t="str"/>
      <x:c r="R11" s="9" t="str"/>
      <x:c r="S11" s="9" t="str"/>
    </x:row>
    <x:row r="12" ht="68" customHeight="1">
      <x:c r="A12" s="19" t="str">
        <x:v>INV-SC-EXILE-QA</x:v>
      </x:c>
      <x:c r="B12" s="7" t="str">
        <x:v>Ultimatum et départ — contrôle du parcours</x:v>
      </x:c>
      <x:c r="C12" s="15" t="str">
        <x:v>Défini</x:v>
      </x:c>
      <x:c r="D12" s="17" t="str">
        <x:v>Extrapolation</x:v>
      </x:c>
      <x:c r="E12" s="17" t="str">
        <x:v>P0</x:v>
      </x:c>
      <x:c r="F12" s="7" t="str">
        <x:v>Rejouer « Ultimatum et départ » par les deux méthodes proposées, avec tâche facultative ignorée puis terminée, et en sautant le raccord.</x:v>
      </x:c>
      <x:c r="G12" s="7" t="str">
        <x:v>Constat stratégique → décisions de préparation → départ fixé → raccord ME3.</x:v>
      </x:c>
      <x:c r="H12" s="7" t="str">
        <x:v>Les choix portent sur l’ordre de préparation et les ressources locales conservées; aucune option ne détruit la flotte adverse.</x:v>
      </x:c>
      <x:c r="I12" s="7" t="str"/>
      <x:c r="J12" s="7" t="str"/>
      <x:c r="K12" s="7" t="str"/>
      <x:c r="L12" s="7" t="str">
        <x:v>Scénarios de recette à exécuter pour INV/EXILE; consigner résultat réel et preuve seulement lors d’une future réalisation.</x:v>
      </x:c>
      <x:c r="M12" s="7" t="str">
        <x:v>Fiche de recette définie; aucun test du jeu n’a été exécuté par ce catalogue.</x:v>
      </x:c>
      <x:c r="N12" s="7" t="str">
        <x:v>L'objectif « Ultimatum et départ » atteint son raccord annoncé après chaque méthode; sauvegarde, rechargement et saut de scène n'en changent ni le groupe ni les informations acquises.</x:v>
      </x:c>
      <x:c r="O12" s="7" t="str">
        <x:v>INV-SC-EXILE-MAIN, INV-SC-EXILE-CHOICE, INV-SC-EXILE-CINE, INV-SC-EXILE-PROP</x:v>
      </x:c>
      <x:c r="P12" s="7" t="str">
        <x:v>Critère de production original, pas une validation déjà obtenue.</x:v>
      </x:c>
      <x:c r="Q12" s="7" t="str"/>
      <x:c r="R12" s="7" t="str"/>
      <x:c r="S12" s="7" t="str"/>
    </x:row>
    <x:row r="13" ht="54" customHeight="1">
      <x:c r="A13" s="18" t="str">
        <x:v>INV-QA-SOURCE</x:v>
      </x:c>
      <x:c r="B13" s="9" t="str">
        <x:v>Vérification des références</x:v>
      </x:c>
      <x:c r="C13" s="15" t="str">
        <x:v>Défini</x:v>
      </x:c>
      <x:c r="D13" s="16" t="str">
        <x:v>Extrapolation</x:v>
      </x:c>
      <x:c r="E13" s="16" t="str">
        <x:v>P0</x:v>
      </x:c>
      <x:c r="F13" s="9" t="str">
        <x:v>Contrôler Invasion dans une édition autorisée avant de transformer les éléments À vérifier en faits établis.</x:v>
      </x:c>
      <x:c r="G13" s="9" t="str">
        <x:v>Vérifier le bon numéro, les graphies, les costumes et le placement exact des séquences; aucune pagination non consultée fournie.</x:v>
      </x:c>
      <x:c r="H13" s="9" t="str"/>
      <x:c r="I13" s="9" t="str"/>
      <x:c r="J13" s="9" t="str"/>
      <x:c r="K13" s="9" t="str"/>
      <x:c r="L13" s="9" t="str">
        <x:v>Contrat de production INV/QA-SOURCE; à appliquer au futur contenu de l'œuvre.</x:v>
      </x:c>
      <x:c r="M13" s="9" t="str">
        <x:v>Recette planifiée; aucune réalisation testée ici.</x:v>
      </x:c>
      <x:c r="N13" s="9" t="str">
        <x:v>Chaque ajout de nom, page, costume ou date est lié à la bonne édition; les descriptions restent brèves et paraphrasées.</x:v>
      </x:c>
      <x:c r="O13" s="9" t="str">
        <x:v>INV-REF-SCOPE</x:v>
      </x:c>
      <x:c r="P13" s="9" t="str">
        <x:v>Règle originale de production; les ancrages de continuité sont documentés dans les fiches REF.</x:v>
      </x:c>
      <x:c r="Q13" s="9" t="str"/>
      <x:c r="R13" s="9" t="str"/>
      <x:c r="S13" s="9" t="str"/>
    </x:row>
    <x:row r="14" ht="54" customHeight="1">
      <x:c r="A14" s="19" t="str">
        <x:v>INV-QA-VISIBILITY</x:v>
      </x:c>
      <x:c r="B14" s="7" t="str">
        <x:v>Lecture des sprites et du terrain</x:v>
      </x:c>
      <x:c r="C14" s="15" t="str">
        <x:v>Défini</x:v>
      </x:c>
      <x:c r="D14" s="17" t="str">
        <x:v>Extrapolation</x:v>
      </x:c>
      <x:c r="E14" s="17" t="str">
        <x:v>P0</x:v>
      </x:c>
      <x:c r="F14" s="7" t="str">
        <x:v>Contrôler la taille des sprites, la séparation des silhouettes et les sorties sous la caméra fixe de chaque scène.</x:v>
      </x:c>
      <x:c r="G14" s="7" t="str">
        <x:v>Faire parcourir les zones avec premier plan actif, sous-titres larges et mode de contraste renforcé.</x:v>
      </x:c>
      <x:c r="H14" s="7" t="str"/>
      <x:c r="I14" s="7" t="str"/>
      <x:c r="J14" s="7" t="str"/>
      <x:c r="K14" s="7" t="str"/>
      <x:c r="L14" s="7" t="str">
        <x:v>Contrat de production INV/QA-VISIBILITY; à appliquer au futur contenu de l'œuvre.</x:v>
      </x:c>
      <x:c r="M14" s="7" t="str">
        <x:v>Recette planifiée; aucune réalisation testée ici.</x:v>
      </x:c>
      <x:c r="N14" s="7" t="str">
        <x:v>Le personnage contrôlé, les sorties et le signal de danger restent localisables sans désactiver le décor.</x:v>
      </x:c>
      <x:c r="O14" s="7" t="str">
        <x:v>INV-REF-SCOPE</x:v>
      </x:c>
      <x:c r="P14" s="7" t="str">
        <x:v>Règle originale de production; les ancrages de continuité sont documentés dans les fiches REF.</x:v>
      </x:c>
      <x:c r="Q14" s="7" t="str"/>
      <x:c r="R14" s="7" t="str"/>
      <x:c r="S14" s="7" t="str"/>
    </x:row>
    <x:row r="15" ht="68" customHeight="1">
      <x:c r="A15" s="18" t="str">
        <x:v>INV-QA-NARRATIVE</x:v>
      </x:c>
      <x:c r="B15" s="9" t="str">
        <x:v>Convergence narrative</x:v>
      </x:c>
      <x:c r="C15" s="15" t="str">
        <x:v>Défini</x:v>
      </x:c>
      <x:c r="D15" s="16" t="str">
        <x:v>Extrapolation</x:v>
      </x:c>
      <x:c r="E15" s="16" t="str">
        <x:v>P0</x:v>
      </x:c>
      <x:c r="F15" s="9" t="str">
        <x:v>Conserver le raccord d’occupation d’Omega et le départ d’Aria; une victoire tactique locale ne permet pas de gagner une guerre contraire au comic.</x:v>
      </x:c>
      <x:c r="G15" s="9" t="str">
        <x:v>La continuité éditoriale est distincte des essais de gameplay; un choix stratégique ne réécrit pas la fin publiée.</x:v>
      </x:c>
      <x:c r="H15" s="9" t="str"/>
      <x:c r="I15" s="9" t="str"/>
      <x:c r="J15" s="9" t="str"/>
      <x:c r="K15" s="9" t="str"/>
      <x:c r="L15" s="9" t="str">
        <x:v>Contrat de production INV/QA-NARRATIVE; à appliquer au futur contenu de l'œuvre.</x:v>
      </x:c>
      <x:c r="M15" s="9" t="str">
        <x:v>Recette planifiée; aucune réalisation testée ici.</x:v>
      </x:c>
      <x:c r="N15" s="9" t="str">
        <x:v>Jouer chaque choix local et passer chaque cinématique produit les mêmes ancrages de conclusion; les divergences restent marquées adaptation.</x:v>
      </x:c>
      <x:c r="O15" s="9" t="str">
        <x:v>INV-REF-SCOPE</x:v>
      </x:c>
      <x:c r="P15" s="9" t="str">
        <x:v>Règle originale de production; les ancrages de continuité sont documentés dans les fiches REF.</x:v>
      </x:c>
      <x:c r="Q15" s="9" t="str"/>
      <x:c r="R15" s="9" t="str"/>
      <x:c r="S15" s="9" t="str"/>
    </x:row>
  </x:sheetData>
  <x:conditionalFormatting sqref="D7:D15">
    <x:cfRule type="cellIs" dxfId="96" priority="1" operator="equal">
      <x:formula>"À vérifier"</x:formula>
    </x:cfRule>
    <x:cfRule type="cellIs" dxfId="97" priority="2" operator="equal">
      <x:formula>"Extrapolation"</x:formula>
    </x:cfRule>
  </x:conditionalFormatting>
  <x:conditionalFormatting sqref="C7:C15">
    <x:cfRule type="cellIs" dxfId="98" priority="3" operator="equal">
      <x:formula>"Validé"</x:formula>
    </x:cfRule>
  </x:conditionalFormatting>
  <x:conditionalFormatting sqref="E7:E15">
    <x:cfRule type="cellIs" dxfId="99"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5bd85a62acdf4ea3"/>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Invasion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INV-CNT-PLACE</x:v>
      </x:c>
      <x:c r="B7" s="9" t="str">
        <x:v>Position dans l’univers</x:v>
      </x:c>
      <x:c r="C7" s="15" t="str">
        <x:v>Défini</x:v>
      </x:c>
      <x:c r="D7" s="16" t="str">
        <x:v>Extrapolation</x:v>
      </x:c>
      <x:c r="E7" s="16" t="str">
        <x:v>P1</x:v>
      </x:c>
      <x:c r="F7" s="9" t="str">
        <x:v>L’arc prépare la situation d’Omega dans ME3; le scénariste décrit explicitement le DLC Omega comme suite. Aria quitte la station dans le final.</x:v>
      </x:c>
      <x:c r="G7" s="9" t="str">
        <x:v>La continuité éditoriale est distincte des essais de gameplay; un choix stratégique ne réécrit pas la fin publiée.</x:v>
      </x:c>
      <x:c r="H7" s="9" t="str"/>
      <x:c r="I7" s="9" t="str"/>
      <x:c r="J7" s="9" t="str"/>
      <x:c r="K7" s="9" t="str"/>
      <x:c r="L7" s="9" t="str">
        <x:v>Contrat de production INV/CNT-PLACE; à appliquer au futur contenu de l'œuvre.</x:v>
      </x:c>
      <x:c r="M7" s="9" t="str">
        <x:v>Conserver le raccord d’occupation d’Omega et le départ d’Aria; une victoire tactique locale ne permet pas de gagner une guerre contraire au comic.</x:v>
      </x:c>
      <x:c r="N7" s="9" t="str">
        <x:v>La frise indique les incertitudes et les liens avec les autres œuvres sans attribuer une date non sourcée.</x:v>
      </x:c>
      <x:c r="O7" s="9" t="str">
        <x:v>INV-REF-SCOPE</x:v>
      </x:c>
      <x:c r="P7" s="9" t="str">
        <x:v>Règle originale de production; les ancrages de continuité sont documentés dans les fiches REF.</x:v>
      </x:c>
      <x:c r="Q7" s="9" t="str"/>
      <x:c r="R7" s="9" t="str"/>
      <x:c r="S7" s="9" t="str"/>
    </x:row>
    <x:row r="8" ht="54" customHeight="1">
      <x:c r="A8" s="19" t="str">
        <x:v>INV-CNT-NO-CUT</x:v>
      </x:c>
      <x:c r="B8" s="7" t="str">
        <x:v>Contenus non attestés</x:v>
      </x:c>
      <x:c r="C8" s="15" t="str">
        <x:v>Défini</x:v>
      </x:c>
      <x:c r="D8" s="17" t="str">
        <x:v>Extrapolation</x:v>
      </x:c>
      <x:c r="E8" s="17" t="str">
        <x:v>P1</x:v>
      </x:c>
      <x:c r="F8" s="7" t="str">
        <x:v>Aucune rumeur de scène coupée n’est intégrée à Invasion.</x:v>
      </x:c>
      <x:c r="G8" s="7" t="str">
        <x:v>Un contenu absent des notices consultées reste non documenté; une illustration préparatoire ne prouve pas une scène canon.</x:v>
      </x:c>
      <x:c r="H8" s="7" t="str"/>
      <x:c r="I8" s="7" t="str"/>
      <x:c r="J8" s="7" t="str"/>
      <x:c r="K8" s="7" t="str"/>
      <x:c r="L8" s="7" t="str">
        <x:v>Contrat de production INV/CNT-NO-CUT; à appliquer au futur contenu de l'œuvre.</x:v>
      </x:c>
      <x:c r="M8" s="7" t="str">
        <x:v>Conserver le raccord d’occupation d’Omega et le départ d’Aria; une victoire tactique locale ne permet pas de gagner une guerre contraire au comic.</x:v>
      </x:c>
      <x:c r="N8" s="7" t="str">
        <x:v>Une future fiche Coupé attesté ou Concept abandonné devra citer une preuve primaire spécifique.</x:v>
      </x:c>
      <x:c r="O8" s="7" t="str">
        <x:v>INV-REF-SCOPE</x:v>
      </x:c>
      <x:c r="P8" s="7" t="str">
        <x:v>Règle originale de production; les ancrages de continuité sont documentés dans les fiches REF.</x:v>
      </x:c>
      <x:c r="Q8" s="7" t="str"/>
      <x:c r="R8" s="7" t="str"/>
      <x:c r="S8" s="7"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acf5b66b0af648a0"/>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Invasion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Invasion</x:v>
      </x:c>
      <x:c r="C7" s="2"/>
      <x:c r="D7" s="2"/>
      <x:c r="E7" s="2"/>
      <x:c r="F7" s="2"/>
    </x:row>
    <x:row r="8" ht="30" customHeight="1">
      <x:c r="A8" s="7" t="str">
        <x:v>Support</x:v>
      </x:c>
      <x:c r="B8" s="7" t="str">
        <x:v>Comic / bande dessinée</x:v>
      </x:c>
      <x:c r="C8" s="2"/>
      <x:c r="D8" s="2"/>
      <x:c r="E8" s="2"/>
      <x:c r="F8" s="2"/>
    </x:row>
    <x:row r="9" ht="54" customHeight="1">
      <x:c r="A9" s="7" t="str">
        <x:v>Périmètre</x:v>
      </x:c>
      <x:c r="B9" s="7" t="str">
        <x:v>Invasion #1–4 : défense d’Omega, menace des Adjutants, alliance circonstancielle, Avernus et prise de pouvoir de Cerberus. Le DLC Omega reste un raccord, pas un cinquième numéro.</x:v>
      </x:c>
      <x:c r="C9" s="2"/>
      <x:c r="D9" s="2"/>
      <x:c r="E9" s="2"/>
      <x:c r="F9" s="2"/>
    </x:row>
    <x:row r="10" ht="54" customHeight="1">
      <x:c r="A10" s="7" t="str">
        <x:v>Projet</x:v>
      </x:c>
      <x:c r="B10" s="7" t="str">
        <x:v>117 fiches de production ; 4 fiches au stade Prototype de portée partielle. Les autres livrables restent des spécifications ; aucun achèvement intégral 1:1 revendiqué.</x:v>
      </x:c>
      <x:c r="C10" s="2"/>
      <x:c r="D10" s="2"/>
      <x:c r="E10" s="2"/>
      <x:c r="F10" s="2"/>
    </x:row>
    <x:row r="11" ht="166" customHeight="1">
      <x:c r="A11" s="7" t="str">
        <x:v>Références et limites</x:v>
      </x:c>
      <x:c r="B11" s="7" t="str">
        <x:v>Les règles de propagation et de transformation jouables sont des abstractions originales. Ne pas confondre les Adjutants de cet arc avec tous leurs comportements du DLC Omega.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42" customHeight="1">
      <x:c r="A27" s="6" t="str">
        <x:v>INV-S-BOOK</x:v>
      </x:c>
      <x:c r="B27" s="6" t="str">
        <x:v>Dark Horse — Invasion</x:v>
      </x:c>
      <x:c r="C27" s="6" t="str">
        <x:v>source officielle — notice Dark Horse via Penguin Random House</x:v>
      </x:c>
      <x:c r="D27" s="6" t="str">
        <x:v>https://www.penguinrandomhouse.com/books/241636/mass-effect-volume-3-invasion-by-mac-walters-various-artists/</x:v>
      </x:c>
      <x:c r="E27" s="6" t="str">
        <x:v>Aria, Omega et menace Cerberus.</x:v>
      </x:c>
      <x:c r="F27" s="6" t="str">
        <x:v>Consulté le 22 octobre 2026; les faits sont paraphrasés brièvement.</x:v>
      </x:c>
    </x:row>
    <x:row r="28" ht="54" customHeight="1">
      <x:c r="A28" s="6" t="str">
        <x:v>INV-S-COMPLETE</x:v>
      </x:c>
      <x:c r="B28" s="6" t="str">
        <x:v>Dark Horse Digital — The Complete Comics</x:v>
      </x:c>
      <x:c r="C28" s="6" t="str">
        <x:v>source officielle — éditeur</x:v>
      </x:c>
      <x:c r="D28" s="6" t="str">
        <x:v>https://digital.darkhorse.com/books/7bcdbde713b746338287bb0d74350bac/mass-effect-the-complete-comics</x:v>
      </x:c>
      <x:c r="E28" s="6" t="str">
        <x:v>Prémisses, personnages centraux et compilation; ne remplace pas les numéros individuels.</x:v>
      </x:c>
      <x:c r="F28" s="6" t="str">
        <x:v>Consulté le 22 octobre 2026; les faits sont paraphrasés brièvement.</x:v>
      </x:c>
    </x:row>
    <x:row r="29" ht="42" customHeight="1">
      <x:c r="A29" s="6" t="str">
        <x:v>INV-S-AUTHOR1</x:v>
      </x:c>
      <x:c r="B29" s="6" t="str">
        <x:v>John Jackson Miller — Invasion #1</x:v>
      </x:c>
      <x:c r="C29" s="6" t="str">
        <x:v>source officielle — notes du scénariste</x:v>
      </x:c>
      <x:c r="D29" s="6" t="str">
        <x:v>https://farawaypress.com/comics/masseffectinvasion/masseffectinvasion1/</x:v>
      </x:c>
      <x:c r="E29" s="6" t="str">
        <x:v>Conception et éléments explicitement commentés de Invasion #1</x:v>
      </x:c>
      <x:c r="F29" s="6" t="str">
        <x:v>Consulté le 22 octobre 2026; les faits sont paraphrasés brièvement.</x:v>
      </x:c>
    </x:row>
    <x:row r="30" ht="42" customHeight="1">
      <x:c r="A30" s="6" t="str">
        <x:v>INV-S-AUTHOR4</x:v>
      </x:c>
      <x:c r="B30" s="6" t="str">
        <x:v>John Jackson Miller — Invasion #4</x:v>
      </x:c>
      <x:c r="C30" s="6" t="str">
        <x:v>source officielle — notes du scénariste</x:v>
      </x:c>
      <x:c r="D30" s="6" t="str">
        <x:v>https://farawaypress.com/comics/masseffectinvasion/masseffectinvasion4/</x:v>
      </x:c>
      <x:c r="E30" s="6" t="str">
        <x:v>Conception et éléments explicitement commentés de Invasion #4</x:v>
      </x:c>
      <x:c r="F30" s="6" t="str">
        <x:v>Consulté le 22 octobre 2026; les faits sont paraphrasés brièvement.</x:v>
      </x:c>
    </x:row>
    <x:row r="31" ht="54" customHeight="1">
      <x:c r="A31" s="6" t="str">
        <x:v>INV-S-PETROVSKY</x:v>
      </x:c>
      <x:c r="B31" s="6" t="str">
        <x:v>Oleg Petrovsky — Invasion</x:v>
      </x:c>
      <x:c r="C31" s="6" t="str">
        <x:v>wiki — extrait indexé, à contrôler</x:v>
      </x:c>
      <x:c r="D31" s="6" t="str">
        <x:v>https://masseffect.fandom.com/wiki/Oleg_Petrovsky</x:v>
      </x:c>
      <x:c r="E31" s="6" t="str">
        <x:v>Elbrus, Ashe, Avernus, occupation et ultimatum.</x:v>
      </x:c>
      <x:c r="F31" s="6" t="str">
        <x:v>Contenu lu dans le résultat de recherche indexé; ouverture directe Fandom restreinte ou en erreur. Comparaison avec le comic autorisé requise.</x:v>
      </x:c>
    </x:row>
    <x:row r="32" ht="54" customHeight="1">
      <x:c r="A32" s="6" t="str">
        <x:v>INV-S-ADJ</x:v>
      </x:c>
      <x:c r="B32" s="6" t="str">
        <x:v>Adjutants — Invasion</x:v>
      </x:c>
      <x:c r="C32" s="6" t="str">
        <x:v>wiki — extrait indexé, à contrôler</x:v>
      </x:c>
      <x:c r="D32" s="6" t="str">
        <x:v>https://masseffect.fandom.com/wiki/Adjutant</x:v>
      </x:c>
      <x:c r="E32" s="6" t="str">
        <x:v>Créatures, infection et Avernus.</x:v>
      </x:c>
      <x:c r="F32" s="6" t="str">
        <x:v>Contenu lu dans le résultat de recherche indexé; ouverture directe Fandom restreinte ou en erreur. Comparaison avec le comic autorisé requise.</x:v>
      </x:c>
    </x:row>
    <x:row r="33" ht="22" customHeight="1">
      <x:c r="A33" s="2"/>
      <x:c r="B33" s="2"/>
      <x:c r="C33" s="2"/>
      <x:c r="D33" s="2"/>
      <x:c r="E33" s="2"/>
      <x:c r="F33" s="2"/>
    </x:row>
    <x:row r="34" ht="22" customHeight="1">
      <x:c r="A34" s="2"/>
      <x:c r="B34" s="2"/>
      <x:c r="C34" s="2"/>
      <x:c r="D34" s="2"/>
      <x:c r="E34" s="2"/>
      <x:c r="F34" s="2"/>
    </x:row>
    <x:row r="35" ht="22" customHeight="1">
      <x:c r="A35" s="2"/>
      <x:c r="B35" s="2"/>
      <x:c r="C35" s="2"/>
      <x:c r="D35" s="2"/>
      <x:c r="E35" s="2"/>
      <x:c r="F35" s="2"/>
    </x:row>
    <x:row r="36" ht="34" customHeight="1">
      <x:c r="A36" s="28" t="str">
        <x:v>Domaine</x:v>
      </x:c>
      <x:c r="B36" s="29" t="str">
        <x:v>Couverture actuelle</x:v>
      </x:c>
      <x:c r="C36" s="30" t="str">
        <x:v>Travail restant</x:v>
      </x:c>
      <x:c r="D36" s="2"/>
      <x:c r="E36" s="2"/>
      <x:c r="F36" s="2"/>
    </x:row>
    <x:row r="37" ht="68" customHeight="1">
      <x:c r="A37" s="6" t="str">
        <x:v>characters</x:v>
      </x:c>
      <x:c r="B37" s="6" t="str">
        <x:v>4 fiche(s) : Aria T’Loak; Oleg Petrovsky; Raymond Ashe; Défenseurs d’Omega</x:v>
      </x:c>
      <x:c r="C37" s="6" t="str">
        <x:v>Comparer les détails marqués À vérifier à une édition autorisée; les sources éditoriales n’attestent pas chaque détail graphique.</x:v>
      </x:c>
      <x:c r="D37" s="2"/>
      <x:c r="E37" s="2"/>
      <x:c r="F37" s="2"/>
    </x:row>
    <x:row r="38" ht="68" customHeight="1">
      <x:c r="A38" s="6" t="str">
        <x:v>npcs</x:v>
      </x:c>
      <x:c r="B38" s="6" t="str">
        <x:v>1 fiche(s) : L’Homme trouble</x:v>
      </x:c>
      <x:c r="C38" s="6" t="str">
        <x:v>Comparer les détails marqués À vérifier à une édition autorisée; les sources éditoriales n’attestent pas chaque détail graphique.</x:v>
      </x:c>
      <x:c r="D38" s="2"/>
      <x:c r="E38" s="2"/>
      <x:c r="F38" s="2"/>
    </x:row>
    <x:row r="39" ht="68" customHeight="1">
      <x:c r="A39" s="6" t="str">
        <x:v>lore</x:v>
      </x:c>
      <x:c r="B39" s="6" t="str">
        <x:v>10 fiche(s) : Omega au centre du conflit; Raccord du dernier numéro; Suite dans Omega; Coopération des gangs</x:v>
      </x:c>
      <x:c r="C39" s="6" t="str">
        <x:v>Comparer les détails marqués À vérifier à une édition autorisée; les sources éditoriales n’attestent pas chaque détail graphique.</x:v>
      </x:c>
      <x:c r="D39" s="2"/>
      <x:c r="E39" s="2"/>
      <x:c r="F39" s="2"/>
    </x:row>
    <x:row r="40" ht="68" customHeight="1">
      <x:c r="A40" s="6" t="str">
        <x:v>worlds</x:v>
      </x:c>
      <x:c r="B40" s="6" t="str">
        <x:v>4 fiche(s) : Omega; Elbrus; Avernus Station; Afterlife</x:v>
      </x:c>
      <x:c r="C40" s="6" t="str">
        <x:v>Comparer les détails marqués À vérifier à une édition autorisée; les sources éditoriales n’attestent pas chaque détail graphique.</x:v>
      </x:c>
      <x:c r="D40" s="2"/>
      <x:c r="E40" s="2"/>
      <x:c r="F40" s="2"/>
    </x:row>
    <x:row r="41" ht="54" customHeight="1">
      <x:c r="A41" s="6" t="str">
        <x:v>zones</x:v>
      </x:c>
      <x:c r="B41" s="6" t="str">
        <x:v>4 fiche(s) : Omega — espace jouable proposé; Elbrus — espace jouable proposé; Avernus Station — espace jouable proposé; Afterlife — espace jouable proposé</x:v>
      </x:c>
      <x:c r="C41" s="6" t="str">
        <x:v>Prototyper les règles proposées et exécuter les critères de recette; aucune fiche n’est déclarée intégrée ou validée.</x:v>
      </x:c>
      <x:c r="D41" s="2"/>
      <x:c r="E41" s="2"/>
      <x:c r="F41" s="2"/>
    </x:row>
    <x:row r="42" ht="54" customHeight="1">
      <x:c r="A42" s="6" t="str">
        <x:v>links</x:v>
      </x:c>
      <x:c r="B42" s="6" t="str">
        <x:v>4 fiche(s) : Omega — accès et sortie; Elbrus — accès et sortie; Avernus Station — accès et sortie; Afterlife — accès et sortie</x:v>
      </x:c>
      <x:c r="C42" s="6" t="str">
        <x:v>Prototyper les règles proposées et exécuter les critères de recette; aucune fiche n’est déclarée intégrée ou validée.</x:v>
      </x:c>
      <x:c r="D42" s="2"/>
      <x:c r="E42" s="2"/>
      <x:c r="F42" s="2"/>
    </x:row>
    <x:row r="43" ht="54" customHeight="1">
      <x:c r="A43" s="6" t="str">
        <x:v>scenery</x:v>
      </x:c>
      <x:c r="B43" s="6" t="str">
        <x:v>4 fiche(s) : Omega — décor et repère; Elbrus — décor et repère; Avernus Station — décor et repère; Afterlife — décor et repère</x:v>
      </x:c>
      <x:c r="C43" s="6" t="str">
        <x:v>Produire les assets originaux puis vérifier en situation; ce catalogue ne livre ni image, ni son, ni animation.</x:v>
      </x:c>
      <x:c r="D43" s="2"/>
      <x:c r="E43" s="2"/>
      <x:c r="F43" s="2"/>
    </x:row>
    <x:row r="44" ht="54" customHeight="1">
      <x:c r="A44" s="6" t="str">
        <x:v>props</x:v>
      </x:c>
      <x:c r="B44" s="6" t="str">
        <x:v>6 fiche(s) : Verrou de quai; Carte de coordination; Contrôle sectoriel; Plan local annoté</x:v>
      </x:c>
      <x:c r="C44" s="6" t="str">
        <x:v>Prototyper les règles proposées et exécuter les critères de recette; aucune fiche n’est déclarée intégrée ou validée.</x:v>
      </x:c>
      <x:c r="D44" s="2"/>
      <x:c r="E44" s="2"/>
      <x:c r="F44" s="2"/>
    </x:row>
    <x:row r="45" ht="54" customHeight="1">
      <x:c r="A45" s="6" t="str">
        <x:v>enemies</x:v>
      </x:c>
      <x:c r="B45" s="6" t="str">
        <x:v>3 fiche(s) : Adjutant; Forces de Cerberus; Équipe de contrôle du quai — proposition</x:v>
      </x:c>
      <x:c r="C45" s="6" t="str">
        <x:v>Prototyper les règles proposées et exécuter les critères de recette; aucune fiche n’est déclarée intégrée ou validée.</x:v>
      </x:c>
      <x:c r="D45" s="2"/>
      <x:c r="E45" s="2"/>
      <x:c r="F45" s="2"/>
    </x:row>
    <x:row r="46" ht="68" customHeight="1">
      <x:c r="A46" s="6" t="str">
        <x:v>main_quests</x:v>
      </x:c>
      <x:c r="B46" s="6" t="str">
        <x:v>6 fiche(s) : Alerte sur les quais — objectif jouable; Coordination de circonstance — objectif jouable; Confinement à Avernus — objectif jouable; Retour dans une station contestée — objectif jouable</x:v>
      </x:c>
      <x:c r="C46" s="6" t="str">
        <x:v>Prototyper les règles proposées et exécuter les critères de recette; aucune fiche n’est déclarée intégrée ou validée.</x:v>
      </x:c>
      <x:c r="D46" s="2"/>
      <x:c r="E46" s="2"/>
      <x:c r="F46" s="2"/>
    </x:row>
    <x:row r="47" ht="54" customHeight="1">
      <x:c r="A47" s="6" t="str">
        <x:v>side_quests</x:v>
      </x:c>
      <x:c r="B47" s="6" t="str">
        <x:v>6 fiche(s) : Guider un groupe de dockers; Confirmer une voie de secours; Copier un état de confinement; Récupérer un émetteur local</x:v>
      </x:c>
      <x:c r="C47" s="6" t="str">
        <x:v>Prototyper les règles proposées et exécuter les critères de recette; aucune fiche n’est déclarée intégrée ou validée.</x:v>
      </x:c>
      <x:c r="D47" s="2"/>
      <x:c r="E47" s="2"/>
      <x:c r="F47" s="2"/>
    </x:row>
    <x:row r="48" ht="68" customHeight="1">
      <x:c r="A48" s="6" t="str">
        <x:v>choices</x:v>
      </x:c>
      <x:c r="B48" s="6" t="str">
        <x:v>6 fiche(s) : Alerte sur les quais — stratégie locale; Coordination de circonstance — stratégie locale; Confinement à Avernus — stratégie locale; Retour dans une station contestée — stratégie locale</x:v>
      </x:c>
      <x:c r="C48" s="6" t="str">
        <x:v>Prototyper les règles proposées et exécuter les critères de recette; aucune fiche n’est déclarée intégrée ou validée.</x:v>
      </x:c>
      <x:c r="D48" s="2"/>
      <x:c r="E48" s="2"/>
      <x:c r="F48" s="2"/>
    </x:row>
    <x:row r="49" ht="68" customHeight="1">
      <x:c r="A49" s="6" t="str">
        <x:v>dialogues</x:v>
      </x:c>
      <x:c r="B49" s="6" t="str">
        <x:v>6 fiche(s) : Alerte sur les quais — intentions de conversation; Coordination de circonstance — intentions de conversation; Confinement à Avernus — intentions de conversation; Retour dans une station contestée — intentions de conversation</x:v>
      </x:c>
      <x:c r="C49" s="6" t="str">
        <x:v>Prototyper les règles proposées et exécuter les critères de recette; aucune fiche n’est déclarée intégrée ou validée.</x:v>
      </x:c>
      <x:c r="D49" s="2"/>
      <x:c r="E49" s="2"/>
      <x:c r="F49" s="2"/>
    </x:row>
    <x:row r="50" ht="68" customHeight="1">
      <x:c r="A50" s="6" t="str">
        <x:v>cinematics</x:v>
      </x:c>
      <x:c r="B50" s="6" t="str">
        <x:v>6 fiche(s) : Alerte sur les quais — raccord mis en scène; Coordination de circonstance — raccord mis en scène; Confinement à Avernus — raccord mis en scène; Retour dans une station contestée — raccord mis en scène</x:v>
      </x:c>
      <x:c r="C50" s="6" t="str">
        <x:v>Prototyper les règles proposées et exécuter les critères de recette; aucune fiche n’est déclarée intégrée ou validée.</x:v>
      </x:c>
      <x:c r="D50" s="2"/>
      <x:c r="E50" s="2"/>
      <x:c r="F50" s="2"/>
    </x:row>
    <x:row r="51" ht="54" customHeight="1">
      <x:c r="A51" s="6" t="str">
        <x:v>weapons</x:v>
      </x:c>
      <x:c r="B51" s="6" t="str">
        <x:v>1 fiche(s) : Armement de défense local</x:v>
      </x:c>
      <x:c r="C51" s="6" t="str">
        <x:v>Prototyper les règles proposées et exécuter les critères de recette; aucune fiche n’est déclarée intégrée ou validée.</x:v>
      </x:c>
      <x:c r="D51" s="2"/>
      <x:c r="E51" s="2"/>
      <x:c r="F51" s="2"/>
    </x:row>
    <x:row r="52" ht="54" customHeight="1">
      <x:c r="A52" s="6" t="str">
        <x:v>equipment</x:v>
      </x:c>
      <x:c r="B52" s="6" t="str">
        <x:v>2 fiche(s) : Dispositif de fermeture locale; Indicateur d’exposition abstrait</x:v>
      </x:c>
      <x:c r="C52" s="6" t="str">
        <x:v>Prototyper les règles proposées et exécuter les critères de recette; aucune fiche n’est déclarée intégrée ou validée.</x:v>
      </x:c>
      <x:c r="D52" s="2"/>
      <x:c r="E52" s="2"/>
      <x:c r="F52" s="2"/>
    </x:row>
    <x:row r="53" ht="54" customHeight="1">
      <x:c r="A53" s="6" t="str">
        <x:v>powers</x:v>
      </x:c>
      <x:c r="B53" s="6" t="str">
        <x:v>1 fiche(s) : Projection biotique proposée d’Aria</x:v>
      </x:c>
      <x:c r="C53" s="6" t="str">
        <x:v>Prototyper les règles proposées et exécuter les critères de recette; aucune fiche n’est déclarée intégrée ou validée.</x:v>
      </x:c>
      <x:c r="D53" s="2"/>
      <x:c r="E53" s="2"/>
      <x:c r="F53" s="2"/>
    </x:row>
    <x:row r="54" ht="54" customHeight="1">
      <x:c r="A54" s="6" t="str">
        <x:v>ally_moves</x:v>
      </x:c>
      <x:c r="B54" s="6" t="str">
        <x:v>2 fiche(s) : Repli sous pression; Tenir le passage</x:v>
      </x:c>
      <x:c r="C54" s="6" t="str">
        <x:v>Prototyper les règles proposées et exécuter les critères de recette; aucune fiche n’est déclarée intégrée ou validée.</x:v>
      </x:c>
      <x:c r="D54" s="2"/>
      <x:c r="E54" s="2"/>
      <x:c r="F54" s="2"/>
    </x:row>
    <x:row r="55" ht="54" customHeight="1">
      <x:c r="A55" s="6" t="str">
        <x:v>enemy_moves</x:v>
      </x:c>
      <x:c r="B55" s="6" t="str">
        <x:v>6 fiche(s) : Bond de contamination — proposition; Pression de proximité — proposition; Couloir interdit; Avancée en binôme</x:v>
      </x:c>
      <x:c r="C55" s="6" t="str">
        <x:v>Prototyper les règles proposées et exécuter les critères de recette; aucune fiche n’est déclarée intégrée ou validée.</x:v>
      </x:c>
      <x:c r="D55" s="2"/>
      <x:c r="E55" s="2"/>
      <x:c r="F55" s="2"/>
    </x:row>
    <x:row r="56" ht="54" customHeight="1">
      <x:c r="A56" s="6" t="str">
        <x:v>animations</x:v>
      </x:c>
      <x:c r="B56" s="6" t="str">
        <x:v>5 fiche(s) : Aria T’Loak — jeu de poses; Oleg Petrovsky — jeu de poses; Raymond Ashe — jeu de poses; L’Homme trouble — jeu de poses</x:v>
      </x:c>
      <x:c r="C56" s="6" t="str">
        <x:v>Produire les assets originaux puis vérifier en situation; ce catalogue ne livre ni image, ni son, ni animation.</x:v>
      </x:c>
      <x:c r="D56" s="2"/>
      <x:c r="E56" s="2"/>
      <x:c r="F56" s="2"/>
    </x:row>
    <x:row r="57" ht="54" customHeight="1">
      <x:c r="A57" s="6" t="str">
        <x:v>sprites</x:v>
      </x:c>
      <x:c r="B57" s="6" t="str">
        <x:v>5 fiche(s) : Aria T’Loak — planche de sprites; Oleg Petrovsky — planche de sprites; Raymond Ashe — planche de sprites; L’Homme trouble — planche de sprites</x:v>
      </x:c>
      <x:c r="C57" s="6" t="str">
        <x:v>Produire les assets originaux puis vérifier en situation; ce catalogue ne livre ni image, ni son, ni animation.</x:v>
      </x:c>
      <x:c r="D57" s="2"/>
      <x:c r="E57" s="2"/>
      <x:c r="F57" s="2"/>
    </x:row>
    <x:row r="58" ht="54" customHeight="1">
      <x:c r="A58" s="6" t="str">
        <x:v>vfx</x:v>
      </x:c>
      <x:c r="B58" s="6" t="str">
        <x:v>6 fiche(s) : Alerte sur les quais — signal visuel; Coordination de circonstance — signal visuel; Confinement à Avernus — signal visuel; Retour dans une station contestée — signal visuel</x:v>
      </x:c>
      <x:c r="C58" s="6" t="str">
        <x:v>Produire les assets originaux puis vérifier en situation; ce catalogue ne livre ni image, ni son, ni animation.</x:v>
      </x:c>
      <x:c r="D58" s="2"/>
      <x:c r="E58" s="2"/>
      <x:c r="F58" s="2"/>
    </x:row>
    <x:row r="59" ht="54" customHeight="1">
      <x:c r="A59" s="6" t="str">
        <x:v>audio</x:v>
      </x:c>
      <x:c r="B59" s="6" t="str">
        <x:v>4 fiche(s) : Omega — paysage sonore; Elbrus — paysage sonore; Avernus Station — paysage sonore; Afterlife — paysage sonore</x:v>
      </x:c>
      <x:c r="C59" s="6" t="str">
        <x:v>Produire les assets originaux puis vérifier en situation; ce catalogue ne livre ni image, ni son, ni animation.</x:v>
      </x:c>
      <x:c r="D59" s="2"/>
      <x:c r="E59" s="2"/>
      <x:c r="F59" s="2"/>
    </x:row>
    <x:row r="60" ht="54" customHeight="1">
      <x:c r="A60" s="6" t="str">
        <x:v>systems</x:v>
      </x:c>
      <x:c r="B60" s="6" t="str">
        <x:v>4 fiche(s) : Journal à deux niveaux; Groupe propre au chapitre; Rythme ATB proposé; Sauvegarde des modules</x:v>
      </x:c>
      <x:c r="C60" s="6" t="str">
        <x:v>Prototyper les règles proposées et exécuter les critères de recette; aucune fiche n’est déclarée intégrée ou validée.</x:v>
      </x:c>
      <x:c r="D60" s="2"/>
      <x:c r="E60" s="2"/>
      <x:c r="F60" s="2"/>
    </x:row>
    <x:row r="61" ht="68" customHeight="1">
      <x:c r="A61" s="6" t="str">
        <x:v>qa</x:v>
      </x:c>
      <x:c r="B61" s="6" t="str">
        <x:v>9 fiche(s) : Alerte sur les quais — contrôle du parcours; Coordination de circonstance — contrôle du parcours; Confinement à Avernus — contrôle du parcours; Retour dans une station contestée — contrôle du parcours</x:v>
      </x:c>
      <x:c r="C61" s="6" t="str">
        <x:v>Prototyper les règles proposées et exécuter les critères de recette; aucune fiche n’est déclarée intégrée ou validée.</x:v>
      </x:c>
      <x:c r="D61" s="2"/>
      <x:c r="E61" s="2"/>
      <x:c r="F61" s="2"/>
    </x:row>
    <x:row r="62" ht="68" customHeight="1">
      <x:c r="A62" s="6" t="str">
        <x:v>continuity</x:v>
      </x:c>
      <x:c r="B62" s="6" t="str">
        <x:v>2 fiche(s) : Position dans l’univers; Contenus non attestés</x:v>
      </x:c>
      <x:c r="C62" s="6" t="str">
        <x:v>Comparer les détails marqués À vérifier à une édition autorisée; les sources éditoriales n’attestent pas chaque détail graphique.</x:v>
      </x:c>
      <x:c r="D62" s="2"/>
      <x:c r="E62" s="2"/>
      <x:c r="F62" s="2"/>
    </x:row>
    <x:row r="63" ht="96" customHeight="1">
      <x:c r="A63" s="6" t="str">
        <x:v>Complément pouvoirs, modules et lectures</x:v>
      </x:c>
      <x:c r="B63" s="6" t="str">
        <x:v>0 fiches de pouvoirs utilisées, 0 familles de modules préparables et 4 références consultables dans une lecture documentaire. Les chemins et preuves sont inscrits sur les seules lignes Prototype.</x:v>
      </x:c>
      <x:c r="C63" s="6" t="str">
        <x:v>Arbres et progression complets, modèles et rangs exacts, campagnes et dialogues intégraux, niveaux et ressources visuelles propres à l’œuvre restent à réaliser ou vérifier. Les références lues ne rendent pas leurs personnages jouables.</x:v>
      </x:c>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sheetData>
  <x:pageMargins left="0.7" right="0.7" top="0.75" bottom="0.75" header="0.3" footer="0.3"/>
</x:worksheet>
</file>