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54d2c96aab489f" /></Relationships>
</file>

<file path=xl/workbook.xml><?xml version="1.0" encoding="utf-8"?>
<x:workbook xmlns:x="http://schemas.openxmlformats.org/spreadsheetml/2006/main">
  <x:sheets>
    <x:sheet xmlns:r="http://schemas.openxmlformats.org/officeDocument/2006/relationships" name="Dashboard" sheetId="1" r:id="Rba016674445742d2"/>
    <x:sheet xmlns:r="http://schemas.openxmlformats.org/officeDocument/2006/relationships" name="Personnages" sheetId="2" r:id="Rfb151833506e4338"/>
    <x:sheet xmlns:r="http://schemas.openxmlformats.org/officeDocument/2006/relationships" name="PNJ" sheetId="3" r:id="R4f522593691844c0"/>
    <x:sheet xmlns:r="http://schemas.openxmlformats.org/officeDocument/2006/relationships" name="Especes_factions" sheetId="4" r:id="Rc8970e3f209b41c4"/>
    <x:sheet xmlns:r="http://schemas.openxmlformats.org/officeDocument/2006/relationships" name="Mondes" sheetId="5" r:id="R5acea21691844997"/>
    <x:sheet xmlns:r="http://schemas.openxmlformats.org/officeDocument/2006/relationships" name="Zones" sheetId="6" r:id="R7f7b7a5f7004402b"/>
    <x:sheet xmlns:r="http://schemas.openxmlformats.org/officeDocument/2006/relationships" name="Liaisons" sheetId="7" r:id="R2aba6ec1b8cf4fe6"/>
    <x:sheet xmlns:r="http://schemas.openxmlformats.org/officeDocument/2006/relationships" name="Decors" sheetId="8" r:id="R3ac71aa56f2a4b8f"/>
    <x:sheet xmlns:r="http://schemas.openxmlformats.org/officeDocument/2006/relationships" name="Props" sheetId="9" r:id="R4ea71bc5f38049e3"/>
    <x:sheet xmlns:r="http://schemas.openxmlformats.org/officeDocument/2006/relationships" name="Ennemis_boss" sheetId="10" r:id="R825e34328b094d92"/>
    <x:sheet xmlns:r="http://schemas.openxmlformats.org/officeDocument/2006/relationships" name="Missions" sheetId="11" r:id="Rae32ebd50a464d34"/>
    <x:sheet xmlns:r="http://schemas.openxmlformats.org/officeDocument/2006/relationships" name="Secondaires_DLC" sheetId="12" r:id="R9d1ef8d940874f9c"/>
    <x:sheet xmlns:r="http://schemas.openxmlformats.org/officeDocument/2006/relationships" name="Choix_relations" sheetId="13" r:id="R522edf57e43741c4"/>
    <x:sheet xmlns:r="http://schemas.openxmlformats.org/officeDocument/2006/relationships" name="Dialogues" sheetId="14" r:id="R4904ee40bd344fd3"/>
    <x:sheet xmlns:r="http://schemas.openxmlformats.org/officeDocument/2006/relationships" name="Cinematiques" sheetId="15" r:id="Raff3f8c6c88d41f5"/>
    <x:sheet xmlns:r="http://schemas.openxmlformats.org/officeDocument/2006/relationships" name="Armes" sheetId="16" r:id="Rce31e380819f4d56"/>
    <x:sheet xmlns:r="http://schemas.openxmlformats.org/officeDocument/2006/relationships" name="Armures_equipement" sheetId="17" r:id="Rf913850f1faa420e"/>
    <x:sheet xmlns:r="http://schemas.openxmlformats.org/officeDocument/2006/relationships" name="Pouvoirs" sheetId="18" r:id="R1dd4c5ab52e44d3d"/>
    <x:sheet xmlns:r="http://schemas.openxmlformats.org/officeDocument/2006/relationships" name="Movesets_allies" sheetId="19" r:id="Ra4e0bce0778f45f5"/>
    <x:sheet xmlns:r="http://schemas.openxmlformats.org/officeDocument/2006/relationships" name="Movesets_ennemis" sheetId="20" r:id="R830f3c3b9c7c4fd7"/>
    <x:sheet xmlns:r="http://schemas.openxmlformats.org/officeDocument/2006/relationships" name="Animations" sheetId="21" r:id="Rc2f2c8ba26964b41"/>
    <x:sheet xmlns:r="http://schemas.openxmlformats.org/officeDocument/2006/relationships" name="Sprites" sheetId="22" r:id="R7c60549d7e774a8f"/>
    <x:sheet xmlns:r="http://schemas.openxmlformats.org/officeDocument/2006/relationships" name="VFX" sheetId="23" r:id="Re46938c0991747fa"/>
    <x:sheet xmlns:r="http://schemas.openxmlformats.org/officeDocument/2006/relationships" name="Audio" sheetId="24" r:id="R37b3fb18098542c1"/>
    <x:sheet xmlns:r="http://schemas.openxmlformats.org/officeDocument/2006/relationships" name="UI_systemes" sheetId="25" r:id="R0178a791364c4663"/>
    <x:sheet xmlns:r="http://schemas.openxmlformats.org/officeDocument/2006/relationships" name="QA" sheetId="26" r:id="Rfe1dbbe7fb3640b9"/>
    <x:sheet xmlns:r="http://schemas.openxmlformats.org/officeDocument/2006/relationships" name="Continuite" sheetId="27" r:id="Racbf6838c6754007"/>
    <x:sheet xmlns:r="http://schemas.openxmlformats.org/officeDocument/2006/relationships" name="Guide" sheetId="28" r:id="R6e3e6580a009424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17f1e4fccab9402e" /><Relationship Type="http://schemas.openxmlformats.org/officeDocument/2006/relationships/theme" Target="/xl/theme/theme1.xml" Id="R4dbc92b7c5f94488" /><Relationship Type="http://schemas.openxmlformats.org/officeDocument/2006/relationships/sharedStrings" Target="/xl/sharedStrings.xml" Id="R9dc1b7eb5dd9483e" /><Relationship Type="http://schemas.openxmlformats.org/officeDocument/2006/relationships/worksheet" Target="/xl/worksheets/sheet1.xml" Id="Rba016674445742d2" /><Relationship Type="http://schemas.openxmlformats.org/officeDocument/2006/relationships/worksheet" Target="/xl/worksheets/sheet2.xml" Id="Rfb151833506e4338" /><Relationship Type="http://schemas.openxmlformats.org/officeDocument/2006/relationships/worksheet" Target="/xl/worksheets/sheet3.xml" Id="R4f522593691844c0" /><Relationship Type="http://schemas.openxmlformats.org/officeDocument/2006/relationships/worksheet" Target="/xl/worksheets/sheet4.xml" Id="Rc8970e3f209b41c4" /><Relationship Type="http://schemas.openxmlformats.org/officeDocument/2006/relationships/worksheet" Target="/xl/worksheets/sheet5.xml" Id="R5acea21691844997" /><Relationship Type="http://schemas.openxmlformats.org/officeDocument/2006/relationships/worksheet" Target="/xl/worksheets/sheet6.xml" Id="R7f7b7a5f7004402b" /><Relationship Type="http://schemas.openxmlformats.org/officeDocument/2006/relationships/worksheet" Target="/xl/worksheets/sheet7.xml" Id="R2aba6ec1b8cf4fe6" /><Relationship Type="http://schemas.openxmlformats.org/officeDocument/2006/relationships/worksheet" Target="/xl/worksheets/sheet8.xml" Id="R3ac71aa56f2a4b8f" /><Relationship Type="http://schemas.openxmlformats.org/officeDocument/2006/relationships/worksheet" Target="/xl/worksheets/sheet9.xml" Id="R4ea71bc5f38049e3" /><Relationship Type="http://schemas.openxmlformats.org/officeDocument/2006/relationships/worksheet" Target="/xl/worksheets/sheet10.xml" Id="R825e34328b094d92" /><Relationship Type="http://schemas.openxmlformats.org/officeDocument/2006/relationships/worksheet" Target="/xl/worksheets/sheet11.xml" Id="Rae32ebd50a464d34" /><Relationship Type="http://schemas.openxmlformats.org/officeDocument/2006/relationships/worksheet" Target="/xl/worksheets/sheet12.xml" Id="R9d1ef8d940874f9c" /><Relationship Type="http://schemas.openxmlformats.org/officeDocument/2006/relationships/worksheet" Target="/xl/worksheets/sheet13.xml" Id="R522edf57e43741c4" /><Relationship Type="http://schemas.openxmlformats.org/officeDocument/2006/relationships/worksheet" Target="/xl/worksheets/sheet14.xml" Id="R4904ee40bd344fd3" /><Relationship Type="http://schemas.openxmlformats.org/officeDocument/2006/relationships/worksheet" Target="/xl/worksheets/sheet15.xml" Id="Raff3f8c6c88d41f5" /><Relationship Type="http://schemas.openxmlformats.org/officeDocument/2006/relationships/worksheet" Target="/xl/worksheets/sheet16.xml" Id="Rce31e380819f4d56" /><Relationship Type="http://schemas.openxmlformats.org/officeDocument/2006/relationships/worksheet" Target="/xl/worksheets/sheet17.xml" Id="Rf913850f1faa420e" /><Relationship Type="http://schemas.openxmlformats.org/officeDocument/2006/relationships/worksheet" Target="/xl/worksheets/sheet18.xml" Id="R1dd4c5ab52e44d3d" /><Relationship Type="http://schemas.openxmlformats.org/officeDocument/2006/relationships/worksheet" Target="/xl/worksheets/sheet19.xml" Id="Ra4e0bce0778f45f5" /><Relationship Type="http://schemas.openxmlformats.org/officeDocument/2006/relationships/worksheet" Target="/xl/worksheets/sheet20.xml" Id="R830f3c3b9c7c4fd7" /><Relationship Type="http://schemas.openxmlformats.org/officeDocument/2006/relationships/worksheet" Target="/xl/worksheets/sheet21.xml" Id="Rc2f2c8ba26964b41" /><Relationship Type="http://schemas.openxmlformats.org/officeDocument/2006/relationships/worksheet" Target="/xl/worksheets/sheet22.xml" Id="R7c60549d7e774a8f" /><Relationship Type="http://schemas.openxmlformats.org/officeDocument/2006/relationships/worksheet" Target="/xl/worksheets/sheet23.xml" Id="Re46938c0991747fa" /><Relationship Type="http://schemas.openxmlformats.org/officeDocument/2006/relationships/worksheet" Target="/xl/worksheets/sheet24.xml" Id="R37b3fb18098542c1" /><Relationship Type="http://schemas.openxmlformats.org/officeDocument/2006/relationships/worksheet" Target="/xl/worksheets/sheet25.xml" Id="R0178a791364c4663" /><Relationship Type="http://schemas.openxmlformats.org/officeDocument/2006/relationships/worksheet" Target="/xl/worksheets/sheet26.xml" Id="Rfe1dbbe7fb3640b9" /><Relationship Type="http://schemas.openxmlformats.org/officeDocument/2006/relationships/worksheet" Target="/xl/worksheets/sheet27.xml" Id="Racbf6838c6754007" /><Relationship Type="http://schemas.openxmlformats.org/officeDocument/2006/relationships/worksheet" Target="/xl/worksheets/sheet28.xml" Id="R6e3e6580a0094249" /></Relationships>
</file>

<file path=xl/tables/table1.xml><?xml version="1.0" encoding="utf-8"?>
<x:table xmlns:x="http://schemas.openxmlformats.org/spreadsheetml/2006/main" id="1" name="FOU_characters" displayName="FOU_characters" ref="A6:S17" headerRowCount="1" totalsRowCount="0" totalsRowShown="0">
  <x:autoFilter ref="A6:S1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FOU_npcs" displayName="FOU_npc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FOU_lore" displayName="FOU_lore" ref="A6:S25" headerRowCount="1" totalsRowCount="0" totalsRowShown="0">
  <x:autoFilter ref="A6:S2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FOU_worlds" displayName="FOU_world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FOU_zones" displayName="FOU_zone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FOU_links" displayName="FOU_link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FOU_scenery" displayName="FOU_scenery"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FOU_props" displayName="FOU_prop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FOU_enemies" displayName="FOU_enemi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FOU_main_quests" displayName="FOU_main_quest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FOU_side_quests" displayName="FOU_side_quest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FOU_choices" displayName="FOU_choice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FOU_dialogues" displayName="FOU_dialogue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FOU_cinematics" displayName="FOU_cinematic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FOU_weapons" displayName="FOU_weapon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FOU_equipment" displayName="FOU_equipment"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FOU_powers" displayName="FOU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FOU_ally_moves" displayName="FOU_ally_mov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FOU_enemy_moves" displayName="FOU_enemy_mov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FOU_animations" displayName="FOU_animations" ref="A6:S24" headerRowCount="1" totalsRowCount="0" totalsRowShown="0">
  <x:autoFilter ref="A6:S2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FOU_sprites" displayName="FOU_sprites" ref="A6:S24" headerRowCount="1" totalsRowCount="0" totalsRowShown="0">
  <x:autoFilter ref="A6:S2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FOU_vfx" displayName="FOU_vfx"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FOU_audio" displayName="FOU_audio"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FOU_systems" displayName="FOU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FOU_qa" displayName="FOU_qa"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FOU_continuity" displayName="FOU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a6279faff94078" /></Relationships>
</file>

<file path=xl/worksheets/_rels/sheet3.xml.rels>&#65279;<?xml version="1.0" encoding="utf-8"?><Relationships xmlns="http://schemas.openxmlformats.org/package/2006/relationships"><Relationship Type="http://schemas.openxmlformats.org/officeDocument/2006/relationships/table" Target="/xl/tables/table2.xml" Id="R02f163c6921640c7" /></Relationships>
</file>

<file path=xl/worksheets/_rels/sheet4.xml.rels>&#65279;<?xml version="1.0" encoding="utf-8"?><Relationships xmlns="http://schemas.openxmlformats.org/package/2006/relationships"><Relationship Type="http://schemas.openxmlformats.org/officeDocument/2006/relationships/table" Target="/xl/tables/table3.xml" Id="R49665a88573b418b" /></Relationships>
</file>

<file path=xl/worksheets/_rels/sheet5.xml.rels>&#65279;<?xml version="1.0" encoding="utf-8"?><Relationships xmlns="http://schemas.openxmlformats.org/package/2006/relationships"><Relationship Type="http://schemas.openxmlformats.org/officeDocument/2006/relationships/table" Target="/xl/tables/table4.xml" Id="Ref7978a59dd1434e" /></Relationships>
</file>

<file path=xl/worksheets/_rels/sheet6.xml.rels>&#65279;<?xml version="1.0" encoding="utf-8"?><Relationships xmlns="http://schemas.openxmlformats.org/package/2006/relationships"><Relationship Type="http://schemas.openxmlformats.org/officeDocument/2006/relationships/table" Target="/xl/tables/table5.xml" Id="R5e3cd56e364d42df" /></Relationships>
</file>

<file path=xl/worksheets/_rels/sheet7.xml.rels>&#65279;<?xml version="1.0" encoding="utf-8"?><Relationships xmlns="http://schemas.openxmlformats.org/package/2006/relationships"><Relationship Type="http://schemas.openxmlformats.org/officeDocument/2006/relationships/table" Target="/xl/tables/table6.xml" Id="Rb2fa6c37d4d24b9e" /></Relationships>
</file>

<file path=xl/worksheets/_rels/sheet8.xml.rels>&#65279;<?xml version="1.0" encoding="utf-8"?><Relationships xmlns="http://schemas.openxmlformats.org/package/2006/relationships"><Relationship Type="http://schemas.openxmlformats.org/officeDocument/2006/relationships/table" Target="/xl/tables/table7.xml" Id="Rc4618e2f981d4b24" /></Relationships>
</file>

<file path=xl/worksheets/_rels/sheet9.xml.rels>&#65279;<?xml version="1.0" encoding="utf-8"?><Relationships xmlns="http://schemas.openxmlformats.org/package/2006/relationships"><Relationship Type="http://schemas.openxmlformats.org/officeDocument/2006/relationships/table" Target="/xl/tables/table8.xml" Id="R8aa56e8cdf0e4aea" /></Relationships>
</file>

<file path=xl/worksheets/_rels/sheet10.xml.rels>&#65279;<?xml version="1.0" encoding="utf-8"?><Relationships xmlns="http://schemas.openxmlformats.org/package/2006/relationships"><Relationship Type="http://schemas.openxmlformats.org/officeDocument/2006/relationships/table" Target="/xl/tables/table9.xml" Id="Rd5b3faa4fd224cf3" /></Relationships>
</file>

<file path=xl/worksheets/_rels/sheet11.xml.rels>&#65279;<?xml version="1.0" encoding="utf-8"?><Relationships xmlns="http://schemas.openxmlformats.org/package/2006/relationships"><Relationship Type="http://schemas.openxmlformats.org/officeDocument/2006/relationships/table" Target="/xl/tables/table10.xml" Id="R78136a6ecafb4b77" /></Relationships>
</file>

<file path=xl/worksheets/_rels/sheet12.xml.rels>&#65279;<?xml version="1.0" encoding="utf-8"?><Relationships xmlns="http://schemas.openxmlformats.org/package/2006/relationships"><Relationship Type="http://schemas.openxmlformats.org/officeDocument/2006/relationships/table" Target="/xl/tables/table11.xml" Id="R519457f7a6214931" /></Relationships>
</file>

<file path=xl/worksheets/_rels/sheet13.xml.rels>&#65279;<?xml version="1.0" encoding="utf-8"?><Relationships xmlns="http://schemas.openxmlformats.org/package/2006/relationships"><Relationship Type="http://schemas.openxmlformats.org/officeDocument/2006/relationships/table" Target="/xl/tables/table12.xml" Id="R935dacd60ced4273" /></Relationships>
</file>

<file path=xl/worksheets/_rels/sheet14.xml.rels>&#65279;<?xml version="1.0" encoding="utf-8"?><Relationships xmlns="http://schemas.openxmlformats.org/package/2006/relationships"><Relationship Type="http://schemas.openxmlformats.org/officeDocument/2006/relationships/table" Target="/xl/tables/table13.xml" Id="Rbfb7dfc6a738485d" /></Relationships>
</file>

<file path=xl/worksheets/_rels/sheet15.xml.rels>&#65279;<?xml version="1.0" encoding="utf-8"?><Relationships xmlns="http://schemas.openxmlformats.org/package/2006/relationships"><Relationship Type="http://schemas.openxmlformats.org/officeDocument/2006/relationships/table" Target="/xl/tables/table14.xml" Id="R3743d87c7947430e" /></Relationships>
</file>

<file path=xl/worksheets/_rels/sheet16.xml.rels>&#65279;<?xml version="1.0" encoding="utf-8"?><Relationships xmlns="http://schemas.openxmlformats.org/package/2006/relationships"><Relationship Type="http://schemas.openxmlformats.org/officeDocument/2006/relationships/table" Target="/xl/tables/table15.xml" Id="R05c5b15b427e4865" /></Relationships>
</file>

<file path=xl/worksheets/_rels/sheet17.xml.rels>&#65279;<?xml version="1.0" encoding="utf-8"?><Relationships xmlns="http://schemas.openxmlformats.org/package/2006/relationships"><Relationship Type="http://schemas.openxmlformats.org/officeDocument/2006/relationships/table" Target="/xl/tables/table16.xml" Id="R3e550831cbac4da8" /></Relationships>
</file>

<file path=xl/worksheets/_rels/sheet18.xml.rels>&#65279;<?xml version="1.0" encoding="utf-8"?><Relationships xmlns="http://schemas.openxmlformats.org/package/2006/relationships"><Relationship Type="http://schemas.openxmlformats.org/officeDocument/2006/relationships/table" Target="/xl/tables/table17.xml" Id="R02e5484c8f134e33" /></Relationships>
</file>

<file path=xl/worksheets/_rels/sheet19.xml.rels>&#65279;<?xml version="1.0" encoding="utf-8"?><Relationships xmlns="http://schemas.openxmlformats.org/package/2006/relationships"><Relationship Type="http://schemas.openxmlformats.org/officeDocument/2006/relationships/table" Target="/xl/tables/table18.xml" Id="R96ca7fb4fd654159" /></Relationships>
</file>

<file path=xl/worksheets/_rels/sheet20.xml.rels>&#65279;<?xml version="1.0" encoding="utf-8"?><Relationships xmlns="http://schemas.openxmlformats.org/package/2006/relationships"><Relationship Type="http://schemas.openxmlformats.org/officeDocument/2006/relationships/table" Target="/xl/tables/table19.xml" Id="R7ee1116ca6d740b4" /></Relationships>
</file>

<file path=xl/worksheets/_rels/sheet21.xml.rels>&#65279;<?xml version="1.0" encoding="utf-8"?><Relationships xmlns="http://schemas.openxmlformats.org/package/2006/relationships"><Relationship Type="http://schemas.openxmlformats.org/officeDocument/2006/relationships/table" Target="/xl/tables/table20.xml" Id="Ra1d915088e9749c7" /></Relationships>
</file>

<file path=xl/worksheets/_rels/sheet22.xml.rels>&#65279;<?xml version="1.0" encoding="utf-8"?><Relationships xmlns="http://schemas.openxmlformats.org/package/2006/relationships"><Relationship Type="http://schemas.openxmlformats.org/officeDocument/2006/relationships/table" Target="/xl/tables/table21.xml" Id="Rd586cbcad1f14b2c" /></Relationships>
</file>

<file path=xl/worksheets/_rels/sheet23.xml.rels>&#65279;<?xml version="1.0" encoding="utf-8"?><Relationships xmlns="http://schemas.openxmlformats.org/package/2006/relationships"><Relationship Type="http://schemas.openxmlformats.org/officeDocument/2006/relationships/table" Target="/xl/tables/table22.xml" Id="R41a771c1c25a4386" /></Relationships>
</file>

<file path=xl/worksheets/_rels/sheet24.xml.rels>&#65279;<?xml version="1.0" encoding="utf-8"?><Relationships xmlns="http://schemas.openxmlformats.org/package/2006/relationships"><Relationship Type="http://schemas.openxmlformats.org/officeDocument/2006/relationships/table" Target="/xl/tables/table23.xml" Id="R76f9f3e1b6e642aa" /></Relationships>
</file>

<file path=xl/worksheets/_rels/sheet25.xml.rels>&#65279;<?xml version="1.0" encoding="utf-8"?><Relationships xmlns="http://schemas.openxmlformats.org/package/2006/relationships"><Relationship Type="http://schemas.openxmlformats.org/officeDocument/2006/relationships/table" Target="/xl/tables/table24.xml" Id="Rc46d51a12e434548" /></Relationships>
</file>

<file path=xl/worksheets/_rels/sheet26.xml.rels>&#65279;<?xml version="1.0" encoding="utf-8"?><Relationships xmlns="http://schemas.openxmlformats.org/package/2006/relationships"><Relationship Type="http://schemas.openxmlformats.org/officeDocument/2006/relationships/table" Target="/xl/tables/table25.xml" Id="Re8cfb0f290d54c4b" /></Relationships>
</file>

<file path=xl/worksheets/_rels/sheet27.xml.rels>&#65279;<?xml version="1.0" encoding="utf-8"?><Relationships xmlns="http://schemas.openxmlformats.org/package/2006/relationships"><Relationship Type="http://schemas.openxmlformats.org/officeDocument/2006/relationships/table" Target="/xl/tables/table26.xml" Id="R20a2aaf2474e43ad"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Foundation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3" t="n">
        <x:f>SUM(B10:B35)</x:f>
        <x:v>249</x:v>
      </x:c>
      <x:c r="C5" s="2"/>
      <x:c r="D5" s="2" t="str">
        <x:v>Intégrés</x:v>
      </x:c>
      <x:c r="E5" s="33" t="n">
        <x:f>SUM(E10:F35)</x:f>
        <x:v>0</x:v>
      </x:c>
      <x:c r="F5" s="2"/>
      <x:c r="G5" s="2" t="str">
        <x:v>À vérifier</x:v>
      </x:c>
      <x:c r="H5" s="33" t="n">
        <x:f>SUM(H10:H35)</x:f>
        <x:v>28</x:v>
      </x:c>
      <x:c r="I5" s="2"/>
      <x:c r="J5" s="2" t="str">
        <x:v>Extrapolations</x:v>
      </x:c>
      <x:c r="K5" s="33" t="n">
        <x:f>SUM(I10:I35)</x:f>
        <x:v>202</x:v>
      </x:c>
      <x:c r="L5" s="2"/>
      <x:c r="M5" s="2"/>
    </x:row>
    <x:row r="6" ht="22" customHeight="1">
      <x:c r="A6" s="2"/>
      <x:c r="B6" s="2"/>
      <x:c r="C6" s="2"/>
      <x:c r="D6" s="2"/>
      <x:c r="E6" s="2"/>
      <x:c r="F6" s="2"/>
      <x:c r="G6" s="2"/>
      <x:c r="H6" s="2"/>
      <x:c r="I6" s="2"/>
      <x:c r="J6" s="2"/>
      <x:c r="K6" s="2"/>
      <x:c r="L6" s="2"/>
      <x:c r="M6" s="2"/>
    </x:row>
    <x:row r="7" ht="22" customHeight="1">
      <x:c r="A7" s="34"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30" t="str">
        <x:v>Domaine</x:v>
      </x:c>
      <x:c r="B9" s="31" t="str">
        <x:v>Total</x:v>
      </x:c>
      <x:c r="C9" s="31" t="str">
        <x:v>Défini</x:v>
      </x:c>
      <x:c r="D9" s="31" t="str">
        <x:v>Prototype</x:v>
      </x:c>
      <x:c r="E9" s="31" t="str">
        <x:v>Intégré</x:v>
      </x:c>
      <x:c r="F9" s="31" t="str">
        <x:v>Validé</x:v>
      </x:c>
      <x:c r="G9" s="31" t="str">
        <x:v>Établi</x:v>
      </x:c>
      <x:c r="H9" s="31" t="str">
        <x:v>À vérifier</x:v>
      </x:c>
      <x:c r="I9" s="31" t="str">
        <x:v>Extrapolation</x:v>
      </x:c>
      <x:c r="J9" s="31" t="str">
        <x:v>Coupé attesté</x:v>
      </x:c>
      <x:c r="K9" s="31" t="str">
        <x:v>Concept abandonné</x:v>
      </x:c>
      <x:c r="L9" s="31" t="str">
        <x:v>Allégation écartée</x:v>
      </x:c>
      <x:c r="M9" s="32" t="str">
        <x:v>Priorité P0</x:v>
      </x:c>
    </x:row>
    <x:row r="10" ht="22" customHeight="1">
      <x:c r="A10" s="35" t="str">
        <x:v>Personnages</x:v>
      </x:c>
      <x:c r="B10" s="39" t="n">
        <x:f>COUNTA('Personnages'!$A$7:$A$17)</x:f>
        <x:v>11</x:v>
      </x:c>
      <x:c r="C10" s="39" t="n">
        <x:f>COUNTIFS('Personnages'!$C$7:$C$17,"Défini")</x:f>
        <x:v>11</x:v>
      </x:c>
      <x:c r="D10" s="39" t="n">
        <x:f>COUNTIFS('Personnages'!$C$7:$C$17,"Prototype")</x:f>
        <x:v>0</x:v>
      </x:c>
      <x:c r="E10" s="39" t="n">
        <x:f>COUNTIFS('Personnages'!$C$7:$C$17,"Intégré")</x:f>
        <x:v>0</x:v>
      </x:c>
      <x:c r="F10" s="39" t="n">
        <x:f>COUNTIFS('Personnages'!$C$7:$C$17,"Validé")</x:f>
        <x:v>0</x:v>
      </x:c>
      <x:c r="G10" s="39" t="n">
        <x:f>COUNTIFS('Personnages'!$D$7:$D$17,"Établi")</x:f>
        <x:v>11</x:v>
      </x:c>
      <x:c r="H10" s="39" t="n">
        <x:f>COUNTIFS('Personnages'!$D$7:$D$17,"À vérifier")</x:f>
        <x:v>0</x:v>
      </x:c>
      <x:c r="I10" s="39" t="n">
        <x:f>COUNTIFS('Personnages'!$D$7:$D$17,"Extrapolation")</x:f>
        <x:v>0</x:v>
      </x:c>
      <x:c r="J10" s="39" t="n">
        <x:f>COUNTIFS('Personnages'!$D$7:$D$17,"Coupé attesté")</x:f>
        <x:v>0</x:v>
      </x:c>
      <x:c r="K10" s="39" t="n">
        <x:f>COUNTIFS('Personnages'!$D$7:$D$17,"Concept abandonné")</x:f>
        <x:v>0</x:v>
      </x:c>
      <x:c r="L10" s="39" t="n">
        <x:f>COUNTIFS('Personnages'!$D$7:$D$17,"Allégation écartée")</x:f>
        <x:v>0</x:v>
      </x:c>
      <x:c r="M10" s="39" t="n">
        <x:f>COUNTIFS('Personnages'!$E$7:$E$17,"P0")</x:f>
        <x:v>0</x:v>
      </x:c>
    </x:row>
    <x:row r="11" ht="22" customHeight="1">
      <x:c r="A11" s="2" t="str">
        <x:v>PNJ</x:v>
      </x:c>
      <x:c r="B11" s="40" t="n">
        <x:f>COUNTA('PNJ'!$A$7:$A$13)</x:f>
        <x:v>7</x:v>
      </x:c>
      <x:c r="C11" s="40" t="n">
        <x:f>COUNTIFS('PNJ'!$C$7:$C$13,"Défini")</x:f>
        <x:v>7</x:v>
      </x:c>
      <x:c r="D11" s="40" t="n">
        <x:f>COUNTIFS('PNJ'!$C$7:$C$13,"Prototype")</x:f>
        <x:v>0</x:v>
      </x:c>
      <x:c r="E11" s="40" t="n">
        <x:f>COUNTIFS('PNJ'!$C$7:$C$13,"Intégré")</x:f>
        <x:v>0</x:v>
      </x:c>
      <x:c r="F11" s="40" t="n">
        <x:f>COUNTIFS('PNJ'!$C$7:$C$13,"Validé")</x:f>
        <x:v>0</x:v>
      </x:c>
      <x:c r="G11" s="40" t="n">
        <x:f>COUNTIFS('PNJ'!$D$7:$D$13,"Établi")</x:f>
        <x:v>1</x:v>
      </x:c>
      <x:c r="H11" s="40" t="n">
        <x:f>COUNTIFS('PNJ'!$D$7:$D$13,"À vérifier")</x:f>
        <x:v>6</x:v>
      </x:c>
      <x:c r="I11" s="40" t="n">
        <x:f>COUNTIFS('PNJ'!$D$7:$D$13,"Extrapolation")</x:f>
        <x:v>0</x:v>
      </x:c>
      <x:c r="J11" s="40" t="n">
        <x:f>COUNTIFS('PNJ'!$D$7:$D$13,"Coupé attesté")</x:f>
        <x:v>0</x:v>
      </x:c>
      <x:c r="K11" s="40" t="n">
        <x:f>COUNTIFS('PNJ'!$D$7:$D$13,"Concept abandonné")</x:f>
        <x:v>0</x:v>
      </x:c>
      <x:c r="L11" s="40" t="n">
        <x:f>COUNTIFS('PNJ'!$D$7:$D$13,"Allégation écartée")</x:f>
        <x:v>0</x:v>
      </x:c>
      <x:c r="M11" s="40" t="n">
        <x:f>COUNTIFS('PNJ'!$E$7:$E$13,"P0")</x:f>
        <x:v>0</x:v>
      </x:c>
    </x:row>
    <x:row r="12" ht="22" customHeight="1">
      <x:c r="A12" s="35" t="str">
        <x:v>Espèces et factions</x:v>
      </x:c>
      <x:c r="B12" s="39" t="n">
        <x:f>COUNTA('Especes_factions'!$A$7:$A$25)</x:f>
        <x:v>19</x:v>
      </x:c>
      <x:c r="C12" s="39" t="n">
        <x:f>COUNTIFS('Especes_factions'!$C$7:$C$25,"Défini")</x:f>
        <x:v>19</x:v>
      </x:c>
      <x:c r="D12" s="39" t="n">
        <x:f>COUNTIFS('Especes_factions'!$C$7:$C$25,"Prototype")</x:f>
        <x:v>0</x:v>
      </x:c>
      <x:c r="E12" s="39" t="n">
        <x:f>COUNTIFS('Especes_factions'!$C$7:$C$25,"Intégré")</x:f>
        <x:v>0</x:v>
      </x:c>
      <x:c r="F12" s="39" t="n">
        <x:f>COUNTIFS('Especes_factions'!$C$7:$C$25,"Validé")</x:f>
        <x:v>0</x:v>
      </x:c>
      <x:c r="G12" s="39" t="n">
        <x:f>COUNTIFS('Especes_factions'!$D$7:$D$25,"Établi")</x:f>
        <x:v>5</x:v>
      </x:c>
      <x:c r="H12" s="39" t="n">
        <x:f>COUNTIFS('Especes_factions'!$D$7:$D$25,"À vérifier")</x:f>
        <x:v>14</x:v>
      </x:c>
      <x:c r="I12" s="39" t="n">
        <x:f>COUNTIFS('Especes_factions'!$D$7:$D$25,"Extrapolation")</x:f>
        <x:v>0</x:v>
      </x:c>
      <x:c r="J12" s="39" t="n">
        <x:f>COUNTIFS('Especes_factions'!$D$7:$D$25,"Coupé attesté")</x:f>
        <x:v>0</x:v>
      </x:c>
      <x:c r="K12" s="39" t="n">
        <x:f>COUNTIFS('Especes_factions'!$D$7:$D$25,"Concept abandonné")</x:f>
        <x:v>0</x:v>
      </x:c>
      <x:c r="L12" s="39" t="n">
        <x:f>COUNTIFS('Especes_factions'!$D$7:$D$25,"Allégation écartée")</x:f>
        <x:v>0</x:v>
      </x:c>
      <x:c r="M12" s="39" t="n">
        <x:f>COUNTIFS('Especes_factions'!$E$7:$E$25,"P0")</x:f>
        <x:v>6</x:v>
      </x:c>
    </x:row>
    <x:row r="13" ht="22" customHeight="1">
      <x:c r="A13" s="2" t="str">
        <x:v>Mondes</x:v>
      </x:c>
      <x:c r="B13" s="40" t="n">
        <x:f>COUNTA('Mondes'!$A$7:$A$13)</x:f>
        <x:v>7</x:v>
      </x:c>
      <x:c r="C13" s="40" t="n">
        <x:f>COUNTIFS('Mondes'!$C$7:$C$13,"Défini")</x:f>
        <x:v>7</x:v>
      </x:c>
      <x:c r="D13" s="40" t="n">
        <x:f>COUNTIFS('Mondes'!$C$7:$C$13,"Prototype")</x:f>
        <x:v>0</x:v>
      </x:c>
      <x:c r="E13" s="40" t="n">
        <x:f>COUNTIFS('Mondes'!$C$7:$C$13,"Intégré")</x:f>
        <x:v>0</x:v>
      </x:c>
      <x:c r="F13" s="40" t="n">
        <x:f>COUNTIFS('Mondes'!$C$7:$C$13,"Validé")</x:f>
        <x:v>0</x:v>
      </x:c>
      <x:c r="G13" s="40" t="n">
        <x:f>COUNTIFS('Mondes'!$D$7:$D$13,"Établi")</x:f>
        <x:v>2</x:v>
      </x:c>
      <x:c r="H13" s="40" t="n">
        <x:f>COUNTIFS('Mondes'!$D$7:$D$13,"À vérifier")</x:f>
        <x:v>5</x:v>
      </x:c>
      <x:c r="I13" s="40" t="n">
        <x:f>COUNTIFS('Mondes'!$D$7:$D$13,"Extrapolation")</x:f>
        <x:v>0</x:v>
      </x:c>
      <x:c r="J13" s="40" t="n">
        <x:f>COUNTIFS('Mondes'!$D$7:$D$13,"Coupé attesté")</x:f>
        <x:v>0</x:v>
      </x:c>
      <x:c r="K13" s="40" t="n">
        <x:f>COUNTIFS('Mondes'!$D$7:$D$13,"Concept abandonné")</x:f>
        <x:v>0</x:v>
      </x:c>
      <x:c r="L13" s="40" t="n">
        <x:f>COUNTIFS('Mondes'!$D$7:$D$13,"Allégation écartée")</x:f>
        <x:v>0</x:v>
      </x:c>
      <x:c r="M13" s="40" t="n">
        <x:f>COUNTIFS('Mondes'!$E$7:$E$13,"P0")</x:f>
        <x:v>0</x:v>
      </x:c>
    </x:row>
    <x:row r="14" ht="22" customHeight="1">
      <x:c r="A14" s="35" t="str">
        <x:v>Zones</x:v>
      </x:c>
      <x:c r="B14" s="39" t="n">
        <x:f>COUNTA('Zones'!$A$7:$A$13)</x:f>
        <x:v>7</x:v>
      </x:c>
      <x:c r="C14" s="39" t="n">
        <x:f>COUNTIFS('Zones'!$C$7:$C$13,"Défini")</x:f>
        <x:v>7</x:v>
      </x:c>
      <x:c r="D14" s="39" t="n">
        <x:f>COUNTIFS('Zones'!$C$7:$C$13,"Prototype")</x:f>
        <x:v>0</x:v>
      </x:c>
      <x:c r="E14" s="39" t="n">
        <x:f>COUNTIFS('Zones'!$C$7:$C$13,"Intégré")</x:f>
        <x:v>0</x:v>
      </x:c>
      <x:c r="F14" s="39" t="n">
        <x:f>COUNTIFS('Zones'!$C$7:$C$13,"Validé")</x:f>
        <x:v>0</x:v>
      </x:c>
      <x:c r="G14" s="39" t="n">
        <x:f>COUNTIFS('Zones'!$D$7:$D$13,"Établi")</x:f>
        <x:v>0</x:v>
      </x:c>
      <x:c r="H14" s="39" t="n">
        <x:f>COUNTIFS('Zones'!$D$7:$D$13,"À vérifier")</x:f>
        <x:v>0</x:v>
      </x:c>
      <x:c r="I14" s="39" t="n">
        <x:f>COUNTIFS('Zones'!$D$7:$D$13,"Extrapolation")</x:f>
        <x:v>7</x:v>
      </x:c>
      <x:c r="J14" s="39" t="n">
        <x:f>COUNTIFS('Zones'!$D$7:$D$13,"Coupé attesté")</x:f>
        <x:v>0</x:v>
      </x:c>
      <x:c r="K14" s="39" t="n">
        <x:f>COUNTIFS('Zones'!$D$7:$D$13,"Concept abandonné")</x:f>
        <x:v>0</x:v>
      </x:c>
      <x:c r="L14" s="39" t="n">
        <x:f>COUNTIFS('Zones'!$D$7:$D$13,"Allégation écartée")</x:f>
        <x:v>0</x:v>
      </x:c>
      <x:c r="M14" s="39" t="n">
        <x:f>COUNTIFS('Zones'!$E$7:$E$13,"P0")</x:f>
        <x:v>0</x:v>
      </x:c>
    </x:row>
    <x:row r="15" ht="22" customHeight="1">
      <x:c r="A15" s="2" t="str">
        <x:v>Liaisons</x:v>
      </x:c>
      <x:c r="B15" s="40" t="n">
        <x:f>COUNTA('Liaisons'!$A$7:$A$13)</x:f>
        <x:v>7</x:v>
      </x:c>
      <x:c r="C15" s="40" t="n">
        <x:f>COUNTIFS('Liaisons'!$C$7:$C$13,"Défini")</x:f>
        <x:v>7</x:v>
      </x:c>
      <x:c r="D15" s="40" t="n">
        <x:f>COUNTIFS('Liaisons'!$C$7:$C$13,"Prototype")</x:f>
        <x:v>0</x:v>
      </x:c>
      <x:c r="E15" s="40" t="n">
        <x:f>COUNTIFS('Liaisons'!$C$7:$C$13,"Intégré")</x:f>
        <x:v>0</x:v>
      </x:c>
      <x:c r="F15" s="40" t="n">
        <x:f>COUNTIFS('Liaisons'!$C$7:$C$13,"Validé")</x:f>
        <x:v>0</x:v>
      </x:c>
      <x:c r="G15" s="40" t="n">
        <x:f>COUNTIFS('Liaisons'!$D$7:$D$13,"Établi")</x:f>
        <x:v>0</x:v>
      </x:c>
      <x:c r="H15" s="40" t="n">
        <x:f>COUNTIFS('Liaisons'!$D$7:$D$13,"À vérifier")</x:f>
        <x:v>0</x:v>
      </x:c>
      <x:c r="I15" s="40" t="n">
        <x:f>COUNTIFS('Liaisons'!$D$7:$D$13,"Extrapolation")</x:f>
        <x:v>7</x:v>
      </x:c>
      <x:c r="J15" s="40" t="n">
        <x:f>COUNTIFS('Liaisons'!$D$7:$D$13,"Coupé attesté")</x:f>
        <x:v>0</x:v>
      </x:c>
      <x:c r="K15" s="40" t="n">
        <x:f>COUNTIFS('Liaisons'!$D$7:$D$13,"Concept abandonné")</x:f>
        <x:v>0</x:v>
      </x:c>
      <x:c r="L15" s="40" t="n">
        <x:f>COUNTIFS('Liaisons'!$D$7:$D$13,"Allégation écartée")</x:f>
        <x:v>0</x:v>
      </x:c>
      <x:c r="M15" s="40" t="n">
        <x:f>COUNTIFS('Liaisons'!$E$7:$E$13,"P0")</x:f>
        <x:v>0</x:v>
      </x:c>
    </x:row>
    <x:row r="16" ht="22" customHeight="1">
      <x:c r="A16" s="35" t="str">
        <x:v>Décors</x:v>
      </x:c>
      <x:c r="B16" s="39" t="n">
        <x:f>COUNTA('Decors'!$A$7:$A$13)</x:f>
        <x:v>7</x:v>
      </x:c>
      <x:c r="C16" s="39" t="n">
        <x:f>COUNTIFS('Decors'!$C$7:$C$13,"Défini")</x:f>
        <x:v>7</x:v>
      </x:c>
      <x:c r="D16" s="39" t="n">
        <x:f>COUNTIFS('Decors'!$C$7:$C$13,"Prototype")</x:f>
        <x:v>0</x:v>
      </x:c>
      <x:c r="E16" s="39" t="n">
        <x:f>COUNTIFS('Decors'!$C$7:$C$13,"Intégré")</x:f>
        <x:v>0</x:v>
      </x:c>
      <x:c r="F16" s="39" t="n">
        <x:f>COUNTIFS('Decors'!$C$7:$C$13,"Validé")</x:f>
        <x:v>0</x:v>
      </x:c>
      <x:c r="G16" s="39" t="n">
        <x:f>COUNTIFS('Decors'!$D$7:$D$13,"Établi")</x:f>
        <x:v>0</x:v>
      </x:c>
      <x:c r="H16" s="39" t="n">
        <x:f>COUNTIFS('Decors'!$D$7:$D$13,"À vérifier")</x:f>
        <x:v>0</x:v>
      </x:c>
      <x:c r="I16" s="39" t="n">
        <x:f>COUNTIFS('Decors'!$D$7:$D$13,"Extrapolation")</x:f>
        <x:v>7</x:v>
      </x:c>
      <x:c r="J16" s="39" t="n">
        <x:f>COUNTIFS('Decors'!$D$7:$D$13,"Coupé attesté")</x:f>
        <x:v>0</x:v>
      </x:c>
      <x:c r="K16" s="39" t="n">
        <x:f>COUNTIFS('Decors'!$D$7:$D$13,"Concept abandonné")</x:f>
        <x:v>0</x:v>
      </x:c>
      <x:c r="L16" s="39" t="n">
        <x:f>COUNTIFS('Decors'!$D$7:$D$13,"Allégation écartée")</x:f>
        <x:v>0</x:v>
      </x:c>
      <x:c r="M16" s="39" t="n">
        <x:f>COUNTIFS('Decors'!$E$7:$E$13,"P0")</x:f>
        <x:v>0</x:v>
      </x:c>
    </x:row>
    <x:row r="17" ht="22" customHeight="1">
      <x:c r="A17" s="2" t="str">
        <x:v>Props</x:v>
      </x:c>
      <x:c r="B17" s="40" t="n">
        <x:f>COUNTA('Props'!$A$7:$A$19)</x:f>
        <x:v>13</x:v>
      </x:c>
      <x:c r="C17" s="40" t="n">
        <x:f>COUNTIFS('Props'!$C$7:$C$19,"Défini")</x:f>
        <x:v>13</x:v>
      </x:c>
      <x:c r="D17" s="40" t="n">
        <x:f>COUNTIFS('Props'!$C$7:$C$19,"Prototype")</x:f>
        <x:v>0</x:v>
      </x:c>
      <x:c r="E17" s="40" t="n">
        <x:f>COUNTIFS('Props'!$C$7:$C$19,"Intégré")</x:f>
        <x:v>0</x:v>
      </x:c>
      <x:c r="F17" s="40" t="n">
        <x:f>COUNTIFS('Props'!$C$7:$C$19,"Validé")</x:f>
        <x:v>0</x:v>
      </x:c>
      <x:c r="G17" s="40" t="n">
        <x:f>COUNTIFS('Props'!$D$7:$D$19,"Établi")</x:f>
        <x:v>0</x:v>
      </x:c>
      <x:c r="H17" s="40" t="n">
        <x:f>COUNTIFS('Props'!$D$7:$D$19,"À vérifier")</x:f>
        <x:v>0</x:v>
      </x:c>
      <x:c r="I17" s="40" t="n">
        <x:f>COUNTIFS('Props'!$D$7:$D$19,"Extrapolation")</x:f>
        <x:v>13</x:v>
      </x:c>
      <x:c r="J17" s="40" t="n">
        <x:f>COUNTIFS('Props'!$D$7:$D$19,"Coupé attesté")</x:f>
        <x:v>0</x:v>
      </x:c>
      <x:c r="K17" s="40" t="n">
        <x:f>COUNTIFS('Props'!$D$7:$D$19,"Concept abandonné")</x:f>
        <x:v>0</x:v>
      </x:c>
      <x:c r="L17" s="40" t="n">
        <x:f>COUNTIFS('Props'!$D$7:$D$19,"Allégation écartée")</x:f>
        <x:v>0</x:v>
      </x:c>
      <x:c r="M17" s="40" t="n">
        <x:f>COUNTIFS('Props'!$E$7:$E$19,"P0")</x:f>
        <x:v>0</x:v>
      </x:c>
    </x:row>
    <x:row r="18" ht="22" customHeight="1">
      <x:c r="A18" s="35" t="str">
        <x:v>Ennemis et boss</x:v>
      </x:c>
      <x:c r="B18" s="39" t="n">
        <x:f>COUNTA('Ennemis_boss'!$A$7:$A$10)</x:f>
        <x:v>4</x:v>
      </x:c>
      <x:c r="C18" s="39" t="n">
        <x:f>COUNTIFS('Ennemis_boss'!$C$7:$C$10,"Défini")</x:f>
        <x:v>4</x:v>
      </x:c>
      <x:c r="D18" s="39" t="n">
        <x:f>COUNTIFS('Ennemis_boss'!$C$7:$C$10,"Prototype")</x:f>
        <x:v>0</x:v>
      </x:c>
      <x:c r="E18" s="39" t="n">
        <x:f>COUNTIFS('Ennemis_boss'!$C$7:$C$10,"Intégré")</x:f>
        <x:v>0</x:v>
      </x:c>
      <x:c r="F18" s="39" t="n">
        <x:f>COUNTIFS('Ennemis_boss'!$C$7:$C$10,"Validé")</x:f>
        <x:v>0</x:v>
      </x:c>
      <x:c r="G18" s="39" t="n">
        <x:f>COUNTIFS('Ennemis_boss'!$D$7:$D$10,"Établi")</x:f>
        <x:v>0</x:v>
      </x:c>
      <x:c r="H18" s="39" t="n">
        <x:f>COUNTIFS('Ennemis_boss'!$D$7:$D$10,"À vérifier")</x:f>
        <x:v>3</x:v>
      </x:c>
      <x:c r="I18" s="39" t="n">
        <x:f>COUNTIFS('Ennemis_boss'!$D$7:$D$10,"Extrapolation")</x:f>
        <x:v>1</x:v>
      </x:c>
      <x:c r="J18" s="39" t="n">
        <x:f>COUNTIFS('Ennemis_boss'!$D$7:$D$10,"Coupé attesté")</x:f>
        <x:v>0</x:v>
      </x:c>
      <x:c r="K18" s="39" t="n">
        <x:f>COUNTIFS('Ennemis_boss'!$D$7:$D$10,"Concept abandonné")</x:f>
        <x:v>0</x:v>
      </x:c>
      <x:c r="L18" s="39" t="n">
        <x:f>COUNTIFS('Ennemis_boss'!$D$7:$D$10,"Allégation écartée")</x:f>
        <x:v>0</x:v>
      </x:c>
      <x:c r="M18" s="39" t="n">
        <x:f>COUNTIFS('Ennemis_boss'!$E$7:$E$10,"P0")</x:f>
        <x:v>0</x:v>
      </x:c>
    </x:row>
    <x:row r="19" ht="22" customHeight="1">
      <x:c r="A19" s="2" t="str">
        <x:v>Missions</x:v>
      </x:c>
      <x:c r="B19" s="40" t="n">
        <x:f>COUNTA('Missions'!$A$7:$A$19)</x:f>
        <x:v>13</x:v>
      </x:c>
      <x:c r="C19" s="40" t="n">
        <x:f>COUNTIFS('Missions'!$C$7:$C$19,"Défini")</x:f>
        <x:v>13</x:v>
      </x:c>
      <x:c r="D19" s="40" t="n">
        <x:f>COUNTIFS('Missions'!$C$7:$C$19,"Prototype")</x:f>
        <x:v>0</x:v>
      </x:c>
      <x:c r="E19" s="40" t="n">
        <x:f>COUNTIFS('Missions'!$C$7:$C$19,"Intégré")</x:f>
        <x:v>0</x:v>
      </x:c>
      <x:c r="F19" s="40" t="n">
        <x:f>COUNTIFS('Missions'!$C$7:$C$19,"Validé")</x:f>
        <x:v>0</x:v>
      </x:c>
      <x:c r="G19" s="40" t="n">
        <x:f>COUNTIFS('Missions'!$D$7:$D$19,"Établi")</x:f>
        <x:v>0</x:v>
      </x:c>
      <x:c r="H19" s="40" t="n">
        <x:f>COUNTIFS('Missions'!$D$7:$D$19,"À vérifier")</x:f>
        <x:v>0</x:v>
      </x:c>
      <x:c r="I19" s="40" t="n">
        <x:f>COUNTIFS('Missions'!$D$7:$D$19,"Extrapolation")</x:f>
        <x:v>13</x:v>
      </x:c>
      <x:c r="J19" s="40" t="n">
        <x:f>COUNTIFS('Missions'!$D$7:$D$19,"Coupé attesté")</x:f>
        <x:v>0</x:v>
      </x:c>
      <x:c r="K19" s="40" t="n">
        <x:f>COUNTIFS('Missions'!$D$7:$D$19,"Concept abandonné")</x:f>
        <x:v>0</x:v>
      </x:c>
      <x:c r="L19" s="40" t="n">
        <x:f>COUNTIFS('Missions'!$D$7:$D$19,"Allégation écartée")</x:f>
        <x:v>0</x:v>
      </x:c>
      <x:c r="M19" s="40" t="n">
        <x:f>COUNTIFS('Missions'!$E$7:$E$19,"P0")</x:f>
        <x:v>13</x:v>
      </x:c>
    </x:row>
    <x:row r="20" ht="22" customHeight="1">
      <x:c r="A20" s="35" t="str">
        <x:v>Secondaires et DLC</x:v>
      </x:c>
      <x:c r="B20" s="39" t="n">
        <x:f>COUNTA('Secondaires_DLC'!$A$7:$A$19)</x:f>
        <x:v>13</x:v>
      </x:c>
      <x:c r="C20" s="39" t="n">
        <x:f>COUNTIFS('Secondaires_DLC'!$C$7:$C$19,"Défini")</x:f>
        <x:v>13</x:v>
      </x:c>
      <x:c r="D20" s="39" t="n">
        <x:f>COUNTIFS('Secondaires_DLC'!$C$7:$C$19,"Prototype")</x:f>
        <x:v>0</x:v>
      </x:c>
      <x:c r="E20" s="39" t="n">
        <x:f>COUNTIFS('Secondaires_DLC'!$C$7:$C$19,"Intégré")</x:f>
        <x:v>0</x:v>
      </x:c>
      <x:c r="F20" s="39" t="n">
        <x:f>COUNTIFS('Secondaires_DLC'!$C$7:$C$19,"Validé")</x:f>
        <x:v>0</x:v>
      </x:c>
      <x:c r="G20" s="39" t="n">
        <x:f>COUNTIFS('Secondaires_DLC'!$D$7:$D$19,"Établi")</x:f>
        <x:v>0</x:v>
      </x:c>
      <x:c r="H20" s="39" t="n">
        <x:f>COUNTIFS('Secondaires_DLC'!$D$7:$D$19,"À vérifier")</x:f>
        <x:v>0</x:v>
      </x:c>
      <x:c r="I20" s="39" t="n">
        <x:f>COUNTIFS('Secondaires_DLC'!$D$7:$D$19,"Extrapolation")</x:f>
        <x:v>13</x:v>
      </x:c>
      <x:c r="J20" s="39" t="n">
        <x:f>COUNTIFS('Secondaires_DLC'!$D$7:$D$19,"Coupé attesté")</x:f>
        <x:v>0</x:v>
      </x:c>
      <x:c r="K20" s="39" t="n">
        <x:f>COUNTIFS('Secondaires_DLC'!$D$7:$D$19,"Concept abandonné")</x:f>
        <x:v>0</x:v>
      </x:c>
      <x:c r="L20" s="39" t="n">
        <x:f>COUNTIFS('Secondaires_DLC'!$D$7:$D$19,"Allégation écartée")</x:f>
        <x:v>0</x:v>
      </x:c>
      <x:c r="M20" s="39" t="n">
        <x:f>COUNTIFS('Secondaires_DLC'!$E$7:$E$19,"P0")</x:f>
        <x:v>0</x:v>
      </x:c>
    </x:row>
    <x:row r="21" ht="22" customHeight="1">
      <x:c r="A21" s="2" t="str">
        <x:v>Choix et relations</x:v>
      </x:c>
      <x:c r="B21" s="40" t="n">
        <x:f>COUNTA('Choix_relations'!$A$7:$A$19)</x:f>
        <x:v>13</x:v>
      </x:c>
      <x:c r="C21" s="40" t="n">
        <x:f>COUNTIFS('Choix_relations'!$C$7:$C$19,"Défini")</x:f>
        <x:v>13</x:v>
      </x:c>
      <x:c r="D21" s="40" t="n">
        <x:f>COUNTIFS('Choix_relations'!$C$7:$C$19,"Prototype")</x:f>
        <x:v>0</x:v>
      </x:c>
      <x:c r="E21" s="40" t="n">
        <x:f>COUNTIFS('Choix_relations'!$C$7:$C$19,"Intégré")</x:f>
        <x:v>0</x:v>
      </x:c>
      <x:c r="F21" s="40" t="n">
        <x:f>COUNTIFS('Choix_relations'!$C$7:$C$19,"Validé")</x:f>
        <x:v>0</x:v>
      </x:c>
      <x:c r="G21" s="40" t="n">
        <x:f>COUNTIFS('Choix_relations'!$D$7:$D$19,"Établi")</x:f>
        <x:v>0</x:v>
      </x:c>
      <x:c r="H21" s="40" t="n">
        <x:f>COUNTIFS('Choix_relations'!$D$7:$D$19,"À vérifier")</x:f>
        <x:v>0</x:v>
      </x:c>
      <x:c r="I21" s="40" t="n">
        <x:f>COUNTIFS('Choix_relations'!$D$7:$D$19,"Extrapolation")</x:f>
        <x:v>13</x:v>
      </x:c>
      <x:c r="J21" s="40" t="n">
        <x:f>COUNTIFS('Choix_relations'!$D$7:$D$19,"Coupé attesté")</x:f>
        <x:v>0</x:v>
      </x:c>
      <x:c r="K21" s="40" t="n">
        <x:f>COUNTIFS('Choix_relations'!$D$7:$D$19,"Concept abandonné")</x:f>
        <x:v>0</x:v>
      </x:c>
      <x:c r="L21" s="40" t="n">
        <x:f>COUNTIFS('Choix_relations'!$D$7:$D$19,"Allégation écartée")</x:f>
        <x:v>0</x:v>
      </x:c>
      <x:c r="M21" s="40" t="n">
        <x:f>COUNTIFS('Choix_relations'!$E$7:$E$19,"P0")</x:f>
        <x:v>0</x:v>
      </x:c>
    </x:row>
    <x:row r="22" ht="22" customHeight="1">
      <x:c r="A22" s="35" t="str">
        <x:v>Dialogues</x:v>
      </x:c>
      <x:c r="B22" s="39" t="n">
        <x:f>COUNTA('Dialogues'!$A$7:$A$19)</x:f>
        <x:v>13</x:v>
      </x:c>
      <x:c r="C22" s="39" t="n">
        <x:f>COUNTIFS('Dialogues'!$C$7:$C$19,"Défini")</x:f>
        <x:v>13</x:v>
      </x:c>
      <x:c r="D22" s="39" t="n">
        <x:f>COUNTIFS('Dialogues'!$C$7:$C$19,"Prototype")</x:f>
        <x:v>0</x:v>
      </x:c>
      <x:c r="E22" s="39" t="n">
        <x:f>COUNTIFS('Dialogues'!$C$7:$C$19,"Intégré")</x:f>
        <x:v>0</x:v>
      </x:c>
      <x:c r="F22" s="39" t="n">
        <x:f>COUNTIFS('Dialogues'!$C$7:$C$19,"Validé")</x:f>
        <x:v>0</x:v>
      </x:c>
      <x:c r="G22" s="39" t="n">
        <x:f>COUNTIFS('Dialogues'!$D$7:$D$19,"Établi")</x:f>
        <x:v>0</x:v>
      </x:c>
      <x:c r="H22" s="39" t="n">
        <x:f>COUNTIFS('Dialogues'!$D$7:$D$19,"À vérifier")</x:f>
        <x:v>0</x:v>
      </x:c>
      <x:c r="I22" s="39" t="n">
        <x:f>COUNTIFS('Dialogues'!$D$7:$D$19,"Extrapolation")</x:f>
        <x:v>13</x:v>
      </x:c>
      <x:c r="J22" s="39" t="n">
        <x:f>COUNTIFS('Dialogues'!$D$7:$D$19,"Coupé attesté")</x:f>
        <x:v>0</x:v>
      </x:c>
      <x:c r="K22" s="39" t="n">
        <x:f>COUNTIFS('Dialogues'!$D$7:$D$19,"Concept abandonné")</x:f>
        <x:v>0</x:v>
      </x:c>
      <x:c r="L22" s="39" t="n">
        <x:f>COUNTIFS('Dialogues'!$D$7:$D$19,"Allégation écartée")</x:f>
        <x:v>0</x:v>
      </x:c>
      <x:c r="M22" s="39" t="n">
        <x:f>COUNTIFS('Dialogues'!$E$7:$E$19,"P0")</x:f>
        <x:v>0</x:v>
      </x:c>
    </x:row>
    <x:row r="23" ht="22" customHeight="1">
      <x:c r="A23" s="2" t="str">
        <x:v>Cinématiques</x:v>
      </x:c>
      <x:c r="B23" s="40" t="n">
        <x:f>COUNTA('Cinematiques'!$A$7:$A$19)</x:f>
        <x:v>13</x:v>
      </x:c>
      <x:c r="C23" s="40" t="n">
        <x:f>COUNTIFS('Cinematiques'!$C$7:$C$19,"Défini")</x:f>
        <x:v>13</x:v>
      </x:c>
      <x:c r="D23" s="40" t="n">
        <x:f>COUNTIFS('Cinematiques'!$C$7:$C$19,"Prototype")</x:f>
        <x:v>0</x:v>
      </x:c>
      <x:c r="E23" s="40" t="n">
        <x:f>COUNTIFS('Cinematiques'!$C$7:$C$19,"Intégré")</x:f>
        <x:v>0</x:v>
      </x:c>
      <x:c r="F23" s="40" t="n">
        <x:f>COUNTIFS('Cinematiques'!$C$7:$C$19,"Validé")</x:f>
        <x:v>0</x:v>
      </x:c>
      <x:c r="G23" s="40" t="n">
        <x:f>COUNTIFS('Cinematiques'!$D$7:$D$19,"Établi")</x:f>
        <x:v>0</x:v>
      </x:c>
      <x:c r="H23" s="40" t="n">
        <x:f>COUNTIFS('Cinematiques'!$D$7:$D$19,"À vérifier")</x:f>
        <x:v>0</x:v>
      </x:c>
      <x:c r="I23" s="40" t="n">
        <x:f>COUNTIFS('Cinematiques'!$D$7:$D$19,"Extrapolation")</x:f>
        <x:v>13</x:v>
      </x:c>
      <x:c r="J23" s="40" t="n">
        <x:f>COUNTIFS('Cinematiques'!$D$7:$D$19,"Coupé attesté")</x:f>
        <x:v>0</x:v>
      </x:c>
      <x:c r="K23" s="40" t="n">
        <x:f>COUNTIFS('Cinematiques'!$D$7:$D$19,"Concept abandonné")</x:f>
        <x:v>0</x:v>
      </x:c>
      <x:c r="L23" s="40" t="n">
        <x:f>COUNTIFS('Cinematiques'!$D$7:$D$19,"Allégation écartée")</x:f>
        <x:v>0</x:v>
      </x:c>
      <x:c r="M23" s="40" t="n">
        <x:f>COUNTIFS('Cinematiques'!$E$7:$E$19,"P0")</x:f>
        <x:v>0</x:v>
      </x:c>
    </x:row>
    <x:row r="24" ht="22" customHeight="1">
      <x:c r="A24" s="35" t="str">
        <x:v>Armes</x:v>
      </x:c>
      <x:c r="B24" s="39" t="n">
        <x:f>COUNTA('Armes'!$A$7:$A$8)</x:f>
        <x:v>2</x:v>
      </x:c>
      <x:c r="C24" s="39" t="n">
        <x:f>COUNTIFS('Armes'!$C$7:$C$8,"Défini")</x:f>
        <x:v>2</x:v>
      </x:c>
      <x:c r="D24" s="39" t="n">
        <x:f>COUNTIFS('Armes'!$C$7:$C$8,"Prototype")</x:f>
        <x:v>0</x:v>
      </x:c>
      <x:c r="E24" s="39" t="n">
        <x:f>COUNTIFS('Armes'!$C$7:$C$8,"Intégré")</x:f>
        <x:v>0</x:v>
      </x:c>
      <x:c r="F24" s="39" t="n">
        <x:f>COUNTIFS('Armes'!$C$7:$C$8,"Validé")</x:f>
        <x:v>0</x:v>
      </x:c>
      <x:c r="G24" s="39" t="n">
        <x:f>COUNTIFS('Armes'!$D$7:$D$8,"Établi")</x:f>
        <x:v>0</x:v>
      </x:c>
      <x:c r="H24" s="39" t="n">
        <x:f>COUNTIFS('Armes'!$D$7:$D$8,"À vérifier")</x:f>
        <x:v>0</x:v>
      </x:c>
      <x:c r="I24" s="39" t="n">
        <x:f>COUNTIFS('Armes'!$D$7:$D$8,"Extrapolation")</x:f>
        <x:v>2</x:v>
      </x:c>
      <x:c r="J24" s="39" t="n">
        <x:f>COUNTIFS('Armes'!$D$7:$D$8,"Coupé attesté")</x:f>
        <x:v>0</x:v>
      </x:c>
      <x:c r="K24" s="39" t="n">
        <x:f>COUNTIFS('Armes'!$D$7:$D$8,"Concept abandonné")</x:f>
        <x:v>0</x:v>
      </x:c>
      <x:c r="L24" s="39" t="n">
        <x:f>COUNTIFS('Armes'!$D$7:$D$8,"Allégation écartée")</x:f>
        <x:v>0</x:v>
      </x:c>
      <x:c r="M24" s="39" t="n">
        <x:f>COUNTIFS('Armes'!$E$7:$E$8,"P0")</x:f>
        <x:v>0</x:v>
      </x:c>
    </x:row>
    <x:row r="25" ht="22" customHeight="1">
      <x:c r="A25" s="2" t="str">
        <x:v>Armures et équipement</x:v>
      </x:c>
      <x:c r="B25" s="40" t="n">
        <x:f>COUNTA('Armures_equipement'!$A$7:$A$9)</x:f>
        <x:v>3</x:v>
      </x:c>
      <x:c r="C25" s="40" t="n">
        <x:f>COUNTIFS('Armures_equipement'!$C$7:$C$9,"Défini")</x:f>
        <x:v>3</x:v>
      </x:c>
      <x:c r="D25" s="40" t="n">
        <x:f>COUNTIFS('Armures_equipement'!$C$7:$C$9,"Prototype")</x:f>
        <x:v>0</x:v>
      </x:c>
      <x:c r="E25" s="40" t="n">
        <x:f>COUNTIFS('Armures_equipement'!$C$7:$C$9,"Intégré")</x:f>
        <x:v>0</x:v>
      </x:c>
      <x:c r="F25" s="40" t="n">
        <x:f>COUNTIFS('Armures_equipement'!$C$7:$C$9,"Validé")</x:f>
        <x:v>0</x:v>
      </x:c>
      <x:c r="G25" s="40" t="n">
        <x:f>COUNTIFS('Armures_equipement'!$D$7:$D$9,"Établi")</x:f>
        <x:v>0</x:v>
      </x:c>
      <x:c r="H25" s="40" t="n">
        <x:f>COUNTIFS('Armures_equipement'!$D$7:$D$9,"À vérifier")</x:f>
        <x:v>0</x:v>
      </x:c>
      <x:c r="I25" s="40" t="n">
        <x:f>COUNTIFS('Armures_equipement'!$D$7:$D$9,"Extrapolation")</x:f>
        <x:v>3</x:v>
      </x:c>
      <x:c r="J25" s="40" t="n">
        <x:f>COUNTIFS('Armures_equipement'!$D$7:$D$9,"Coupé attesté")</x:f>
        <x:v>0</x:v>
      </x:c>
      <x:c r="K25" s="40" t="n">
        <x:f>COUNTIFS('Armures_equipement'!$D$7:$D$9,"Concept abandonné")</x:f>
        <x:v>0</x:v>
      </x:c>
      <x:c r="L25" s="40" t="n">
        <x:f>COUNTIFS('Armures_equipement'!$D$7:$D$9,"Allégation écartée")</x:f>
        <x:v>0</x:v>
      </x:c>
      <x:c r="M25" s="40" t="n">
        <x:f>COUNTIFS('Armures_equipement'!$E$7:$E$9,"P0")</x:f>
        <x:v>0</x:v>
      </x:c>
    </x:row>
    <x:row r="26" ht="22" customHeight="1">
      <x:c r="A26" s="35" t="str">
        <x:v>Pouvoirs</x:v>
      </x:c>
      <x:c r="B26" s="39" t="n">
        <x:f>COUNTA('Pouvoirs'!$A$7:$A$7)</x:f>
        <x:v>1</x:v>
      </x:c>
      <x:c r="C26" s="39" t="n">
        <x:f>COUNTIFS('Pouvoirs'!$C$7:$C$7,"Défini")</x:f>
        <x:v>1</x:v>
      </x:c>
      <x:c r="D26" s="39" t="n">
        <x:f>COUNTIFS('Pouvoirs'!$C$7:$C$7,"Prototype")</x:f>
        <x:v>0</x:v>
      </x:c>
      <x:c r="E26" s="39" t="n">
        <x:f>COUNTIFS('Pouvoirs'!$C$7:$C$7,"Intégré")</x:f>
        <x:v>0</x:v>
      </x:c>
      <x:c r="F26" s="39" t="n">
        <x:f>COUNTIFS('Pouvoirs'!$C$7:$C$7,"Validé")</x:f>
        <x:v>0</x:v>
      </x:c>
      <x:c r="G26" s="39" t="n">
        <x:f>COUNTIFS('Pouvoirs'!$D$7:$D$7,"Établi")</x:f>
        <x:v>0</x:v>
      </x:c>
      <x:c r="H26" s="39" t="n">
        <x:f>COUNTIFS('Pouvoirs'!$D$7:$D$7,"À vérifier")</x:f>
        <x:v>0</x:v>
      </x:c>
      <x:c r="I26" s="39" t="n">
        <x:f>COUNTIFS('Pouvoirs'!$D$7:$D$7,"Extrapolation")</x:f>
        <x:v>1</x:v>
      </x:c>
      <x:c r="J26" s="39" t="n">
        <x:f>COUNTIFS('Pouvoirs'!$D$7:$D$7,"Coupé attesté")</x:f>
        <x:v>0</x:v>
      </x:c>
      <x:c r="K26" s="39" t="n">
        <x:f>COUNTIFS('Pouvoirs'!$D$7:$D$7,"Concept abandonné")</x:f>
        <x:v>0</x:v>
      </x:c>
      <x:c r="L26" s="39" t="n">
        <x:f>COUNTIFS('Pouvoirs'!$D$7:$D$7,"Allégation écartée")</x:f>
        <x:v>0</x:v>
      </x:c>
      <x:c r="M26" s="39" t="n">
        <x:f>COUNTIFS('Pouvoirs'!$E$7:$E$7,"P0")</x:f>
        <x:v>0</x:v>
      </x:c>
    </x:row>
    <x:row r="27" ht="22" customHeight="1">
      <x:c r="A27" s="2" t="str">
        <x:v>Movesets alliés</x:v>
      </x:c>
      <x:c r="B27" s="40" t="n">
        <x:f>COUNTA('Movesets_allies'!$A$7:$A$16)</x:f>
        <x:v>10</x:v>
      </x:c>
      <x:c r="C27" s="40" t="n">
        <x:f>COUNTIFS('Movesets_allies'!$C$7:$C$16,"Défini")</x:f>
        <x:v>10</x:v>
      </x:c>
      <x:c r="D27" s="40" t="n">
        <x:f>COUNTIFS('Movesets_allies'!$C$7:$C$16,"Prototype")</x:f>
        <x:v>0</x:v>
      </x:c>
      <x:c r="E27" s="40" t="n">
        <x:f>COUNTIFS('Movesets_allies'!$C$7:$C$16,"Intégré")</x:f>
        <x:v>0</x:v>
      </x:c>
      <x:c r="F27" s="40" t="n">
        <x:f>COUNTIFS('Movesets_allies'!$C$7:$C$16,"Validé")</x:f>
        <x:v>0</x:v>
      </x:c>
      <x:c r="G27" s="40" t="n">
        <x:f>COUNTIFS('Movesets_allies'!$D$7:$D$16,"Établi")</x:f>
        <x:v>0</x:v>
      </x:c>
      <x:c r="H27" s="40" t="n">
        <x:f>COUNTIFS('Movesets_allies'!$D$7:$D$16,"À vérifier")</x:f>
        <x:v>0</x:v>
      </x:c>
      <x:c r="I27" s="40" t="n">
        <x:f>COUNTIFS('Movesets_allies'!$D$7:$D$16,"Extrapolation")</x:f>
        <x:v>10</x:v>
      </x:c>
      <x:c r="J27" s="40" t="n">
        <x:f>COUNTIFS('Movesets_allies'!$D$7:$D$16,"Coupé attesté")</x:f>
        <x:v>0</x:v>
      </x:c>
      <x:c r="K27" s="40" t="n">
        <x:f>COUNTIFS('Movesets_allies'!$D$7:$D$16,"Concept abandonné")</x:f>
        <x:v>0</x:v>
      </x:c>
      <x:c r="L27" s="40" t="n">
        <x:f>COUNTIFS('Movesets_allies'!$D$7:$D$16,"Allégation écartée")</x:f>
        <x:v>0</x:v>
      </x:c>
      <x:c r="M27" s="40" t="n">
        <x:f>COUNTIFS('Movesets_allies'!$E$7:$E$16,"P0")</x:f>
        <x:v>0</x:v>
      </x:c>
    </x:row>
    <x:row r="28" ht="22" customHeight="1">
      <x:c r="A28" s="35" t="str">
        <x:v>Movesets ennemis</x:v>
      </x:c>
      <x:c r="B28" s="39" t="n">
        <x:f>COUNTA('Movesets_ennemis'!$A$7:$A$14)</x:f>
        <x:v>8</x:v>
      </x:c>
      <x:c r="C28" s="39" t="n">
        <x:f>COUNTIFS('Movesets_ennemis'!$C$7:$C$14,"Défini")</x:f>
        <x:v>8</x:v>
      </x:c>
      <x:c r="D28" s="39" t="n">
        <x:f>COUNTIFS('Movesets_ennemis'!$C$7:$C$14,"Prototype")</x:f>
        <x:v>0</x:v>
      </x:c>
      <x:c r="E28" s="39" t="n">
        <x:f>COUNTIFS('Movesets_ennemis'!$C$7:$C$14,"Intégré")</x:f>
        <x:v>0</x:v>
      </x:c>
      <x:c r="F28" s="39" t="n">
        <x:f>COUNTIFS('Movesets_ennemis'!$C$7:$C$14,"Validé")</x:f>
        <x:v>0</x:v>
      </x:c>
      <x:c r="G28" s="39" t="n">
        <x:f>COUNTIFS('Movesets_ennemis'!$D$7:$D$14,"Établi")</x:f>
        <x:v>0</x:v>
      </x:c>
      <x:c r="H28" s="39" t="n">
        <x:f>COUNTIFS('Movesets_ennemis'!$D$7:$D$14,"À vérifier")</x:f>
        <x:v>0</x:v>
      </x:c>
      <x:c r="I28" s="39" t="n">
        <x:f>COUNTIFS('Movesets_ennemis'!$D$7:$D$14,"Extrapolation")</x:f>
        <x:v>8</x:v>
      </x:c>
      <x:c r="J28" s="39" t="n">
        <x:f>COUNTIFS('Movesets_ennemis'!$D$7:$D$14,"Coupé attesté")</x:f>
        <x:v>0</x:v>
      </x:c>
      <x:c r="K28" s="39" t="n">
        <x:f>COUNTIFS('Movesets_ennemis'!$D$7:$D$14,"Concept abandonné")</x:f>
        <x:v>0</x:v>
      </x:c>
      <x:c r="L28" s="39" t="n">
        <x:f>COUNTIFS('Movesets_ennemis'!$D$7:$D$14,"Allégation écartée")</x:f>
        <x:v>0</x:v>
      </x:c>
      <x:c r="M28" s="39" t="n">
        <x:f>COUNTIFS('Movesets_ennemis'!$E$7:$E$14,"P0")</x:f>
        <x:v>0</x:v>
      </x:c>
    </x:row>
    <x:row r="29" ht="22" customHeight="1">
      <x:c r="A29" s="2" t="str">
        <x:v>Animations</x:v>
      </x:c>
      <x:c r="B29" s="40" t="n">
        <x:f>COUNTA('Animations'!$A$7:$A$24)</x:f>
        <x:v>18</x:v>
      </x:c>
      <x:c r="C29" s="40" t="n">
        <x:f>COUNTIFS('Animations'!$C$7:$C$24,"Défini")</x:f>
        <x:v>18</x:v>
      </x:c>
      <x:c r="D29" s="40" t="n">
        <x:f>COUNTIFS('Animations'!$C$7:$C$24,"Prototype")</x:f>
        <x:v>0</x:v>
      </x:c>
      <x:c r="E29" s="40" t="n">
        <x:f>COUNTIFS('Animations'!$C$7:$C$24,"Intégré")</x:f>
        <x:v>0</x:v>
      </x:c>
      <x:c r="F29" s="40" t="n">
        <x:f>COUNTIFS('Animations'!$C$7:$C$24,"Validé")</x:f>
        <x:v>0</x:v>
      </x:c>
      <x:c r="G29" s="40" t="n">
        <x:f>COUNTIFS('Animations'!$D$7:$D$24,"Établi")</x:f>
        <x:v>0</x:v>
      </x:c>
      <x:c r="H29" s="40" t="n">
        <x:f>COUNTIFS('Animations'!$D$7:$D$24,"À vérifier")</x:f>
        <x:v>0</x:v>
      </x:c>
      <x:c r="I29" s="40" t="n">
        <x:f>COUNTIFS('Animations'!$D$7:$D$24,"Extrapolation")</x:f>
        <x:v>18</x:v>
      </x:c>
      <x:c r="J29" s="40" t="n">
        <x:f>COUNTIFS('Animations'!$D$7:$D$24,"Coupé attesté")</x:f>
        <x:v>0</x:v>
      </x:c>
      <x:c r="K29" s="40" t="n">
        <x:f>COUNTIFS('Animations'!$D$7:$D$24,"Concept abandonné")</x:f>
        <x:v>0</x:v>
      </x:c>
      <x:c r="L29" s="40" t="n">
        <x:f>COUNTIFS('Animations'!$D$7:$D$24,"Allégation écartée")</x:f>
        <x:v>0</x:v>
      </x:c>
      <x:c r="M29" s="40" t="n">
        <x:f>COUNTIFS('Animations'!$E$7:$E$24,"P0")</x:f>
        <x:v>0</x:v>
      </x:c>
    </x:row>
    <x:row r="30" ht="22" customHeight="1">
      <x:c r="A30" s="35" t="str">
        <x:v>Sprites</x:v>
      </x:c>
      <x:c r="B30" s="39" t="n">
        <x:f>COUNTA('Sprites'!$A$7:$A$24)</x:f>
        <x:v>18</x:v>
      </x:c>
      <x:c r="C30" s="39" t="n">
        <x:f>COUNTIFS('Sprites'!$C$7:$C$24,"Défini")</x:f>
        <x:v>18</x:v>
      </x:c>
      <x:c r="D30" s="39" t="n">
        <x:f>COUNTIFS('Sprites'!$C$7:$C$24,"Prototype")</x:f>
        <x:v>0</x:v>
      </x:c>
      <x:c r="E30" s="39" t="n">
        <x:f>COUNTIFS('Sprites'!$C$7:$C$24,"Intégré")</x:f>
        <x:v>0</x:v>
      </x:c>
      <x:c r="F30" s="39" t="n">
        <x:f>COUNTIFS('Sprites'!$C$7:$C$24,"Validé")</x:f>
        <x:v>0</x:v>
      </x:c>
      <x:c r="G30" s="39" t="n">
        <x:f>COUNTIFS('Sprites'!$D$7:$D$24,"Établi")</x:f>
        <x:v>0</x:v>
      </x:c>
      <x:c r="H30" s="39" t="n">
        <x:f>COUNTIFS('Sprites'!$D$7:$D$24,"À vérifier")</x:f>
        <x:v>0</x:v>
      </x:c>
      <x:c r="I30" s="39" t="n">
        <x:f>COUNTIFS('Sprites'!$D$7:$D$24,"Extrapolation")</x:f>
        <x:v>18</x:v>
      </x:c>
      <x:c r="J30" s="39" t="n">
        <x:f>COUNTIFS('Sprites'!$D$7:$D$24,"Coupé attesté")</x:f>
        <x:v>0</x:v>
      </x:c>
      <x:c r="K30" s="39" t="n">
        <x:f>COUNTIFS('Sprites'!$D$7:$D$24,"Concept abandonné")</x:f>
        <x:v>0</x:v>
      </x:c>
      <x:c r="L30" s="39" t="n">
        <x:f>COUNTIFS('Sprites'!$D$7:$D$24,"Allégation écartée")</x:f>
        <x:v>0</x:v>
      </x:c>
      <x:c r="M30" s="39" t="n">
        <x:f>COUNTIFS('Sprites'!$E$7:$E$24,"P0")</x:f>
        <x:v>0</x:v>
      </x:c>
    </x:row>
    <x:row r="31" ht="22" customHeight="1">
      <x:c r="A31" s="2" t="str">
        <x:v>VFX</x:v>
      </x:c>
      <x:c r="B31" s="40" t="n">
        <x:f>COUNTA('VFX'!$A$7:$A$19)</x:f>
        <x:v>13</x:v>
      </x:c>
      <x:c r="C31" s="40" t="n">
        <x:f>COUNTIFS('VFX'!$C$7:$C$19,"Défini")</x:f>
        <x:v>13</x:v>
      </x:c>
      <x:c r="D31" s="40" t="n">
        <x:f>COUNTIFS('VFX'!$C$7:$C$19,"Prototype")</x:f>
        <x:v>0</x:v>
      </x:c>
      <x:c r="E31" s="40" t="n">
        <x:f>COUNTIFS('VFX'!$C$7:$C$19,"Intégré")</x:f>
        <x:v>0</x:v>
      </x:c>
      <x:c r="F31" s="40" t="n">
        <x:f>COUNTIFS('VFX'!$C$7:$C$19,"Validé")</x:f>
        <x:v>0</x:v>
      </x:c>
      <x:c r="G31" s="40" t="n">
        <x:f>COUNTIFS('VFX'!$D$7:$D$19,"Établi")</x:f>
        <x:v>0</x:v>
      </x:c>
      <x:c r="H31" s="40" t="n">
        <x:f>COUNTIFS('VFX'!$D$7:$D$19,"À vérifier")</x:f>
        <x:v>0</x:v>
      </x:c>
      <x:c r="I31" s="40" t="n">
        <x:f>COUNTIFS('VFX'!$D$7:$D$19,"Extrapolation")</x:f>
        <x:v>13</x:v>
      </x:c>
      <x:c r="J31" s="40" t="n">
        <x:f>COUNTIFS('VFX'!$D$7:$D$19,"Coupé attesté")</x:f>
        <x:v>0</x:v>
      </x:c>
      <x:c r="K31" s="40" t="n">
        <x:f>COUNTIFS('VFX'!$D$7:$D$19,"Concept abandonné")</x:f>
        <x:v>0</x:v>
      </x:c>
      <x:c r="L31" s="40" t="n">
        <x:f>COUNTIFS('VFX'!$D$7:$D$19,"Allégation écartée")</x:f>
        <x:v>0</x:v>
      </x:c>
      <x:c r="M31" s="40" t="n">
        <x:f>COUNTIFS('VFX'!$E$7:$E$19,"P0")</x:f>
        <x:v>0</x:v>
      </x:c>
    </x:row>
    <x:row r="32" ht="22" customHeight="1">
      <x:c r="A32" s="35" t="str">
        <x:v>Audio</x:v>
      </x:c>
      <x:c r="B32" s="39" t="n">
        <x:f>COUNTA('Audio'!$A$7:$A$13)</x:f>
        <x:v>7</x:v>
      </x:c>
      <x:c r="C32" s="39" t="n">
        <x:f>COUNTIFS('Audio'!$C$7:$C$13,"Défini")</x:f>
        <x:v>7</x:v>
      </x:c>
      <x:c r="D32" s="39" t="n">
        <x:f>COUNTIFS('Audio'!$C$7:$C$13,"Prototype")</x:f>
        <x:v>0</x:v>
      </x:c>
      <x:c r="E32" s="39" t="n">
        <x:f>COUNTIFS('Audio'!$C$7:$C$13,"Intégré")</x:f>
        <x:v>0</x:v>
      </x:c>
      <x:c r="F32" s="39" t="n">
        <x:f>COUNTIFS('Audio'!$C$7:$C$13,"Validé")</x:f>
        <x:v>0</x:v>
      </x:c>
      <x:c r="G32" s="39" t="n">
        <x:f>COUNTIFS('Audio'!$D$7:$D$13,"Établi")</x:f>
        <x:v>0</x:v>
      </x:c>
      <x:c r="H32" s="39" t="n">
        <x:f>COUNTIFS('Audio'!$D$7:$D$13,"À vérifier")</x:f>
        <x:v>0</x:v>
      </x:c>
      <x:c r="I32" s="39" t="n">
        <x:f>COUNTIFS('Audio'!$D$7:$D$13,"Extrapolation")</x:f>
        <x:v>7</x:v>
      </x:c>
      <x:c r="J32" s="39" t="n">
        <x:f>COUNTIFS('Audio'!$D$7:$D$13,"Coupé attesté")</x:f>
        <x:v>0</x:v>
      </x:c>
      <x:c r="K32" s="39" t="n">
        <x:f>COUNTIFS('Audio'!$D$7:$D$13,"Concept abandonné")</x:f>
        <x:v>0</x:v>
      </x:c>
      <x:c r="L32" s="39" t="n">
        <x:f>COUNTIFS('Audio'!$D$7:$D$13,"Allégation écartée")</x:f>
        <x:v>0</x:v>
      </x:c>
      <x:c r="M32" s="39" t="n">
        <x:f>COUNTIFS('Audio'!$E$7:$E$13,"P0")</x:f>
        <x:v>0</x:v>
      </x:c>
    </x:row>
    <x:row r="33" ht="22" customHeight="1">
      <x:c r="A33" s="2" t="str">
        <x:v>Systèmes et UI</x:v>
      </x:c>
      <x:c r="B33" s="40" t="n">
        <x:f>COUNTA('UI_systemes'!$A$7:$A$10)</x:f>
        <x:v>4</x:v>
      </x:c>
      <x:c r="C33" s="40" t="n">
        <x:f>COUNTIFS('UI_systemes'!$C$7:$C$10,"Défini")</x:f>
        <x:v>4</x:v>
      </x:c>
      <x:c r="D33" s="40" t="n">
        <x:f>COUNTIFS('UI_systemes'!$C$7:$C$10,"Prototype")</x:f>
        <x:v>0</x:v>
      </x:c>
      <x:c r="E33" s="40" t="n">
        <x:f>COUNTIFS('UI_systemes'!$C$7:$C$10,"Intégré")</x:f>
        <x:v>0</x:v>
      </x:c>
      <x:c r="F33" s="40" t="n">
        <x:f>COUNTIFS('UI_systemes'!$C$7:$C$10,"Validé")</x:f>
        <x:v>0</x:v>
      </x:c>
      <x:c r="G33" s="40" t="n">
        <x:f>COUNTIFS('UI_systemes'!$D$7:$D$10,"Établi")</x:f>
        <x:v>0</x:v>
      </x:c>
      <x:c r="H33" s="40" t="n">
        <x:f>COUNTIFS('UI_systemes'!$D$7:$D$10,"À vérifier")</x:f>
        <x:v>0</x:v>
      </x:c>
      <x:c r="I33" s="40" t="n">
        <x:f>COUNTIFS('UI_systemes'!$D$7:$D$10,"Extrapolation")</x:f>
        <x:v>4</x:v>
      </x:c>
      <x:c r="J33" s="40" t="n">
        <x:f>COUNTIFS('UI_systemes'!$D$7:$D$10,"Coupé attesté")</x:f>
        <x:v>0</x:v>
      </x:c>
      <x:c r="K33" s="40" t="n">
        <x:f>COUNTIFS('UI_systemes'!$D$7:$D$10,"Concept abandonné")</x:f>
        <x:v>0</x:v>
      </x:c>
      <x:c r="L33" s="40" t="n">
        <x:f>COUNTIFS('UI_systemes'!$D$7:$D$10,"Allégation écartée")</x:f>
        <x:v>0</x:v>
      </x:c>
      <x:c r="M33" s="40" t="n">
        <x:f>COUNTIFS('UI_systemes'!$E$7:$E$10,"P0")</x:f>
        <x:v>0</x:v>
      </x:c>
    </x:row>
    <x:row r="34" ht="22" customHeight="1">
      <x:c r="A34" s="35" t="str">
        <x:v>QA</x:v>
      </x:c>
      <x:c r="B34" s="39" t="n">
        <x:f>COUNTA('QA'!$A$7:$A$22)</x:f>
        <x:v>16</x:v>
      </x:c>
      <x:c r="C34" s="39" t="n">
        <x:f>COUNTIFS('QA'!$C$7:$C$22,"Défini")</x:f>
        <x:v>16</x:v>
      </x:c>
      <x:c r="D34" s="39" t="n">
        <x:f>COUNTIFS('QA'!$C$7:$C$22,"Prototype")</x:f>
        <x:v>0</x:v>
      </x:c>
      <x:c r="E34" s="39" t="n">
        <x:f>COUNTIFS('QA'!$C$7:$C$22,"Intégré")</x:f>
        <x:v>0</x:v>
      </x:c>
      <x:c r="F34" s="39" t="n">
        <x:f>COUNTIFS('QA'!$C$7:$C$22,"Validé")</x:f>
        <x:v>0</x:v>
      </x:c>
      <x:c r="G34" s="39" t="n">
        <x:f>COUNTIFS('QA'!$D$7:$D$22,"Établi")</x:f>
        <x:v>0</x:v>
      </x:c>
      <x:c r="H34" s="39" t="n">
        <x:f>COUNTIFS('QA'!$D$7:$D$22,"À vérifier")</x:f>
        <x:v>0</x:v>
      </x:c>
      <x:c r="I34" s="39" t="n">
        <x:f>COUNTIFS('QA'!$D$7:$D$22,"Extrapolation")</x:f>
        <x:v>16</x:v>
      </x:c>
      <x:c r="J34" s="39" t="n">
        <x:f>COUNTIFS('QA'!$D$7:$D$22,"Coupé attesté")</x:f>
        <x:v>0</x:v>
      </x:c>
      <x:c r="K34" s="39" t="n">
        <x:f>COUNTIFS('QA'!$D$7:$D$22,"Concept abandonné")</x:f>
        <x:v>0</x:v>
      </x:c>
      <x:c r="L34" s="39" t="n">
        <x:f>COUNTIFS('QA'!$D$7:$D$22,"Allégation écartée")</x:f>
        <x:v>0</x:v>
      </x:c>
      <x:c r="M34" s="39" t="n">
        <x:f>COUNTIFS('QA'!$E$7:$E$22,"P0")</x:f>
        <x:v>16</x:v>
      </x:c>
    </x:row>
    <x:row r="35" ht="22" customHeight="1">
      <x:c r="A35" s="2" t="str">
        <x:v>Continuité</x:v>
      </x:c>
      <x:c r="B35" s="40" t="n">
        <x:f>COUNTA('Continuite'!$A$7:$A$8)</x:f>
        <x:v>2</x:v>
      </x:c>
      <x:c r="C35" s="40" t="n">
        <x:f>COUNTIFS('Continuite'!$C$7:$C$8,"Défini")</x:f>
        <x:v>2</x:v>
      </x:c>
      <x:c r="D35" s="40" t="n">
        <x:f>COUNTIFS('Continuite'!$C$7:$C$8,"Prototype")</x:f>
        <x:v>0</x:v>
      </x:c>
      <x:c r="E35" s="40" t="n">
        <x:f>COUNTIFS('Continuite'!$C$7:$C$8,"Intégré")</x:f>
        <x:v>0</x:v>
      </x:c>
      <x:c r="F35" s="40" t="n">
        <x:f>COUNTIFS('Continuite'!$C$7:$C$8,"Validé")</x:f>
        <x:v>0</x:v>
      </x:c>
      <x:c r="G35" s="40" t="n">
        <x:f>COUNTIFS('Continuite'!$D$7:$D$8,"Établi")</x:f>
        <x:v>0</x:v>
      </x:c>
      <x:c r="H35" s="40" t="n">
        <x:f>COUNTIFS('Continuite'!$D$7:$D$8,"À vérifier")</x:f>
        <x:v>0</x:v>
      </x:c>
      <x:c r="I35" s="40" t="n">
        <x:f>COUNTIFS('Continuite'!$D$7:$D$8,"Extrapolation")</x:f>
        <x:v>2</x:v>
      </x:c>
      <x:c r="J35" s="40" t="n">
        <x:f>COUNTIFS('Continuite'!$D$7:$D$8,"Coupé attesté")</x:f>
        <x:v>0</x:v>
      </x:c>
      <x:c r="K35" s="40" t="n">
        <x:f>COUNTIFS('Continuite'!$D$7:$D$8,"Concept abandonné")</x:f>
        <x:v>0</x:v>
      </x:c>
      <x:c r="L35" s="40" t="n">
        <x:f>COUNTIFS('Continuite'!$D$7:$D$8,"Allégation écartée")</x:f>
        <x:v>0</x:v>
      </x:c>
      <x:c r="M35" s="40" t="n">
        <x:f>COUNTIFS('Continuite'!$E$7:$E$8,"P0")</x:f>
        <x:v>0</x:v>
      </x:c>
    </x:row>
    <x:row r="36" ht="22" customHeight="1">
      <x:c r="A36" s="2"/>
      <x:c r="B36" s="40"/>
      <x:c r="C36" s="40"/>
      <x:c r="D36" s="40"/>
      <x:c r="E36" s="40"/>
      <x:c r="F36" s="40"/>
      <x:c r="G36" s="40"/>
      <x:c r="H36" s="40"/>
      <x:c r="I36" s="40"/>
      <x:c r="J36" s="40"/>
      <x:c r="K36" s="40"/>
      <x:c r="L36" s="40"/>
      <x:c r="M36" s="40"/>
    </x:row>
    <x:row r="37" ht="28" customHeight="1">
      <x:c r="A37" s="23" t="str">
        <x:v>TOTAL</x:v>
      </x:c>
      <x:c r="B37" s="41" t="n">
        <x:f>SUM(B10:B35)</x:f>
        <x:v>249</x:v>
      </x:c>
      <x:c r="C37" s="41" t="n">
        <x:f>SUM(C10:C35)</x:f>
        <x:v>249</x:v>
      </x:c>
      <x:c r="D37" s="41" t="n">
        <x:f>SUM(D10:D35)</x:f>
        <x:v>0</x:v>
      </x:c>
      <x:c r="E37" s="41" t="n">
        <x:f>SUM(E10:E35)</x:f>
        <x:v>0</x:v>
      </x:c>
      <x:c r="F37" s="41" t="n">
        <x:f>SUM(F10:F35)</x:f>
        <x:v>0</x:v>
      </x:c>
      <x:c r="G37" s="41" t="n">
        <x:f>SUM(G10:G35)</x:f>
        <x:v>19</x:v>
      </x:c>
      <x:c r="H37" s="41" t="n">
        <x:f>SUM(H10:H35)</x:f>
        <x:v>28</x:v>
      </x:c>
      <x:c r="I37" s="41" t="n">
        <x:f>SUM(I10:I35)</x:f>
        <x:v>202</x:v>
      </x:c>
      <x:c r="J37" s="41" t="n">
        <x:f>SUM(J10:J35)</x:f>
        <x:v>0</x:v>
      </x:c>
      <x:c r="K37" s="41" t="n">
        <x:f>SUM(K10:K35)</x:f>
        <x:v>0</x:v>
      </x:c>
      <x:c r="L37" s="41" t="n">
        <x:f>SUM(L10:L35)</x:f>
        <x:v>0</x:v>
      </x:c>
      <x:c r="M37" s="41" t="n">
        <x:f>SUM(M10:M35)</x:f>
        <x:v>35</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14"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Foundation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FOU-ACT-RASA</x:v>
      </x:c>
      <x:c r="B7" s="9" t="str">
        <x:v>Rasa</x:v>
      </x:c>
      <x:c r="C7" s="15" t="str">
        <x:v>Défini</x:v>
      </x:c>
      <x:c r="D7" s="16" t="str">
        <x:v>Établi</x:v>
      </x:c>
      <x:c r="E7" s="16" t="str">
        <x:v>P1</x:v>
      </x:c>
      <x:c r="F7" s="9" t="str">
        <x:v>Rasa est une agente associée à Cerberus.</x:v>
      </x:c>
      <x:c r="G7" s="9" t="str">
        <x:v>Point de vue du cadre; collecte de dossiers, couverture et fuite selon le numéro.</x:v>
      </x:c>
      <x:c r="H7" s="9" t="str">
        <x:v>Rôle narratif; aucune statistique officielle déduite.</x:v>
      </x:c>
      <x:c r="I7" s="9" t="str">
        <x:v>Direction proposée : Vêtements civils ou tenue d’agente par période; ne pas fusionner la silhouette enfant et celle du DLC. Vérifier le costume sur l'édition autorisée avant peinture finale.</x:v>
      </x:c>
      <x:c r="J7" s="9" t="str">
        <x:v>Observation, échange discret, changement de posture sociale et déplacement furtif.</x:v>
      </x:c>
      <x:c r="K7" s="9" t="str">
        <x:v>Interprétation originale; sous-titres attribués au locuteur et aucune reprise des voix du jeu.</x:v>
      </x:c>
      <x:c r="L7" s="9" t="str">
        <x:v>Livrable proposé : spécification FOU/characters/act-rasa; brancher au registre de contenu de l'œuvre seulement après production.</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Rasa possède une fiche de référence séparant rôle attesté, silhouette à contrôler et commandes proposées.</x:v>
      </x:c>
      <x:c r="O7" s="9" t="str"/>
      <x:c r="P7" s="9" t="str">
        <x:v>Mass Effect: Foundation, série concernée</x:v>
      </x:c>
      <x:c r="Q7" s="9" t="str">
        <x:v>FOU-S-VOL1</x:v>
      </x:c>
      <x:c r="R7" s="20" t="str">
        <x:v>https://www.penguinrandomhouse.com/books/246024/mass-effect-foundation-volume-1-by-mac-walters-various-artists/</x:v>
      </x:c>
      <x:c r="S7" s="20" t="str">
        <x:v>Le rôle dans la source ne prouve ni recrutement jouable ni disponibilité permanente.</x:v>
      </x:c>
    </x:row>
    <x:row r="8" ht="82" customHeight="1">
      <x:c r="A8" s="19" t="str">
        <x:v>FOU-ACT-WREX</x:v>
      </x:c>
      <x:c r="B8" s="7" t="str">
        <x:v>Urdnot Wrex</x:v>
      </x:c>
      <x:c r="C8" s="15" t="str">
        <x:v>Défini</x:v>
      </x:c>
      <x:c r="D8" s="17" t="str">
        <x:v>Établi</x:v>
      </x:c>
      <x:c r="E8" s="17" t="str">
        <x:v>P1</x:v>
      </x:c>
      <x:c r="F8" s="7" t="str">
        <x:v>Wrex est l’un des personnages suivis dans le premier volume.</x:v>
      </x:c>
      <x:c r="G8" s="7" t="str">
        <x:v>Force autonome dans le dossier #2; ne pas le placer sous les ordres permanents de Rasa.</x:v>
      </x:c>
      <x:c r="H8" s="7" t="str">
        <x:v>Rôle narratif; aucune statistique officielle déduite.</x:v>
      </x:c>
      <x:c r="I8" s="7" t="str">
        <x:v>Direction proposée : Krogan massif, armure de mercenaire à vérifier et écart de taille lisible. Vérifier le costume sur l'édition autorisée avant peinture finale.</x:v>
      </x:c>
      <x:c r="J8" s="7" t="str">
        <x:v>Marche lourde, pause d’évaluation et geste brusque.</x:v>
      </x:c>
      <x:c r="K8" s="7" t="str">
        <x:v>Interprétation originale; sous-titres attribués au locuteur et aucune reprise des voix du jeu.</x:v>
      </x:c>
      <x:c r="L8" s="7" t="str">
        <x:v>Livrable proposé : spécification FOU/characters/act-wrex; brancher au registre de contenu de l'œuvre seulement après production.</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Urdnot Wrex possède une fiche de référence séparant rôle attesté, silhouette à contrôler et commandes proposées.</x:v>
      </x:c>
      <x:c r="O8" s="7" t="str"/>
      <x:c r="P8" s="7" t="str">
        <x:v>Mass Effect: Foundation, série concernée</x:v>
      </x:c>
      <x:c r="Q8" s="7" t="str">
        <x:v>FOU-S-VOL1</x:v>
      </x:c>
      <x:c r="R8" s="21" t="str">
        <x:v>https://www.penguinrandomhouse.com/books/246024/mass-effect-foundation-volume-1-by-mac-walters-various-artists/</x:v>
      </x:c>
      <x:c r="S8" s="21" t="str">
        <x:v>Le rôle dans la source ne prouve ni recrutement jouable ni disponibilité permanente.</x:v>
      </x:c>
    </x:row>
    <x:row r="9" ht="82" customHeight="1">
      <x:c r="A9" s="18" t="str">
        <x:v>FOU-ACT-ASHLEY</x:v>
      </x:c>
      <x:c r="B9" s="9" t="str">
        <x:v>Ashley Williams</x:v>
      </x:c>
      <x:c r="C9" s="15" t="str">
        <x:v>Défini</x:v>
      </x:c>
      <x:c r="D9" s="16" t="str">
        <x:v>Établi</x:v>
      </x:c>
      <x:c r="E9" s="16" t="str">
        <x:v>P1</x:v>
      </x:c>
      <x:c r="F9" s="9" t="str">
        <x:v>Ashley figure dans les histoires du premier volume.</x:v>
      </x:c>
      <x:c r="G9" s="9" t="str">
        <x:v>Point de vue de terrain #3 et interlocutrice du cadre d’enquête.</x:v>
      </x:c>
      <x:c r="H9" s="9" t="str">
        <x:v>Rôle narratif; aucune statistique officielle déduite.</x:v>
      </x:c>
      <x:c r="I9" s="9" t="str">
        <x:v>Direction proposée : Armure Alliance de la période, sans équipements tardifs de ME3. Vérifier le costume sur l'édition autorisée avant peinture finale.</x:v>
      </x:c>
      <x:c r="J9" s="9" t="str">
        <x:v>Ordre au groupe, vérification d’angle et fatigue après action.</x:v>
      </x:c>
      <x:c r="K9" s="9" t="str">
        <x:v>Interprétation originale; sous-titres attribués au locuteur et aucune reprise des voix du jeu.</x:v>
      </x:c>
      <x:c r="L9" s="9" t="str">
        <x:v>Livrable proposé : spécification FOU/characters/act-ashley; brancher au registre de contenu de l'œuvre seulement après production.</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Ashley Williams possède une fiche de référence séparant rôle attesté, silhouette à contrôler et commandes proposées.</x:v>
      </x:c>
      <x:c r="O9" s="9" t="str"/>
      <x:c r="P9" s="9" t="str">
        <x:v>Mass Effect: Foundation, série concernée</x:v>
      </x:c>
      <x:c r="Q9" s="9" t="str">
        <x:v>FOU-S-VOL1</x:v>
      </x:c>
      <x:c r="R9" s="20" t="str">
        <x:v>https://www.penguinrandomhouse.com/books/246024/mass-effect-foundation-volume-1-by-mac-walters-various-artists/</x:v>
      </x:c>
      <x:c r="S9" s="20" t="str">
        <x:v>Le rôle dans la source ne prouve ni recrutement jouable ni disponibilité permanente.</x:v>
      </x:c>
    </x:row>
    <x:row r="10" ht="82" customHeight="1">
      <x:c r="A10" s="19" t="str">
        <x:v>FOU-ACT-KAIDAN</x:v>
      </x:c>
      <x:c r="B10" s="7" t="str">
        <x:v>Kaidan Alenko</x:v>
      </x:c>
      <x:c r="C10" s="15" t="str">
        <x:v>Défini</x:v>
      </x:c>
      <x:c r="D10" s="17" t="str">
        <x:v>Établi</x:v>
      </x:c>
      <x:c r="E10" s="17" t="str">
        <x:v>P1</x:v>
      </x:c>
      <x:c r="F10" s="7" t="str">
        <x:v>Kaidan est au centre d’un récit du premier volume.</x:v>
      </x:c>
      <x:c r="G10" s="7" t="str">
        <x:v>Avatar jeune dans #4; le module privilégie l’apprentissage et le conflit.</x:v>
      </x:c>
      <x:c r="H10" s="7" t="str">
        <x:v>Rôle narratif; aucune statistique officielle déduite.</x:v>
      </x:c>
      <x:c r="I10" s="7" t="str">
        <x:v>Direction proposée : Tenue de cadet à contrôler, pas d’armure d’officier adulte. Vérifier le costume sur l'édition autorisée avant peinture finale.</x:v>
      </x:c>
      <x:c r="J10" s="7" t="str">
        <x:v>Concentration hésitante, geste de protection et retrait.</x:v>
      </x:c>
      <x:c r="K10" s="7" t="str">
        <x:v>Interprétation originale; sous-titres attribués au locuteur et aucune reprise des voix du jeu.</x:v>
      </x:c>
      <x:c r="L10" s="7" t="str">
        <x:v>Livrable proposé : spécification FOU/characters/act-kaidan; brancher au registre de contenu de l'œuvre seulement après production.</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Kaidan Alenko possède une fiche de référence séparant rôle attesté, silhouette à contrôler et commandes proposées.</x:v>
      </x:c>
      <x:c r="O10" s="7" t="str"/>
      <x:c r="P10" s="7" t="str">
        <x:v>Mass Effect: Foundation, série concernée</x:v>
      </x:c>
      <x:c r="Q10" s="7" t="str">
        <x:v>FOU-S-VOL1</x:v>
      </x:c>
      <x:c r="R10" s="21" t="str">
        <x:v>https://www.penguinrandomhouse.com/books/246024/mass-effect-foundation-volume-1-by-mac-walters-various-artists/</x:v>
      </x:c>
      <x:c r="S10" s="21" t="str">
        <x:v>Le rôle dans la source ne prouve ni recrutement jouable ni disponibilité permanente.</x:v>
      </x:c>
    </x:row>
    <x:row r="11" ht="82" customHeight="1">
      <x:c r="A11" s="18" t="str">
        <x:v>FOU-ACT-MIRANDA</x:v>
      </x:c>
      <x:c r="B11" s="9" t="str">
        <x:v>Miranda Lawson</x:v>
      </x:c>
      <x:c r="C11" s="15" t="str">
        <x:v>Défini</x:v>
      </x:c>
      <x:c r="D11" s="16" t="str">
        <x:v>Établi</x:v>
      </x:c>
      <x:c r="E11" s="16" t="str">
        <x:v>P1</x:v>
      </x:c>
      <x:c r="F11" s="9" t="str">
        <x:v>Miranda recherche Shepard avec Jacob dans le deuxième volume.</x:v>
      </x:c>
      <x:c r="G11" s="9" t="str">
        <x:v>Partenaire du duo puis autorité de station selon le segment.</x:v>
      </x:c>
      <x:c r="H11" s="9" t="str">
        <x:v>Rôle narratif; aucune statistique officielle déduite.</x:v>
      </x:c>
      <x:c r="I11" s="9" t="str">
        <x:v>Direction proposée : Combinaison de mission claire/sombre, variantes #5–6 et #13 séparées. Vérifier le costume sur l'édition autorisée avant peinture finale.</x:v>
      </x:c>
      <x:c r="J11" s="9" t="str">
        <x:v>Inspection, ordre de protection et maintien biotique bref.</x:v>
      </x:c>
      <x:c r="K11" s="9" t="str">
        <x:v>Interprétation originale; sous-titres attribués au locuteur et aucune reprise des voix du jeu.</x:v>
      </x:c>
      <x:c r="L11" s="9" t="str">
        <x:v>Livrable proposé : spécification FOU/characters/act-miranda; brancher au registre de contenu de l'œuvre seulement après production.</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Miranda Lawson possède une fiche de référence séparant rôle attesté, silhouette à contrôler et commandes proposées.</x:v>
      </x:c>
      <x:c r="O11" s="9" t="str"/>
      <x:c r="P11" s="9" t="str">
        <x:v>Mass Effect: Foundation, série concernée</x:v>
      </x:c>
      <x:c r="Q11" s="9" t="str">
        <x:v>FOU-S-VOL2</x:v>
      </x:c>
      <x:c r="R11" s="20" t="str">
        <x:v>https://www.penguinrandomhouse.com/books/240011/mass-effect-foundation-volume-2-by-mac-walters/</x:v>
      </x:c>
      <x:c r="S11" s="20" t="str">
        <x:v>Le rôle dans la source ne prouve ni recrutement jouable ni disponibilité permanente.</x:v>
      </x:c>
    </x:row>
    <x:row r="12" ht="82" customHeight="1">
      <x:c r="A12" s="19" t="str">
        <x:v>FOU-ACT-JACOB</x:v>
      </x:c>
      <x:c r="B12" s="7" t="str">
        <x:v>Jacob Taylor</x:v>
      </x:c>
      <x:c r="C12" s="15" t="str">
        <x:v>Défini</x:v>
      </x:c>
      <x:c r="D12" s="17" t="str">
        <x:v>Établi</x:v>
      </x:c>
      <x:c r="E12" s="17" t="str">
        <x:v>P1</x:v>
      </x:c>
      <x:c r="F12" s="7" t="str">
        <x:v>Jacob accompagne Miranda dans la recherche.</x:v>
      </x:c>
      <x:c r="G12" s="7" t="str">
        <x:v>Soutien de terrain du duo, protection et progression.</x:v>
      </x:c>
      <x:c r="H12" s="7" t="str">
        <x:v>Rôle narratif; aucune statistique officielle déduite.</x:v>
      </x:c>
      <x:c r="I12" s="7" t="str">
        <x:v>Direction proposée : Armure de mission adaptée à la période et arme compacte à vérifier. Vérifier le costume sur l'édition autorisée avant peinture finale.</x:v>
      </x:c>
      <x:c r="J12" s="7" t="str">
        <x:v>Couverture, relevé d’indice et passage en premier.</x:v>
      </x:c>
      <x:c r="K12" s="7" t="str">
        <x:v>Interprétation originale; sous-titres attribués au locuteur et aucune reprise des voix du jeu.</x:v>
      </x:c>
      <x:c r="L12" s="7" t="str">
        <x:v>Livrable proposé : spécification FOU/characters/act-jacob; brancher au registre de contenu de l'œuvre seulement après production.</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Jacob Taylor possède une fiche de référence séparant rôle attesté, silhouette à contrôler et commandes proposées.</x:v>
      </x:c>
      <x:c r="O12" s="7" t="str"/>
      <x:c r="P12" s="7" t="str">
        <x:v>Mass Effect: Foundation, série concernée</x:v>
      </x:c>
      <x:c r="Q12" s="7" t="str">
        <x:v>FOU-S-VOL2</x:v>
      </x:c>
      <x:c r="R12" s="21" t="str">
        <x:v>https://www.penguinrandomhouse.com/books/240011/mass-effect-foundation-volume-2-by-mac-walters/</x:v>
      </x:c>
      <x:c r="S12" s="21" t="str">
        <x:v>Le rôle dans la source ne prouve ni recrutement jouable ni disponibilité permanente.</x:v>
      </x:c>
    </x:row>
    <x:row r="13" ht="82" customHeight="1">
      <x:c r="A13" s="18" t="str">
        <x:v>FOU-ACT-JACK</x:v>
      </x:c>
      <x:c r="B13" s="9" t="str">
        <x:v>Jack / Sujet Zéro</x:v>
      </x:c>
      <x:c r="C13" s="15" t="str">
        <x:v>Défini</x:v>
      </x:c>
      <x:c r="D13" s="16" t="str">
        <x:v>Établi</x:v>
      </x:c>
      <x:c r="E13" s="16" t="str">
        <x:v>P1</x:v>
      </x:c>
      <x:c r="F13" s="9" t="str">
        <x:v>Le deuxième volume inclut une rencontre avec Jack.</x:v>
      </x:c>
      <x:c r="G13" s="9" t="str">
        <x:v>Force poursuivie; ne pas la présenter comme membre volontaire de l’équipe de capture.</x:v>
      </x:c>
      <x:c r="H13" s="9" t="str">
        <x:v>Rôle narratif; aucune statistique officielle déduite.</x:v>
      </x:c>
      <x:c r="I13" s="9" t="str">
        <x:v>Direction proposée : Crâne rasé et marques corporelles à vérifier sur référence, effet biotique limité autour du corps. Vérifier le costume sur l'édition autorisée avant peinture finale.</x:v>
      </x:c>
      <x:c r="J13" s="9" t="str">
        <x:v>Tension, mouvement explosif et respiration après effort.</x:v>
      </x:c>
      <x:c r="K13" s="9" t="str">
        <x:v>Interprétation originale; sous-titres attribués au locuteur et aucune reprise des voix du jeu.</x:v>
      </x:c>
      <x:c r="L13" s="9" t="str">
        <x:v>Livrable proposé : spécification FOU/characters/act-jack; brancher au registre de contenu de l'œuvre seulement après production.</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Jack / Sujet Zéro possède une fiche de référence séparant rôle attesté, silhouette à contrôler et commandes proposées.</x:v>
      </x:c>
      <x:c r="O13" s="9" t="str"/>
      <x:c r="P13" s="9" t="str">
        <x:v>Mass Effect: Foundation, série concernée</x:v>
      </x:c>
      <x:c r="Q13" s="9" t="str">
        <x:v>FOU-S-VOL2</x:v>
      </x:c>
      <x:c r="R13" s="20" t="str">
        <x:v>https://www.penguinrandomhouse.com/books/240011/mass-effect-foundation-volume-2-by-mac-walters/</x:v>
      </x:c>
      <x:c r="S13" s="20" t="str">
        <x:v>Le rôle dans la source ne prouve ni recrutement jouable ni disponibilité permanente.</x:v>
      </x:c>
    </x:row>
    <x:row r="14" ht="82" customHeight="1">
      <x:c r="A14" s="19" t="str">
        <x:v>FOU-ACT-THANE</x:v>
      </x:c>
      <x:c r="B14" s="7" t="str">
        <x:v>Thane Krios</x:v>
      </x:c>
      <x:c r="C14" s="15" t="str">
        <x:v>Défini</x:v>
      </x:c>
      <x:c r="D14" s="17" t="str">
        <x:v>Établi</x:v>
      </x:c>
      <x:c r="E14" s="17" t="str">
        <x:v>P1</x:v>
      </x:c>
      <x:c r="F14" s="7" t="str">
        <x:v>Thane apparaît dans les deuxième et troisième volumes.</x:v>
      </x:c>
      <x:c r="G14" s="7" t="str">
        <x:v>Deux contextes #8 et #12; distinguer rencontre avec Rasa et histoire familiale.</x:v>
      </x:c>
      <x:c r="H14" s="7" t="str">
        <x:v>Rôle narratif; aucune statistique officielle déduite.</x:v>
      </x:c>
      <x:c r="I14" s="7" t="str">
        <x:v>Direction proposée : Drell à silhouette fine, tenue d’assassin et état temporel à vérifier. Vérifier le costume sur l'édition autorisée avant peinture finale.</x:v>
      </x:c>
      <x:c r="J14" s="7" t="str">
        <x:v>Immobilité, inspection de ligne de vue et geste précis.</x:v>
      </x:c>
      <x:c r="K14" s="7" t="str">
        <x:v>Interprétation originale; sous-titres attribués au locuteur et aucune reprise des voix du jeu.</x:v>
      </x:c>
      <x:c r="L14" s="7" t="str">
        <x:v>Livrable proposé : spécification FOU/characters/act-thane; brancher au registre de contenu de l'œuvre seulement après production.</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Thane Krios possède une fiche de référence séparant rôle attesté, silhouette à contrôler et commandes proposées.</x:v>
      </x:c>
      <x:c r="O14" s="7" t="str"/>
      <x:c r="P14" s="7" t="str">
        <x:v>Mass Effect: Foundation, série concernée</x:v>
      </x:c>
      <x:c r="Q14" s="7" t="str">
        <x:v>FOU-S-VOL2</x:v>
      </x:c>
      <x:c r="R14" s="21" t="str">
        <x:v>https://www.penguinrandomhouse.com/books/240011/mass-effect-foundation-volume-2-by-mac-walters/</x:v>
      </x:c>
      <x:c r="S14" s="21" t="str">
        <x:v>Le rôle dans la source ne prouve ni recrutement jouable ni disponibilité permanente.</x:v>
      </x:c>
    </x:row>
    <x:row r="15" ht="82" customHeight="1">
      <x:c r="A15" s="18" t="str">
        <x:v>FOU-ACT-MORDIN</x:v>
      </x:c>
      <x:c r="B15" s="9" t="str">
        <x:v>Mordin Solus</x:v>
      </x:c>
      <x:c r="C15" s="15" t="str">
        <x:v>Défini</x:v>
      </x:c>
      <x:c r="D15" s="16" t="str">
        <x:v>Établi</x:v>
      </x:c>
      <x:c r="E15" s="16" t="str">
        <x:v>P1</x:v>
      </x:c>
      <x:c r="F15" s="9" t="str">
        <x:v>Mordin figure dans le troisième volume.</x:v>
      </x:c>
      <x:c r="G15" s="9" t="str">
        <x:v>Point de vue technique et moral #9; opérations et conséquences restent distinctes.</x:v>
      </x:c>
      <x:c r="H15" s="9" t="str">
        <x:v>Rôle narratif; aucune statistique officielle déduite.</x:v>
      </x:c>
      <x:c r="I15" s="9" t="str">
        <x:v>Direction proposée : Salarian à silhouette fine; version avant/après blessures clairement séparée. Vérifier le costume sur l'édition autorisée avant peinture finale.</x:v>
      </x:c>
      <x:c r="J15" s="9" t="str">
        <x:v>Analyse rapide, changement d’outil et réaction à une objection.</x:v>
      </x:c>
      <x:c r="K15" s="9" t="str">
        <x:v>Interprétation originale; sous-titres attribués au locuteur et aucune reprise des voix du jeu.</x:v>
      </x:c>
      <x:c r="L15" s="9" t="str">
        <x:v>Livrable proposé : spécification FOU/characters/act-mordin; brancher au registre de contenu de l'œuvre seulement après production.</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Mordin Solus possède une fiche de référence séparant rôle attesté, silhouette à contrôler et commandes proposées.</x:v>
      </x:c>
      <x:c r="O15" s="9" t="str"/>
      <x:c r="P15" s="9" t="str">
        <x:v>Mass Effect: Foundation, série concernée</x:v>
      </x:c>
      <x:c r="Q15" s="9" t="str">
        <x:v>FOU-S-VOL3</x:v>
      </x:c>
      <x:c r="R15" s="20" t="str">
        <x:v>https://www.penguinrandomhouse.com/books/243699/mass-effect-foundation-volume-3-by-mac-walters-and-tony-parker/9781621159056/</x:v>
      </x:c>
      <x:c r="S15" s="20" t="str">
        <x:v>Le rôle dans la source ne prouve ni recrutement jouable ni disponibilité permanente.</x:v>
      </x:c>
    </x:row>
    <x:row r="16" ht="82" customHeight="1">
      <x:c r="A16" s="19" t="str">
        <x:v>FOU-ACT-KASUMI</x:v>
      </x:c>
      <x:c r="B16" s="7" t="str">
        <x:v>Kasumi Goto</x:v>
      </x:c>
      <x:c r="C16" s="15" t="str">
        <x:v>Défini</x:v>
      </x:c>
      <x:c r="D16" s="17" t="str">
        <x:v>Établi</x:v>
      </x:c>
      <x:c r="E16" s="17" t="str">
        <x:v>P1</x:v>
      </x:c>
      <x:c r="F16" s="7" t="str">
        <x:v>Kasumi est l’un des sujets du troisième volume.</x:v>
      </x:c>
      <x:c r="G16" s="7" t="str">
        <x:v>Infiltration #10; réussite tactique n’annule pas le deuil du récit.</x:v>
      </x:c>
      <x:c r="H16" s="7" t="str">
        <x:v>Rôle narratif; aucune statistique officielle déduite.</x:v>
      </x:c>
      <x:c r="I16" s="7" t="str">
        <x:v>Direction proposée : Capuche et silhouette compacte; tenue et motif à vérifier. Vérifier le costume sur l'édition autorisée avant peinture finale.</x:v>
      </x:c>
      <x:c r="J16" s="7" t="str">
        <x:v>Accroupissement, manipulation rapide et arrêt d’écoute.</x:v>
      </x:c>
      <x:c r="K16" s="7" t="str">
        <x:v>Interprétation originale; sous-titres attribués au locuteur et aucune reprise des voix du jeu.</x:v>
      </x:c>
      <x:c r="L16" s="7" t="str">
        <x:v>Livrable proposé : spécification FOU/characters/act-kasumi; brancher au registre de contenu de l'œuvre seulement après production.</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Kasumi Goto possède une fiche de référence séparant rôle attesté, silhouette à contrôler et commandes proposées.</x:v>
      </x:c>
      <x:c r="O16" s="7" t="str"/>
      <x:c r="P16" s="7" t="str">
        <x:v>Mass Effect: Foundation, série concernée</x:v>
      </x:c>
      <x:c r="Q16" s="7" t="str">
        <x:v>FOU-S-VOL3</x:v>
      </x:c>
      <x:c r="R16" s="21" t="str">
        <x:v>https://www.penguinrandomhouse.com/books/243699/mass-effect-foundation-volume-3-by-mac-walters-and-tony-parker/9781621159056/</x:v>
      </x:c>
      <x:c r="S16" s="21" t="str">
        <x:v>Le rôle dans la source ne prouve ni recrutement jouable ni disponibilité permanente.</x:v>
      </x:c>
    </x:row>
    <x:row r="17" ht="82" customHeight="1">
      <x:c r="A17" s="18" t="str">
        <x:v>FOU-ACT-ZAEED</x:v>
      </x:c>
      <x:c r="B17" s="9" t="str">
        <x:v>Zaeed Massani</x:v>
      </x:c>
      <x:c r="C17" s="15" t="str">
        <x:v>Défini</x:v>
      </x:c>
      <x:c r="D17" s="16" t="str">
        <x:v>Établi</x:v>
      </x:c>
      <x:c r="E17" s="16" t="str">
        <x:v>P1</x:v>
      </x:c>
      <x:c r="F17" s="9" t="str">
        <x:v>Le troisième volume présente une opération de Zaeed contre un vaisseau.</x:v>
      </x:c>
      <x:c r="G17" s="9" t="str">
        <x:v>Action concentrée #11; efficacité et coût de la violence.</x:v>
      </x:c>
      <x:c r="H17" s="9" t="str">
        <x:v>Rôle narratif; aucune statistique officielle déduite.</x:v>
      </x:c>
      <x:c r="I17" s="9" t="str">
        <x:v>Direction proposée : Mercenaire humain usé, armure lourde et visage à comparer. Vérifier le costume sur l'édition autorisée avant peinture finale.</x:v>
      </x:c>
      <x:c r="J17" s="9" t="str">
        <x:v>Visée ferme, déplacement sans précipitation et remise en garde.</x:v>
      </x:c>
      <x:c r="K17" s="9" t="str">
        <x:v>Interprétation originale; sous-titres attribués au locuteur et aucune reprise des voix du jeu.</x:v>
      </x:c>
      <x:c r="L17" s="9" t="str">
        <x:v>Livrable proposé : spécification FOU/characters/act-zaeed; brancher au registre de contenu de l'œuvre seulement après production.</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Zaeed Massani possède une fiche de référence séparant rôle attesté, silhouette à contrôler et commandes proposées.</x:v>
      </x:c>
      <x:c r="O17" s="9" t="str"/>
      <x:c r="P17" s="9" t="str">
        <x:v>Mass Effect: Foundation, série concernée</x:v>
      </x:c>
      <x:c r="Q17" s="9" t="str">
        <x:v>FOU-S-VOL3</x:v>
      </x:c>
      <x:c r="R17" s="20" t="str">
        <x:v>https://www.penguinrandomhouse.com/books/243699/mass-effect-foundation-volume-3-by-mac-walters-and-tony-parker/9781621159056/</x:v>
      </x:c>
      <x:c r="S17" s="20" t="str">
        <x:v>Le rôle dans la source ne prouve ni recrutement jouable ni disponibilité permanente.</x:v>
      </x:c>
    </x:row>
  </x:sheetData>
  <x:conditionalFormatting sqref="D7:D17">
    <x:cfRule type="cellIs" dxfId="0" priority="1" operator="equal">
      <x:formula>"À vérifier"</x:formula>
    </x:cfRule>
    <x:cfRule type="cellIs" dxfId="1" priority="2" operator="equal">
      <x:formula>"Extrapolation"</x:formula>
    </x:cfRule>
  </x:conditionalFormatting>
  <x:conditionalFormatting sqref="C7:C17">
    <x:cfRule type="cellIs" dxfId="2" priority="3" operator="equal">
      <x:formula>"Validé"</x:formula>
    </x:cfRule>
  </x:conditionalFormatting>
  <x:conditionalFormatting sqref="E7:E17">
    <x:cfRule type="cellIs" dxfId="3" priority="4" operator="equal">
      <x:formula>"P0"</x:formula>
    </x:cfRule>
  </x:conditionalFormatting>
  <x:dataValidations count="3">
    <x:dataValidation type="list" sqref="C7:C17">
      <x:formula1>"Défini,Prototype,Intégré,Validé"</x:formula1>
    </x:dataValidation>
    <x:dataValidation type="list" sqref="D7:D17">
      <x:formula1>"Établi,À vérifier,Extrapolation,Coupé attesté,Concept abandonné,Allégation écartée"</x:formula1>
    </x:dataValidation>
    <x:dataValidation type="list" sqref="E7:E17">
      <x:formula1>"P0,P1,P2"</x:formula1>
    </x:dataValidation>
  </x:dataValidations>
  <x:pageMargins left="0.7" right="0.7" top="0.75" bottom="0.75" header="0.3" footer="0.3"/>
  <x:tableParts count="1">
    <x:tablePart xmlns:r="http://schemas.openxmlformats.org/officeDocument/2006/relationships" r:id="R4fa6279faff94078"/>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14"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Foundation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FOU-ACT-KAI</x:v>
      </x:c>
      <x:c r="B7" s="9" t="str">
        <x:v>Kai Leng</x:v>
      </x:c>
      <x:c r="C7" s="15" t="str">
        <x:v>Défini</x:v>
      </x:c>
      <x:c r="D7" s="16" t="str">
        <x:v>À vérifier</x:v>
      </x:c>
      <x:c r="E7" s="16" t="str">
        <x:v>P1</x:v>
      </x:c>
      <x:c r="F7" s="9" t="str">
        <x:v>Kai Leng intervient dans plusieurs dossiers du premier volume.</x:v>
      </x:c>
      <x:c r="G7" s="9" t="str">
        <x:v>Agent du cadre; interventions limitées au numéro.</x:v>
      </x:c>
      <x:c r="H7" s="9" t="str">
        <x:v>Rôle narratif; aucune statistique officielle déduite.</x:v>
      </x:c>
      <x:c r="I7" s="9" t="str">
        <x:v>Direction proposée : Tenue opérationnelle à comparer, silhouette mince et posture fermée. Vérifier le costume sur l'édition autorisée avant peinture finale.</x:v>
      </x:c>
      <x:c r="J7" s="9" t="str">
        <x:v>Attente immobile, pas contrôlés et geste de menace.</x:v>
      </x:c>
      <x:c r="K7" s="9" t="str">
        <x:v>Interprétation originale; sous-titres attribués au locuteur et aucune reprise des voix du jeu.</x:v>
      </x:c>
      <x:c r="L7" s="9" t="str">
        <x:v>Livrable proposé : spécification FOU/npcs/act-kai; brancher au registre de contenu de l'œuvre seulement après production.</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Kai Leng possède une fiche de référence séparant rôle attesté, silhouette à contrôler et commandes proposées.</x:v>
      </x:c>
      <x:c r="O7" s="9" t="str"/>
      <x:c r="P7" s="9" t="str">
        <x:v>Mass Effect: Foundation, série concernée</x:v>
      </x:c>
      <x:c r="Q7" s="9" t="str">
        <x:v>FOU-S-CHARS</x:v>
      </x:c>
      <x:c r="R7" s="20" t="str">
        <x:v>https://masseffect.fandom.com/wiki/Characters/Mass_Effect%3A_Foundation</x:v>
      </x:c>
      <x:c r="S7" s="20" t="str">
        <x:v>Le rôle dans la source ne prouve ni recrutement jouable ni disponibilité permanente.</x:v>
      </x:c>
    </x:row>
    <x:row r="8" ht="82" customHeight="1">
      <x:c r="A8" s="19" t="str">
        <x:v>FOU-ACT-RAHNA</x:v>
      </x:c>
      <x:c r="B8" s="7" t="str">
        <x:v>Rahna</x:v>
      </x:c>
      <x:c r="C8" s="15" t="str">
        <x:v>Défini</x:v>
      </x:c>
      <x:c r="D8" s="17" t="str">
        <x:v>À vérifier</x:v>
      </x:c>
      <x:c r="E8" s="17" t="str">
        <x:v>P1</x:v>
      </x:c>
      <x:c r="F8" s="7" t="str">
        <x:v>Rahna apparaît dans l’entraînement de Kaidan.</x:v>
      </x:c>
      <x:c r="G8" s="7" t="str">
        <x:v>Cadette et personne à protéger, avec rôle narratif propre.</x:v>
      </x:c>
      <x:c r="H8" s="7" t="str">
        <x:v>Rôle narratif; aucune statistique officielle déduite.</x:v>
      </x:c>
      <x:c r="I8" s="7" t="str">
        <x:v>Direction proposée : Tenue de formation biotique à contrôler; pas de costume adulte ajouté. Vérifier le costume sur l'édition autorisée avant peinture finale.</x:v>
      </x:c>
      <x:c r="J8" s="7" t="str">
        <x:v>Concentration, fatigue et retrait après une interaction.</x:v>
      </x:c>
      <x:c r="K8" s="7" t="str">
        <x:v>Interprétation originale; sous-titres attribués au locuteur et aucune reprise des voix du jeu.</x:v>
      </x:c>
      <x:c r="L8" s="7" t="str">
        <x:v>Livrable proposé : spécification FOU/npcs/act-rahna; brancher au registre de contenu de l'œuvre seulement après production.</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Rahna possède une fiche de référence séparant rôle attesté, silhouette à contrôler et commandes proposées.</x:v>
      </x:c>
      <x:c r="O8" s="7" t="str"/>
      <x:c r="P8" s="7" t="str">
        <x:v>Foundation #4</x:v>
      </x:c>
      <x:c r="Q8" s="7" t="str">
        <x:v>FOU-S-ISSUE4</x:v>
      </x:c>
      <x:c r="R8" s="21" t="str">
        <x:v>https://masseffect.fandom.com/wiki/Mass_Effect%3A_Foundation_4</x:v>
      </x:c>
      <x:c r="S8" s="21" t="str">
        <x:v>Le rôle dans la source ne prouve ni recrutement jouable ni disponibilité permanente.</x:v>
      </x:c>
    </x:row>
    <x:row r="9" ht="82" customHeight="1">
      <x:c r="A9" s="18" t="str">
        <x:v>FOU-ACT-VYRNNUS</x:v>
      </x:c>
      <x:c r="B9" s="9" t="str">
        <x:v>Commandant Vyrnnus</x:v>
      </x:c>
      <x:c r="C9" s="15" t="str">
        <x:v>Défini</x:v>
      </x:c>
      <x:c r="D9" s="16" t="str">
        <x:v>À vérifier</x:v>
      </x:c>
      <x:c r="E9" s="16" t="str">
        <x:v>P1</x:v>
      </x:c>
      <x:c r="F9" s="9" t="str">
        <x:v>Vyrnnus encadre brutalement l’entraînement décrit dans #4.</x:v>
      </x:c>
      <x:c r="G9" s="9" t="str">
        <x:v>Autorité antagoniste du récit, sans boss de récompense obligatoire.</x:v>
      </x:c>
      <x:c r="H9" s="9" t="str">
        <x:v>Rôle narratif; aucune statistique officielle déduite.</x:v>
      </x:c>
      <x:c r="I9" s="9" t="str">
        <x:v>Direction proposée : Turien instructeur, silhouette droite et mains visibles. Vérifier le costume sur l'édition autorisée avant peinture finale.</x:v>
      </x:c>
      <x:c r="J9" s="9" t="str">
        <x:v>Ordre sec, pression de proximité et réaction contrôlée.</x:v>
      </x:c>
      <x:c r="K9" s="9" t="str">
        <x:v>Interprétation originale; sous-titres attribués au locuteur et aucune reprise des voix du jeu.</x:v>
      </x:c>
      <x:c r="L9" s="9" t="str">
        <x:v>Livrable proposé : spécification FOU/npcs/act-vyrnnus; brancher au registre de contenu de l'œuvre seulement après production.</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Commandant Vyrnnus possède une fiche de référence séparant rôle attesté, silhouette à contrôler et commandes proposées.</x:v>
      </x:c>
      <x:c r="O9" s="9" t="str"/>
      <x:c r="P9" s="9" t="str">
        <x:v>Foundation #4</x:v>
      </x:c>
      <x:c r="Q9" s="9" t="str">
        <x:v>FOU-S-ISSUE4</x:v>
      </x:c>
      <x:c r="R9" s="20" t="str">
        <x:v>https://masseffect.fandom.com/wiki/Mass_Effect%3A_Foundation_4</x:v>
      </x:c>
      <x:c r="S9" s="20" t="str">
        <x:v>Le rôle dans la source ne prouve ni recrutement jouable ni disponibilité permanente.</x:v>
      </x:c>
    </x:row>
    <x:row r="10" ht="82" customHeight="1">
      <x:c r="A10" s="19" t="str">
        <x:v>FOU-ACT-IRIKAH</x:v>
      </x:c>
      <x:c r="B10" s="7" t="str">
        <x:v>Irikah Krios</x:v>
      </x:c>
      <x:c r="C10" s="15" t="str">
        <x:v>Défini</x:v>
      </x:c>
      <x:c r="D10" s="17" t="str">
        <x:v>À vérifier</x:v>
      </x:c>
      <x:c r="E10" s="17" t="str">
        <x:v>P1</x:v>
      </x:c>
      <x:c r="F10" s="7" t="str">
        <x:v>Irikah fait partie du récit familial de Thane.</x:v>
      </x:c>
      <x:c r="G10" s="7" t="str">
        <x:v>Relation et mémoire; ne pas réduire son rôle à un objet de quête.</x:v>
      </x:c>
      <x:c r="H10" s="7" t="str">
        <x:v>Rôle narratif; aucune statistique officielle déduite.</x:v>
      </x:c>
      <x:c r="I10" s="7" t="str">
        <x:v>Direction proposée : Silhouette drell civile et environnement quotidien à vérifier. Vérifier le costume sur l'édition autorisée avant peinture finale.</x:v>
      </x:c>
      <x:c r="J10" s="7" t="str">
        <x:v>Arrêt déterminé, regard direct et gestes domestiques.</x:v>
      </x:c>
      <x:c r="K10" s="7" t="str">
        <x:v>Interprétation originale; sous-titres attribués au locuteur et aucune reprise des voix du jeu.</x:v>
      </x:c>
      <x:c r="L10" s="7" t="str">
        <x:v>Livrable proposé : spécification FOU/npcs/act-irikah; brancher au registre de contenu de l'œuvre seulement après production.</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Irikah Krios possède une fiche de référence séparant rôle attesté, silhouette à contrôler et commandes proposées.</x:v>
      </x:c>
      <x:c r="O10" s="7" t="str"/>
      <x:c r="P10" s="7" t="str">
        <x:v>Foundation #12</x:v>
      </x:c>
      <x:c r="Q10" s="7" t="str">
        <x:v>FOU-S-ISSUE12</x:v>
      </x:c>
      <x:c r="R10" s="21" t="str">
        <x:v>https://masseffect.fandom.com/wiki/Mass_Effect%3A_Foundation_12</x:v>
      </x:c>
      <x:c r="S10" s="21" t="str">
        <x:v>Le rôle dans la source ne prouve ni recrutement jouable ni disponibilité permanente.</x:v>
      </x:c>
    </x:row>
    <x:row r="11" ht="82" customHeight="1">
      <x:c r="A11" s="18" t="str">
        <x:v>FOU-ACT-KOLYAT</x:v>
      </x:c>
      <x:c r="B11" s="9" t="str">
        <x:v>Kolyat Krios</x:v>
      </x:c>
      <x:c r="C11" s="15" t="str">
        <x:v>Défini</x:v>
      </x:c>
      <x:c r="D11" s="16" t="str">
        <x:v>À vérifier</x:v>
      </x:c>
      <x:c r="E11" s="16" t="str">
        <x:v>P1</x:v>
      </x:c>
      <x:c r="F11" s="9" t="str">
        <x:v>Kolyat apparaît dans le passé familial de Thane.</x:v>
      </x:c>
      <x:c r="G11" s="9" t="str">
        <x:v>Enfant du contexte familial; aucune capacité de combat ajoutée.</x:v>
      </x:c>
      <x:c r="H11" s="9" t="str">
        <x:v>Rôle narratif; aucune statistique officielle déduite.</x:v>
      </x:c>
      <x:c r="I11" s="9" t="str">
        <x:v>Direction proposée : Petite silhouette drell, âge et vêtements à contrôler. Vérifier le costume sur l'édition autorisée avant peinture finale.</x:v>
      </x:c>
      <x:c r="J11" s="9" t="str">
        <x:v>Attente, retrait et geste d’appel.</x:v>
      </x:c>
      <x:c r="K11" s="9" t="str">
        <x:v>Interprétation originale; sous-titres attribués au locuteur et aucune reprise des voix du jeu.</x:v>
      </x:c>
      <x:c r="L11" s="9" t="str">
        <x:v>Livrable proposé : spécification FOU/npcs/act-kolyat; brancher au registre de contenu de l'œuvre seulement après production.</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Kolyat Krios possède une fiche de référence séparant rôle attesté, silhouette à contrôler et commandes proposées.</x:v>
      </x:c>
      <x:c r="O11" s="9" t="str"/>
      <x:c r="P11" s="9" t="str">
        <x:v>Foundation #12</x:v>
      </x:c>
      <x:c r="Q11" s="9" t="str">
        <x:v>FOU-S-ISSUE12</x:v>
      </x:c>
      <x:c r="R11" s="20" t="str">
        <x:v>https://masseffect.fandom.com/wiki/Mass_Effect%3A_Foundation_12</x:v>
      </x:c>
      <x:c r="S11" s="20" t="str">
        <x:v>Le rôle dans la source ne prouve ni recrutement jouable ni disponibilité permanente.</x:v>
      </x:c>
    </x:row>
    <x:row r="12" ht="82" customHeight="1">
      <x:c r="A12" s="19" t="str">
        <x:v>FOU-ACT-KEIJI</x:v>
      </x:c>
      <x:c r="B12" s="7" t="str">
        <x:v>Keiji Okuda</x:v>
      </x:c>
      <x:c r="C12" s="15" t="str">
        <x:v>Défini</x:v>
      </x:c>
      <x:c r="D12" s="17" t="str">
        <x:v>À vérifier</x:v>
      </x:c>
      <x:c r="E12" s="17" t="str">
        <x:v>P1</x:v>
      </x:c>
      <x:c r="F12" s="7" t="str">
        <x:v>La liste des personnages associe Keiji au numéro de Kasumi.</x:v>
      </x:c>
      <x:c r="G12" s="7" t="str">
        <x:v>Partenaire du contexte #10; dialogues de confiance et raccord de perte.</x:v>
      </x:c>
      <x:c r="H12" s="7" t="str">
        <x:v>Rôle narratif; aucune statistique officielle déduite.</x:v>
      </x:c>
      <x:c r="I12" s="7" t="str">
        <x:v>Direction proposée : Tenue de terrain sobre et silhouette à contrôler. Vérifier le costume sur l'édition autorisée avant peinture finale.</x:v>
      </x:c>
      <x:c r="J12" s="7" t="str">
        <x:v>Inspection, échange discret et attention partagée.</x:v>
      </x:c>
      <x:c r="K12" s="7" t="str">
        <x:v>Interprétation originale; sous-titres attribués au locuteur et aucune reprise des voix du jeu.</x:v>
      </x:c>
      <x:c r="L12" s="7" t="str">
        <x:v>Livrable proposé : spécification FOU/npcs/act-keiji; brancher au registre de contenu de l'œuvre seulement après production.</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Keiji Okuda possède une fiche de référence séparant rôle attesté, silhouette à contrôler et commandes proposées.</x:v>
      </x:c>
      <x:c r="O12" s="7" t="str"/>
      <x:c r="P12" s="7" t="str">
        <x:v>Foundation #10</x:v>
      </x:c>
      <x:c r="Q12" s="7" t="str">
        <x:v>FOU-S-CHARS</x:v>
      </x:c>
      <x:c r="R12" s="21" t="str">
        <x:v>https://masseffect.fandom.com/wiki/Characters/Mass_Effect%3A_Foundation</x:v>
      </x:c>
      <x:c r="S12" s="21" t="str">
        <x:v>Le rôle dans la source ne prouve ni recrutement jouable ni disponibilité permanente.</x:v>
      </x:c>
    </x:row>
    <x:row r="13" ht="82" customHeight="1">
      <x:c r="A13" s="18" t="str">
        <x:v>FOU-ACT-TIM</x:v>
      </x:c>
      <x:c r="B13" s="9" t="str">
        <x:v>L’Homme trouble</x:v>
      </x:c>
      <x:c r="C13" s="15" t="str">
        <x:v>Défini</x:v>
      </x:c>
      <x:c r="D13" s="16" t="str">
        <x:v>Établi</x:v>
      </x:c>
      <x:c r="E13" s="16" t="str">
        <x:v>P1</x:v>
      </x:c>
      <x:c r="F13" s="9" t="str">
        <x:v>Le troisième volume relie les dossiers à l’Homme trouble.</x:v>
      </x:c>
      <x:c r="G13" s="9" t="str">
        <x:v>Autorité du cadre, avec informations non partagées.</x:v>
      </x:c>
      <x:c r="H13" s="9" t="str">
        <x:v>Rôle narratif; aucune statistique officielle déduite.</x:v>
      </x:c>
      <x:c r="I13" s="9" t="str">
        <x:v>Direction proposée : Portrait distant en contre-jour et interface fermée. Vérifier le costume sur l'édition autorisée avant peinture finale.</x:v>
      </x:c>
      <x:c r="J13" s="9" t="str">
        <x:v>Écoute immobile, ordre bref et coupure de liaison.</x:v>
      </x:c>
      <x:c r="K13" s="9" t="str">
        <x:v>Interprétation originale; sous-titres attribués au locuteur et aucune reprise des voix du jeu.</x:v>
      </x:c>
      <x:c r="L13" s="9" t="str">
        <x:v>Livrable proposé : spécification FOU/npcs/act-tim; brancher au registre de contenu de l'œuvre seulement après production.</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L’Homme trouble possède une fiche de référence séparant rôle attesté, silhouette à contrôler et commandes proposées.</x:v>
      </x:c>
      <x:c r="O13" s="9" t="str"/>
      <x:c r="P13" s="9" t="str">
        <x:v>Mass Effect: Foundation, série concernée</x:v>
      </x:c>
      <x:c r="Q13" s="9" t="str">
        <x:v>FOU-S-VOL3</x:v>
      </x:c>
      <x:c r="R13" s="20" t="str">
        <x:v>https://www.penguinrandomhouse.com/books/243699/mass-effect-foundation-volume-3-by-mac-walters-and-tony-parker/9781621159056/</x:v>
      </x:c>
      <x:c r="S13" s="20" t="str">
        <x:v>Le rôle dans la source ne prouve ni recrutement jouable ni disponibilité permanente.</x:v>
      </x:c>
    </x:row>
  </x:sheetData>
  <x:conditionalFormatting sqref="D7:D13">
    <x:cfRule type="cellIs" dxfId="4" priority="1" operator="equal">
      <x:formula>"À vérifier"</x:formula>
    </x:cfRule>
    <x:cfRule type="cellIs" dxfId="5" priority="2" operator="equal">
      <x:formula>"Extrapolation"</x:formula>
    </x:cfRule>
  </x:conditionalFormatting>
  <x:conditionalFormatting sqref="C7:C13">
    <x:cfRule type="cellIs" dxfId="6" priority="3" operator="equal">
      <x:formula>"Validé"</x:formula>
    </x:cfRule>
  </x:conditionalFormatting>
  <x:conditionalFormatting sqref="E7:E13">
    <x:cfRule type="cellIs" dxfId="7"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02f163c6921640c7"/>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14"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Foundation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54" customHeight="1">
      <x:c r="A7" s="18" t="str">
        <x:v>FOU-REF-SCOPE</x:v>
      </x:c>
      <x:c r="B7" s="9" t="str">
        <x:v>Treize numéros réunis</x:v>
      </x:c>
      <x:c r="C7" s="15" t="str">
        <x:v>Défini</x:v>
      </x:c>
      <x:c r="D7" s="16" t="str">
        <x:v>Établi</x:v>
      </x:c>
      <x:c r="E7" s="16" t="str">
        <x:v>P0</x:v>
      </x:c>
      <x:c r="F7" s="9" t="str">
        <x:v>La notice officielle Omnibus 2 réunit Foundation #1–13.</x:v>
      </x:c>
      <x:c r="G7" s="9" t="str">
        <x:v>Conserver cet ancrage dans les données éditoriales; les variantes de jeu restent dans un espace séparé.</x:v>
      </x:c>
      <x:c r="H7" s="9" t="str"/>
      <x:c r="I7" s="9" t="str"/>
      <x:c r="J7" s="9" t="str"/>
      <x:c r="K7" s="9" t="str"/>
      <x:c r="L7" s="9" t="str">
        <x:v>Livrable proposé : spécification FOU/lore/ref-scope; brancher au registre de contenu de l'œuvre seulement après production.</x:v>
      </x:c>
      <x:c r="M7" s="9" t="str">
        <x:v>Vérifier toute précision non contenue dans cette notice avant de la déclarer canon.</x:v>
      </x:c>
      <x:c r="N7" s="9" t="str">
        <x:v>Le dossier cite la source OMNI2 et distingue cette information de toute règle de gameplay.</x:v>
      </x:c>
      <x:c r="O7" s="9" t="str"/>
      <x:c r="P7" s="9" t="str">
        <x:v>Mass Effect: Foundation, série concernée</x:v>
      </x:c>
      <x:c r="Q7" s="9" t="str">
        <x:v>FOU-S-OMNI2</x:v>
      </x:c>
      <x:c r="R7" s="20" t="str">
        <x:v>https://www.penguinrandomhouse.com/books/556082/mass-effect-omnibus-volume-2-by-jeremy-barlow/</x:v>
      </x:c>
      <x:c r="S7" s="20" t="str">
        <x:v>Fait résumé brièvement; aucun dialogue ni découpage intégral du comic reproduit.</x:v>
      </x:c>
    </x:row>
    <x:row r="8" ht="54" customHeight="1">
      <x:c r="A8" s="19" t="str">
        <x:v>FOU-REF-VOL1</x:v>
      </x:c>
      <x:c r="B8" s="7" t="str">
        <x:v>Premier recueil : #1–4</x:v>
      </x:c>
      <x:c r="C8" s="15" t="str">
        <x:v>Défini</x:v>
      </x:c>
      <x:c r="D8" s="17" t="str">
        <x:v>Établi</x:v>
      </x:c>
      <x:c r="E8" s="17" t="str">
        <x:v>P0</x:v>
      </x:c>
      <x:c r="F8" s="7" t="str">
        <x:v>Le premier volume présente Rasa, puis Wrex, Ashley et Kaidan; il collecte les numéros 1 à 4.</x:v>
      </x:c>
      <x:c r="G8" s="7" t="str">
        <x:v>Conserver cet ancrage dans les données éditoriales; les variantes de jeu restent dans un espace séparé.</x:v>
      </x:c>
      <x:c r="H8" s="7" t="str"/>
      <x:c r="I8" s="7" t="str"/>
      <x:c r="J8" s="7" t="str"/>
      <x:c r="K8" s="7" t="str"/>
      <x:c r="L8" s="7" t="str">
        <x:v>Livrable proposé : spécification FOU/lore/ref-vol1; brancher au registre de contenu de l'œuvre seulement après production.</x:v>
      </x:c>
      <x:c r="M8" s="7" t="str">
        <x:v>Vérifier toute précision non contenue dans cette notice avant de la déclarer canon.</x:v>
      </x:c>
      <x:c r="N8" s="7" t="str">
        <x:v>Le dossier cite la source VOL1 et distingue cette information de toute règle de gameplay.</x:v>
      </x:c>
      <x:c r="O8" s="7" t="str"/>
      <x:c r="P8" s="7" t="str">
        <x:v>Mass Effect: Foundation, série concernée</x:v>
      </x:c>
      <x:c r="Q8" s="7" t="str">
        <x:v>FOU-S-VOL1</x:v>
      </x:c>
      <x:c r="R8" s="21" t="str">
        <x:v>https://www.penguinrandomhouse.com/books/246024/mass-effect-foundation-volume-1-by-mac-walters-various-artists/</x:v>
      </x:c>
      <x:c r="S8" s="21" t="str">
        <x:v>Fait résumé brièvement; aucun dialogue ni découpage intégral du comic reproduit.</x:v>
      </x:c>
    </x:row>
    <x:row r="9" ht="54" customHeight="1">
      <x:c r="A9" s="18" t="str">
        <x:v>FOU-REF-VOL2</x:v>
      </x:c>
      <x:c r="B9" s="9" t="str">
        <x:v>Deuxième recueil : personnages</x:v>
      </x:c>
      <x:c r="C9" s="15" t="str">
        <x:v>Défini</x:v>
      </x:c>
      <x:c r="D9" s="16" t="str">
        <x:v>Établi</x:v>
      </x:c>
      <x:c r="E9" s="16" t="str">
        <x:v>P0</x:v>
      </x:c>
      <x:c r="F9" s="9" t="str">
        <x:v>Le deuxième volume suit Miranda, Jacob, Rasa, Jack et Thane.</x:v>
      </x:c>
      <x:c r="G9" s="9" t="str">
        <x:v>Conserver cet ancrage dans les données éditoriales; les variantes de jeu restent dans un espace séparé.</x:v>
      </x:c>
      <x:c r="H9" s="9" t="str"/>
      <x:c r="I9" s="9" t="str"/>
      <x:c r="J9" s="9" t="str"/>
      <x:c r="K9" s="9" t="str"/>
      <x:c r="L9" s="9" t="str">
        <x:v>Livrable proposé : spécification FOU/lore/ref-vol2; brancher au registre de contenu de l'œuvre seulement après production.</x:v>
      </x:c>
      <x:c r="M9" s="9" t="str">
        <x:v>Vérifier toute précision non contenue dans cette notice avant de la déclarer canon.</x:v>
      </x:c>
      <x:c r="N9" s="9" t="str">
        <x:v>Le dossier cite la source VOL2 et distingue cette information de toute règle de gameplay.</x:v>
      </x:c>
      <x:c r="O9" s="9" t="str"/>
      <x:c r="P9" s="9" t="str">
        <x:v>Mass Effect: Foundation, série concernée</x:v>
      </x:c>
      <x:c r="Q9" s="9" t="str">
        <x:v>FOU-S-VOL2</x:v>
      </x:c>
      <x:c r="R9" s="20" t="str">
        <x:v>https://www.penguinrandomhouse.com/books/240011/mass-effect-foundation-volume-2-by-mac-walters/</x:v>
      </x:c>
      <x:c r="S9" s="20" t="str">
        <x:v>Fait résumé brièvement; aucun dialogue ni découpage intégral du comic reproduit.</x:v>
      </x:c>
    </x:row>
    <x:row r="10" ht="54" customHeight="1">
      <x:c r="A10" s="19" t="str">
        <x:v>FOU-REF-VOL3</x:v>
      </x:c>
      <x:c r="B10" s="7" t="str">
        <x:v>Troisième recueil : personnages</x:v>
      </x:c>
      <x:c r="C10" s="15" t="str">
        <x:v>Défini</x:v>
      </x:c>
      <x:c r="D10" s="17" t="str">
        <x:v>Établi</x:v>
      </x:c>
      <x:c r="E10" s="17" t="str">
        <x:v>P0</x:v>
      </x:c>
      <x:c r="F10" s="7" t="str">
        <x:v>Le troisième volume met en avant Mordin, Kasumi, Zaeed et Thane.</x:v>
      </x:c>
      <x:c r="G10" s="7" t="str">
        <x:v>Conserver cet ancrage dans les données éditoriales; les variantes de jeu restent dans un espace séparé.</x:v>
      </x:c>
      <x:c r="H10" s="7" t="str"/>
      <x:c r="I10" s="7" t="str"/>
      <x:c r="J10" s="7" t="str"/>
      <x:c r="K10" s="7" t="str"/>
      <x:c r="L10" s="7" t="str">
        <x:v>Livrable proposé : spécification FOU/lore/ref-vol3; brancher au registre de contenu de l'œuvre seulement après production.</x:v>
      </x:c>
      <x:c r="M10" s="7" t="str">
        <x:v>Vérifier toute précision non contenue dans cette notice avant de la déclarer canon.</x:v>
      </x:c>
      <x:c r="N10" s="7" t="str">
        <x:v>Le dossier cite la source VOL3 et distingue cette information de toute règle de gameplay.</x:v>
      </x:c>
      <x:c r="O10" s="7" t="str"/>
      <x:c r="P10" s="7" t="str">
        <x:v>Mass Effect: Foundation, série concernée</x:v>
      </x:c>
      <x:c r="Q10" s="7" t="str">
        <x:v>FOU-S-VOL3</x:v>
      </x:c>
      <x:c r="R10" s="21" t="str">
        <x:v>https://www.penguinrandomhouse.com/books/243699/mass-effect-foundation-volume-3-by-mac-walters-and-tony-parker/9781621159056/</x:v>
      </x:c>
      <x:c r="S10" s="21" t="str">
        <x:v>Fait résumé brièvement; aucun dialogue ni découpage intégral du comic reproduit.</x:v>
      </x:c>
    </x:row>
    <x:row r="11" ht="54" customHeight="1">
      <x:c r="A11" s="18" t="str">
        <x:v>FOU-REF-BINDINGS</x:v>
      </x:c>
      <x:c r="B11" s="9" t="str">
        <x:v>Répartition des recueils</x:v>
      </x:c>
      <x:c r="C11" s="15" t="str">
        <x:v>Défini</x:v>
      </x:c>
      <x:c r="D11" s="16" t="str">
        <x:v>À vérifier</x:v>
      </x:c>
      <x:c r="E11" s="16" t="str">
        <x:v>P0</x:v>
      </x:c>
      <x:c r="F11" s="9" t="str">
        <x:v>Le wiki répartit les volumes en #1–4, #5–8 et #9–13.</x:v>
      </x:c>
      <x:c r="G11" s="9" t="str">
        <x:v>Contrôler les sommaires; l’édition de collection n’est pas une nouvelle chronologie.</x:v>
      </x:c>
      <x:c r="H11" s="9" t="str"/>
      <x:c r="I11" s="9" t="str"/>
      <x:c r="J11" s="9" t="str"/>
      <x:c r="K11" s="9" t="str"/>
      <x:c r="L11" s="9" t="str">
        <x:v>Livrable proposé : spécification FOU/lore/ref-bindings; brancher au registre de contenu de l'œuvre seulement après production.</x:v>
      </x:c>
      <x:c r="M11" s="9" t="str">
        <x:v>Vérifier toute précision non contenue dans cette notice avant de la déclarer canon.</x:v>
      </x:c>
      <x:c r="N11" s="9" t="str">
        <x:v>Le dossier cite la source SERIES et distingue cette information de toute règle de gameplay.</x:v>
      </x:c>
      <x:c r="O11" s="9" t="str"/>
      <x:c r="P11" s="9" t="str">
        <x:v>Mass Effect: Foundation, série concernée</x:v>
      </x:c>
      <x:c r="Q11" s="9" t="str">
        <x:v>FOU-S-SERIES</x:v>
      </x:c>
      <x:c r="R11" s="20" t="str">
        <x:v>https://masseffect.fandom.com/wiki/Mass_Effect%3A_Foundation</x:v>
      </x:c>
      <x:c r="S11" s="20" t="str">
        <x:v>Fait résumé brièvement; aucun dialogue ni découpage intégral du comic reproduit.</x:v>
      </x:c>
    </x:row>
    <x:row r="12" ht="54" customHeight="1">
      <x:c r="A12" s="19" t="str">
        <x:v>FOU-REF-ALIAS</x:v>
      </x:c>
      <x:c r="B12" s="7" t="str">
        <x:v>Dossier Rasa / Maya Brooks</x:v>
      </x:c>
      <x:c r="C12" s="15" t="str">
        <x:v>Défini</x:v>
      </x:c>
      <x:c r="D12" s="17" t="str">
        <x:v>À vérifier</x:v>
      </x:c>
      <x:c r="E12" s="17" t="str">
        <x:v>P0</x:v>
      </x:c>
      <x:c r="F12" s="7" t="str">
        <x:v>Les listes wiki rapprochent la protagoniste du personnage Maya Brooks.</x:v>
      </x:c>
      <x:c r="G12" s="7" t="str">
        <x:v>Créer une identité interne unique et des noms affichés selon l’époque; vérifier le moment de révélation dans chaque source.</x:v>
      </x:c>
      <x:c r="H12" s="7" t="str"/>
      <x:c r="I12" s="7" t="str"/>
      <x:c r="J12" s="7" t="str"/>
      <x:c r="K12" s="7" t="str"/>
      <x:c r="L12" s="7" t="str">
        <x:v>Livrable proposé : spécification FOU/lore/ref-alias; brancher au registre de contenu de l'œuvre seulement après production.</x:v>
      </x:c>
      <x:c r="M12" s="7" t="str">
        <x:v>Vérifier toute précision non contenue dans cette notice avant de la déclarer canon.</x:v>
      </x:c>
      <x:c r="N12" s="7" t="str">
        <x:v>Le dossier cite la source CHARS et distingue cette information de toute règle de gameplay.</x:v>
      </x:c>
      <x:c r="O12" s="7" t="str"/>
      <x:c r="P12" s="7" t="str">
        <x:v>Mass Effect: Foundation, série concernée</x:v>
      </x:c>
      <x:c r="Q12" s="7" t="str">
        <x:v>FOU-S-CHARS</x:v>
      </x:c>
      <x:c r="R12" s="21" t="str">
        <x:v>https://masseffect.fandom.com/wiki/Characters/Mass_Effect%3A_Foundation</x:v>
      </x:c>
      <x:c r="S12" s="21" t="str">
        <x:v>Fait résumé brièvement; aucun dialogue ni découpage intégral du comic reproduit.</x:v>
      </x:c>
    </x:row>
    <x:row r="13" ht="82" customHeight="1">
      <x:c r="A13" s="18" t="str">
        <x:v>FOU-SC-01-REF</x:v>
      </x:c>
      <x:c r="B13" s="9" t="str">
        <x:v>#1 — passé sur Themis</x:v>
      </x:c>
      <x:c r="C13" s="15" t="str">
        <x:v>Défini</x:v>
      </x:c>
      <x:c r="D13" s="16" t="str">
        <x:v>À vérifier</x:v>
      </x:c>
      <x:c r="E13" s="16" t="str">
        <x:v>P1</x:v>
      </x:c>
      <x:c r="F13" s="9" t="str">
        <x:v>Le premier numéro explore le passé de l’agente sur Themis. </x:v>
      </x:c>
      <x:c r="G13" s="9" t="str">
        <x:v>Ancrage du module; les intitulés de quêtes et options ci-dessous sont des créations de production.</x:v>
      </x:c>
      <x:c r="H13" s="9" t="str"/>
      <x:c r="I13" s="9" t="str"/>
      <x:c r="J13" s="9" t="str"/>
      <x:c r="K13" s="9" t="str"/>
      <x:c r="L13" s="9" t="str">
        <x:v>Livrable proposé : spécification FOU/lore/sc-01-ref; brancher au registre de contenu de l'œuvre seulement après production.</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L’ancrage reste bref et son numéro/segment est identifiable dans les sources; les détails non confirmés portent À vérifier.</x:v>
      </x:c>
      <x:c r="O13" s="9" t="str"/>
      <x:c r="P13" s="9" t="str">
        <x:v>Foundation #1</x:v>
      </x:c>
      <x:c r="Q13" s="9" t="str">
        <x:v>FOU-S-ISSUE1</x:v>
      </x:c>
      <x:c r="R13" s="20" t="str">
        <x:v>https://masseffect.fandom.com/wiki/Mass_Effect%3A_Foundation_1</x:v>
      </x:c>
      <x:c r="S13" s="20" t="str">
        <x:v>Ne remplace pas la lecture du numéro.</x:v>
      </x:c>
    </x:row>
    <x:row r="14" ht="82" customHeight="1">
      <x:c r="A14" s="19" t="str">
        <x:v>FOU-SC-02-REF</x:v>
      </x:c>
      <x:c r="B14" s="7" t="str">
        <x:v>#2 — dossier Wrex</x:v>
      </x:c>
      <x:c r="C14" s="15" t="str">
        <x:v>Défini</x:v>
      </x:c>
      <x:c r="D14" s="17" t="str">
        <x:v>À vérifier</x:v>
      </x:c>
      <x:c r="E14" s="17" t="str">
        <x:v>P1</x:v>
      </x:c>
      <x:c r="F14" s="7" t="str">
        <x:v>Le deuxième numéro associe la mission de Rasa à Wrex. </x:v>
      </x:c>
      <x:c r="G14" s="7" t="str">
        <x:v>Ancrage du module; les intitulés de quêtes et options ci-dessous sont des créations de production.</x:v>
      </x:c>
      <x:c r="H14" s="7" t="str"/>
      <x:c r="I14" s="7" t="str"/>
      <x:c r="J14" s="7" t="str"/>
      <x:c r="K14" s="7" t="str"/>
      <x:c r="L14" s="7" t="str">
        <x:v>Livrable proposé : spécification FOU/lore/sc-02-ref; brancher au registre de contenu de l'œuvre seulement après production.</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L’ancrage reste bref et son numéro/segment est identifiable dans les sources; les détails non confirmés portent À vérifier.</x:v>
      </x:c>
      <x:c r="O14" s="7" t="str"/>
      <x:c r="P14" s="7" t="str">
        <x:v>Foundation #2</x:v>
      </x:c>
      <x:c r="Q14" s="7" t="str">
        <x:v>FOU-S-CHARS</x:v>
      </x:c>
      <x:c r="R14" s="21" t="str">
        <x:v>https://masseffect.fandom.com/wiki/Characters/Mass_Effect%3A_Foundation</x:v>
      </x:c>
      <x:c r="S14" s="21" t="str">
        <x:v>Ne remplace pas la lecture du numéro.</x:v>
      </x:c>
    </x:row>
    <x:row r="15" ht="82" customHeight="1">
      <x:c r="A15" s="18" t="str">
        <x:v>FOU-SC-03-REF</x:v>
      </x:c>
      <x:c r="B15" s="9" t="str">
        <x:v>#3 — dossier Ashley</x:v>
      </x:c>
      <x:c r="C15" s="15" t="str">
        <x:v>Défini</x:v>
      </x:c>
      <x:c r="D15" s="16" t="str">
        <x:v>À vérifier</x:v>
      </x:c>
      <x:c r="E15" s="16" t="str">
        <x:v>P1</x:v>
      </x:c>
      <x:c r="F15" s="9" t="str">
        <x:v>Rasa recueille le point de vue d’Ashley sur Eden Prime. </x:v>
      </x:c>
      <x:c r="G15" s="9" t="str">
        <x:v>Ancrage du module; les intitulés de quêtes et options ci-dessous sont des créations de production.</x:v>
      </x:c>
      <x:c r="H15" s="9" t="str"/>
      <x:c r="I15" s="9" t="str"/>
      <x:c r="J15" s="9" t="str"/>
      <x:c r="K15" s="9" t="str"/>
      <x:c r="L15" s="9" t="str">
        <x:v>Livrable proposé : spécification FOU/lore/sc-03-ref; brancher au registre de contenu de l'œuvre seulement après production.</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L’ancrage reste bref et son numéro/segment est identifiable dans les sources; les détails non confirmés portent À vérifier.</x:v>
      </x:c>
      <x:c r="O15" s="9" t="str"/>
      <x:c r="P15" s="9" t="str">
        <x:v>Foundation #3</x:v>
      </x:c>
      <x:c r="Q15" s="9" t="str">
        <x:v>FOU-S-STORY</x:v>
      </x:c>
      <x:c r="R15" s="20" t="str">
        <x:v>https://masseffect.fandom.com/wiki/Storyline</x:v>
      </x:c>
      <x:c r="S15" s="20" t="str">
        <x:v>Ne remplace pas la lecture du numéro.</x:v>
      </x:c>
    </x:row>
    <x:row r="16" ht="82" customHeight="1">
      <x:c r="A16" s="19" t="str">
        <x:v>FOU-SC-04-REF</x:v>
      </x:c>
      <x:c r="B16" s="7" t="str">
        <x:v>#4 — formation de Kaidan</x:v>
      </x:c>
      <x:c r="C16" s="15" t="str">
        <x:v>Défini</x:v>
      </x:c>
      <x:c r="D16" s="17" t="str">
        <x:v>À vérifier</x:v>
      </x:c>
      <x:c r="E16" s="17" t="str">
        <x:v>P1</x:v>
      </x:c>
      <x:c r="F16" s="7" t="str">
        <x:v>Le numéro 4 montre Kaidan, Rahna et Vyrnnus à Gagarin. </x:v>
      </x:c>
      <x:c r="G16" s="7" t="str">
        <x:v>Ancrage du module; les intitulés de quêtes et options ci-dessous sont des créations de production.</x:v>
      </x:c>
      <x:c r="H16" s="7" t="str"/>
      <x:c r="I16" s="7" t="str"/>
      <x:c r="J16" s="7" t="str"/>
      <x:c r="K16" s="7" t="str"/>
      <x:c r="L16" s="7" t="str">
        <x:v>Livrable proposé : spécification FOU/lore/sc-04-ref; brancher au registre de contenu de l'œuvre seulement après production.</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L’ancrage reste bref et son numéro/segment est identifiable dans les sources; les détails non confirmés portent À vérifier.</x:v>
      </x:c>
      <x:c r="O16" s="7" t="str"/>
      <x:c r="P16" s="7" t="str">
        <x:v>Foundation #4</x:v>
      </x:c>
      <x:c r="Q16" s="7" t="str">
        <x:v>FOU-S-ISSUE4</x:v>
      </x:c>
      <x:c r="R16" s="21" t="str">
        <x:v>https://masseffect.fandom.com/wiki/Mass_Effect%3A_Foundation_4</x:v>
      </x:c>
      <x:c r="S16" s="21" t="str">
        <x:v>Ne remplace pas la lecture du numéro.</x:v>
      </x:c>
    </x:row>
    <x:row r="17" ht="82" customHeight="1">
      <x:c r="A17" s="18" t="str">
        <x:v>FOU-SC-05-REF</x:v>
      </x:c>
      <x:c r="B17" s="9" t="str">
        <x:v>#5 — recherche de Shepard</x:v>
      </x:c>
      <x:c r="C17" s="15" t="str">
        <x:v>Défini</x:v>
      </x:c>
      <x:c r="D17" s="16" t="str">
        <x:v>Établi</x:v>
      </x:c>
      <x:c r="E17" s="16" t="str">
        <x:v>P1</x:v>
      </x:c>
      <x:c r="F17" s="9" t="str">
        <x:v>Miranda et Jacob sont envoyés chercher le corps de Shepard. </x:v>
      </x:c>
      <x:c r="G17" s="9" t="str">
        <x:v>Ancrage du module; les intitulés de quêtes et options ci-dessous sont des créations de production.</x:v>
      </x:c>
      <x:c r="H17" s="9" t="str"/>
      <x:c r="I17" s="9" t="str"/>
      <x:c r="J17" s="9" t="str"/>
      <x:c r="K17" s="9" t="str"/>
      <x:c r="L17" s="9" t="str">
        <x:v>Livrable proposé : spécification FOU/lore/sc-05-ref; brancher au registre de contenu de l'œuvre seulement après production.</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L’ancrage reste bref et son numéro/segment est identifiable dans les sources; les détails non confirmés portent À vérifier.</x:v>
      </x:c>
      <x:c r="O17" s="9" t="str"/>
      <x:c r="P17" s="9" t="str">
        <x:v>Foundation #5</x:v>
      </x:c>
      <x:c r="Q17" s="9" t="str">
        <x:v>FOU-S-ISSUE5</x:v>
      </x:c>
      <x:c r="R17" s="20" t="str">
        <x:v>https://books.apple.com/fr/book/mass-effect-foundation-5/id1047063498</x:v>
      </x:c>
      <x:c r="S17" s="20" t="str">
        <x:v>Ne remplace pas la lecture du numéro.</x:v>
      </x:c>
    </x:row>
    <x:row r="18" ht="82" customHeight="1">
      <x:c r="A18" s="19" t="str">
        <x:v>FOU-SC-06-REF</x:v>
      </x:c>
      <x:c r="B18" s="7" t="str">
        <x:v>#6 — piège batarian</x:v>
      </x:c>
      <x:c r="C18" s="15" t="str">
        <x:v>Défini</x:v>
      </x:c>
      <x:c r="D18" s="17" t="str">
        <x:v>À vérifier</x:v>
      </x:c>
      <x:c r="E18" s="17" t="str">
        <x:v>P1</x:v>
      </x:c>
      <x:c r="F18" s="7" t="str">
        <x:v>Le numéro 6 confronte Miranda et Jacob à un chef de guerre batarian. </x:v>
      </x:c>
      <x:c r="G18" s="7" t="str">
        <x:v>Ancrage du module; les intitulés de quêtes et options ci-dessous sont des créations de production.</x:v>
      </x:c>
      <x:c r="H18" s="7" t="str"/>
      <x:c r="I18" s="7" t="str"/>
      <x:c r="J18" s="7" t="str"/>
      <x:c r="K18" s="7" t="str"/>
      <x:c r="L18" s="7" t="str">
        <x:v>Livrable proposé : spécification FOU/lore/sc-06-ref; brancher au registre de contenu de l'œuvre seulement après production.</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L’ancrage reste bref et son numéro/segment est identifiable dans les sources; les détails non confirmés portent À vérifier.</x:v>
      </x:c>
      <x:c r="O18" s="7" t="str"/>
      <x:c r="P18" s="7" t="str">
        <x:v>Foundation #6</x:v>
      </x:c>
      <x:c r="Q18" s="7" t="str">
        <x:v>FOU-S-ISSUE6</x:v>
      </x:c>
      <x:c r="R18" s="21" t="str">
        <x:v>https://masseffect.fandom.com/wiki/Mass_Effect%3A_Foundation_6</x:v>
      </x:c>
      <x:c r="S18" s="21" t="str">
        <x:v>Ne remplace pas la lecture du numéro.</x:v>
      </x:c>
    </x:row>
    <x:row r="19" ht="82" customHeight="1">
      <x:c r="A19" s="18" t="str">
        <x:v>FOU-SC-07-REF</x:v>
      </x:c>
      <x:c r="B19" s="9" t="str">
        <x:v>#7 — Sujet Zéro</x:v>
      </x:c>
      <x:c r="C19" s="15" t="str">
        <x:v>Défini</x:v>
      </x:c>
      <x:c r="D19" s="16" t="str">
        <x:v>À vérifier</x:v>
      </x:c>
      <x:c r="E19" s="16" t="str">
        <x:v>P1</x:v>
      </x:c>
      <x:c r="F19" s="9" t="str">
        <x:v>La sollicitation du numéro 7 décrit une opération visant Jack. </x:v>
      </x:c>
      <x:c r="G19" s="9" t="str">
        <x:v>Ancrage du module; les intitulés de quêtes et options ci-dessous sont des créations de production.</x:v>
      </x:c>
      <x:c r="H19" s="9" t="str"/>
      <x:c r="I19" s="9" t="str"/>
      <x:c r="J19" s="9" t="str"/>
      <x:c r="K19" s="9" t="str"/>
      <x:c r="L19" s="9" t="str">
        <x:v>Livrable proposé : spécification FOU/lore/sc-07-ref; brancher au registre de contenu de l'œuvre seulement après production.</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L’ancrage reste bref et son numéro/segment est identifiable dans les sources; les détails non confirmés portent À vérifier.</x:v>
      </x:c>
      <x:c r="O19" s="9" t="str"/>
      <x:c r="P19" s="9" t="str">
        <x:v>Foundation #7; sujet corroboré par le volume 2</x:v>
      </x:c>
      <x:c r="Q19" s="9" t="str">
        <x:v>FOU-S-ISSUE7</x:v>
      </x:c>
      <x:c r="R19" s="20" t="str">
        <x:v>https://comicpreviews.com/series/mass-effect-foundation-2013</x:v>
      </x:c>
      <x:c r="S19" s="20" t="str">
        <x:v>Ne remplace pas la lecture du numéro.</x:v>
      </x:c>
    </x:row>
    <x:row r="20" ht="82" customHeight="1">
      <x:c r="A20" s="19" t="str">
        <x:v>FOU-SC-08-REF</x:v>
      </x:c>
      <x:c r="B20" s="7" t="str">
        <x:v>#8 — rencontre avec Thane</x:v>
      </x:c>
      <x:c r="C20" s="15" t="str">
        <x:v>Défini</x:v>
      </x:c>
      <x:c r="D20" s="17" t="str">
        <x:v>À vérifier</x:v>
      </x:c>
      <x:c r="E20" s="17" t="str">
        <x:v>P1</x:v>
      </x:c>
      <x:c r="F20" s="7" t="str">
        <x:v>Le numéro 8 rapproche la mission de Rasa de Thane Krios. </x:v>
      </x:c>
      <x:c r="G20" s="7" t="str">
        <x:v>Ancrage du module; les intitulés de quêtes et options ci-dessous sont des créations de production.</x:v>
      </x:c>
      <x:c r="H20" s="7" t="str"/>
      <x:c r="I20" s="7" t="str"/>
      <x:c r="J20" s="7" t="str"/>
      <x:c r="K20" s="7" t="str"/>
      <x:c r="L20" s="7" t="str">
        <x:v>Livrable proposé : spécification FOU/lore/sc-08-ref; brancher au registre de contenu de l'œuvre seulement après production.</x:v>
      </x:c>
      <x:c r="M2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0" s="7" t="str">
        <x:v>L’ancrage reste bref et son numéro/segment est identifiable dans les sources; les détails non confirmés portent À vérifier.</x:v>
      </x:c>
      <x:c r="O20" s="7" t="str"/>
      <x:c r="P20" s="7" t="str">
        <x:v>Foundation #8</x:v>
      </x:c>
      <x:c r="Q20" s="7" t="str">
        <x:v>FOU-S-ISSUE8</x:v>
      </x:c>
      <x:c r="R20" s="21" t="str">
        <x:v>https://masseffect.fandom.com/wiki/Mass_Effect%3A_Foundation_8</x:v>
      </x:c>
      <x:c r="S20" s="21" t="str">
        <x:v>Ne remplace pas la lecture du numéro.</x:v>
      </x:c>
    </x:row>
    <x:row r="21" ht="82" customHeight="1">
      <x:c r="A21" s="18" t="str">
        <x:v>FOU-SC-09-REF</x:v>
      </x:c>
      <x:c r="B21" s="9" t="str">
        <x:v>#9 — dossier Mordin</x:v>
      </x:c>
      <x:c r="C21" s="15" t="str">
        <x:v>Défini</x:v>
      </x:c>
      <x:c r="D21" s="16" t="str">
        <x:v>À vérifier</x:v>
      </x:c>
      <x:c r="E21" s="16" t="str">
        <x:v>P1</x:v>
      </x:c>
      <x:c r="F21" s="9" t="str">
        <x:v>Le numéro 9 rapporte une opération de Mordin liée au génophage. </x:v>
      </x:c>
      <x:c r="G21" s="9" t="str">
        <x:v>Ancrage du module; les intitulés de quêtes et options ci-dessous sont des créations de production.</x:v>
      </x:c>
      <x:c r="H21" s="9" t="str"/>
      <x:c r="I21" s="9" t="str"/>
      <x:c r="J21" s="9" t="str"/>
      <x:c r="K21" s="9" t="str"/>
      <x:c r="L21" s="9" t="str">
        <x:v>Livrable proposé : spécification FOU/lore/sc-09-ref; brancher au registre de contenu de l'œuvre seulement après production.</x:v>
      </x:c>
      <x:c r="M2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1" s="9" t="str">
        <x:v>L’ancrage reste bref et son numéro/segment est identifiable dans les sources; les détails non confirmés portent À vérifier.</x:v>
      </x:c>
      <x:c r="O21" s="9" t="str"/>
      <x:c r="P21" s="9" t="str">
        <x:v>Foundation #9</x:v>
      </x:c>
      <x:c r="Q21" s="9" t="str">
        <x:v>FOU-S-ISSUE9</x:v>
      </x:c>
      <x:c r="R21" s="20" t="str">
        <x:v>https://masseffect.fandom.com/wiki/Mass_Effect%3A_Foundation_9</x:v>
      </x:c>
      <x:c r="S21" s="20" t="str">
        <x:v>Ne remplace pas la lecture du numéro.</x:v>
      </x:c>
    </x:row>
    <x:row r="22" ht="82" customHeight="1">
      <x:c r="A22" s="19" t="str">
        <x:v>FOU-SC-10-REF</x:v>
      </x:c>
      <x:c r="B22" s="7" t="str">
        <x:v>#10 — dossier Kasumi</x:v>
      </x:c>
      <x:c r="C22" s="15" t="str">
        <x:v>Défini</x:v>
      </x:c>
      <x:c r="D22" s="17" t="str">
        <x:v>À vérifier</x:v>
      </x:c>
      <x:c r="E22" s="17" t="str">
        <x:v>P1</x:v>
      </x:c>
      <x:c r="F22" s="7" t="str">
        <x:v>Le numéro 10 est consacré à Kasumi selon la sollicitation. </x:v>
      </x:c>
      <x:c r="G22" s="7" t="str">
        <x:v>Ancrage du module; les intitulés de quêtes et options ci-dessous sont des créations de production.</x:v>
      </x:c>
      <x:c r="H22" s="7" t="str"/>
      <x:c r="I22" s="7" t="str"/>
      <x:c r="J22" s="7" t="str"/>
      <x:c r="K22" s="7" t="str"/>
      <x:c r="L22" s="7" t="str">
        <x:v>Livrable proposé : spécification FOU/lore/sc-10-ref; brancher au registre de contenu de l'œuvre seulement après production.</x:v>
      </x:c>
      <x:c r="M2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2" s="7" t="str">
        <x:v>L’ancrage reste bref et son numéro/segment est identifiable dans les sources; les détails non confirmés portent À vérifier.</x:v>
      </x:c>
      <x:c r="O22" s="7" t="str"/>
      <x:c r="P22" s="7" t="str">
        <x:v>Foundation #10; sujet corroboré par le volume 3</x:v>
      </x:c>
      <x:c r="Q22" s="7" t="str">
        <x:v>FOU-S-ISSUE10</x:v>
      </x:c>
      <x:c r="R22" s="21" t="str">
        <x:v>https://www.g-mart.com/static/f129000.html</x:v>
      </x:c>
      <x:c r="S22" s="21" t="str">
        <x:v>Ne remplace pas la lecture du numéro.</x:v>
      </x:c>
    </x:row>
    <x:row r="23" ht="82" customHeight="1">
      <x:c r="A23" s="18" t="str">
        <x:v>FOU-SC-11-REF</x:v>
      </x:c>
      <x:c r="B23" s="9" t="str">
        <x:v>#11 — dossier Zaeed</x:v>
      </x:c>
      <x:c r="C23" s="15" t="str">
        <x:v>Défini</x:v>
      </x:c>
      <x:c r="D23" s="16" t="str">
        <x:v>À vérifier</x:v>
      </x:c>
      <x:c r="E23" s="16" t="str">
        <x:v>P1</x:v>
      </x:c>
      <x:c r="F23" s="9" t="str">
        <x:v>Le numéro 11 porte sur Zaeed; le volume 3 évoque une opération contre un vaisseau. </x:v>
      </x:c>
      <x:c r="G23" s="9" t="str">
        <x:v>Ancrage du module; les intitulés de quêtes et options ci-dessous sont des créations de production.</x:v>
      </x:c>
      <x:c r="H23" s="9" t="str"/>
      <x:c r="I23" s="9" t="str"/>
      <x:c r="J23" s="9" t="str"/>
      <x:c r="K23" s="9" t="str"/>
      <x:c r="L23" s="9" t="str">
        <x:v>Livrable proposé : spécification FOU/lore/sc-11-ref; brancher au registre de contenu de l'œuvre seulement après production.</x:v>
      </x:c>
      <x:c r="M2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3" s="9" t="str">
        <x:v>L’ancrage reste bref et son numéro/segment est identifiable dans les sources; les détails non confirmés portent À vérifier.</x:v>
      </x:c>
      <x:c r="O23" s="9" t="str"/>
      <x:c r="P23" s="9" t="str">
        <x:v>Foundation #11; recouper avec VOL3</x:v>
      </x:c>
      <x:c r="Q23" s="9" t="str">
        <x:v>FOU-S-ISSUE11</x:v>
      </x:c>
      <x:c r="R23" s="20" t="str">
        <x:v>https://comicpreviews.com/products/mass-effect-foundation-11</x:v>
      </x:c>
      <x:c r="S23" s="20" t="str">
        <x:v>Ne remplace pas la lecture du numéro.</x:v>
      </x:c>
    </x:row>
    <x:row r="24" ht="82" customHeight="1">
      <x:c r="A24" s="19" t="str">
        <x:v>FOU-SC-12-REF</x:v>
      </x:c>
      <x:c r="B24" s="7" t="str">
        <x:v>#12 — histoire de Thane</x:v>
      </x:c>
      <x:c r="C24" s="15" t="str">
        <x:v>Défini</x:v>
      </x:c>
      <x:c r="D24" s="17" t="str">
        <x:v>À vérifier</x:v>
      </x:c>
      <x:c r="E24" s="17" t="str">
        <x:v>P1</x:v>
      </x:c>
      <x:c r="F24" s="7" t="str">
        <x:v>Le numéro 12 explore le passé familial et la chute de Thane. </x:v>
      </x:c>
      <x:c r="G24" s="7" t="str">
        <x:v>Ancrage du module; les intitulés de quêtes et options ci-dessous sont des créations de production.</x:v>
      </x:c>
      <x:c r="H24" s="7" t="str"/>
      <x:c r="I24" s="7" t="str"/>
      <x:c r="J24" s="7" t="str"/>
      <x:c r="K24" s="7" t="str"/>
      <x:c r="L24" s="7" t="str">
        <x:v>Livrable proposé : spécification FOU/lore/sc-12-ref; brancher au registre de contenu de l'œuvre seulement après production.</x:v>
      </x:c>
      <x:c r="M2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4" s="7" t="str">
        <x:v>L’ancrage reste bref et son numéro/segment est identifiable dans les sources; les détails non confirmés portent À vérifier.</x:v>
      </x:c>
      <x:c r="O24" s="7" t="str"/>
      <x:c r="P24" s="7" t="str">
        <x:v>Foundation #12</x:v>
      </x:c>
      <x:c r="Q24" s="7" t="str">
        <x:v>FOU-S-ISSUE12</x:v>
      </x:c>
      <x:c r="R24" s="21" t="str">
        <x:v>https://masseffect.fandom.com/wiki/Mass_Effect%3A_Foundation_12</x:v>
      </x:c>
      <x:c r="S24" s="21" t="str">
        <x:v>Ne remplace pas la lecture du numéro.</x:v>
      </x:c>
    </x:row>
    <x:row r="25" ht="82" customHeight="1">
      <x:c r="A25" s="18" t="str">
        <x:v>FOU-SC-13-REF</x:v>
      </x:c>
      <x:c r="B25" s="9" t="str">
        <x:v>#13 — sortie de Rasa</x:v>
      </x:c>
      <x:c r="C25" s="15" t="str">
        <x:v>Défini</x:v>
      </x:c>
      <x:c r="D25" s="16" t="str">
        <x:v>À vérifier</x:v>
      </x:c>
      <x:c r="E25" s="16" t="str">
        <x:v>P1</x:v>
      </x:c>
      <x:c r="F25" s="9" t="str">
        <x:v>Le final rapporte le départ de Rasa avec un clone de Shepard depuis Lazarus. </x:v>
      </x:c>
      <x:c r="G25" s="9" t="str">
        <x:v>Ancrage du module; les intitulés de quêtes et options ci-dessous sont des créations de production.</x:v>
      </x:c>
      <x:c r="H25" s="9" t="str"/>
      <x:c r="I25" s="9" t="str"/>
      <x:c r="J25" s="9" t="str"/>
      <x:c r="K25" s="9" t="str"/>
      <x:c r="L25" s="9" t="str">
        <x:v>Livrable proposé : spécification FOU/lore/sc-13-ref; brancher au registre de contenu de l'œuvre seulement après production.</x:v>
      </x:c>
      <x:c r="M2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5" s="9" t="str">
        <x:v>L’ancrage reste bref et son numéro/segment est identifiable dans les sources; les détails non confirmés portent À vérifier.</x:v>
      </x:c>
      <x:c r="O25" s="9" t="str"/>
      <x:c r="P25" s="9" t="str">
        <x:v>Foundation #13</x:v>
      </x:c>
      <x:c r="Q25" s="9" t="str">
        <x:v>FOU-S-ISSUE13</x:v>
      </x:c>
      <x:c r="R25" s="20" t="str">
        <x:v>https://masseffect.fandom.com/wiki/Mass_Effect%3A_Foundation_13</x:v>
      </x:c>
      <x:c r="S25" s="20" t="str">
        <x:v>Ne remplace pas la lecture du numéro.</x:v>
      </x:c>
    </x:row>
  </x:sheetData>
  <x:conditionalFormatting sqref="D7:D25">
    <x:cfRule type="cellIs" dxfId="8" priority="1" operator="equal">
      <x:formula>"À vérifier"</x:formula>
    </x:cfRule>
    <x:cfRule type="cellIs" dxfId="9" priority="2" operator="equal">
      <x:formula>"Extrapolation"</x:formula>
    </x:cfRule>
  </x:conditionalFormatting>
  <x:conditionalFormatting sqref="C7:C25">
    <x:cfRule type="cellIs" dxfId="10" priority="3" operator="equal">
      <x:formula>"Validé"</x:formula>
    </x:cfRule>
  </x:conditionalFormatting>
  <x:conditionalFormatting sqref="E7:E25">
    <x:cfRule type="cellIs" dxfId="11" priority="4" operator="equal">
      <x:formula>"P0"</x:formula>
    </x:cfRule>
  </x:conditionalFormatting>
  <x:dataValidations count="3">
    <x:dataValidation type="list" sqref="C7:C25">
      <x:formula1>"Défini,Prototype,Intégré,Validé"</x:formula1>
    </x:dataValidation>
    <x:dataValidation type="list" sqref="D7:D25">
      <x:formula1>"Établi,À vérifier,Extrapolation,Coupé attesté,Concept abandonné,Allégation écartée"</x:formula1>
    </x:dataValidation>
    <x:dataValidation type="list" sqref="E7:E25">
      <x:formula1>"P0,P1,P2"</x:formula1>
    </x:dataValidation>
  </x:dataValidations>
  <x:pageMargins left="0.7" right="0.7" top="0.75" bottom="0.75" header="0.3" footer="0.3"/>
  <x:tableParts count="1">
    <x:tablePart xmlns:r="http://schemas.openxmlformats.org/officeDocument/2006/relationships" r:id="R49665a88573b418b"/>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2" hidden="0" customWidth="1"/>
    <x:col min="19" max="19" width="94"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Foundation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FOU-WRL-THEMIS</x:v>
      </x:c>
      <x:c r="B7" s="9" t="str">
        <x:v>Themis</x:v>
      </x:c>
      <x:c r="C7" s="15" t="str">
        <x:v>Défini</x:v>
      </x:c>
      <x:c r="D7" s="16" t="str">
        <x:v>À vérifier</x:v>
      </x:c>
      <x:c r="E7" s="16" t="str">
        <x:v>P1</x:v>
      </x:c>
      <x:c r="F7" s="9" t="str">
        <x:v>Le premier numéro situe une partie du passé de l’agente sur Themis.</x:v>
      </x:c>
      <x:c r="G7" s="9" t="str">
        <x:v>Origine dans une colonie minière violente, présentée sans quête d’exploitation répétitive.</x:v>
      </x:c>
      <x:c r="H7" s="9" t="str"/>
      <x:c r="I7" s="9" t="str">
        <x:v>Poussière, métal usé et lumière de sécurité stable.</x:v>
      </x:c>
      <x:c r="J7" s="9" t="str"/>
      <x:c r="K7" s="9" t="str"/>
      <x:c r="L7" s="9" t="str">
        <x:v>Livrable proposé : spécification FOU/worlds/wrl-themis; brancher au registre de contenu de l'œuvre seulement après production.</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 nom Themis et sa fonction sont sourcés; les dimensions, chemins et interactions restent explicitement proposés.</x:v>
      </x:c>
      <x:c r="O7" s="9" t="str"/>
      <x:c r="P7" s="9" t="str">
        <x:v>Foundation #1</x:v>
      </x:c>
      <x:c r="Q7" s="9" t="str">
        <x:v>FOU-S-ISSUE1</x:v>
      </x:c>
      <x:c r="R7" s="20" t="str">
        <x:v>https://masseffect.fandom.com/wiki/Mass_Effect%3A_Foundation_1</x:v>
      </x:c>
      <x:c r="S7" s="20" t="str">
        <x:v>La géométrie jouable ci-dessous est originale et ne prétend pas reconstituer une carte officielle.</x:v>
      </x:c>
    </x:row>
    <x:row r="8" ht="82" customHeight="1">
      <x:c r="A8" s="19" t="str">
        <x:v>FOU-WRL-CITADEL</x:v>
      </x:c>
      <x:c r="B8" s="7" t="str">
        <x:v>Citadelle — dossiers du premier volume</x:v>
      </x:c>
      <x:c r="C8" s="15" t="str">
        <x:v>Défini</x:v>
      </x:c>
      <x:c r="D8" s="17" t="str">
        <x:v>Établi</x:v>
      </x:c>
      <x:c r="E8" s="17" t="str">
        <x:v>P1</x:v>
      </x:c>
      <x:c r="F8" s="7" t="str">
        <x:v>Rasa enquête sur l’entourage de Shepard; le premier volume retourne à la Citadelle.</x:v>
      </x:c>
      <x:c r="G8" s="7" t="str">
        <x:v>Cadre social pour couverture et entretien.</x:v>
      </x:c>
      <x:c r="H8" s="7" t="str"/>
      <x:c r="I8" s="7" t="str">
        <x:v>Surfaces claires, zones de confidentialité et circulation lisible.</x:v>
      </x:c>
      <x:c r="J8" s="7" t="str"/>
      <x:c r="K8" s="7" t="str"/>
      <x:c r="L8" s="7" t="str">
        <x:v>Livrable proposé : spécification FOU/worlds/wrl-citadel; brancher au registre de contenu de l'œuvre seulement après production.</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 nom Citadelle — dossiers du premier volume et sa fonction sont sourcés; les dimensions, chemins et interactions restent explicitement proposés.</x:v>
      </x:c>
      <x:c r="O8" s="7" t="str"/>
      <x:c r="P8" s="7" t="str">
        <x:v>Foundation #1–4</x:v>
      </x:c>
      <x:c r="Q8" s="7" t="str">
        <x:v>FOU-S-VOL1</x:v>
      </x:c>
      <x:c r="R8" s="21" t="str">
        <x:v>https://www.penguinrandomhouse.com/books/246024/mass-effect-foundation-volume-1-by-mac-walters-various-artists/</x:v>
      </x:c>
      <x:c r="S8" s="21" t="str">
        <x:v>La géométrie jouable ci-dessous est originale et ne prétend pas reconstituer une carte officielle.</x:v>
      </x:c>
    </x:row>
    <x:row r="9" ht="82" customHeight="1">
      <x:c r="A9" s="18" t="str">
        <x:v>FOU-WRL-EDEN</x:v>
      </x:c>
      <x:c r="B9" s="9" t="str">
        <x:v>Eden Prime — récit d’Ashley</x:v>
      </x:c>
      <x:c r="C9" s="15" t="str">
        <x:v>Défini</x:v>
      </x:c>
      <x:c r="D9" s="16" t="str">
        <x:v>À vérifier</x:v>
      </x:c>
      <x:c r="E9" s="16" t="str">
        <x:v>P1</x:v>
      </x:c>
      <x:c r="F9" s="9" t="str">
        <x:v>Le dossier d’Ashley rapporte l’attaque d’Eden Prime.</x:v>
      </x:c>
      <x:c r="G9" s="9" t="str">
        <x:v>Point de vue de section, distinct de la mission de Shepard.</x:v>
      </x:c>
      <x:c r="H9" s="9" t="str"/>
      <x:c r="I9" s="9" t="str">
        <x:v>Végétation et métal agricole, fumée limitée à la lisibilité.</x:v>
      </x:c>
      <x:c r="J9" s="9" t="str"/>
      <x:c r="K9" s="9" t="str"/>
      <x:c r="L9" s="9" t="str">
        <x:v>Livrable proposé : spécification FOU/worlds/wrl-eden; brancher au registre de contenu de l'œuvre seulement après production.</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 nom Eden Prime — récit d’Ashley et sa fonction sont sourcés; les dimensions, chemins et interactions restent explicitement proposés.</x:v>
      </x:c>
      <x:c r="O9" s="9" t="str"/>
      <x:c r="P9" s="9" t="str">
        <x:v>Foundation #3</x:v>
      </x:c>
      <x:c r="Q9" s="9" t="str">
        <x:v>FOU-S-STORY</x:v>
      </x:c>
      <x:c r="R9" s="20" t="str">
        <x:v>https://masseffect.fandom.com/wiki/Storyline</x:v>
      </x:c>
      <x:c r="S9" s="20" t="str">
        <x:v>La géométrie jouable ci-dessous est originale et ne prétend pas reconstituer une carte officielle.</x:v>
      </x:c>
    </x:row>
    <x:row r="10" ht="82" customHeight="1">
      <x:c r="A10" s="19" t="str">
        <x:v>FOU-WRL-GAGARIN</x:v>
      </x:c>
      <x:c r="B10" s="7" t="str">
        <x:v>Gagarin / Jump Zero</x:v>
      </x:c>
      <x:c r="C10" s="15" t="str">
        <x:v>Défini</x:v>
      </x:c>
      <x:c r="D10" s="17" t="str">
        <x:v>À vérifier</x:v>
      </x:c>
      <x:c r="E10" s="17" t="str">
        <x:v>P1</x:v>
      </x:c>
      <x:c r="F10" s="7" t="str">
        <x:v>Kaidan suit une formation biotique sur Gagarin dans #4.</x:v>
      </x:c>
      <x:c r="G10" s="7" t="str">
        <x:v>Épisode d’apprentissage et d’autorité abusive.</x:v>
      </x:c>
      <x:c r="H10" s="7" t="str"/>
      <x:c r="I10" s="7" t="str">
        <x:v>Intérieur fonctionnel, lumière froide et couleurs de cadets à contrôler.</x:v>
      </x:c>
      <x:c r="J10" s="7" t="str"/>
      <x:c r="K10" s="7" t="str"/>
      <x:c r="L10" s="7" t="str">
        <x:v>Livrable proposé : spécification FOU/worlds/wrl-gagarin; brancher au registre de contenu de l'œuvre seulement après production.</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 nom Gagarin / Jump Zero et sa fonction sont sourcés; les dimensions, chemins et interactions restent explicitement proposés.</x:v>
      </x:c>
      <x:c r="O10" s="7" t="str"/>
      <x:c r="P10" s="7" t="str">
        <x:v>Foundation #4</x:v>
      </x:c>
      <x:c r="Q10" s="7" t="str">
        <x:v>FOU-S-ISSUE4</x:v>
      </x:c>
      <x:c r="R10" s="21" t="str">
        <x:v>https://masseffect.fandom.com/wiki/Mass_Effect%3A_Foundation_4</x:v>
      </x:c>
      <x:c r="S10" s="21" t="str">
        <x:v>La géométrie jouable ci-dessous est originale et ne prétend pas reconstituer une carte officielle.</x:v>
      </x:c>
    </x:row>
    <x:row r="11" ht="82" customHeight="1">
      <x:c r="A11" s="18" t="str">
        <x:v>FOU-WRL-TERMINUS</x:v>
      </x:c>
      <x:c r="B11" s="9" t="str">
        <x:v>Systèmes Terminus — recherche du duo</x:v>
      </x:c>
      <x:c r="C11" s="15" t="str">
        <x:v>Défini</x:v>
      </x:c>
      <x:c r="D11" s="16" t="str">
        <x:v>Établi</x:v>
      </x:c>
      <x:c r="E11" s="16" t="str">
        <x:v>P1</x:v>
      </x:c>
      <x:c r="F11" s="9" t="str">
        <x:v>Miranda et Jacob cherchent Shepard dans les systèmes Terminus.</x:v>
      </x:c>
      <x:c r="G11" s="9" t="str">
        <x:v>Définir un terrain d’enquête limité sans nommer une planète non vérifiée.</x:v>
      </x:c>
      <x:c r="H11" s="9" t="str"/>
      <x:c r="I11" s="9" t="str">
        <x:v>Matériaux usés, éclairage de service et horizon indéterminé.</x:v>
      </x:c>
      <x:c r="J11" s="9" t="str"/>
      <x:c r="K11" s="9" t="str"/>
      <x:c r="L11" s="9" t="str">
        <x:v>Livrable proposé : spécification FOU/worlds/wrl-terminus; brancher au registre de contenu de l'œuvre seulement après production.</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 nom Systèmes Terminus — recherche du duo et sa fonction sont sourcés; les dimensions, chemins et interactions restent explicitement proposés.</x:v>
      </x:c>
      <x:c r="O11" s="9" t="str"/>
      <x:c r="P11" s="9" t="str">
        <x:v>Foundation #5–6</x:v>
      </x:c>
      <x:c r="Q11" s="9" t="str">
        <x:v>FOU-S-VOL2</x:v>
      </x:c>
      <x:c r="R11" s="20" t="str">
        <x:v>https://www.penguinrandomhouse.com/books/240011/mass-effect-foundation-volume-2-by-mac-walters/</x:v>
      </x:c>
      <x:c r="S11" s="20" t="str">
        <x:v>Les noms précis de lieux secondaires ne sont pas inventés; relever ceux de l’édition avant décor final.</x:v>
      </x:c>
    </x:row>
    <x:row r="12" ht="82" customHeight="1">
      <x:c r="A12" s="19" t="str">
        <x:v>FOU-WRL-TUCHANKA</x:v>
      </x:c>
      <x:c r="B12" s="7" t="str">
        <x:v>Tuchanka — dossier Mordin</x:v>
      </x:c>
      <x:c r="C12" s="15" t="str">
        <x:v>Défini</x:v>
      </x:c>
      <x:c r="D12" s="17" t="str">
        <x:v>À vérifier</x:v>
      </x:c>
      <x:c r="E12" s="17" t="str">
        <x:v>P1</x:v>
      </x:c>
      <x:c r="F12" s="7" t="str">
        <x:v>Le numéro 9 rapporte une opération de Mordin sur Tuchanka.</x:v>
      </x:c>
      <x:c r="G12" s="7" t="str">
        <x:v>Mettre en scène un terrain et un dilemme sans transformer une catastrophe en score positif.</x:v>
      </x:c>
      <x:c r="H12" s="7" t="str"/>
      <x:c r="I12" s="7" t="str">
        <x:v>Minéral ocre, ruines lourdes et éclairage poussiéreux.</x:v>
      </x:c>
      <x:c r="J12" s="7" t="str"/>
      <x:c r="K12" s="7" t="str"/>
      <x:c r="L12" s="7" t="str">
        <x:v>Livrable proposé : spécification FOU/worlds/wrl-tuchanka; brancher au registre de contenu de l'œuvre seulement après production.</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 nom Tuchanka — dossier Mordin et sa fonction sont sourcés; les dimensions, chemins et interactions restent explicitement proposés.</x:v>
      </x:c>
      <x:c r="O12" s="7" t="str"/>
      <x:c r="P12" s="7" t="str">
        <x:v>Foundation #9</x:v>
      </x:c>
      <x:c r="Q12" s="7" t="str">
        <x:v>FOU-S-ISSUE9</x:v>
      </x:c>
      <x:c r="R12" s="21" t="str">
        <x:v>https://masseffect.fandom.com/wiki/Mass_Effect%3A_Foundation_9</x:v>
      </x:c>
      <x:c r="S12" s="21" t="str">
        <x:v>La géométrie jouable ci-dessous est originale et ne prétend pas reconstituer une carte officielle.</x:v>
      </x:c>
    </x:row>
    <x:row r="13" ht="82" customHeight="1">
      <x:c r="A13" s="18" t="str">
        <x:v>FOU-WRL-LAZARUS</x:v>
      </x:c>
      <x:c r="B13" s="9" t="str">
        <x:v>Station de recherche Lazarus</x:v>
      </x:c>
      <x:c r="C13" s="15" t="str">
        <x:v>Défini</x:v>
      </x:c>
      <x:c r="D13" s="16" t="str">
        <x:v>À vérifier</x:v>
      </x:c>
      <x:c r="E13" s="16" t="str">
        <x:v>P1</x:v>
      </x:c>
      <x:c r="F13" s="9" t="str">
        <x:v>Le final situe l’action de Rasa dans la station Lazarus.</x:v>
      </x:c>
      <x:c r="G13" s="9" t="str">
        <x:v>Fuite, changement d’allégeance des systèmes et sortie vers le vide.</x:v>
      </x:c>
      <x:c r="H13" s="9" t="str"/>
      <x:c r="I13" s="9" t="str">
        <x:v>Blanc de laboratoire, métal froid et contraste noir de l’espace.</x:v>
      </x:c>
      <x:c r="J13" s="9" t="str"/>
      <x:c r="K13" s="9" t="str"/>
      <x:c r="L13" s="9" t="str">
        <x:v>Livrable proposé : spécification FOU/worlds/wrl-lazarus; brancher au registre de contenu de l'œuvre seulement après production.</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 nom Station de recherche Lazarus et sa fonction sont sourcés; les dimensions, chemins et interactions restent explicitement proposés.</x:v>
      </x:c>
      <x:c r="O13" s="9" t="str"/>
      <x:c r="P13" s="9" t="str">
        <x:v>Foundation #13</x:v>
      </x:c>
      <x:c r="Q13" s="9" t="str">
        <x:v>FOU-S-ISSUE13</x:v>
      </x:c>
      <x:c r="R13" s="20" t="str">
        <x:v>https://masseffect.fandom.com/wiki/Mass_Effect%3A_Foundation_13</x:v>
      </x:c>
      <x:c r="S13" s="20" t="str">
        <x:v>La géométrie jouable ci-dessous est originale et ne prétend pas reconstituer une carte officielle.</x:v>
      </x:c>
    </x:row>
  </x:sheetData>
  <x:conditionalFormatting sqref="D7:D13">
    <x:cfRule type="cellIs" dxfId="12" priority="1" operator="equal">
      <x:formula>"À vérifier"</x:formula>
    </x:cfRule>
    <x:cfRule type="cellIs" dxfId="13" priority="2" operator="equal">
      <x:formula>"Extrapolation"</x:formula>
    </x:cfRule>
  </x:conditionalFormatting>
  <x:conditionalFormatting sqref="C7:C13">
    <x:cfRule type="cellIs" dxfId="14" priority="3" operator="equal">
      <x:formula>"Validé"</x:formula>
    </x:cfRule>
  </x:conditionalFormatting>
  <x:conditionalFormatting sqref="E7:E13">
    <x:cfRule type="cellIs" dxfId="15"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ef7978a59dd1434e"/>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Foundation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FOU-ZONE-THEMIS</x:v>
      </x:c>
      <x:c r="B7" s="9" t="str">
        <x:v>Themis — espace jouable proposé</x:v>
      </x:c>
      <x:c r="C7" s="15" t="str">
        <x:v>Défini</x:v>
      </x:c>
      <x:c r="D7" s="16" t="str">
        <x:v>Extrapolation</x:v>
      </x:c>
      <x:c r="E7" s="16" t="str">
        <x:v>P1</x:v>
      </x:c>
      <x:c r="F7" s="9" t="str">
        <x:v>Passage de travail, aire de service et sortie reliés par un itinéraire court.</x:v>
      </x:c>
      <x:c r="G7" s="9" t="str">
        <x:v>Origine dans une colonie minière violente, présentée sans quête d’exploitation répétitive.</x:v>
      </x:c>
      <x:c r="H7" s="9" t="str">
        <x:v>Les obstacles d’un enfant se résolvent par observation et déplacement, pas par arsenal adulte.</x:v>
      </x:c>
      <x:c r="I7" s="9" t="str">
        <x:v>Poussière, métal usé et lumière de sécurité stable.</x:v>
      </x:c>
      <x:c r="J7" s="9" t="str">
        <x:v>Garder les trajectoires de sprites sur le sol navigable; traversées de premier plan traitées par masques.</x:v>
      </x:c>
      <x:c r="K7" s="9" t="str"/>
      <x:c r="L7" s="9" t="str">
        <x:v>Scène 3D prévue fou/zones/themis; volumes de navigation, ancrages d'actions et caméras fixes séparés.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 blocage de Themis permet un parcours aller-retour sans caméra aveugle; chaque danger annoncé possède une sortie lisible.</x:v>
      </x:c>
      <x:c r="O7" s="9" t="str">
        <x:v>FOU-WRL-THEMIS</x:v>
      </x:c>
      <x:c r="P7" s="9" t="str">
        <x:v>Plan original, dimensions à prototyper.</x:v>
      </x:c>
      <x:c r="Q7" s="9" t="str"/>
      <x:c r="R7" s="20" t="str"/>
      <x:c r="S7" s="20" t="str"/>
    </x:row>
    <x:row r="8" ht="82" customHeight="1">
      <x:c r="A8" s="19" t="str">
        <x:v>FOU-ZONE-CITADEL</x:v>
      </x:c>
      <x:c r="B8" s="7" t="str">
        <x:v>Citadelle — dossiers du premier volume — espace jouable proposé</x:v>
      </x:c>
      <x:c r="C8" s="15" t="str">
        <x:v>Défini</x:v>
      </x:c>
      <x:c r="D8" s="17" t="str">
        <x:v>Extrapolation</x:v>
      </x:c>
      <x:c r="E8" s="17" t="str">
        <x:v>P1</x:v>
      </x:c>
      <x:c r="F8" s="7" t="str">
        <x:v>Deux espaces distincts proposés : accès résidentiel #2 et salle d’entretien #3.</x:v>
      </x:c>
      <x:c r="G8" s="7" t="str">
        <x:v>Cadre social pour couverture et entretien.</x:v>
      </x:c>
      <x:c r="H8" s="7" t="str">
        <x:v>Accès social et confidentialité; les agents civils ne sont pas des cibles de combat par défaut.</x:v>
      </x:c>
      <x:c r="I8" s="7" t="str">
        <x:v>Surfaces claires, zones de confidentialité et circulation lisible.</x:v>
      </x:c>
      <x:c r="J8" s="7" t="str">
        <x:v>Garder les trajectoires de sprites sur le sol navigable; traversées de premier plan traitées par masques.</x:v>
      </x:c>
      <x:c r="K8" s="7" t="str"/>
      <x:c r="L8" s="7" t="str">
        <x:v>Scène 3D prévue fou/zones/citadel; volumes de navigation, ancrages d'actions et caméras fixes séparés.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 blocage de Citadelle — dossiers du premier volume permet un parcours aller-retour sans caméra aveugle; chaque danger annoncé possède une sortie lisible.</x:v>
      </x:c>
      <x:c r="O8" s="7" t="str">
        <x:v>FOU-WRL-CITADEL</x:v>
      </x:c>
      <x:c r="P8" s="7" t="str">
        <x:v>Plan original, dimensions à prototyper.</x:v>
      </x:c>
      <x:c r="Q8" s="7" t="str"/>
      <x:c r="R8" s="21" t="str"/>
      <x:c r="S8" s="21" t="str"/>
    </x:row>
    <x:row r="9" ht="82" customHeight="1">
      <x:c r="A9" s="18" t="str">
        <x:v>FOU-ZONE-EDEN</x:v>
      </x:c>
      <x:c r="B9" s="9" t="str">
        <x:v>Eden Prime — récit d’Ashley — espace jouable proposé</x:v>
      </x:c>
      <x:c r="C9" s="15" t="str">
        <x:v>Défini</x:v>
      </x:c>
      <x:c r="D9" s="16" t="str">
        <x:v>Extrapolation</x:v>
      </x:c>
      <x:c r="E9" s="16" t="str">
        <x:v>P1</x:v>
      </x:c>
      <x:c r="F9" s="9" t="str">
        <x:v>Approche de terrain, couvert d’urgence et zone de regroupement abstraite.</x:v>
      </x:c>
      <x:c r="G9" s="9" t="str">
        <x:v>Point de vue de section, distinct de la mission de Shepard.</x:v>
      </x:c>
      <x:c r="H9" s="9" t="str">
        <x:v>Les soldats anonymes de simulation ne changent pas le bilan canon de la section.</x:v>
      </x:c>
      <x:c r="I9" s="9" t="str">
        <x:v>Végétation et métal agricole, fumée limitée à la lisibilité.</x:v>
      </x:c>
      <x:c r="J9" s="9" t="str">
        <x:v>Garder les trajectoires de sprites sur le sol navigable; traversées de premier plan traitées par masques.</x:v>
      </x:c>
      <x:c r="K9" s="9" t="str"/>
      <x:c r="L9" s="9" t="str">
        <x:v>Scène 3D prévue fou/zones/eden; volumes de navigation, ancrages d'actions et caméras fixes séparés.</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 blocage de Eden Prime — récit d’Ashley permet un parcours aller-retour sans caméra aveugle; chaque danger annoncé possède une sortie lisible.</x:v>
      </x:c>
      <x:c r="O9" s="9" t="str">
        <x:v>FOU-WRL-EDEN</x:v>
      </x:c>
      <x:c r="P9" s="9" t="str">
        <x:v>Plan original, dimensions à prototyper.</x:v>
      </x:c>
      <x:c r="Q9" s="9" t="str"/>
      <x:c r="R9" s="20" t="str"/>
      <x:c r="S9" s="20" t="str"/>
    </x:row>
    <x:row r="10" ht="82" customHeight="1">
      <x:c r="A10" s="19" t="str">
        <x:v>FOU-ZONE-GAGARIN</x:v>
      </x:c>
      <x:c r="B10" s="7" t="str">
        <x:v>Gagarin / Jump Zero — espace jouable proposé</x:v>
      </x:c>
      <x:c r="C10" s="15" t="str">
        <x:v>Défini</x:v>
      </x:c>
      <x:c r="D10" s="17" t="str">
        <x:v>Extrapolation</x:v>
      </x:c>
      <x:c r="E10" s="17" t="str">
        <x:v>P1</x:v>
      </x:c>
      <x:c r="F10" s="7" t="str">
        <x:v>Salle de formation, mess et espace d’échange reliés par ellipses.</x:v>
      </x:c>
      <x:c r="G10" s="7" t="str">
        <x:v>Épisode d’apprentissage et d’autorité abusive.</x:v>
      </x:c>
      <x:c r="H10" s="7" t="str">
        <x:v>Les exercices restent accessibles sans précision motrice exigeante; narration distincte d’un score.</x:v>
      </x:c>
      <x:c r="I10" s="7" t="str">
        <x:v>Intérieur fonctionnel, lumière froide et couleurs de cadets à contrôler.</x:v>
      </x:c>
      <x:c r="J10" s="7" t="str">
        <x:v>Garder les trajectoires de sprites sur le sol navigable; traversées de premier plan traitées par masques.</x:v>
      </x:c>
      <x:c r="K10" s="7" t="str"/>
      <x:c r="L10" s="7" t="str">
        <x:v>Scène 3D prévue fou/zones/gagarin; volumes de navigation, ancrages d'actions et caméras fixes séparés.</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 blocage de Gagarin / Jump Zero permet un parcours aller-retour sans caméra aveugle; chaque danger annoncé possède une sortie lisible.</x:v>
      </x:c>
      <x:c r="O10" s="7" t="str">
        <x:v>FOU-WRL-GAGARIN</x:v>
      </x:c>
      <x:c r="P10" s="7" t="str">
        <x:v>Plan original, dimensions à prototyper.</x:v>
      </x:c>
      <x:c r="Q10" s="7" t="str"/>
      <x:c r="R10" s="21" t="str"/>
      <x:c r="S10" s="21" t="str"/>
    </x:row>
    <x:row r="11" ht="82" customHeight="1">
      <x:c r="A11" s="18" t="str">
        <x:v>FOU-ZONE-TERMINUS</x:v>
      </x:c>
      <x:c r="B11" s="9" t="str">
        <x:v>Systèmes Terminus — recherche du duo — espace jouable proposé</x:v>
      </x:c>
      <x:c r="C11" s="15" t="str">
        <x:v>Défini</x:v>
      </x:c>
      <x:c r="D11" s="16" t="str">
        <x:v>Extrapolation</x:v>
      </x:c>
      <x:c r="E11" s="16" t="str">
        <x:v>P1</x:v>
      </x:c>
      <x:c r="F11" s="9" t="str">
        <x:v>Zone de transit et bâtiment d’indice génériques à choisir après lecture de #5–6.</x:v>
      </x:c>
      <x:c r="G11" s="9" t="str">
        <x:v>Définir un terrain d’enquête limité sans nommer une planète non vérifiée.</x:v>
      </x:c>
      <x:c r="H11" s="9" t="str">
        <x:v>Enquête puis sortie sous pression; refus d’une collecte de corps comme boucle de loot.</x:v>
      </x:c>
      <x:c r="I11" s="9" t="str">
        <x:v>Matériaux usés, éclairage de service et horizon indéterminé.</x:v>
      </x:c>
      <x:c r="J11" s="9" t="str">
        <x:v>Garder les trajectoires de sprites sur le sol navigable; traversées de premier plan traitées par masques.</x:v>
      </x:c>
      <x:c r="K11" s="9" t="str"/>
      <x:c r="L11" s="9" t="str">
        <x:v>Scène 3D prévue fou/zones/terminus; volumes de navigation, ancrages d'actions et caméras fixes séparés.</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 blocage de Systèmes Terminus — recherche du duo permet un parcours aller-retour sans caméra aveugle; chaque danger annoncé possède une sortie lisible.</x:v>
      </x:c>
      <x:c r="O11" s="9" t="str">
        <x:v>FOU-WRL-TERMINUS</x:v>
      </x:c>
      <x:c r="P11" s="9" t="str">
        <x:v>Plan original, dimensions à prototyper.</x:v>
      </x:c>
      <x:c r="Q11" s="9" t="str"/>
      <x:c r="R11" s="20" t="str"/>
      <x:c r="S11" s="20" t="str"/>
    </x:row>
    <x:row r="12" ht="82" customHeight="1">
      <x:c r="A12" s="19" t="str">
        <x:v>FOU-ZONE-TUCHANKA</x:v>
      </x:c>
      <x:c r="B12" s="7" t="str">
        <x:v>Tuchanka — dossier Mordin — espace jouable proposé</x:v>
      </x:c>
      <x:c r="C12" s="15" t="str">
        <x:v>Défini</x:v>
      </x:c>
      <x:c r="D12" s="17" t="str">
        <x:v>Extrapolation</x:v>
      </x:c>
      <x:c r="E12" s="17" t="str">
        <x:v>P1</x:v>
      </x:c>
      <x:c r="F12" s="7" t="str">
        <x:v>Ruines, passage enterré et point d’opération à géométrie originale réduite.</x:v>
      </x:c>
      <x:c r="G12" s="7" t="str">
        <x:v>Mettre en scène un terrain et un dilemme sans transformer une catastrophe en score positif.</x:v>
      </x:c>
      <x:c r="H12" s="7" t="str">
        <x:v>Le succès tactique ne reçoit pas une médaille approuvant le génophage.</x:v>
      </x:c>
      <x:c r="I12" s="7" t="str">
        <x:v>Minéral ocre, ruines lourdes et éclairage poussiéreux.</x:v>
      </x:c>
      <x:c r="J12" s="7" t="str">
        <x:v>Garder les trajectoires de sprites sur le sol navigable; traversées de premier plan traitées par masques.</x:v>
      </x:c>
      <x:c r="K12" s="7" t="str"/>
      <x:c r="L12" s="7" t="str">
        <x:v>Scène 3D prévue fou/zones/tuchanka; volumes de navigation, ancrages d'actions et caméras fixes séparés.</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 blocage de Tuchanka — dossier Mordin permet un parcours aller-retour sans caméra aveugle; chaque danger annoncé possède une sortie lisible.</x:v>
      </x:c>
      <x:c r="O12" s="7" t="str">
        <x:v>FOU-WRL-TUCHANKA</x:v>
      </x:c>
      <x:c r="P12" s="7" t="str">
        <x:v>Plan original, dimensions à prototyper.</x:v>
      </x:c>
      <x:c r="Q12" s="7" t="str"/>
      <x:c r="R12" s="21" t="str"/>
      <x:c r="S12" s="21" t="str"/>
    </x:row>
    <x:row r="13" ht="82" customHeight="1">
      <x:c r="A13" s="18" t="str">
        <x:v>FOU-ZONE-LAZARUS</x:v>
      </x:c>
      <x:c r="B13" s="9" t="str">
        <x:v>Station de recherche Lazarus — espace jouable proposé</x:v>
      </x:c>
      <x:c r="C13" s="15" t="str">
        <x:v>Défini</x:v>
      </x:c>
      <x:c r="D13" s="16" t="str">
        <x:v>Extrapolation</x:v>
      </x:c>
      <x:c r="E13" s="16" t="str">
        <x:v>P1</x:v>
      </x:c>
      <x:c r="F13" s="9" t="str">
        <x:v>Laboratoire, corridor, sas et coque extérieure en séquences courtes.</x:v>
      </x:c>
      <x:c r="G13" s="9" t="str">
        <x:v>Fuite, changement d’allégeance des systèmes et sortie vers le vide.</x:v>
      </x:c>
      <x:c r="H13" s="9" t="str">
        <x:v>Objet de mission attaché à la progression; pas de simulation de suffocation réaliste non demandée.</x:v>
      </x:c>
      <x:c r="I13" s="9" t="str">
        <x:v>Blanc de laboratoire, métal froid et contraste noir de l’espace.</x:v>
      </x:c>
      <x:c r="J13" s="9" t="str">
        <x:v>Garder les trajectoires de sprites sur le sol navigable; traversées de premier plan traitées par masques.</x:v>
      </x:c>
      <x:c r="K13" s="9" t="str"/>
      <x:c r="L13" s="9" t="str">
        <x:v>Scène 3D prévue fou/zones/lazarus; volumes de navigation, ancrages d'actions et caméras fixes séparés.</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 blocage de Station de recherche Lazarus permet un parcours aller-retour sans caméra aveugle; chaque danger annoncé possède une sortie lisible.</x:v>
      </x:c>
      <x:c r="O13" s="9" t="str">
        <x:v>FOU-WRL-LAZARUS</x:v>
      </x:c>
      <x:c r="P13" s="9" t="str">
        <x:v>Plan original, dimensions à prototyper.</x:v>
      </x:c>
      <x:c r="Q13" s="9" t="str"/>
      <x:c r="R13" s="20" t="str"/>
      <x:c r="S13" s="20" t="str"/>
    </x:row>
  </x:sheetData>
  <x:conditionalFormatting sqref="D7:D13">
    <x:cfRule type="cellIs" dxfId="16" priority="1" operator="equal">
      <x:formula>"À vérifier"</x:formula>
    </x:cfRule>
    <x:cfRule type="cellIs" dxfId="17" priority="2" operator="equal">
      <x:formula>"Extrapolation"</x:formula>
    </x:cfRule>
  </x:conditionalFormatting>
  <x:conditionalFormatting sqref="C7:C13">
    <x:cfRule type="cellIs" dxfId="18" priority="3" operator="equal">
      <x:formula>"Validé"</x:formula>
    </x:cfRule>
  </x:conditionalFormatting>
  <x:conditionalFormatting sqref="E7:E13">
    <x:cfRule type="cellIs" dxfId="19"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5e3cd56e364d42df"/>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Foundation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FOU-LINK-THEMIS</x:v>
      </x:c>
      <x:c r="B7" s="9" t="str">
        <x:v>Themis — accès et sortie</x:v>
      </x:c>
      <x:c r="C7" s="15" t="str">
        <x:v>Défini</x:v>
      </x:c>
      <x:c r="D7" s="16" t="str">
        <x:v>Extrapolation</x:v>
      </x:c>
      <x:c r="E7" s="16" t="str">
        <x:v>P1</x:v>
      </x:c>
      <x:c r="F7" s="9" t="str">
        <x:v>Entrée de souvenir puis sortie du chapitre; pas de hub marchand permanent.</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FOU/THEMIS; sauvegarder zone, point d'entrée et version de chapitre.</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Entrer, ressortir et recharger au seuil restitue le même état du chapitre; aucun accès ne court-circuite sa conclusion fixée.</x:v>
      </x:c>
      <x:c r="O7" s="9" t="str">
        <x:v>FOU-ZONE-THEMIS</x:v>
      </x:c>
      <x:c r="P7" s="9" t="str">
        <x:v>Raccord de gameplay original; ordre narratif selon les ancrages sourcés.</x:v>
      </x:c>
      <x:c r="Q7" s="9" t="str"/>
      <x:c r="R7" s="20" t="str"/>
      <x:c r="S7" s="20" t="str"/>
    </x:row>
    <x:row r="8" ht="82" customHeight="1">
      <x:c r="A8" s="19" t="str">
        <x:v>FOU-LINK-CITADEL</x:v>
      </x:c>
      <x:c r="B8" s="7" t="str">
        <x:v>Citadelle — dossiers du premier volume — accès et sortie</x:v>
      </x:c>
      <x:c r="C8" s="15" t="str">
        <x:v>Défini</x:v>
      </x:c>
      <x:c r="D8" s="17" t="str">
        <x:v>Extrapolation</x:v>
      </x:c>
      <x:c r="E8" s="17" t="str">
        <x:v>P1</x:v>
      </x:c>
      <x:c r="F8" s="7" t="str">
        <x:v>Les numéros chargent leurs espaces séparément; aucun couloir ne fusionne leurs dates.</x:v>
      </x:c>
      <x:c r="G8" s="7" t="str">
        <x:v>Conserver les raccords nécessaires au parcours sans inventer une route galactique officielle.</x:v>
      </x:c>
      <x:c r="H8" s="7" t="str">
        <x:v>Prévisualiser la destination; déclenchement sur confirmation hors combat; conserver objectifs et objets de mission au retour.</x:v>
      </x:c>
      <x:c r="I8" s="7" t="str">
        <x:v>Marquage de direction doublé d’un nom de destination; pas de code fondé sur une seule couleur.</x:v>
      </x:c>
      <x:c r="J8" s="7" t="str"/>
      <x:c r="K8" s="7" t="str"/>
      <x:c r="L8" s="7" t="str">
        <x:v>Liaison proposée FOU/CITADEL; sauvegarder zone, point d'entrée et version de chapitre.</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Entrer, ressortir et recharger au seuil restitue le même état du chapitre; aucun accès ne court-circuite sa conclusion fixée.</x:v>
      </x:c>
      <x:c r="O8" s="7" t="str">
        <x:v>FOU-ZONE-CITADEL</x:v>
      </x:c>
      <x:c r="P8" s="7" t="str">
        <x:v>Raccord de gameplay original; ordre narratif selon les ancrages sourcés.</x:v>
      </x:c>
      <x:c r="Q8" s="7" t="str"/>
      <x:c r="R8" s="21" t="str"/>
      <x:c r="S8" s="21" t="str"/>
    </x:row>
    <x:row r="9" ht="82" customHeight="1">
      <x:c r="A9" s="18" t="str">
        <x:v>FOU-LINK-EDEN</x:v>
      </x:c>
      <x:c r="B9" s="9" t="str">
        <x:v>Eden Prime — récit d’Ashley — accès et sortie</x:v>
      </x:c>
      <x:c r="C9" s="15" t="str">
        <x:v>Défini</x:v>
      </x:c>
      <x:c r="D9" s="16" t="str">
        <x:v>Extrapolation</x:v>
      </x:c>
      <x:c r="E9" s="16" t="str">
        <x:v>P1</x:v>
      </x:c>
      <x:c r="F9" s="9" t="str">
        <x:v>Cadre d’entretien → souvenir de terrain → retour au cadre.</x:v>
      </x:c>
      <x:c r="G9" s="9" t="str">
        <x:v>Conserver les raccords nécessaires au parcours sans inventer une route galactique officielle.</x:v>
      </x:c>
      <x:c r="H9" s="9" t="str">
        <x:v>Prévisualiser la destination; déclenchement sur confirmation hors combat; conserver objectifs et objets de mission au retour.</x:v>
      </x:c>
      <x:c r="I9" s="9" t="str">
        <x:v>Marquage de direction doublé d’un nom de destination; pas de code fondé sur une seule couleur.</x:v>
      </x:c>
      <x:c r="J9" s="9" t="str"/>
      <x:c r="K9" s="9" t="str"/>
      <x:c r="L9" s="9" t="str">
        <x:v>Liaison proposée FOU/EDEN; sauvegarder zone, point d'entrée et version de chapitre.</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Entrer, ressortir et recharger au seuil restitue le même état du chapitre; aucun accès ne court-circuite sa conclusion fixée.</x:v>
      </x:c>
      <x:c r="O9" s="9" t="str">
        <x:v>FOU-ZONE-EDEN</x:v>
      </x:c>
      <x:c r="P9" s="9" t="str">
        <x:v>Raccord de gameplay original; ordre narratif selon les ancrages sourcés.</x:v>
      </x:c>
      <x:c r="Q9" s="9" t="str"/>
      <x:c r="R9" s="20" t="str"/>
      <x:c r="S9" s="20" t="str"/>
    </x:row>
    <x:row r="10" ht="82" customHeight="1">
      <x:c r="A10" s="19" t="str">
        <x:v>FOU-LINK-GAGARIN</x:v>
      </x:c>
      <x:c r="B10" s="7" t="str">
        <x:v>Gagarin / Jump Zero — accès et sortie</x:v>
      </x:c>
      <x:c r="C10" s="15" t="str">
        <x:v>Défini</x:v>
      </x:c>
      <x:c r="D10" s="17" t="str">
        <x:v>Extrapolation</x:v>
      </x:c>
      <x:c r="E10" s="17" t="str">
        <x:v>P1</x:v>
      </x:c>
      <x:c r="F10" s="7" t="str">
        <x:v>Transitions de cours et de repos; aucune visite globale de la station inventée.</x:v>
      </x:c>
      <x:c r="G10" s="7" t="str">
        <x:v>Conserver les raccords nécessaires au parcours sans inventer une route galactique officielle.</x:v>
      </x:c>
      <x:c r="H10" s="7" t="str">
        <x:v>Prévisualiser la destination; déclenchement sur confirmation hors combat; conserver objectifs et objets de mission au retour.</x:v>
      </x:c>
      <x:c r="I10" s="7" t="str">
        <x:v>Marquage de direction doublé d’un nom de destination; pas de code fondé sur une seule couleur.</x:v>
      </x:c>
      <x:c r="J10" s="7" t="str"/>
      <x:c r="K10" s="7" t="str"/>
      <x:c r="L10" s="7" t="str">
        <x:v>Liaison proposée FOU/GAGARIN; sauvegarder zone, point d'entrée et version de chapitre.</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Entrer, ressortir et recharger au seuil restitue le même état du chapitre; aucun accès ne court-circuite sa conclusion fixée.</x:v>
      </x:c>
      <x:c r="O10" s="7" t="str">
        <x:v>FOU-ZONE-GAGARIN</x:v>
      </x:c>
      <x:c r="P10" s="7" t="str">
        <x:v>Raccord de gameplay original; ordre narratif selon les ancrages sourcés.</x:v>
      </x:c>
      <x:c r="Q10" s="7" t="str"/>
      <x:c r="R10" s="21" t="str"/>
      <x:c r="S10" s="21" t="str"/>
    </x:row>
    <x:row r="11" ht="82" customHeight="1">
      <x:c r="A11" s="18" t="str">
        <x:v>FOU-LINK-TERMINUS</x:v>
      </x:c>
      <x:c r="B11" s="9" t="str">
        <x:v>Systèmes Terminus — recherche du duo — accès et sortie</x:v>
      </x:c>
      <x:c r="C11" s="15" t="str">
        <x:v>Défini</x:v>
      </x:c>
      <x:c r="D11" s="16" t="str">
        <x:v>Extrapolation</x:v>
      </x:c>
      <x:c r="E11" s="16" t="str">
        <x:v>P1</x:v>
      </x:c>
      <x:c r="F11" s="9" t="str">
        <x:v>Deux modules liés #5 et #6; pas de route stellaire exacte inventée.</x:v>
      </x:c>
      <x:c r="G11" s="9" t="str">
        <x:v>Conserver les raccords nécessaires au parcours sans inventer une route galactique officielle.</x:v>
      </x:c>
      <x:c r="H11" s="9" t="str">
        <x:v>Prévisualiser la destination; déclenchement sur confirmation hors combat; conserver objectifs et objets de mission au retour.</x:v>
      </x:c>
      <x:c r="I11" s="9" t="str">
        <x:v>Marquage de direction doublé d’un nom de destination; pas de code fondé sur une seule couleur.</x:v>
      </x:c>
      <x:c r="J11" s="9" t="str"/>
      <x:c r="K11" s="9" t="str"/>
      <x:c r="L11" s="9" t="str">
        <x:v>Liaison proposée FOU/TERMINUS; sauvegarder zone, point d'entrée et version de chapitre.</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Entrer, ressortir et recharger au seuil restitue le même état du chapitre; aucun accès ne court-circuite sa conclusion fixée.</x:v>
      </x:c>
      <x:c r="O11" s="9" t="str">
        <x:v>FOU-ZONE-TERMINUS</x:v>
      </x:c>
      <x:c r="P11" s="9" t="str">
        <x:v>Raccord de gameplay original; ordre narratif selon les ancrages sourcés.</x:v>
      </x:c>
      <x:c r="Q11" s="9" t="str"/>
      <x:c r="R11" s="20" t="str"/>
      <x:c r="S11" s="20" t="str"/>
    </x:row>
    <x:row r="12" ht="82" customHeight="1">
      <x:c r="A12" s="19" t="str">
        <x:v>FOU-LINK-TUCHANKA</x:v>
      </x:c>
      <x:c r="B12" s="7" t="str">
        <x:v>Tuchanka — dossier Mordin — accès et sortie</x:v>
      </x:c>
      <x:c r="C12" s="15" t="str">
        <x:v>Défini</x:v>
      </x:c>
      <x:c r="D12" s="17" t="str">
        <x:v>Extrapolation</x:v>
      </x:c>
      <x:c r="E12" s="17" t="str">
        <x:v>P1</x:v>
      </x:c>
      <x:c r="F12" s="7" t="str">
        <x:v>Navette → progression → opération → extraction; aucun libre parcours du monde.</x:v>
      </x:c>
      <x:c r="G12" s="7" t="str">
        <x:v>Conserver les raccords nécessaires au parcours sans inventer une route galactique officielle.</x:v>
      </x:c>
      <x:c r="H12" s="7" t="str">
        <x:v>Prévisualiser la destination; déclenchement sur confirmation hors combat; conserver objectifs et objets de mission au retour.</x:v>
      </x:c>
      <x:c r="I12" s="7" t="str">
        <x:v>Marquage de direction doublé d’un nom de destination; pas de code fondé sur une seule couleur.</x:v>
      </x:c>
      <x:c r="J12" s="7" t="str"/>
      <x:c r="K12" s="7" t="str"/>
      <x:c r="L12" s="7" t="str">
        <x:v>Liaison proposée FOU/TUCHANKA; sauvegarder zone, point d'entrée et version de chapitre.</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Entrer, ressortir et recharger au seuil restitue le même état du chapitre; aucun accès ne court-circuite sa conclusion fixée.</x:v>
      </x:c>
      <x:c r="O12" s="7" t="str">
        <x:v>FOU-ZONE-TUCHANKA</x:v>
      </x:c>
      <x:c r="P12" s="7" t="str">
        <x:v>Raccord de gameplay original; ordre narratif selon les ancrages sourcés.</x:v>
      </x:c>
      <x:c r="Q12" s="7" t="str"/>
      <x:c r="R12" s="21" t="str"/>
      <x:c r="S12" s="21" t="str"/>
    </x:row>
    <x:row r="13" ht="82" customHeight="1">
      <x:c r="A13" s="18" t="str">
        <x:v>FOU-LINK-LAZARUS</x:v>
      </x:c>
      <x:c r="B13" s="9" t="str">
        <x:v>Station de recherche Lazarus — accès et sortie</x:v>
      </x:c>
      <x:c r="C13" s="15" t="str">
        <x:v>Défini</x:v>
      </x:c>
      <x:c r="D13" s="16" t="str">
        <x:v>Extrapolation</x:v>
      </x:c>
      <x:c r="E13" s="16" t="str">
        <x:v>P1</x:v>
      </x:c>
      <x:c r="F13" s="9" t="str">
        <x:v>Transitions intérieur/extérieur explicites; aucun retour libre après la fuite.</x:v>
      </x:c>
      <x:c r="G13" s="9" t="str">
        <x:v>Conserver les raccords nécessaires au parcours sans inventer une route galactique officielle.</x:v>
      </x:c>
      <x:c r="H13" s="9" t="str">
        <x:v>Prévisualiser la destination; déclenchement sur confirmation hors combat; conserver objectifs et objets de mission au retour.</x:v>
      </x:c>
      <x:c r="I13" s="9" t="str">
        <x:v>Marquage de direction doublé d’un nom de destination; pas de code fondé sur une seule couleur.</x:v>
      </x:c>
      <x:c r="J13" s="9" t="str"/>
      <x:c r="K13" s="9" t="str"/>
      <x:c r="L13" s="9" t="str">
        <x:v>Liaison proposée FOU/LAZARUS; sauvegarder zone, point d'entrée et version de chapitre.</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Entrer, ressortir et recharger au seuil restitue le même état du chapitre; aucun accès ne court-circuite sa conclusion fixée.</x:v>
      </x:c>
      <x:c r="O13" s="9" t="str">
        <x:v>FOU-ZONE-LAZARUS</x:v>
      </x:c>
      <x:c r="P13" s="9" t="str">
        <x:v>Raccord de gameplay original; ordre narratif selon les ancrages sourcés.</x:v>
      </x:c>
      <x:c r="Q13" s="9" t="str"/>
      <x:c r="R13" s="20" t="str"/>
      <x:c r="S13" s="20" t="str"/>
    </x:row>
  </x:sheetData>
  <x:conditionalFormatting sqref="D7:D13">
    <x:cfRule type="cellIs" dxfId="20" priority="1" operator="equal">
      <x:formula>"À vérifier"</x:formula>
    </x:cfRule>
    <x:cfRule type="cellIs" dxfId="21" priority="2" operator="equal">
      <x:formula>"Extrapolation"</x:formula>
    </x:cfRule>
  </x:conditionalFormatting>
  <x:conditionalFormatting sqref="C7:C13">
    <x:cfRule type="cellIs" dxfId="22" priority="3" operator="equal">
      <x:formula>"Validé"</x:formula>
    </x:cfRule>
  </x:conditionalFormatting>
  <x:conditionalFormatting sqref="E7:E13">
    <x:cfRule type="cellIs" dxfId="23"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b2fa6c37d4d24b9e"/>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Foundation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FOU-SET-THEMIS</x:v>
      </x:c>
      <x:c r="B7" s="9" t="str">
        <x:v>Themis — décor et repère</x:v>
      </x:c>
      <x:c r="C7" s="15" t="str">
        <x:v>Défini</x:v>
      </x:c>
      <x:c r="D7" s="16" t="str">
        <x:v>Extrapolation</x:v>
      </x:c>
      <x:c r="E7" s="16" t="str">
        <x:v>P1</x:v>
      </x:c>
      <x:c r="F7" s="9" t="str">
        <x:v>Treuil et paroi minérale au-dessus d’une passerelle.</x:v>
      </x:c>
      <x:c r="G7" s="9" t="str">
        <x:v>Origine dans une colonie minière violente, présentée sans quête d’exploitation répétitive.</x:v>
      </x:c>
      <x:c r="H7" s="9" t="str"/>
      <x:c r="I7" s="9" t="str">
        <x:v>Poussière, métal usé et lumière de sécurité stable.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fou/sets/themis; collisions simples et matériau de repère distinct.</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 repère décrit reste visible depuis l'entrée et depuis le retour; aucune décoration ne masque un signal d'interaction.</x:v>
      </x:c>
      <x:c r="O7" s="9" t="str">
        <x:v>FOU-ZONE-THEMIS</x:v>
      </x:c>
      <x:c r="P7" s="9" t="str">
        <x:v>Direction artistique originale, matériaux à confronter aux planches.</x:v>
      </x:c>
      <x:c r="Q7" s="9" t="str"/>
      <x:c r="R7" s="20" t="str"/>
      <x:c r="S7" s="20" t="str"/>
    </x:row>
    <x:row r="8" ht="82" customHeight="1">
      <x:c r="A8" s="19" t="str">
        <x:v>FOU-SET-CITADEL</x:v>
      </x:c>
      <x:c r="B8" s="7" t="str">
        <x:v>Citadelle — dossiers du premier volume — décor et repère</x:v>
      </x:c>
      <x:c r="C8" s="15" t="str">
        <x:v>Défini</x:v>
      </x:c>
      <x:c r="D8" s="17" t="str">
        <x:v>Extrapolation</x:v>
      </x:c>
      <x:c r="E8" s="17" t="str">
        <x:v>P1</x:v>
      </x:c>
      <x:c r="F8" s="7" t="str">
        <x:v>Panneaux d’étage et vue urbaine servent de repères.</x:v>
      </x:c>
      <x:c r="G8" s="7" t="str">
        <x:v>Cadre social pour couverture et entretien.</x:v>
      </x:c>
      <x:c r="H8" s="7" t="str"/>
      <x:c r="I8" s="7" t="str">
        <x:v>Surfaces claires, zones de confidentialité et circulation lisible. Séparer gros volumes, surfaces de parcours et petits accessoires; réserver le contraste maximal aux éléments utilisables.</x:v>
      </x:c>
      <x:c r="J8" s="7" t="str">
        <x:v>Seuls les éléments mobiles nécessaires à la lecture du lieu ont une boucle; les lumières restent stables en mode confort.</x:v>
      </x:c>
      <x:c r="K8" s="7" t="str"/>
      <x:c r="L8" s="7" t="str">
        <x:v>Kit modulaire prévu fou/sets/citadel; collisions simples et matériau de repère distinct.</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 repère décrit reste visible depuis l'entrée et depuis le retour; aucune décoration ne masque un signal d'interaction.</x:v>
      </x:c>
      <x:c r="O8" s="7" t="str">
        <x:v>FOU-ZONE-CITADEL</x:v>
      </x:c>
      <x:c r="P8" s="7" t="str">
        <x:v>Direction artistique originale, matériaux à confronter aux planches.</x:v>
      </x:c>
      <x:c r="Q8" s="7" t="str"/>
      <x:c r="R8" s="21" t="str"/>
      <x:c r="S8" s="21" t="str"/>
    </x:row>
    <x:row r="9" ht="82" customHeight="1">
      <x:c r="A9" s="18" t="str">
        <x:v>FOU-SET-EDEN</x:v>
      </x:c>
      <x:c r="B9" s="9" t="str">
        <x:v>Eden Prime — récit d’Ashley — décor et repère</x:v>
      </x:c>
      <x:c r="C9" s="15" t="str">
        <x:v>Défini</x:v>
      </x:c>
      <x:c r="D9" s="16" t="str">
        <x:v>Extrapolation</x:v>
      </x:c>
      <x:c r="E9" s="16" t="str">
        <x:v>P1</x:v>
      </x:c>
      <x:c r="F9" s="9" t="str">
        <x:v>Relief ouvert et structure de colonie à comparer.</x:v>
      </x:c>
      <x:c r="G9" s="9" t="str">
        <x:v>Point de vue de section, distinct de la mission de Shepard.</x:v>
      </x:c>
      <x:c r="H9" s="9" t="str"/>
      <x:c r="I9" s="9" t="str">
        <x:v>Végétation et métal agricole, fumée limitée à la lisibilité. Séparer gros volumes, surfaces de parcours et petits accessoires; réserver le contraste maximal aux éléments utilisables.</x:v>
      </x:c>
      <x:c r="J9" s="9" t="str">
        <x:v>Seuls les éléments mobiles nécessaires à la lecture du lieu ont une boucle; les lumières restent stables en mode confort.</x:v>
      </x:c>
      <x:c r="K9" s="9" t="str"/>
      <x:c r="L9" s="9" t="str">
        <x:v>Kit modulaire prévu fou/sets/eden; collisions simples et matériau de repère distinct.</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 repère décrit reste visible depuis l'entrée et depuis le retour; aucune décoration ne masque un signal d'interaction.</x:v>
      </x:c>
      <x:c r="O9" s="9" t="str">
        <x:v>FOU-ZONE-EDEN</x:v>
      </x:c>
      <x:c r="P9" s="9" t="str">
        <x:v>Direction artistique originale, matériaux à confronter aux planches.</x:v>
      </x:c>
      <x:c r="Q9" s="9" t="str"/>
      <x:c r="R9" s="20" t="str"/>
      <x:c r="S9" s="20" t="str"/>
    </x:row>
    <x:row r="10" ht="82" customHeight="1">
      <x:c r="A10" s="19" t="str">
        <x:v>FOU-SET-GAGARIN</x:v>
      </x:c>
      <x:c r="B10" s="7" t="str">
        <x:v>Gagarin / Jump Zero — décor et repère</x:v>
      </x:c>
      <x:c r="C10" s="15" t="str">
        <x:v>Défini</x:v>
      </x:c>
      <x:c r="D10" s="17" t="str">
        <x:v>Extrapolation</x:v>
      </x:c>
      <x:c r="E10" s="17" t="str">
        <x:v>P1</x:v>
      </x:c>
      <x:c r="F10" s="7" t="str">
        <x:v>Zone d’exercice marquée au sol.</x:v>
      </x:c>
      <x:c r="G10" s="7" t="str">
        <x:v>Épisode d’apprentissage et d’autorité abusive.</x:v>
      </x:c>
      <x:c r="H10" s="7" t="str"/>
      <x:c r="I10" s="7" t="str">
        <x:v>Intérieur fonctionnel, lumière froide et couleurs de cadets à contrôler. Séparer gros volumes, surfaces de parcours et petits accessoires; réserver le contraste maximal aux éléments utilisables.</x:v>
      </x:c>
      <x:c r="J10" s="7" t="str">
        <x:v>Seuls les éléments mobiles nécessaires à la lecture du lieu ont une boucle; les lumières restent stables en mode confort.</x:v>
      </x:c>
      <x:c r="K10" s="7" t="str"/>
      <x:c r="L10" s="7" t="str">
        <x:v>Kit modulaire prévu fou/sets/gagarin; collisions simples et matériau de repère distinct.</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 repère décrit reste visible depuis l'entrée et depuis le retour; aucune décoration ne masque un signal d'interaction.</x:v>
      </x:c>
      <x:c r="O10" s="7" t="str">
        <x:v>FOU-ZONE-GAGARIN</x:v>
      </x:c>
      <x:c r="P10" s="7" t="str">
        <x:v>Direction artistique originale, matériaux à confronter aux planches.</x:v>
      </x:c>
      <x:c r="Q10" s="7" t="str"/>
      <x:c r="R10" s="21" t="str"/>
      <x:c r="S10" s="21" t="str"/>
    </x:row>
    <x:row r="11" ht="82" customHeight="1">
      <x:c r="A11" s="18" t="str">
        <x:v>FOU-SET-TERMINUS</x:v>
      </x:c>
      <x:c r="B11" s="9" t="str">
        <x:v>Systèmes Terminus — recherche du duo — décor et repère</x:v>
      </x:c>
      <x:c r="C11" s="15" t="str">
        <x:v>Défini</x:v>
      </x:c>
      <x:c r="D11" s="16" t="str">
        <x:v>Extrapolation</x:v>
      </x:c>
      <x:c r="E11" s="16" t="str">
        <x:v>P1</x:v>
      </x:c>
      <x:c r="F11" s="9" t="str">
        <x:v>Antenne de liaison servant de point de regroupement.</x:v>
      </x:c>
      <x:c r="G11" s="9" t="str">
        <x:v>Définir un terrain d’enquête limité sans nommer une planète non vérifiée.</x:v>
      </x:c>
      <x:c r="H11" s="9" t="str"/>
      <x:c r="I11" s="9" t="str">
        <x:v>Matériaux usés, éclairage de service et horizon indéterminé. Séparer gros volumes, surfaces de parcours et petits accessoires; réserver le contraste maximal aux éléments utilisables.</x:v>
      </x:c>
      <x:c r="J11" s="9" t="str">
        <x:v>Seuls les éléments mobiles nécessaires à la lecture du lieu ont une boucle; les lumières restent stables en mode confort.</x:v>
      </x:c>
      <x:c r="K11" s="9" t="str"/>
      <x:c r="L11" s="9" t="str">
        <x:v>Kit modulaire prévu fou/sets/terminus; collisions simples et matériau de repère distinct.</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 repère décrit reste visible depuis l'entrée et depuis le retour; aucune décoration ne masque un signal d'interaction.</x:v>
      </x:c>
      <x:c r="O11" s="9" t="str">
        <x:v>FOU-ZONE-TERMINUS</x:v>
      </x:c>
      <x:c r="P11" s="9" t="str">
        <x:v>Direction artistique originale, matériaux à confronter aux planches.</x:v>
      </x:c>
      <x:c r="Q11" s="9" t="str"/>
      <x:c r="R11" s="20" t="str"/>
      <x:c r="S11" s="20" t="str"/>
    </x:row>
    <x:row r="12" ht="82" customHeight="1">
      <x:c r="A12" s="19" t="str">
        <x:v>FOU-SET-TUCHANKA</x:v>
      </x:c>
      <x:c r="B12" s="7" t="str">
        <x:v>Tuchanka — dossier Mordin — décor et repère</x:v>
      </x:c>
      <x:c r="C12" s="15" t="str">
        <x:v>Défini</x:v>
      </x:c>
      <x:c r="D12" s="17" t="str">
        <x:v>Extrapolation</x:v>
      </x:c>
      <x:c r="E12" s="17" t="str">
        <x:v>P1</x:v>
      </x:c>
      <x:c r="F12" s="7" t="str">
        <x:v>Changement de hauteur et chasm visible dans le fond.</x:v>
      </x:c>
      <x:c r="G12" s="7" t="str">
        <x:v>Mettre en scène un terrain et un dilemme sans transformer une catastrophe en score positif.</x:v>
      </x:c>
      <x:c r="H12" s="7" t="str"/>
      <x:c r="I12" s="7" t="str">
        <x:v>Minéral ocre, ruines lourdes et éclairage poussiéreux. Séparer gros volumes, surfaces de parcours et petits accessoires; réserver le contraste maximal aux éléments utilisables.</x:v>
      </x:c>
      <x:c r="J12" s="7" t="str">
        <x:v>Seuls les éléments mobiles nécessaires à la lecture du lieu ont une boucle; les lumières restent stables en mode confort.</x:v>
      </x:c>
      <x:c r="K12" s="7" t="str"/>
      <x:c r="L12" s="7" t="str">
        <x:v>Kit modulaire prévu fou/sets/tuchanka; collisions simples et matériau de repère distinct.</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 repère décrit reste visible depuis l'entrée et depuis le retour; aucune décoration ne masque un signal d'interaction.</x:v>
      </x:c>
      <x:c r="O12" s="7" t="str">
        <x:v>FOU-ZONE-TUCHANKA</x:v>
      </x:c>
      <x:c r="P12" s="7" t="str">
        <x:v>Direction artistique originale, matériaux à confronter aux planches.</x:v>
      </x:c>
      <x:c r="Q12" s="7" t="str"/>
      <x:c r="R12" s="21" t="str"/>
      <x:c r="S12" s="21" t="str"/>
    </x:row>
    <x:row r="13" ht="82" customHeight="1">
      <x:c r="A13" s="18" t="str">
        <x:v>FOU-SET-LAZARUS</x:v>
      </x:c>
      <x:c r="B13" s="9" t="str">
        <x:v>Station de recherche Lazarus — décor et repère</x:v>
      </x:c>
      <x:c r="C13" s="15" t="str">
        <x:v>Défini</x:v>
      </x:c>
      <x:c r="D13" s="16" t="str">
        <x:v>Extrapolation</x:v>
      </x:c>
      <x:c r="E13" s="16" t="str">
        <x:v>P1</x:v>
      </x:c>
      <x:c r="F13" s="9" t="str">
        <x:v>Capsule du clone et éclairage du sas comme repères.</x:v>
      </x:c>
      <x:c r="G13" s="9" t="str">
        <x:v>Fuite, changement d’allégeance des systèmes et sortie vers le vide.</x:v>
      </x:c>
      <x:c r="H13" s="9" t="str"/>
      <x:c r="I13" s="9" t="str">
        <x:v>Blanc de laboratoire, métal froid et contraste noir de l’espace. Séparer gros volumes, surfaces de parcours et petits accessoires; réserver le contraste maximal aux éléments utilisables.</x:v>
      </x:c>
      <x:c r="J13" s="9" t="str">
        <x:v>Seuls les éléments mobiles nécessaires à la lecture du lieu ont une boucle; les lumières restent stables en mode confort.</x:v>
      </x:c>
      <x:c r="K13" s="9" t="str"/>
      <x:c r="L13" s="9" t="str">
        <x:v>Kit modulaire prévu fou/sets/lazarus; collisions simples et matériau de repère distinct.</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 repère décrit reste visible depuis l'entrée et depuis le retour; aucune décoration ne masque un signal d'interaction.</x:v>
      </x:c>
      <x:c r="O13" s="9" t="str">
        <x:v>FOU-ZONE-LAZARUS</x:v>
      </x:c>
      <x:c r="P13" s="9" t="str">
        <x:v>Direction artistique originale, matériaux à confronter aux planches.</x:v>
      </x:c>
      <x:c r="Q13" s="9" t="str"/>
      <x:c r="R13" s="20" t="str"/>
      <x:c r="S13" s="20" t="str"/>
    </x:row>
  </x:sheetData>
  <x:conditionalFormatting sqref="D7:D13">
    <x:cfRule type="cellIs" dxfId="24" priority="1" operator="equal">
      <x:formula>"À vérifier"</x:formula>
    </x:cfRule>
    <x:cfRule type="cellIs" dxfId="25" priority="2" operator="equal">
      <x:formula>"Extrapolation"</x:formula>
    </x:cfRule>
  </x:conditionalFormatting>
  <x:conditionalFormatting sqref="C7:C13">
    <x:cfRule type="cellIs" dxfId="26" priority="3" operator="equal">
      <x:formula>"Validé"</x:formula>
    </x:cfRule>
  </x:conditionalFormatting>
  <x:conditionalFormatting sqref="E7:E13">
    <x:cfRule type="cellIs" dxfId="27"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c4618e2f981d4b24"/>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Foundation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FOU-SC-01-PROP</x:v>
      </x:c>
      <x:c r="B7" s="9" t="str">
        <x:v>Marque de service</x:v>
      </x:c>
      <x:c r="C7" s="15" t="str">
        <x:v>Défini</x:v>
      </x:c>
      <x:c r="D7" s="16" t="str">
        <x:v>Extrapolation</x:v>
      </x:c>
      <x:c r="E7" s="16" t="str">
        <x:v>P1</x:v>
      </x:c>
      <x:c r="F7" s="9" t="str">
        <x:v>Accessoire d’accès original.</x:v>
      </x:c>
      <x:c r="G7" s="9" t="str">
        <x:v>Donner un objectif d’observation sans inventer une relique canon.</x:v>
      </x:c>
      <x:c r="H7" s="9" t="str">
        <x:v>Repérer le bon marquage ouvre un passage local.</x:v>
      </x:c>
      <x:c r="I7" s="9" t="str">
        <x:v>Plaque géométrique usée et lisible.</x:v>
      </x:c>
      <x:c r="J7" s="9" t="str">
        <x:v>État repos, sélection, utilisation et remise en place; l’objet conserve son pivot entre ces états.</x:v>
      </x:c>
      <x:c r="K7" s="9" t="str">
        <x:v>Bruit de manipulation original et confirmation visible.</x:v>
      </x:c>
      <x:c r="L7" s="9" t="str">
        <x:v>Objet proposé FOU/01/prop; composant inspectable distinct du déclencheur narratif.</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L’objet possède un état visible avant et après interaction; il ne peut pas être perdu ni dupliqué par rechargement.</x:v>
      </x:c>
      <x:c r="O7" s="9" t="str">
        <x:v>FOU-SC-01-MAIN</x:v>
      </x:c>
      <x:c r="P7" s="9" t="str">
        <x:v>Accessoire ou interaction de production proposé; ne vaut pas relevé exhaustif de la planche.</x:v>
      </x:c>
      <x:c r="Q7" s="9" t="str"/>
      <x:c r="R7" s="20" t="str"/>
      <x:c r="S7" s="20" t="str"/>
    </x:row>
    <x:row r="8" ht="82" customHeight="1">
      <x:c r="A8" s="19" t="str">
        <x:v>FOU-SC-02-PROP</x:v>
      </x:c>
      <x:c r="B8" s="7" t="str">
        <x:v>Dossier d’objectif</x:v>
      </x:c>
      <x:c r="C8" s="15" t="str">
        <x:v>Défini</x:v>
      </x:c>
      <x:c r="D8" s="17" t="str">
        <x:v>Extrapolation</x:v>
      </x:c>
      <x:c r="E8" s="17" t="str">
        <x:v>P1</x:v>
      </x:c>
      <x:c r="F8" s="7" t="str">
        <x:v>Fiche d’information originale.</x:v>
      </x:c>
      <x:c r="G8" s="7" t="str">
        <x:v>Faire apparaître une contrainte concurrente.</x:v>
      </x:c>
      <x:c r="H8" s="7" t="str">
        <x:v>Distinguer information vérifiée et prévision de Rasa.</x:v>
      </x:c>
      <x:c r="I8" s="7" t="str">
        <x:v>Deux colonnes faits/prévisions.</x:v>
      </x:c>
      <x:c r="J8" s="7" t="str">
        <x:v>État repos, sélection, utilisation et remise en place; l’objet conserve son pivot entre ces états.</x:v>
      </x:c>
      <x:c r="K8" s="7" t="str">
        <x:v>Bruit de manipulation original et confirmation visible.</x:v>
      </x:c>
      <x:c r="L8" s="7" t="str">
        <x:v>Objet proposé FOU/02/prop; composant inspectable distinct du déclencheur narratif.</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L’objet possède un état visible avant et après interaction; il ne peut pas être perdu ni dupliqué par rechargement.</x:v>
      </x:c>
      <x:c r="O8" s="7" t="str">
        <x:v>FOU-SC-02-MAIN</x:v>
      </x:c>
      <x:c r="P8" s="7" t="str">
        <x:v>Accessoire ou interaction de production proposé; ne vaut pas relevé exhaustif de la planche.</x:v>
      </x:c>
      <x:c r="Q8" s="7" t="str"/>
      <x:c r="R8" s="21" t="str"/>
      <x:c r="S8" s="21" t="str"/>
    </x:row>
    <x:row r="9" ht="82" customHeight="1">
      <x:c r="A9" s="18" t="str">
        <x:v>FOU-SC-03-PROP</x:v>
      </x:c>
      <x:c r="B9" s="9" t="str">
        <x:v>Enregistreur d’entretien</x:v>
      </x:c>
      <x:c r="C9" s="15" t="str">
        <x:v>Défini</x:v>
      </x:c>
      <x:c r="D9" s="16" t="str">
        <x:v>Extrapolation</x:v>
      </x:c>
      <x:c r="E9" s="16" t="str">
        <x:v>P1</x:v>
      </x:c>
      <x:c r="F9" s="9" t="str">
        <x:v>Objet de production proposé.</x:v>
      </x:c>
      <x:c r="G9" s="9" t="str">
        <x:v>Séparer enregistrement et commentaire de l’enquêtrice.</x:v>
      </x:c>
      <x:c r="H9" s="9" t="str">
        <x:v>Les annotations de Rasa portent son nom et une couleur doublée d’un libellé.</x:v>
      </x:c>
      <x:c r="I9" s="9" t="str">
        <x:v>Écran à onglets témoignage/notes.</x:v>
      </x:c>
      <x:c r="J9" s="9" t="str">
        <x:v>État repos, sélection, utilisation et remise en place; l’objet conserve son pivot entre ces états.</x:v>
      </x:c>
      <x:c r="K9" s="9" t="str">
        <x:v>Bruit de manipulation original et confirmation visible.</x:v>
      </x:c>
      <x:c r="L9" s="9" t="str">
        <x:v>Objet proposé FOU/03/prop; composant inspectable distinct du déclencheur narratif.</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L’objet possède un état visible avant et après interaction; il ne peut pas être perdu ni dupliqué par rechargement.</x:v>
      </x:c>
      <x:c r="O9" s="9" t="str">
        <x:v>FOU-SC-03-MAIN</x:v>
      </x:c>
      <x:c r="P9" s="9" t="str">
        <x:v>Accessoire ou interaction de production proposé; ne vaut pas relevé exhaustif de la planche.</x:v>
      </x:c>
      <x:c r="Q9" s="9" t="str"/>
      <x:c r="R9" s="20" t="str"/>
      <x:c r="S9" s="20" t="str"/>
    </x:row>
    <x:row r="10" ht="82" customHeight="1">
      <x:c r="A10" s="19" t="str">
        <x:v>FOU-SC-04-PROP</x:v>
      </x:c>
      <x:c r="B10" s="7" t="str">
        <x:v>Objet d’exercice biotique</x:v>
      </x:c>
      <x:c r="C10" s="15" t="str">
        <x:v>Défini</x:v>
      </x:c>
      <x:c r="D10" s="17" t="str">
        <x:v>Extrapolation</x:v>
      </x:c>
      <x:c r="E10" s="17" t="str">
        <x:v>P1</x:v>
      </x:c>
      <x:c r="F10" s="7" t="str">
        <x:v>Accessoire de prototype.</x:v>
      </x:c>
      <x:c r="G10" s="7" t="str">
        <x:v>Montrer un effort sans attribuer des statistiques officielles.</x:v>
      </x:c>
      <x:c r="H10" s="7" t="str">
        <x:v>Maintenir une position qualitative; assistance complète disponible.</x:v>
      </x:c>
      <x:c r="I10" s="7" t="str">
        <x:v>Bloc neutre à contour clair.</x:v>
      </x:c>
      <x:c r="J10" s="7" t="str">
        <x:v>État repos, sélection, utilisation et remise en place; l’objet conserve son pivot entre ces états.</x:v>
      </x:c>
      <x:c r="K10" s="7" t="str">
        <x:v>Bruit de manipulation original et confirmation visible.</x:v>
      </x:c>
      <x:c r="L10" s="7" t="str">
        <x:v>Objet proposé FOU/04/prop; composant inspectable distinct du déclencheur narratif.</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L’objet possède un état visible avant et après interaction; il ne peut pas être perdu ni dupliqué par rechargement.</x:v>
      </x:c>
      <x:c r="O10" s="7" t="str">
        <x:v>FOU-SC-04-MAIN</x:v>
      </x:c>
      <x:c r="P10" s="7" t="str">
        <x:v>Accessoire ou interaction de production proposé; ne vaut pas relevé exhaustif de la planche.</x:v>
      </x:c>
      <x:c r="Q10" s="7" t="str"/>
      <x:c r="R10" s="21" t="str"/>
      <x:c r="S10" s="21" t="str"/>
    </x:row>
    <x:row r="11" ht="82" customHeight="1">
      <x:c r="A11" s="18" t="str">
        <x:v>FOU-SC-05-PROP</x:v>
      </x:c>
      <x:c r="B11" s="9" t="str">
        <x:v>Indice de transport</x:v>
      </x:c>
      <x:c r="C11" s="15" t="str">
        <x:v>Défini</x:v>
      </x:c>
      <x:c r="D11" s="16" t="str">
        <x:v>Extrapolation</x:v>
      </x:c>
      <x:c r="E11" s="16" t="str">
        <x:v>P1</x:v>
      </x:c>
      <x:c r="F11" s="9" t="str">
        <x:v>Accessoire d’enquête original.</x:v>
      </x:c>
      <x:c r="G11" s="9" t="str">
        <x:v>Donner une piste localisée.</x:v>
      </x:c>
      <x:c r="H11" s="9" t="str">
        <x:v>Inspecter deux marqueurs révèle un résultat; aucune localisation galactique omnisciente.</x:v>
      </x:c>
      <x:c r="I11" s="9" t="str">
        <x:v>Plaque de cargaison et trace de passage.</x:v>
      </x:c>
      <x:c r="J11" s="9" t="str">
        <x:v>État repos, sélection, utilisation et remise en place; l’objet conserve son pivot entre ces états.</x:v>
      </x:c>
      <x:c r="K11" s="9" t="str">
        <x:v>Bruit de manipulation original et confirmation visible.</x:v>
      </x:c>
      <x:c r="L11" s="9" t="str">
        <x:v>Objet proposé FOU/05/prop; composant inspectable distinct du déclencheur narratif.</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L’objet possède un état visible avant et après interaction; il ne peut pas être perdu ni dupliqué par rechargement.</x:v>
      </x:c>
      <x:c r="O11" s="9" t="str">
        <x:v>FOU-SC-05-MAIN</x:v>
      </x:c>
      <x:c r="P11" s="9" t="str">
        <x:v>Accessoire ou interaction de production proposé; ne vaut pas relevé exhaustif de la planche.</x:v>
      </x:c>
      <x:c r="Q11" s="9" t="str"/>
      <x:c r="R11" s="20" t="str"/>
      <x:c r="S11" s="20" t="str"/>
    </x:row>
    <x:row r="12" ht="82" customHeight="1">
      <x:c r="A12" s="19" t="str">
        <x:v>FOU-SC-06-PROP</x:v>
      </x:c>
      <x:c r="B12" s="7" t="str">
        <x:v>Commande d’issue</x:v>
      </x:c>
      <x:c r="C12" s="15" t="str">
        <x:v>Défini</x:v>
      </x:c>
      <x:c r="D12" s="17" t="str">
        <x:v>Extrapolation</x:v>
      </x:c>
      <x:c r="E12" s="17" t="str">
        <x:v>P1</x:v>
      </x:c>
      <x:c r="F12" s="7" t="str">
        <x:v>Interaction de production originale.</x:v>
      </x:c>
      <x:c r="G12" s="7" t="str">
        <x:v>Donner une action utile au personnage hors tir.</x:v>
      </x:c>
      <x:c r="H12" s="7" t="str">
        <x:v>L’ouverture demande une fenêtre protégée; interrompre conserve le progrès déjà montré.</x:v>
      </x:c>
      <x:c r="I12" s="7" t="str">
        <x:v>Deux témoins d’état et levier visible.</x:v>
      </x:c>
      <x:c r="J12" s="7" t="str">
        <x:v>État repos, sélection, utilisation et remise en place; l’objet conserve son pivot entre ces états.</x:v>
      </x:c>
      <x:c r="K12" s="7" t="str">
        <x:v>Bruit de manipulation original et confirmation visible.</x:v>
      </x:c>
      <x:c r="L12" s="7" t="str">
        <x:v>Objet proposé FOU/06/prop; composant inspectable distinct du déclencheur narratif.</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L’objet possède un état visible avant et après interaction; il ne peut pas être perdu ni dupliqué par rechargement.</x:v>
      </x:c>
      <x:c r="O12" s="7" t="str">
        <x:v>FOU-SC-06-MAIN</x:v>
      </x:c>
      <x:c r="P12" s="7" t="str">
        <x:v>Accessoire ou interaction de production proposé; ne vaut pas relevé exhaustif de la planche.</x:v>
      </x:c>
      <x:c r="Q12" s="7" t="str"/>
      <x:c r="R12" s="21" t="str"/>
      <x:c r="S12" s="21" t="str"/>
    </x:row>
    <x:row r="13" ht="82" customHeight="1">
      <x:c r="A13" s="18" t="str">
        <x:v>FOU-SC-07-PROP</x:v>
      </x:c>
      <x:c r="B13" s="9" t="str">
        <x:v>Plan d’opération défaillant</x:v>
      </x:c>
      <x:c r="C13" s="15" t="str">
        <x:v>Défini</x:v>
      </x:c>
      <x:c r="D13" s="16" t="str">
        <x:v>Extrapolation</x:v>
      </x:c>
      <x:c r="E13" s="16" t="str">
        <x:v>P1</x:v>
      </x:c>
      <x:c r="F13" s="9" t="str">
        <x:v>Objet d’interface original.</x:v>
      </x:c>
      <x:c r="G13" s="9" t="str">
        <x:v>Montrer que le plan ne décrit plus la situation.</x:v>
      </x:c>
      <x:c r="H13" s="9" t="str">
        <x:v>Les étapes impossibles se barrent avec une explication.</x:v>
      </x:c>
      <x:c r="I13" s="9" t="str">
        <x:v>Liste de trois intentions, pas de score de capture.</x:v>
      </x:c>
      <x:c r="J13" s="9" t="str">
        <x:v>État repos, sélection, utilisation et remise en place; l’objet conserve son pivot entre ces états.</x:v>
      </x:c>
      <x:c r="K13" s="9" t="str">
        <x:v>Bruit de manipulation original et confirmation visible.</x:v>
      </x:c>
      <x:c r="L13" s="9" t="str">
        <x:v>Objet proposé FOU/07/prop; composant inspectable distinct du déclencheur narratif.</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L’objet possède un état visible avant et après interaction; il ne peut pas être perdu ni dupliqué par rechargement.</x:v>
      </x:c>
      <x:c r="O13" s="9" t="str">
        <x:v>FOU-SC-07-MAIN</x:v>
      </x:c>
      <x:c r="P13" s="9" t="str">
        <x:v>Accessoire ou interaction de production proposé; ne vaut pas relevé exhaustif de la planche.</x:v>
      </x:c>
      <x:c r="Q13" s="9" t="str"/>
      <x:c r="R13" s="20" t="str"/>
      <x:c r="S13" s="20" t="str"/>
    </x:row>
    <x:row r="14" ht="82" customHeight="1">
      <x:c r="A14" s="19" t="str">
        <x:v>FOU-SC-08-PROP</x:v>
      </x:c>
      <x:c r="B14" s="7" t="str">
        <x:v>Repère de ligne de vue</x:v>
      </x:c>
      <x:c r="C14" s="15" t="str">
        <x:v>Défini</x:v>
      </x:c>
      <x:c r="D14" s="17" t="str">
        <x:v>Extrapolation</x:v>
      </x:c>
      <x:c r="E14" s="17" t="str">
        <x:v>P1</x:v>
      </x:c>
      <x:c r="F14" s="7" t="str">
        <x:v>Outil d’observation original.</x:v>
      </x:c>
      <x:c r="G14" s="7" t="str">
        <x:v>Faire comprendre une exposition tactique.</x:v>
      </x:c>
      <x:c r="H14" s="7" t="str">
        <x:v>Le repère indique un angle possible, pas la présence certaine d’un tireur.</x:v>
      </x:c>
      <x:c r="I14" s="7" t="str">
        <x:v>Arc pointillé avec libellé hypothèse.</x:v>
      </x:c>
      <x:c r="J14" s="7" t="str">
        <x:v>État repos, sélection, utilisation et remise en place; l’objet conserve son pivot entre ces états.</x:v>
      </x:c>
      <x:c r="K14" s="7" t="str">
        <x:v>Bruit de manipulation original et confirmation visible.</x:v>
      </x:c>
      <x:c r="L14" s="7" t="str">
        <x:v>Objet proposé FOU/08/prop; composant inspectable distinct du déclencheur narratif.</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L’objet possède un état visible avant et après interaction; il ne peut pas être perdu ni dupliqué par rechargement.</x:v>
      </x:c>
      <x:c r="O14" s="7" t="str">
        <x:v>FOU-SC-08-MAIN</x:v>
      </x:c>
      <x:c r="P14" s="7" t="str">
        <x:v>Accessoire ou interaction de production proposé; ne vaut pas relevé exhaustif de la planche.</x:v>
      </x:c>
      <x:c r="Q14" s="7" t="str"/>
      <x:c r="R14" s="21" t="str"/>
      <x:c r="S14" s="21" t="str"/>
    </x:row>
    <x:row r="15" ht="82" customHeight="1">
      <x:c r="A15" s="18" t="str">
        <x:v>FOU-SC-09-PROP</x:v>
      </x:c>
      <x:c r="B15" s="9" t="str">
        <x:v>Dispositif d’opération — abstraction</x:v>
      </x:c>
      <x:c r="C15" s="15" t="str">
        <x:v>Défini</x:v>
      </x:c>
      <x:c r="D15" s="16" t="str">
        <x:v>Extrapolation</x:v>
      </x:c>
      <x:c r="E15" s="16" t="str">
        <x:v>P1</x:v>
      </x:c>
      <x:c r="F15" s="9" t="str">
        <x:v>Objet narratif simplifié, sans schéma biologique réel.</x:v>
      </x:c>
      <x:c r="G15" s="9" t="str">
        <x:v>Donner un point d’objectif tout en évitant des détails scientifiques inventés.</x:v>
      </x:c>
      <x:c r="H15" s="9" t="str">
        <x:v>Interaction scriptée; aucune recette reproductible ou statistique médicale ajoutée.</x:v>
      </x:c>
      <x:c r="I15" s="9" t="str">
        <x:v>Boîtier fermé avec statut qualitatif.</x:v>
      </x:c>
      <x:c r="J15" s="9" t="str">
        <x:v>État repos, sélection, utilisation et remise en place; l’objet conserve son pivot entre ces états.</x:v>
      </x:c>
      <x:c r="K15" s="9" t="str">
        <x:v>Bruit de manipulation original et confirmation visible.</x:v>
      </x:c>
      <x:c r="L15" s="9" t="str">
        <x:v>Objet proposé FOU/09/prop; composant inspectable distinct du déclencheur narratif.</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L’objet possède un état visible avant et après interaction; il ne peut pas être perdu ni dupliqué par rechargement.</x:v>
      </x:c>
      <x:c r="O15" s="9" t="str">
        <x:v>FOU-SC-09-MAIN</x:v>
      </x:c>
      <x:c r="P15" s="9" t="str">
        <x:v>Accessoire ou interaction de production proposé; ne vaut pas relevé exhaustif de la planche.</x:v>
      </x:c>
      <x:c r="Q15" s="9" t="str"/>
      <x:c r="R15" s="20" t="str"/>
      <x:c r="S15" s="20" t="str"/>
    </x:row>
    <x:row r="16" ht="82" customHeight="1">
      <x:c r="A16" s="19" t="str">
        <x:v>FOU-SC-10-PROP</x:v>
      </x:c>
      <x:c r="B16" s="7" t="str">
        <x:v>Objet cible de prototype</x:v>
      </x:c>
      <x:c r="C16" s="15" t="str">
        <x:v>Défini</x:v>
      </x:c>
      <x:c r="D16" s="17" t="str">
        <x:v>Extrapolation</x:v>
      </x:c>
      <x:c r="E16" s="17" t="str">
        <x:v>P1</x:v>
      </x:c>
      <x:c r="F16" s="7" t="str">
        <x:v>Accessoire inventé pour tester l’infiltration, pas un trésor canon nommé.</x:v>
      </x:c>
      <x:c r="G16" s="7" t="str">
        <x:v>Évaluer le parcours sans ajouter une intrigue officielle.</x:v>
      </x:c>
      <x:c r="H16" s="7" t="str">
        <x:v>Inventaire local uniquement; supprimer à la sortie du scénario de test.</x:v>
      </x:c>
      <x:c r="I16" s="7" t="str">
        <x:v>Petite boîte neutre à poignée visible.</x:v>
      </x:c>
      <x:c r="J16" s="7" t="str">
        <x:v>État repos, sélection, utilisation et remise en place; l’objet conserve son pivot entre ces états.</x:v>
      </x:c>
      <x:c r="K16" s="7" t="str">
        <x:v>Bruit de manipulation original et confirmation visible.</x:v>
      </x:c>
      <x:c r="L16" s="7" t="str">
        <x:v>Objet proposé FOU/10/prop; composant inspectable distinct du déclencheur narratif.</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L’objet possède un état visible avant et après interaction; il ne peut pas être perdu ni dupliqué par rechargement.</x:v>
      </x:c>
      <x:c r="O16" s="7" t="str">
        <x:v>FOU-SC-10-MAIN</x:v>
      </x:c>
      <x:c r="P16" s="7" t="str">
        <x:v>Accessoire ou interaction de production proposé; ne vaut pas relevé exhaustif de la planche.</x:v>
      </x:c>
      <x:c r="Q16" s="7" t="str"/>
      <x:c r="R16" s="21" t="str"/>
      <x:c r="S16" s="21" t="str"/>
    </x:row>
    <x:row r="17" ht="82" customHeight="1">
      <x:c r="A17" s="18" t="str">
        <x:v>FOU-SC-11-PROP</x:v>
      </x:c>
      <x:c r="B17" s="9" t="str">
        <x:v>Panneau de section</x:v>
      </x:c>
      <x:c r="C17" s="15" t="str">
        <x:v>Défini</x:v>
      </x:c>
      <x:c r="D17" s="16" t="str">
        <x:v>Extrapolation</x:v>
      </x:c>
      <x:c r="E17" s="16" t="str">
        <x:v>P1</x:v>
      </x:c>
      <x:c r="F17" s="9" t="str">
        <x:v>Contrôle local original.</x:v>
      </x:c>
      <x:c r="G17" s="9" t="str">
        <x:v>Faire varier les routes d’un vaisseau sans nom non vérifié.</x:v>
      </x:c>
      <x:c r="H17" s="9" t="str">
        <x:v>Permet d’isoler un couloir; garde toujours une sortie pour le groupe.</x:v>
      </x:c>
      <x:c r="I17" s="9" t="str">
        <x:v>Plan de deux compartiments.</x:v>
      </x:c>
      <x:c r="J17" s="9" t="str">
        <x:v>État repos, sélection, utilisation et remise en place; l’objet conserve son pivot entre ces états.</x:v>
      </x:c>
      <x:c r="K17" s="9" t="str">
        <x:v>Bruit de manipulation original et confirmation visible.</x:v>
      </x:c>
      <x:c r="L17" s="9" t="str">
        <x:v>Objet proposé FOU/11/prop; composant inspectable distinct du déclencheur narratif.</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L’objet possède un état visible avant et après interaction; il ne peut pas être perdu ni dupliqué par rechargement.</x:v>
      </x:c>
      <x:c r="O17" s="9" t="str">
        <x:v>FOU-SC-11-MAIN</x:v>
      </x:c>
      <x:c r="P17" s="9" t="str">
        <x:v>Accessoire ou interaction de production proposé; ne vaut pas relevé exhaustif de la planche.</x:v>
      </x:c>
      <x:c r="Q17" s="9" t="str"/>
      <x:c r="R17" s="20" t="str"/>
      <x:c r="S17" s="20" t="str"/>
    </x:row>
    <x:row r="18" ht="82" customHeight="1">
      <x:c r="A18" s="19" t="str">
        <x:v>FOU-SC-12-PROP</x:v>
      </x:c>
      <x:c r="B18" s="7" t="str">
        <x:v>Souvenir matériel — représentation proposée</x:v>
      </x:c>
      <x:c r="C18" s="15" t="str">
        <x:v>Défini</x:v>
      </x:c>
      <x:c r="D18" s="17" t="str">
        <x:v>Extrapolation</x:v>
      </x:c>
      <x:c r="E18" s="17" t="str">
        <x:v>P1</x:v>
      </x:c>
      <x:c r="F18" s="7" t="str">
        <x:v>Accessoire de mémoire dont la forme finale doit être contrôlée.</x:v>
      </x:c>
      <x:c r="G18" s="7" t="str">
        <x:v>Créer une transition émotionnelle sans objet magique.</x:v>
      </x:c>
      <x:c r="H18" s="7" t="str">
        <x:v>Inspection seulement, non vendable et sans statistique.</x:v>
      </x:c>
      <x:c r="I18" s="7" t="str">
        <x:v>Petit objet dans une main, cadrage discret.</x:v>
      </x:c>
      <x:c r="J18" s="7" t="str">
        <x:v>État repos, sélection, utilisation et remise en place; l’objet conserve son pivot entre ces états.</x:v>
      </x:c>
      <x:c r="K18" s="7" t="str">
        <x:v>Bruit de manipulation original et confirmation visible.</x:v>
      </x:c>
      <x:c r="L18" s="7" t="str">
        <x:v>Objet proposé FOU/12/prop; composant inspectable distinct du déclencheur narratif.</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L’objet possède un état visible avant et après interaction; il ne peut pas être perdu ni dupliqué par rechargement.</x:v>
      </x:c>
      <x:c r="O18" s="7" t="str">
        <x:v>FOU-SC-12-MAIN</x:v>
      </x:c>
      <x:c r="P18" s="7" t="str">
        <x:v>Accessoire ou interaction de production proposé; ne vaut pas relevé exhaustif de la planche.</x:v>
      </x:c>
      <x:c r="Q18" s="7" t="str"/>
      <x:c r="R18" s="21" t="str"/>
      <x:c r="S18" s="21" t="str"/>
    </x:row>
    <x:row r="19" ht="82" customHeight="1">
      <x:c r="A19" s="18" t="str">
        <x:v>FOU-SC-13-PROP</x:v>
      </x:c>
      <x:c r="B19" s="9" t="str">
        <x:v>Capsule du clone — objet de mission</x:v>
      </x:c>
      <x:c r="C19" s="15" t="str">
        <x:v>Défini</x:v>
      </x:c>
      <x:c r="D19" s="16" t="str">
        <x:v>Extrapolation</x:v>
      </x:c>
      <x:c r="E19" s="16" t="str">
        <x:v>P1</x:v>
      </x:c>
      <x:c r="F19" s="9" t="str">
        <x:v>Représentation de production fermée.</x:v>
      </x:c>
      <x:c r="G19" s="9" t="str">
        <x:v>Préserver la personnalisation et distinguer copie et original.</x:v>
      </x:c>
      <x:c r="H19" s="9" t="str">
        <x:v>Non équipable, non vendable; identifiant unique de mission et suivi du porteur.</x:v>
      </x:c>
      <x:c r="I19" s="9" t="str">
        <x:v>Volume étanche sans visage fixe, pictogramme clone dans l’interface.</x:v>
      </x:c>
      <x:c r="J19" s="9" t="str">
        <x:v>État repos, sélection, utilisation et remise en place; l’objet conserve son pivot entre ces états.</x:v>
      </x:c>
      <x:c r="K19" s="9" t="str">
        <x:v>Bruit de manipulation original et confirmation visible.</x:v>
      </x:c>
      <x:c r="L19" s="9" t="str">
        <x:v>Objet proposé FOU/13/prop; composant inspectable distinct du déclencheur narratif.</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L’objet possède un état visible avant et après interaction; il ne peut pas être perdu ni dupliqué par rechargement.</x:v>
      </x:c>
      <x:c r="O19" s="9" t="str">
        <x:v>FOU-SC-13-MAIN</x:v>
      </x:c>
      <x:c r="P19" s="9" t="str">
        <x:v>Accessoire ou interaction de production proposé; ne vaut pas relevé exhaustif de la planche.</x:v>
      </x:c>
      <x:c r="Q19" s="9" t="str"/>
      <x:c r="R19" s="20" t="str"/>
      <x:c r="S19" s="20" t="str"/>
    </x:row>
  </x:sheetData>
  <x:conditionalFormatting sqref="D7:D19">
    <x:cfRule type="cellIs" dxfId="28" priority="1" operator="equal">
      <x:formula>"À vérifier"</x:formula>
    </x:cfRule>
    <x:cfRule type="cellIs" dxfId="29" priority="2" operator="equal">
      <x:formula>"Extrapolation"</x:formula>
    </x:cfRule>
  </x:conditionalFormatting>
  <x:conditionalFormatting sqref="C7:C19">
    <x:cfRule type="cellIs" dxfId="30" priority="3" operator="equal">
      <x:formula>"Validé"</x:formula>
    </x:cfRule>
  </x:conditionalFormatting>
  <x:conditionalFormatting sqref="E7:E19">
    <x:cfRule type="cellIs" dxfId="31"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8aa56e8cdf0e4aea"/>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Foundation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FOU-EN-GUARDS</x:v>
      </x:c>
      <x:c r="B7" s="9" t="str">
        <x:v>Gardes d’accès — profils de prototype</x:v>
      </x:c>
      <x:c r="C7" s="15" t="str">
        <x:v>Défini</x:v>
      </x:c>
      <x:c r="D7" s="16" t="str">
        <x:v>Extrapolation</x:v>
      </x:c>
      <x:c r="E7" s="16" t="str">
        <x:v>P1</x:v>
      </x:c>
      <x:c r="F7" s="9" t="str">
        <x:v>Groupes d’opposition génériques proposés pour les modules d’infiltration.</x:v>
      </x:c>
      <x:c r="G7" s="9" t="str">
        <x:v>Obstacle de couverture dans #1, #2 et #10; variantes locales, pas une faction canon nouvelle.</x:v>
      </x:c>
      <x:c r="H7" s="9" t="str">
        <x:v>Profil proposé : Surveillance puis contrôle; la violence n’est pas obligatoire pour ouvrir le trajet.</x:v>
      </x:c>
      <x:c r="I7" s="9" t="str">
        <x:v>Silhouette proposée : Tenues de travail ou sécurité selon la scène, sans logo de société inventé.</x:v>
      </x:c>
      <x:c r="J7" s="9" t="str">
        <x:v>Observation, approche et arrêt au seuil.</x:v>
      </x:c>
      <x:c r="K7" s="9" t="str">
        <x:v>Pas et signal d’accès original.</x:v>
      </x:c>
      <x:c r="L7" s="9" t="str">
        <x:v>Livrable proposé : spécification FOU/enemies/en-guards; brancher au registre de contenu de l'œuvre seulement après production.</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Gardes d’accès — profils de prototype a une silhouette distincte, un comportement télégraphié et une contre-mesure documentée; aucune valeur n'est annoncée comme statistique officielle.</x:v>
      </x:c>
      <x:c r="O7" s="9" t="str"/>
      <x:c r="P7" s="9" t="str">
        <x:v>Mass Effect: Foundation, série concernée</x:v>
      </x:c>
      <x:c r="Q7" s="9" t="str"/>
      <x:c r="R7" s="20" t="str"/>
      <x:c r="S7" s="20" t="str">
        <x:v>L’adversaire ou groupe est attesté selon la source; le combat ATB et ses réglages sont entièrement proposés.</x:v>
      </x:c>
    </x:row>
    <x:row r="8" ht="82" customHeight="1">
      <x:c r="A8" s="19" t="str">
        <x:v>FOU-EN-BATARIAN</x:v>
      </x:c>
      <x:c r="B8" s="7" t="str">
        <x:v>Groupe du chef de guerre batarian</x:v>
      </x:c>
      <x:c r="C8" s="15" t="str">
        <x:v>Défini</x:v>
      </x:c>
      <x:c r="D8" s="17" t="str">
        <x:v>À vérifier</x:v>
      </x:c>
      <x:c r="E8" s="17" t="str">
        <x:v>P1</x:v>
      </x:c>
      <x:c r="F8" s="7" t="str">
        <x:v>Le numéro 6 confronte le duo à un chef de guerre batarian.</x:v>
      </x:c>
      <x:c r="G8" s="7" t="str">
        <x:v>Rencontre localisée, sans attribuer cette conduite à toute une espèce.</x:v>
      </x:c>
      <x:c r="H8" s="7" t="str">
        <x:v>Profil proposé : Fixation et verrou de sortie, réglages de prototype.</x:v>
      </x:c>
      <x:c r="I8" s="7" t="str">
        <x:v>Silhouette proposée : Armement et tenue à contrôler, plusieurs gabarits de couvert.</x:v>
      </x:c>
      <x:c r="J8" s="7" t="str">
        <x:v>Visée, geste d’ordre et déplacement visible.</x:v>
      </x:c>
      <x:c r="K8" s="7" t="str">
        <x:v>Tirs courts et alarme de poste.</x:v>
      </x:c>
      <x:c r="L8" s="7" t="str">
        <x:v>Livrable proposé : spécification FOU/enemies/en-batarian; brancher au registre de contenu de l'œuvre seulement après production.</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Groupe du chef de guerre batarian a une silhouette distincte, un comportement télégraphié et une contre-mesure documentée; aucune valeur n'est annoncée comme statistique officielle.</x:v>
      </x:c>
      <x:c r="O8" s="7" t="str"/>
      <x:c r="P8" s="7" t="str">
        <x:v>Foundation #6</x:v>
      </x:c>
      <x:c r="Q8" s="7" t="str">
        <x:v>FOU-S-ISSUE6</x:v>
      </x:c>
      <x:c r="R8" s="21" t="str">
        <x:v>https://masseffect.fandom.com/wiki/Mass_Effect%3A_Foundation_6</x:v>
      </x:c>
      <x:c r="S8" s="21" t="str">
        <x:v>L’adversaire ou groupe est attesté selon la source; le combat ATB et ses réglages sont entièrement proposés.</x:v>
      </x:c>
    </x:row>
    <x:row r="9" ht="82" customHeight="1">
      <x:c r="A9" s="18" t="str">
        <x:v>FOU-EN-MECHS</x:v>
      </x:c>
      <x:c r="B9" s="9" t="str">
        <x:v>LOKI / YMIR de Lazarus</x:v>
      </x:c>
      <x:c r="C9" s="15" t="str">
        <x:v>Défini</x:v>
      </x:c>
      <x:c r="D9" s="16" t="str">
        <x:v>À vérifier</x:v>
      </x:c>
      <x:c r="E9" s="16" t="str">
        <x:v>P1</x:v>
      </x:c>
      <x:c r="F9" s="9" t="str">
        <x:v>Le final wiki décrit des mechs autour de la fuite de Rasa.</x:v>
      </x:c>
      <x:c r="G9" s="9" t="str">
        <x:v>Groupes à allégeance de scène, jamais hostiles par simple modèle.</x:v>
      </x:c>
      <x:c r="H9" s="9" t="str">
        <x:v>Profil proposé : Une modification d’allégeance est annoncée avant le prochain tour; ne jamais tuer un allié par surprise d’interface.</x:v>
      </x:c>
      <x:c r="I9" s="9" t="str">
        <x:v>Silhouette proposée : LOKI léger et YMIR massif; modèles et tailles à comparer aux cases.</x:v>
      </x:c>
      <x:c r="J9" s="9" t="str">
        <x:v>Rotation de capteur et reprise de trajectoire après changement.</x:v>
      </x:c>
      <x:c r="K9" s="9" t="str">
        <x:v>Servomoteurs et changement de signature sonore.</x:v>
      </x:c>
      <x:c r="L9" s="9" t="str">
        <x:v>Livrable proposé : spécification FOU/enemies/en-mechs; brancher au registre de contenu de l'œuvre seulement après production.</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LOKI / YMIR de Lazarus a une silhouette distincte, un comportement télégraphié et une contre-mesure documentée; aucune valeur n'est annoncée comme statistique officielle.</x:v>
      </x:c>
      <x:c r="O9" s="9" t="str"/>
      <x:c r="P9" s="9" t="str">
        <x:v>Foundation #13</x:v>
      </x:c>
      <x:c r="Q9" s="9" t="str">
        <x:v>FOU-S-ISSUE13</x:v>
      </x:c>
      <x:c r="R9" s="20" t="str">
        <x:v>https://masseffect.fandom.com/wiki/Mass_Effect%3A_Foundation_13</x:v>
      </x:c>
      <x:c r="S9" s="20" t="str">
        <x:v>L’adversaire ou groupe est attesté selon la source; le combat ATB et ses réglages sont entièrement proposés.</x:v>
      </x:c>
    </x:row>
    <x:row r="10" ht="82" customHeight="1">
      <x:c r="A10" s="19" t="str">
        <x:v>FOU-EN-KROGAN</x:v>
      </x:c>
      <x:c r="B10" s="7" t="str">
        <x:v>Opposition sur Tuchanka</x:v>
      </x:c>
      <x:c r="C10" s="15" t="str">
        <x:v>Défini</x:v>
      </x:c>
      <x:c r="D10" s="17" t="str">
        <x:v>À vérifier</x:v>
      </x:c>
      <x:c r="E10" s="17" t="str">
        <x:v>P1</x:v>
      </x:c>
      <x:c r="F10" s="7" t="str">
        <x:v>Le dossier Mordin décrit une opposition krogan à son opération.</x:v>
      </x:c>
      <x:c r="G10" s="7" t="str">
        <x:v>Rencontre au contexte politique et moral explicite.</x:v>
      </x:c>
      <x:c r="H10" s="7" t="str">
        <x:v>Profil proposé : Défense d’un lieu et pression de proximité; le système n’attribue pas une valeur morale à l’espèce.</x:v>
      </x:c>
      <x:c r="I10" s="7" t="str">
        <x:v>Silhouette proposée : Silhouettes lourdes, outils et armement à contrôler; pas de stéréotype uniforme.</x:v>
      </x:c>
      <x:c r="J10" s="7" t="str">
        <x:v>Ancrage, avance puis geste de défi.</x:v>
      </x:c>
      <x:c r="K10" s="7" t="str">
        <x:v>Voix originales et impacts lourds.</x:v>
      </x:c>
      <x:c r="L10" s="7" t="str">
        <x:v>Livrable proposé : spécification FOU/enemies/en-krogan; brancher au registre de contenu de l'œuvre seulement après production.</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Opposition sur Tuchanka a une silhouette distincte, un comportement télégraphié et une contre-mesure documentée; aucune valeur n'est annoncée comme statistique officielle.</x:v>
      </x:c>
      <x:c r="O10" s="7" t="str"/>
      <x:c r="P10" s="7" t="str">
        <x:v>Foundation #9</x:v>
      </x:c>
      <x:c r="Q10" s="7" t="str">
        <x:v>FOU-S-ISSUE9</x:v>
      </x:c>
      <x:c r="R10" s="21" t="str">
        <x:v>https://masseffect.fandom.com/wiki/Mass_Effect%3A_Foundation_9</x:v>
      </x:c>
      <x:c r="S10" s="21" t="str">
        <x:v>L’adversaire ou groupe est attesté selon la source; le combat ATB et ses réglages sont entièrement proposés.</x:v>
      </x:c>
    </x:row>
  </x:sheetData>
  <x:conditionalFormatting sqref="D7:D10">
    <x:cfRule type="cellIs" dxfId="32" priority="1" operator="equal">
      <x:formula>"À vérifier"</x:formula>
    </x:cfRule>
    <x:cfRule type="cellIs" dxfId="33" priority="2" operator="equal">
      <x:formula>"Extrapolation"</x:formula>
    </x:cfRule>
  </x:conditionalFormatting>
  <x:conditionalFormatting sqref="C7:C10">
    <x:cfRule type="cellIs" dxfId="34" priority="3" operator="equal">
      <x:formula>"Validé"</x:formula>
    </x:cfRule>
  </x:conditionalFormatting>
  <x:conditionalFormatting sqref="E7:E10">
    <x:cfRule type="cellIs" dxfId="3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d5b3faa4fd224cf3"/>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Foundation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FOU-SC-01-MAIN</x:v>
      </x:c>
      <x:c r="B7" s="9" t="str">
        <x:v>#1 — passé sur Themis — objectif jouable</x:v>
      </x:c>
      <x:c r="C7" s="15" t="str">
        <x:v>Défini</x:v>
      </x:c>
      <x:c r="D7" s="16" t="str">
        <x:v>Extrapolation</x:v>
      </x:c>
      <x:c r="E7" s="16" t="str">
        <x:v>P0</x:v>
      </x:c>
      <x:c r="F7" s="9" t="str">
        <x:v>Observer un environnement minier et atteindre une issue de souvenir.</x:v>
      </x:c>
      <x:c r="G7" s="9" t="str">
        <x:v>Routine contrainte → observation → passage → sortie du cadre d’origine.</x:v>
      </x:c>
      <x:c r="H7" s="9" t="str">
        <x:v>Ressources d’enfant limitées; aucune aptitude adulte ni mission d’assassinat libre ajoutée.</x:v>
      </x:c>
      <x:c r="I7" s="9" t="str">
        <x:v>Passerelle étroite et lumière du treuil en arrière-plan.</x:v>
      </x:c>
      <x:c r="J7" s="9" t="str">
        <x:v>Entrée prudente, geste d'inspection et retour au contrôle pour « #1 — passé sur Themis »; poser les sprites avant tout changement de caméra.</x:v>
      </x:c>
      <x:c r="K7" s="9" t="str">
        <x:v>Travail minier répétitif puis espace sonore plus ouvert.</x:v>
      </x:c>
      <x:c r="L7" s="9" t="str">
        <x:v>Graphe proposé FOU/quests/01: entrée → objectif actif → résolution → raccord; conditions terminales séparées des points facultatifs.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L'objectif « #1 — passé sur Themis » atteint son raccord annoncé après chaque méthode; sauvegarde, rechargement et saut de scène n'en changent ni le groupe ni les informations acquises.</x:v>
      </x:c>
      <x:c r="O7" s="9" t="str">
        <x:v>FOU-SC-01-REF</x:v>
      </x:c>
      <x:c r="P7" s="9" t="str">
        <x:v>Conception originale rattachée à Foundation #1</x:v>
      </x:c>
      <x:c r="Q7" s="9" t="str"/>
      <x:c r="R7" s="20" t="str"/>
      <x:c r="S7" s="20" t="str"/>
    </x:row>
    <x:row r="8" ht="82" customHeight="1">
      <x:c r="A8" s="19" t="str">
        <x:v>FOU-SC-02-MAIN</x:v>
      </x:c>
      <x:c r="B8" s="7" t="str">
        <x:v>#2 — dossier Wrex — objectif jouable</x:v>
      </x:c>
      <x:c r="C8" s="15" t="str">
        <x:v>Défini</x:v>
      </x:c>
      <x:c r="D8" s="17" t="str">
        <x:v>Extrapolation</x:v>
      </x:c>
      <x:c r="E8" s="17" t="str">
        <x:v>P0</x:v>
      </x:c>
      <x:c r="F8" s="7" t="str">
        <x:v>Atteindre un accès avant qu’une présence concurrente ne bouleverse le parcours.</x:v>
      </x:c>
      <x:c r="G8" s="7" t="str">
        <x:v>Dossier → couverture → choix de route → convergence du récit.</x:v>
      </x:c>
      <x:c r="H8" s="7" t="str">
        <x:v>La pression est qualitative et visible; Wrex ne devient pas un ennemi à tuer pour réussir.</x:v>
      </x:c>
      <x:c r="I8" s="7" t="str">
        <x:v>Accès résidentiel et contrôle de transit clair.</x:v>
      </x:c>
      <x:c r="J8" s="7" t="str">
        <x:v>Entrée prudente, geste d'inspection et retour au contrôle pour « #2 — dossier Wrex »; poser les sprites avant tout changement de caméra.</x:v>
      </x:c>
      <x:c r="K8" s="7" t="str">
        <x:v>Bureau calme puis bruit urbain de la Citadelle.</x:v>
      </x:c>
      <x:c r="L8" s="7" t="str">
        <x:v>Graphe proposé FOU/quests/02: entrée → objectif actif → résolution → raccord; conditions terminales séparées des points facultatifs.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L'objectif « #2 — dossier Wrex » atteint son raccord annoncé après chaque méthode; sauvegarde, rechargement et saut de scène n'en changent ni le groupe ni les informations acquises.</x:v>
      </x:c>
      <x:c r="O8" s="7" t="str">
        <x:v>FOU-SC-02-REF</x:v>
      </x:c>
      <x:c r="P8" s="7" t="str">
        <x:v>Conception originale rattachée à Foundation #2</x:v>
      </x:c>
      <x:c r="Q8" s="7" t="str"/>
      <x:c r="R8" s="21" t="str"/>
      <x:c r="S8" s="21" t="str"/>
    </x:row>
    <x:row r="9" ht="82" customHeight="1">
      <x:c r="A9" s="18" t="str">
        <x:v>FOU-SC-03-MAIN</x:v>
      </x:c>
      <x:c r="B9" s="9" t="str">
        <x:v>#3 — dossier Ashley — objectif jouable</x:v>
      </x:c>
      <x:c r="C9" s="15" t="str">
        <x:v>Défini</x:v>
      </x:c>
      <x:c r="D9" s="16" t="str">
        <x:v>Extrapolation</x:v>
      </x:c>
      <x:c r="E9" s="16" t="str">
        <x:v>P0</x:v>
      </x:c>
      <x:c r="F9" s="9" t="str">
        <x:v>Relier des éléments d’entretien à un souvenir de terrain limité.</x:v>
      </x:c>
      <x:c r="G9" s="9" t="str">
        <x:v>Entretien → épisode de section → retour au témoignage → classement.</x:v>
      </x:c>
      <x:c r="H9" s="9" t="str">
        <x:v>Le joueur classe propos et faits observés séparément; la qualité d’un entretien ne réécrit pas les pertes.</x:v>
      </x:c>
      <x:c r="I9" s="9" t="str">
        <x:v>Cadre clinique simple puis espace extérieur ouvert.</x:v>
      </x:c>
      <x:c r="J9" s="9" t="str">
        <x:v>Entrée prudente, geste d'inspection et retour au contrôle pour « #3 — dossier Ashley »; poser les sprites avant tout changement de caméra.</x:v>
      </x:c>
      <x:c r="K9" s="9" t="str">
        <x:v>Voix proche et transition vers radio de section originale.</x:v>
      </x:c>
      <x:c r="L9" s="9" t="str">
        <x:v>Graphe proposé FOU/quests/03: entrée → objectif actif → résolution → raccord; conditions terminales séparées des points facultatifs.</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L'objectif « #3 — dossier Ashley » atteint son raccord annoncé après chaque méthode; sauvegarde, rechargement et saut de scène n'en changent ni le groupe ni les informations acquises.</x:v>
      </x:c>
      <x:c r="O9" s="9" t="str">
        <x:v>FOU-SC-03-REF</x:v>
      </x:c>
      <x:c r="P9" s="9" t="str">
        <x:v>Conception originale rattachée à Foundation #3</x:v>
      </x:c>
      <x:c r="Q9" s="9" t="str"/>
      <x:c r="R9" s="20" t="str"/>
      <x:c r="S9" s="20" t="str"/>
    </x:row>
    <x:row r="10" ht="82" customHeight="1">
      <x:c r="A10" s="19" t="str">
        <x:v>FOU-SC-04-MAIN</x:v>
      </x:c>
      <x:c r="B10" s="7" t="str">
        <x:v>#4 — formation de Kaidan — objectif jouable</x:v>
      </x:c>
      <x:c r="C10" s="15" t="str">
        <x:v>Défini</x:v>
      </x:c>
      <x:c r="D10" s="17" t="str">
        <x:v>Extrapolation</x:v>
      </x:c>
      <x:c r="E10" s="17" t="str">
        <x:v>P0</x:v>
      </x:c>
      <x:c r="F10" s="7" t="str">
        <x:v>Parcourir l’exercice puis le conflit en conservant la gravité de son issue.</x:v>
      </x:c>
      <x:c r="G10" s="7" t="str">
        <x:v>Repos → exercice → tension → événement fixé → retour au dossier.</x:v>
      </x:c>
      <x:c r="H10" s="7" t="str">
        <x:v>Les exercices de contrôle sont facultativement assistés; le conflit n’est pas un boss offrant du butin.</x:v>
      </x:c>
      <x:c r="I10" s="7" t="str">
        <x:v>Objets d’exercice simples et zones de sécurité visibles.</x:v>
      </x:c>
      <x:c r="J10" s="7" t="str">
        <x:v>Entrée prudente, geste d'inspection et retour au contrôle pour « #4 — formation de Kaidan »; poser les sprites avant tout changement de caméra.</x:v>
      </x:c>
      <x:c r="K10" s="7" t="str">
        <x:v>Ventilation stable puis silence à la rupture.</x:v>
      </x:c>
      <x:c r="L10" s="7" t="str">
        <x:v>Graphe proposé FOU/quests/04: entrée → objectif actif → résolution → raccord; conditions terminales séparées des points facultatifs.</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L'objectif « #4 — formation de Kaidan » atteint son raccord annoncé après chaque méthode; sauvegarde, rechargement et saut de scène n'en changent ni le groupe ni les informations acquises.</x:v>
      </x:c>
      <x:c r="O10" s="7" t="str">
        <x:v>FOU-SC-04-REF</x:v>
      </x:c>
      <x:c r="P10" s="7" t="str">
        <x:v>Conception originale rattachée à Foundation #4</x:v>
      </x:c>
      <x:c r="Q10" s="7" t="str"/>
      <x:c r="R10" s="21" t="str"/>
      <x:c r="S10" s="21" t="str"/>
    </x:row>
    <x:row r="11" ht="82" customHeight="1">
      <x:c r="A11" s="18" t="str">
        <x:v>FOU-SC-05-MAIN</x:v>
      </x:c>
      <x:c r="B11" s="9" t="str">
        <x:v>#5 — recherche de Shepard — objectif jouable</x:v>
      </x:c>
      <x:c r="C11" s="15" t="str">
        <x:v>Défini</x:v>
      </x:c>
      <x:c r="D11" s="16" t="str">
        <x:v>Extrapolation</x:v>
      </x:c>
      <x:c r="E11" s="16" t="str">
        <x:v>P0</x:v>
      </x:c>
      <x:c r="F11" s="9" t="str">
        <x:v>Vérifier une piste en duo sur un site limité.</x:v>
      </x:c>
      <x:c r="G11" s="9" t="str">
        <x:v>Briefing → inspection → résultat incomplet → nouvelle pression.</x:v>
      </x:c>
      <x:c r="H11" s="9" t="str">
        <x:v>Inspecter nécessite que l’autre personnage protège ou surveille; aucune réussite de jet aléatoire bloque le récit.</x:v>
      </x:c>
      <x:c r="I11" s="9" t="str">
        <x:v>Antenne de transit et couvert distinct des objets inspectables.</x:v>
      </x:c>
      <x:c r="J11" s="9" t="str">
        <x:v>Entrée prudente, geste d'inspection et retour au contrôle pour « #5 — recherche de Shepard »; poser les sprites avant tout changement de caméra.</x:v>
      </x:c>
      <x:c r="K11" s="9" t="str">
        <x:v>Radio et bruit de manipulation original.</x:v>
      </x:c>
      <x:c r="L11" s="9" t="str">
        <x:v>Graphe proposé FOU/quests/05: entrée → objectif actif → résolution → raccord; conditions terminales séparées des points facultatifs.</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L'objectif « #5 — recherche de Shepard » atteint son raccord annoncé après chaque méthode; sauvegarde, rechargement et saut de scène n'en changent ni le groupe ni les informations acquises.</x:v>
      </x:c>
      <x:c r="O11" s="9" t="str">
        <x:v>FOU-SC-05-REF</x:v>
      </x:c>
      <x:c r="P11" s="9" t="str">
        <x:v>Conception originale rattachée à Foundation #5</x:v>
      </x:c>
      <x:c r="Q11" s="9" t="str"/>
      <x:c r="R11" s="20" t="str"/>
      <x:c r="S11" s="20" t="str"/>
    </x:row>
    <x:row r="12" ht="82" customHeight="1">
      <x:c r="A12" s="19" t="str">
        <x:v>FOU-SC-06-MAIN</x:v>
      </x:c>
      <x:c r="B12" s="7" t="str">
        <x:v>#6 — piège batarian — objectif jouable</x:v>
      </x:c>
      <x:c r="C12" s="15" t="str">
        <x:v>Défini</x:v>
      </x:c>
      <x:c r="D12" s="17" t="str">
        <x:v>Extrapolation</x:v>
      </x:c>
      <x:c r="E12" s="17" t="str">
        <x:v>P0</x:v>
      </x:c>
      <x:c r="F12" s="7" t="str">
        <x:v>Quitter un secteur sous menace après avoir obtenu l’information nécessaire.</x:v>
      </x:c>
      <x:c r="G12" s="7" t="str">
        <x:v>Constat de piège → coordination → traversée → sortie.</x:v>
      </x:c>
      <x:c r="H12" s="7" t="str">
        <x:v>La sortie est l’objectif; vaincre tous les adversaires n’est pas requis et ne crée pas de victoire politique canon.</x:v>
      </x:c>
      <x:c r="I12" s="7" t="str">
        <x:v>Cour de service et obstacles bas lisibles.</x:v>
      </x:c>
      <x:c r="J12" s="7" t="str">
        <x:v>Entrée prudente, geste d'inspection et retour au contrôle pour « #6 — piège batarian »; poser les sprites avant tout changement de caméra.</x:v>
      </x:c>
      <x:c r="K12" s="7" t="str">
        <x:v>Tirs courts, porte industrielle et respiration du groupe.</x:v>
      </x:c>
      <x:c r="L12" s="7" t="str">
        <x:v>Graphe proposé FOU/quests/06: entrée → objectif actif → résolution → raccord; conditions terminales séparées des points facultatifs.</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L'objectif « #6 — piège batarian » atteint son raccord annoncé après chaque méthode; sauvegarde, rechargement et saut de scène n'en changent ni le groupe ni les informations acquises.</x:v>
      </x:c>
      <x:c r="O12" s="7" t="str">
        <x:v>FOU-SC-06-REF</x:v>
      </x:c>
      <x:c r="P12" s="7" t="str">
        <x:v>Conception originale rattachée à Foundation #6</x:v>
      </x:c>
      <x:c r="Q12" s="7" t="str"/>
      <x:c r="R12" s="21" t="str"/>
      <x:c r="S12" s="21" t="str"/>
    </x:row>
    <x:row r="13" ht="82" customHeight="1">
      <x:c r="A13" s="18" t="str">
        <x:v>FOU-SC-07-MAIN</x:v>
      </x:c>
      <x:c r="B13" s="9" t="str">
        <x:v>#7 — Sujet Zéro — objectif jouable</x:v>
      </x:c>
      <x:c r="C13" s="15" t="str">
        <x:v>Défini</x:v>
      </x:c>
      <x:c r="D13" s="16" t="str">
        <x:v>Extrapolation</x:v>
      </x:c>
      <x:c r="E13" s="16" t="str">
        <x:v>P0</x:v>
      </x:c>
      <x:c r="F13" s="9" t="str">
        <x:v>Survivre à la rupture d’un plan de capture sans présenter Jack comme consentante.</x:v>
      </x:c>
      <x:c r="G13" s="9" t="str">
        <x:v>Approche → pression biotique → repli → compte rendu.</x:v>
      </x:c>
      <x:c r="H13" s="9" t="str">
        <x:v>Le prototype utilise des zones de danger et un objectif de retrait; aucune jauge ne transforme la capture en mini-jeu gratifiant.</x:v>
      </x:c>
      <x:c r="I13" s="9" t="str">
        <x:v>Contours biotiques localisés et éléments de couvert mobiles.</x:v>
      </x:c>
      <x:c r="J13" s="9" t="str">
        <x:v>Entrée prudente, geste d'inspection et retour au contrôle pour « #7 — Sujet Zéro »; poser les sprites avant tout changement de caméra.</x:v>
      </x:c>
      <x:c r="K13" s="9" t="str">
        <x:v>Onde grave originale et silences entre les impacts.</x:v>
      </x:c>
      <x:c r="L13" s="9" t="str">
        <x:v>Graphe proposé FOU/quests/07: entrée → objectif actif → résolution → raccord; conditions terminales séparées des points facultatifs.</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L'objectif « #7 — Sujet Zéro » atteint son raccord annoncé après chaque méthode; sauvegarde, rechargement et saut de scène n'en changent ni le groupe ni les informations acquises.</x:v>
      </x:c>
      <x:c r="O13" s="9" t="str">
        <x:v>FOU-SC-07-REF</x:v>
      </x:c>
      <x:c r="P13" s="9" t="str">
        <x:v>Conception originale rattachée à Foundation #7; sujet corroboré par le volume 2</x:v>
      </x:c>
      <x:c r="Q13" s="9" t="str"/>
      <x:c r="R13" s="20" t="str"/>
      <x:c r="S13" s="20" t="str"/>
    </x:row>
    <x:row r="14" ht="82" customHeight="1">
      <x:c r="A14" s="19" t="str">
        <x:v>FOU-SC-08-MAIN</x:v>
      </x:c>
      <x:c r="B14" s="7" t="str">
        <x:v>#8 — rencontre avec Thane — objectif jouable</x:v>
      </x:c>
      <x:c r="C14" s="15" t="str">
        <x:v>Défini</x:v>
      </x:c>
      <x:c r="D14" s="17" t="str">
        <x:v>Extrapolation</x:v>
      </x:c>
      <x:c r="E14" s="17" t="str">
        <x:v>P0</x:v>
      </x:c>
      <x:c r="F14" s="7" t="str">
        <x:v>Conduire une approche prudente puis gérer une information qui échappe à Rasa.</x:v>
      </x:c>
      <x:c r="G14" s="7" t="str">
        <x:v>Préparation → observation → confrontation de méthodes → raccord.</x:v>
      </x:c>
      <x:c r="H14" s="7" t="str">
        <x:v>Les indices servent à prévoir des accès, pas à rendre Thane entièrement lisible ou recruté.</x:v>
      </x:c>
      <x:c r="I14" s="7" t="str">
        <x:v>Fond sobre, points d’accès et faible contraste sur les passages secondaires.</x:v>
      </x:c>
      <x:c r="J14" s="7" t="str">
        <x:v>Entrée prudente, geste d'inspection et retour au contrôle pour « #8 — rencontre avec Thane »; poser les sprites avant tout changement de caméra.</x:v>
      </x:c>
      <x:c r="K14" s="7" t="str">
        <x:v>Bruit de lieu discret et silence à chaque échange décisif.</x:v>
      </x:c>
      <x:c r="L14" s="7" t="str">
        <x:v>Graphe proposé FOU/quests/08: entrée → objectif actif → résolution → raccord; conditions terminales séparées des points facultatifs.</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L'objectif « #8 — rencontre avec Thane » atteint son raccord annoncé après chaque méthode; sauvegarde, rechargement et saut de scène n'en changent ni le groupe ni les informations acquises.</x:v>
      </x:c>
      <x:c r="O14" s="7" t="str">
        <x:v>FOU-SC-08-REF</x:v>
      </x:c>
      <x:c r="P14" s="7" t="str">
        <x:v>Conception originale rattachée à Foundation #8</x:v>
      </x:c>
      <x:c r="Q14" s="7" t="str"/>
      <x:c r="R14" s="21" t="str"/>
      <x:c r="S14" s="21" t="str"/>
    </x:row>
    <x:row r="15" ht="82" customHeight="1">
      <x:c r="A15" s="18" t="str">
        <x:v>FOU-SC-09-MAIN</x:v>
      </x:c>
      <x:c r="B15" s="9" t="str">
        <x:v>#9 — dossier Mordin — objectif jouable</x:v>
      </x:c>
      <x:c r="C15" s="15" t="str">
        <x:v>Défini</x:v>
      </x:c>
      <x:c r="D15" s="16" t="str">
        <x:v>Extrapolation</x:v>
      </x:c>
      <x:c r="E15" s="16" t="str">
        <x:v>P0</x:v>
      </x:c>
      <x:c r="F15" s="9" t="str">
        <x:v>Suivre une opération et ses conséquences sans transformer le débat en simple jauge de réussite.</x:v>
      </x:c>
      <x:c r="G15" s="9" t="str">
        <x:v>Décision → terrain → opposition → extraction → interrogation morale.</x:v>
      </x:c>
      <x:c r="H15" s="9" t="str">
        <x:v>Le succès de navigation est séparé du jugement; aucune récompense n’approuve automatiquement la décision narrative.</x:v>
      </x:c>
      <x:c r="I15" s="9" t="str">
        <x:v>Ruines de Tuchanka, contraste des silhouettes salarianes et kroganes.</x:v>
      </x:c>
      <x:c r="J15" s="9" t="str">
        <x:v>Entrée prudente, geste d'inspection et retour au contrôle pour « #9 — dossier Mordin »; poser les sprites avant tout changement de caméra.</x:v>
      </x:c>
      <x:c r="K15" s="9" t="str">
        <x:v>Vent grave et musique réduite pendant la confrontation d’idées.</x:v>
      </x:c>
      <x:c r="L15" s="9" t="str">
        <x:v>Graphe proposé FOU/quests/09: entrée → objectif actif → résolution → raccord; conditions terminales séparées des points facultatifs.</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L'objectif « #9 — dossier Mordin » atteint son raccord annoncé après chaque méthode; sauvegarde, rechargement et saut de scène n'en changent ni le groupe ni les informations acquises.</x:v>
      </x:c>
      <x:c r="O15" s="9" t="str">
        <x:v>FOU-SC-09-REF</x:v>
      </x:c>
      <x:c r="P15" s="9" t="str">
        <x:v>Conception originale rattachée à Foundation #9</x:v>
      </x:c>
      <x:c r="Q15" s="9" t="str"/>
      <x:c r="R15" s="20" t="str"/>
      <x:c r="S15" s="20" t="str"/>
    </x:row>
    <x:row r="16" ht="82" customHeight="1">
      <x:c r="A16" s="19" t="str">
        <x:v>FOU-SC-10-MAIN</x:v>
      </x:c>
      <x:c r="B16" s="7" t="str">
        <x:v>#10 — dossier Kasumi — objectif jouable</x:v>
      </x:c>
      <x:c r="C16" s="15" t="str">
        <x:v>Défini</x:v>
      </x:c>
      <x:c r="D16" s="17" t="str">
        <x:v>Extrapolation</x:v>
      </x:c>
      <x:c r="E16" s="17" t="str">
        <x:v>P0</x:v>
      </x:c>
      <x:c r="F16" s="7" t="str">
        <x:v>Mener une infiltration locale avec un partenaire de contexte.</x:v>
      </x:c>
      <x:c r="G16" s="7" t="str">
        <x:v>Repérage → accès discret → récupération proposée → raccord narratif.</x:v>
      </x:c>
      <x:c r="H16" s="7" t="str">
        <x:v>Les objets optionnels restent des accessoires de prototype; aucune réussite parfaite ne change le deuil décrit par le volume.</x:v>
      </x:c>
      <x:c r="I16" s="7" t="str">
        <x:v>Surfaces de prestige et passages techniques, contraste doux autour de la capuche.</x:v>
      </x:c>
      <x:c r="J16" s="7" t="str">
        <x:v>Entrée prudente, geste d'inspection et retour au contrôle pour « #10 — dossier Kasumi »; poser les sprites avant tout changement de caméra.</x:v>
      </x:c>
      <x:c r="K16" s="7" t="str">
        <x:v>Musique originale feutrée et petits clics d’outils.</x:v>
      </x:c>
      <x:c r="L16" s="7" t="str">
        <x:v>Graphe proposé FOU/quests/10: entrée → objectif actif → résolution → raccord; conditions terminales séparées des points facultatifs.</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L'objectif « #10 — dossier Kasumi » atteint son raccord annoncé après chaque méthode; sauvegarde, rechargement et saut de scène n'en changent ni le groupe ni les informations acquises.</x:v>
      </x:c>
      <x:c r="O16" s="7" t="str">
        <x:v>FOU-SC-10-REF</x:v>
      </x:c>
      <x:c r="P16" s="7" t="str">
        <x:v>Conception originale rattachée à Foundation #10; sujet corroboré par le volume 3</x:v>
      </x:c>
      <x:c r="Q16" s="7" t="str"/>
      <x:c r="R16" s="21" t="str"/>
      <x:c r="S16" s="21" t="str"/>
    </x:row>
    <x:row r="17" ht="82" customHeight="1">
      <x:c r="A17" s="18" t="str">
        <x:v>FOU-SC-11-MAIN</x:v>
      </x:c>
      <x:c r="B17" s="9" t="str">
        <x:v>#11 — dossier Zaeed — objectif jouable</x:v>
      </x:c>
      <x:c r="C17" s="15" t="str">
        <x:v>Défini</x:v>
      </x:c>
      <x:c r="D17" s="16" t="str">
        <x:v>Extrapolation</x:v>
      </x:c>
      <x:c r="E17" s="16" t="str">
        <x:v>P0</x:v>
      </x:c>
      <x:c r="F17" s="9" t="str">
        <x:v>Traverser une portion de vaisseau sous pression.</x:v>
      </x:c>
      <x:c r="G17" s="9" t="str">
        <x:v>Entrée → menace de couloir → action sur accès → extraction.</x:v>
      </x:c>
      <x:c r="H17" s="9" t="str">
        <x:v>La destruction globale n’est pas une condition de score; l’objectif local et le raccord source restent distincts.</x:v>
      </x:c>
      <x:c r="I17" s="9" t="str">
        <x:v>Portes de sécurité, câbles et couvert bas fixé au sol.</x:v>
      </x:c>
      <x:c r="J17" s="9" t="str">
        <x:v>Entrée prudente, geste d'inspection et retour au contrôle pour « #11 — dossier Zaeed »; poser les sprites avant tout changement de caméra.</x:v>
      </x:c>
      <x:c r="K17" s="9" t="str">
        <x:v>Résonance de coque, tirs espacés et verrou de porte.</x:v>
      </x:c>
      <x:c r="L17" s="9" t="str">
        <x:v>Graphe proposé FOU/quests/11: entrée → objectif actif → résolution → raccord; conditions terminales séparées des points facultatifs.</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L'objectif « #11 — dossier Zaeed » atteint son raccord annoncé après chaque méthode; sauvegarde, rechargement et saut de scène n'en changent ni le groupe ni les informations acquises.</x:v>
      </x:c>
      <x:c r="O17" s="9" t="str">
        <x:v>FOU-SC-11-REF</x:v>
      </x:c>
      <x:c r="P17" s="9" t="str">
        <x:v>Conception originale rattachée à Foundation #11; recouper avec VOL3</x:v>
      </x:c>
      <x:c r="Q17" s="9" t="str"/>
      <x:c r="R17" s="20" t="str"/>
      <x:c r="S17" s="20" t="str"/>
    </x:row>
    <x:row r="18" ht="82" customHeight="1">
      <x:c r="A18" s="19" t="str">
        <x:v>FOU-SC-12-MAIN</x:v>
      </x:c>
      <x:c r="B18" s="7" t="str">
        <x:v>#12 — histoire de Thane — objectif jouable</x:v>
      </x:c>
      <x:c r="C18" s="15" t="str">
        <x:v>Défini</x:v>
      </x:c>
      <x:c r="D18" s="17" t="str">
        <x:v>Extrapolation</x:v>
      </x:c>
      <x:c r="E18" s="17" t="str">
        <x:v>P0</x:v>
      </x:c>
      <x:c r="F18" s="7" t="str">
        <x:v>Parcourir des souvenirs avec une mise en scène retenue.</x:v>
      </x:c>
      <x:c r="G18" s="7" t="str">
        <x:v>Relation → absence → recherche → réflexion.</x:v>
      </x:c>
      <x:c r="H18" s="7" t="str">
        <x:v>Les scènes de violence ne sont pas une chaîne de primes; l’interaction porte surtout sur observation, transition et interprétation.</x:v>
      </x:c>
      <x:c r="I18" s="7" t="str">
        <x:v>Matériaux simples et mer en arrière-plan si confirmée dans les planches.</x:v>
      </x:c>
      <x:c r="J18" s="7" t="str">
        <x:v>Entrée prudente, geste d'inspection et retour au contrôle pour « #12 — histoire de Thane »; poser les sprites avant tout changement de caméra.</x:v>
      </x:c>
      <x:c r="K18" s="7" t="str">
        <x:v>Ambiance naturelle réduite et silence assumé.</x:v>
      </x:c>
      <x:c r="L18" s="7" t="str">
        <x:v>Graphe proposé FOU/quests/12: entrée → objectif actif → résolution → raccord; conditions terminales séparées des points facultatifs.</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L'objectif « #12 — histoire de Thane » atteint son raccord annoncé après chaque méthode; sauvegarde, rechargement et saut de scène n'en changent ni le groupe ni les informations acquises.</x:v>
      </x:c>
      <x:c r="O18" s="7" t="str">
        <x:v>FOU-SC-12-REF</x:v>
      </x:c>
      <x:c r="P18" s="7" t="str">
        <x:v>Conception originale rattachée à Foundation #12</x:v>
      </x:c>
      <x:c r="Q18" s="7" t="str"/>
      <x:c r="R18" s="21" t="str"/>
      <x:c r="S18" s="21" t="str"/>
    </x:row>
    <x:row r="19" ht="82" customHeight="1">
      <x:c r="A19" s="18" t="str">
        <x:v>FOU-SC-13-MAIN</x:v>
      </x:c>
      <x:c r="B19" s="9" t="str">
        <x:v>#13 — sortie de Rasa — objectif jouable</x:v>
      </x:c>
      <x:c r="C19" s="15" t="str">
        <x:v>Défini</x:v>
      </x:c>
      <x:c r="D19" s="16" t="str">
        <x:v>Extrapolation</x:v>
      </x:c>
      <x:c r="E19" s="16" t="str">
        <x:v>P0</x:v>
      </x:c>
      <x:c r="F19" s="9" t="str">
        <x:v>Faire progresser un objet de mission à travers les secteurs de la station.</x:v>
      </x:c>
      <x:c r="G19" s="9" t="str">
        <x:v>Laboratoire → changement d’accès → sas → coque → départ fixé.</x:v>
      </x:c>
      <x:c r="H19" s="9" t="str">
        <x:v>La capsule reste liée à un acteur porteur; une erreur de parcours provoque une reprise, pas la création d’un deuxième clone.</x:v>
      </x:c>
      <x:c r="I19" s="9" t="str">
        <x:v>Éclairage clinique, sas lumineux et noir spatial; visage de Shepard non imposé.</x:v>
      </x:c>
      <x:c r="J19" s="9" t="str">
        <x:v>Entrée prudente, geste d'inspection et retour au contrôle pour « #13 — sortie de Rasa »; poser les sprites avant tout changement de caméra.</x:v>
      </x:c>
      <x:c r="K19" s="9" t="str">
        <x:v>Alarmes, souffle de combinaison et silence extérieur conventionnel.</x:v>
      </x:c>
      <x:c r="L19" s="9" t="str">
        <x:v>Graphe proposé FOU/quests/13: entrée → objectif actif → résolution → raccord; conditions terminales séparées des points facultatifs.</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L'objectif « #13 — sortie de Rasa » atteint son raccord annoncé après chaque méthode; sauvegarde, rechargement et saut de scène n'en changent ni le groupe ni les informations acquises.</x:v>
      </x:c>
      <x:c r="O19" s="9" t="str">
        <x:v>FOU-SC-13-REF</x:v>
      </x:c>
      <x:c r="P19" s="9" t="str">
        <x:v>Conception originale rattachée à Foundation #13</x:v>
      </x:c>
      <x:c r="Q19" s="9" t="str"/>
      <x:c r="R19" s="20" t="str"/>
      <x:c r="S19" s="20" t="str"/>
    </x:row>
  </x:sheetData>
  <x:conditionalFormatting sqref="D7:D19">
    <x:cfRule type="cellIs" dxfId="36" priority="1" operator="equal">
      <x:formula>"À vérifier"</x:formula>
    </x:cfRule>
    <x:cfRule type="cellIs" dxfId="37" priority="2" operator="equal">
      <x:formula>"Extrapolation"</x:formula>
    </x:cfRule>
  </x:conditionalFormatting>
  <x:conditionalFormatting sqref="C7:C19">
    <x:cfRule type="cellIs" dxfId="38" priority="3" operator="equal">
      <x:formula>"Validé"</x:formula>
    </x:cfRule>
  </x:conditionalFormatting>
  <x:conditionalFormatting sqref="E7:E19">
    <x:cfRule type="cellIs" dxfId="39"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78136a6ecafb4b77"/>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Foundation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FOU-SC-01-SIDE</x:v>
      </x:c>
      <x:c r="B7" s="9" t="str">
        <x:v>Observer un changement de relève</x:v>
      </x:c>
      <x:c r="C7" s="15" t="str">
        <x:v>Défini</x:v>
      </x:c>
      <x:c r="D7" s="16" t="str">
        <x:v>Extrapolation</x:v>
      </x:c>
      <x:c r="E7" s="16" t="str">
        <x:v>P2</x:v>
      </x:c>
      <x:c r="F7" s="9" t="str">
        <x:v>Tâche originale de prudence.</x:v>
      </x:c>
      <x:c r="G7" s="9" t="str">
        <x:v>Favoriser l’observation.</x:v>
      </x:c>
      <x:c r="H7" s="9" t="str">
        <x:v>Donne un intervalle de passage; aucune récompense de combat.</x:v>
      </x:c>
      <x:c r="I7" s="9" t="str">
        <x:v>Passerelle étroite et lumière du treuil en arrière-plan.</x:v>
      </x:c>
      <x:c r="J7" s="9" t="str">
        <x:v>Inspection, interaction courte, confirmation; permettre de renoncer sans bloquer le chemin principal.</x:v>
      </x:c>
      <x:c r="K7" s="9" t="str">
        <x:v>Confirmation discrète; aucune réplique source réemployée.</x:v>
      </x:c>
      <x:c r="L7" s="9" t="str">
        <x:v>Objectif facultatif FOU/01/optional; récompense locale de contexte, pas de modification de la fin.</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Terminer, ignorer ou abandonner cette tâche laisse le récit principal accessible et conserve correctement l’état en sauvegarde.</x:v>
      </x:c>
      <x:c r="O7" s="9" t="str">
        <x:v>FOU-SC-01-MAIN</x:v>
      </x:c>
      <x:c r="P7" s="9" t="str">
        <x:v>Ajout original; cette tâche n’est pas attestée dans le comic.</x:v>
      </x:c>
      <x:c r="Q7" s="9" t="str"/>
      <x:c r="R7" s="20" t="str"/>
      <x:c r="S7" s="20" t="str"/>
    </x:row>
    <x:row r="8" ht="82" customHeight="1">
      <x:c r="A8" s="19" t="str">
        <x:v>FOU-SC-02-SIDE</x:v>
      </x:c>
      <x:c r="B8" s="7" t="str">
        <x:v>Confirmer un accès secondaire</x:v>
      </x:c>
      <x:c r="C8" s="15" t="str">
        <x:v>Défini</x:v>
      </x:c>
      <x:c r="D8" s="17" t="str">
        <x:v>Extrapolation</x:v>
      </x:c>
      <x:c r="E8" s="17" t="str">
        <x:v>P2</x:v>
      </x:c>
      <x:c r="F8" s="7" t="str">
        <x:v>Repérage facultatif original.</x:v>
      </x:c>
      <x:c r="G8" s="7" t="str">
        <x:v>Réduire une surprise de route.</x:v>
      </x:c>
      <x:c r="H8" s="7" t="str">
        <x:v>N’empêche pas la rencontre source avec Wrex.</x:v>
      </x:c>
      <x:c r="I8" s="7" t="str">
        <x:v>Accès résidentiel et contrôle de transit clair.</x:v>
      </x:c>
      <x:c r="J8" s="7" t="str">
        <x:v>Inspection, interaction courte, confirmation; permettre de renoncer sans bloquer le chemin principal.</x:v>
      </x:c>
      <x:c r="K8" s="7" t="str">
        <x:v>Confirmation discrète; aucune réplique source réemployée.</x:v>
      </x:c>
      <x:c r="L8" s="7" t="str">
        <x:v>Objectif facultatif FOU/02/optional; récompense locale de contexte, pas de modification de la fin.</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Terminer, ignorer ou abandonner cette tâche laisse le récit principal accessible et conserve correctement l’état en sauvegarde.</x:v>
      </x:c>
      <x:c r="O8" s="7" t="str">
        <x:v>FOU-SC-02-MAIN</x:v>
      </x:c>
      <x:c r="P8" s="7" t="str">
        <x:v>Ajout original; cette tâche n’est pas attestée dans le comic.</x:v>
      </x:c>
      <x:c r="Q8" s="7" t="str"/>
      <x:c r="R8" s="21" t="str"/>
      <x:c r="S8" s="21" t="str"/>
    </x:row>
    <x:row r="9" ht="82" customHeight="1">
      <x:c r="A9" s="18" t="str">
        <x:v>FOU-SC-03-SIDE</x:v>
      </x:c>
      <x:c r="B9" s="9" t="str">
        <x:v>Classer une contradiction apparente</x:v>
      </x:c>
      <x:c r="C9" s="15" t="str">
        <x:v>Défini</x:v>
      </x:c>
      <x:c r="D9" s="16" t="str">
        <x:v>Extrapolation</x:v>
      </x:c>
      <x:c r="E9" s="16" t="str">
        <x:v>P2</x:v>
      </x:c>
      <x:c r="F9" s="9" t="str">
        <x:v>Tâche d’analyse originale.</x:v>
      </x:c>
      <x:c r="G9" s="9" t="str">
        <x:v>Éviter un récit omniscient.</x:v>
      </x:c>
      <x:c r="H9" s="9" t="str">
        <x:v>Marquer à vérifier; ne prononce pas un verdict contre Ashley.</x:v>
      </x:c>
      <x:c r="I9" s="9" t="str">
        <x:v>Cadre clinique simple puis espace extérieur ouvert.</x:v>
      </x:c>
      <x:c r="J9" s="9" t="str">
        <x:v>Inspection, interaction courte, confirmation; permettre de renoncer sans bloquer le chemin principal.</x:v>
      </x:c>
      <x:c r="K9" s="9" t="str">
        <x:v>Confirmation discrète; aucune réplique source réemployée.</x:v>
      </x:c>
      <x:c r="L9" s="9" t="str">
        <x:v>Objectif facultatif FOU/03/optional; récompense locale de contexte, pas de modification de la fin.</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Terminer, ignorer ou abandonner cette tâche laisse le récit principal accessible et conserve correctement l’état en sauvegarde.</x:v>
      </x:c>
      <x:c r="O9" s="9" t="str">
        <x:v>FOU-SC-03-MAIN</x:v>
      </x:c>
      <x:c r="P9" s="9" t="str">
        <x:v>Ajout original; cette tâche n’est pas attestée dans le comic.</x:v>
      </x:c>
      <x:c r="Q9" s="9" t="str"/>
      <x:c r="R9" s="20" t="str"/>
      <x:c r="S9" s="20" t="str"/>
    </x:row>
    <x:row r="10" ht="82" customHeight="1">
      <x:c r="A10" s="19" t="str">
        <x:v>FOU-SC-04-SIDE</x:v>
      </x:c>
      <x:c r="B10" s="7" t="str">
        <x:v>Échanger avant le cours</x:v>
      </x:c>
      <x:c r="C10" s="15" t="str">
        <x:v>Défini</x:v>
      </x:c>
      <x:c r="D10" s="17" t="str">
        <x:v>Extrapolation</x:v>
      </x:c>
      <x:c r="E10" s="17" t="str">
        <x:v>P2</x:v>
      </x:c>
      <x:c r="F10" s="7" t="str">
        <x:v>Conversation facultative originale.</x:v>
      </x:c>
      <x:c r="G10" s="7" t="str">
        <x:v>Donner aux cadets un espace de relation.</x:v>
      </x:c>
      <x:c r="H10" s="7" t="str">
        <x:v>Aucun choix ne promet de sauver l’issue canon.</x:v>
      </x:c>
      <x:c r="I10" s="7" t="str">
        <x:v>Objets d’exercice simples et zones de sécurité visibles.</x:v>
      </x:c>
      <x:c r="J10" s="7" t="str">
        <x:v>Inspection, interaction courte, confirmation; permettre de renoncer sans bloquer le chemin principal.</x:v>
      </x:c>
      <x:c r="K10" s="7" t="str">
        <x:v>Confirmation discrète; aucune réplique source réemployée.</x:v>
      </x:c>
      <x:c r="L10" s="7" t="str">
        <x:v>Objectif facultatif FOU/04/optional; récompense locale de contexte, pas de modification de la fin.</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Terminer, ignorer ou abandonner cette tâche laisse le récit principal accessible et conserve correctement l’état en sauvegarde.</x:v>
      </x:c>
      <x:c r="O10" s="7" t="str">
        <x:v>FOU-SC-04-MAIN</x:v>
      </x:c>
      <x:c r="P10" s="7" t="str">
        <x:v>Ajout original; cette tâche n’est pas attestée dans le comic.</x:v>
      </x:c>
      <x:c r="Q10" s="7" t="str"/>
      <x:c r="R10" s="21" t="str"/>
      <x:c r="S10" s="21" t="str"/>
    </x:row>
    <x:row r="11" ht="82" customHeight="1">
      <x:c r="A11" s="18" t="str">
        <x:v>FOU-SC-05-SIDE</x:v>
      </x:c>
      <x:c r="B11" s="9" t="str">
        <x:v>Vérifier la sortie de repli</x:v>
      </x:c>
      <x:c r="C11" s="15" t="str">
        <x:v>Défini</x:v>
      </x:c>
      <x:c r="D11" s="16" t="str">
        <x:v>Extrapolation</x:v>
      </x:c>
      <x:c r="E11" s="16" t="str">
        <x:v>P2</x:v>
      </x:c>
      <x:c r="F11" s="9" t="str">
        <x:v>Préparation facultative originale.</x:v>
      </x:c>
      <x:c r="G11" s="9" t="str">
        <x:v>Récompenser le travail du duo.</x:v>
      </x:c>
      <x:c r="H11" s="9" t="str">
        <x:v>Réduit un obstacle de #6 sans modifier l’histoire.</x:v>
      </x:c>
      <x:c r="I11" s="9" t="str">
        <x:v>Antenne de transit et couvert distinct des objets inspectables.</x:v>
      </x:c>
      <x:c r="J11" s="9" t="str">
        <x:v>Inspection, interaction courte, confirmation; permettre de renoncer sans bloquer le chemin principal.</x:v>
      </x:c>
      <x:c r="K11" s="9" t="str">
        <x:v>Confirmation discrète; aucune réplique source réemployée.</x:v>
      </x:c>
      <x:c r="L11" s="9" t="str">
        <x:v>Objectif facultatif FOU/05/optional; récompense locale de contexte, pas de modification de la fin.</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Terminer, ignorer ou abandonner cette tâche laisse le récit principal accessible et conserve correctement l’état en sauvegarde.</x:v>
      </x:c>
      <x:c r="O11" s="9" t="str">
        <x:v>FOU-SC-05-MAIN</x:v>
      </x:c>
      <x:c r="P11" s="9" t="str">
        <x:v>Ajout original; cette tâche n’est pas attestée dans le comic.</x:v>
      </x:c>
      <x:c r="Q11" s="9" t="str"/>
      <x:c r="R11" s="20" t="str"/>
      <x:c r="S11" s="20" t="str"/>
    </x:row>
    <x:row r="12" ht="82" customHeight="1">
      <x:c r="A12" s="19" t="str">
        <x:v>FOU-SC-06-SIDE</x:v>
      </x:c>
      <x:c r="B12" s="7" t="str">
        <x:v>Récupérer l’équipement de liaison</x:v>
      </x:c>
      <x:c r="C12" s="15" t="str">
        <x:v>Défini</x:v>
      </x:c>
      <x:c r="D12" s="17" t="str">
        <x:v>Extrapolation</x:v>
      </x:c>
      <x:c r="E12" s="17" t="str">
        <x:v>P2</x:v>
      </x:c>
      <x:c r="F12" s="7" t="str">
        <x:v>Tâche facultative originale.</x:v>
      </x:c>
      <x:c r="G12" s="7" t="str">
        <x:v>Limiter l’isolement.</x:v>
      </x:c>
      <x:c r="H12" s="7" t="str">
        <x:v>Le matériel ne débloque pas un appel de flotte qui annulerait le piège.</x:v>
      </x:c>
      <x:c r="I12" s="7" t="str">
        <x:v>Cour de service et obstacles bas lisibles.</x:v>
      </x:c>
      <x:c r="J12" s="7" t="str">
        <x:v>Inspection, interaction courte, confirmation; permettre de renoncer sans bloquer le chemin principal.</x:v>
      </x:c>
      <x:c r="K12" s="7" t="str">
        <x:v>Confirmation discrète; aucune réplique source réemployée.</x:v>
      </x:c>
      <x:c r="L12" s="7" t="str">
        <x:v>Objectif facultatif FOU/06/optional; récompense locale de contexte, pas de modification de la fin.</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Terminer, ignorer ou abandonner cette tâche laisse le récit principal accessible et conserve correctement l’état en sauvegarde.</x:v>
      </x:c>
      <x:c r="O12" s="7" t="str">
        <x:v>FOU-SC-06-MAIN</x:v>
      </x:c>
      <x:c r="P12" s="7" t="str">
        <x:v>Ajout original; cette tâche n’est pas attestée dans le comic.</x:v>
      </x:c>
      <x:c r="Q12" s="7" t="str"/>
      <x:c r="R12" s="21" t="str"/>
      <x:c r="S12" s="21" t="str"/>
    </x:row>
    <x:row r="13" ht="82" customHeight="1">
      <x:c r="A13" s="18" t="str">
        <x:v>FOU-SC-07-SIDE</x:v>
      </x:c>
      <x:c r="B13" s="9" t="str">
        <x:v>Documenter une limite du plan</x:v>
      </x:c>
      <x:c r="C13" s="15" t="str">
        <x:v>Défini</x:v>
      </x:c>
      <x:c r="D13" s="16" t="str">
        <x:v>Extrapolation</x:v>
      </x:c>
      <x:c r="E13" s="16" t="str">
        <x:v>P2</x:v>
      </x:c>
      <x:c r="F13" s="9" t="str">
        <x:v>Observation facultative originale.</x:v>
      </x:c>
      <x:c r="G13" s="9" t="str">
        <x:v>Faire comprendre la sous-estimation de Jack.</x:v>
      </x:c>
      <x:c r="H13" s="9" t="str">
        <x:v>Aucun schéma prétend expliquer entièrement ses capacités canon.</x:v>
      </x:c>
      <x:c r="I13" s="9" t="str">
        <x:v>Contours biotiques localisés et éléments de couvert mobiles.</x:v>
      </x:c>
      <x:c r="J13" s="9" t="str">
        <x:v>Inspection, interaction courte, confirmation; permettre de renoncer sans bloquer le chemin principal.</x:v>
      </x:c>
      <x:c r="K13" s="9" t="str">
        <x:v>Confirmation discrète; aucune réplique source réemployée.</x:v>
      </x:c>
      <x:c r="L13" s="9" t="str">
        <x:v>Objectif facultatif FOU/07/optional; récompense locale de contexte, pas de modification de la fin.</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Terminer, ignorer ou abandonner cette tâche laisse le récit principal accessible et conserve correctement l’état en sauvegarde.</x:v>
      </x:c>
      <x:c r="O13" s="9" t="str">
        <x:v>FOU-SC-07-MAIN</x:v>
      </x:c>
      <x:c r="P13" s="9" t="str">
        <x:v>Ajout original; cette tâche n’est pas attestée dans le comic.</x:v>
      </x:c>
      <x:c r="Q13" s="9" t="str"/>
      <x:c r="R13" s="20" t="str"/>
      <x:c r="S13" s="20" t="str"/>
    </x:row>
    <x:row r="14" ht="82" customHeight="1">
      <x:c r="A14" s="19" t="str">
        <x:v>FOU-SC-08-SIDE</x:v>
      </x:c>
      <x:c r="B14" s="7" t="str">
        <x:v>Vérifier un rendez-vous secondaire</x:v>
      </x:c>
      <x:c r="C14" s="15" t="str">
        <x:v>Défini</x:v>
      </x:c>
      <x:c r="D14" s="17" t="str">
        <x:v>Extrapolation</x:v>
      </x:c>
      <x:c r="E14" s="17" t="str">
        <x:v>P2</x:v>
      </x:c>
      <x:c r="F14" s="7" t="str">
        <x:v>Tâche originale de préparation.</x:v>
      </x:c>
      <x:c r="G14" s="7" t="str">
        <x:v>Souligner les limites de la couverture.</x:v>
      </x:c>
      <x:c r="H14" s="7" t="str">
        <x:v>Ne révèle pas la famille de Thane avant son récit dédié.</x:v>
      </x:c>
      <x:c r="I14" s="7" t="str">
        <x:v>Fond sobre, points d’accès et faible contraste sur les passages secondaires.</x:v>
      </x:c>
      <x:c r="J14" s="7" t="str">
        <x:v>Inspection, interaction courte, confirmation; permettre de renoncer sans bloquer le chemin principal.</x:v>
      </x:c>
      <x:c r="K14" s="7" t="str">
        <x:v>Confirmation discrète; aucune réplique source réemployée.</x:v>
      </x:c>
      <x:c r="L14" s="7" t="str">
        <x:v>Objectif facultatif FOU/08/optional; récompense locale de contexte, pas de modification de la fin.</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Terminer, ignorer ou abandonner cette tâche laisse le récit principal accessible et conserve correctement l’état en sauvegarde.</x:v>
      </x:c>
      <x:c r="O14" s="7" t="str">
        <x:v>FOU-SC-08-MAIN</x:v>
      </x:c>
      <x:c r="P14" s="7" t="str">
        <x:v>Ajout original; cette tâche n’est pas attestée dans le comic.</x:v>
      </x:c>
      <x:c r="Q14" s="7" t="str"/>
      <x:c r="R14" s="21" t="str"/>
      <x:c r="S14" s="21" t="str"/>
    </x:row>
    <x:row r="15" ht="82" customHeight="1">
      <x:c r="A15" s="18" t="str">
        <x:v>FOU-SC-09-SIDE</x:v>
      </x:c>
      <x:c r="B15" s="9" t="str">
        <x:v>Consigner un désaccord</x:v>
      </x:c>
      <x:c r="C15" s="15" t="str">
        <x:v>Défini</x:v>
      </x:c>
      <x:c r="D15" s="16" t="str">
        <x:v>Extrapolation</x:v>
      </x:c>
      <x:c r="E15" s="16" t="str">
        <x:v>P2</x:v>
      </x:c>
      <x:c r="F15" s="9" t="str">
        <x:v>Entrée facultative de journal original.</x:v>
      </x:c>
      <x:c r="G15" s="9" t="str">
        <x:v>Conserver la pluralité des points de vue.</x:v>
      </x:c>
      <x:c r="H15" s="9" t="str">
        <x:v>Le texte attribue chaque affirmation à son locuteur et n’attribue pas de score moral aux espèces.</x:v>
      </x:c>
      <x:c r="I15" s="9" t="str">
        <x:v>Ruines de Tuchanka, contraste des silhouettes salarianes et kroganes.</x:v>
      </x:c>
      <x:c r="J15" s="9" t="str">
        <x:v>Inspection, interaction courte, confirmation; permettre de renoncer sans bloquer le chemin principal.</x:v>
      </x:c>
      <x:c r="K15" s="9" t="str">
        <x:v>Confirmation discrète; aucune réplique source réemployée.</x:v>
      </x:c>
      <x:c r="L15" s="9" t="str">
        <x:v>Objectif facultatif FOU/09/optional; récompense locale de contexte, pas de modification de la fin.</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Terminer, ignorer ou abandonner cette tâche laisse le récit principal accessible et conserve correctement l’état en sauvegarde.</x:v>
      </x:c>
      <x:c r="O15" s="9" t="str">
        <x:v>FOU-SC-09-MAIN</x:v>
      </x:c>
      <x:c r="P15" s="9" t="str">
        <x:v>Ajout original; cette tâche n’est pas attestée dans le comic.</x:v>
      </x:c>
      <x:c r="Q15" s="9" t="str"/>
      <x:c r="R15" s="20" t="str"/>
      <x:c r="S15" s="20" t="str"/>
    </x:row>
    <x:row r="16" ht="82" customHeight="1">
      <x:c r="A16" s="19" t="str">
        <x:v>FOU-SC-10-SIDE</x:v>
      </x:c>
      <x:c r="B16" s="7" t="str">
        <x:v>Repérer le retour</x:v>
      </x:c>
      <x:c r="C16" s="15" t="str">
        <x:v>Défini</x:v>
      </x:c>
      <x:c r="D16" s="17" t="str">
        <x:v>Extrapolation</x:v>
      </x:c>
      <x:c r="E16" s="17" t="str">
        <x:v>P2</x:v>
      </x:c>
      <x:c r="F16" s="7" t="str">
        <x:v>Itinéraire facultatif original.</x:v>
      </x:c>
      <x:c r="G16" s="7" t="str">
        <x:v>Réduire les manipulations après l’objectif.</x:v>
      </x:c>
      <x:c r="H16" s="7" t="str">
        <x:v>N’annule aucun événement source concernant Keiji.</x:v>
      </x:c>
      <x:c r="I16" s="7" t="str">
        <x:v>Surfaces de prestige et passages techniques, contraste doux autour de la capuche.</x:v>
      </x:c>
      <x:c r="J16" s="7" t="str">
        <x:v>Inspection, interaction courte, confirmation; permettre de renoncer sans bloquer le chemin principal.</x:v>
      </x:c>
      <x:c r="K16" s="7" t="str">
        <x:v>Confirmation discrète; aucune réplique source réemployée.</x:v>
      </x:c>
      <x:c r="L16" s="7" t="str">
        <x:v>Objectif facultatif FOU/10/optional; récompense locale de contexte, pas de modification de la fin.</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Terminer, ignorer ou abandonner cette tâche laisse le récit principal accessible et conserve correctement l’état en sauvegarde.</x:v>
      </x:c>
      <x:c r="O16" s="7" t="str">
        <x:v>FOU-SC-10-MAIN</x:v>
      </x:c>
      <x:c r="P16" s="7" t="str">
        <x:v>Ajout original; cette tâche n’est pas attestée dans le comic.</x:v>
      </x:c>
      <x:c r="Q16" s="7" t="str"/>
      <x:c r="R16" s="21" t="str"/>
      <x:c r="S16" s="21" t="str"/>
    </x:row>
    <x:row r="17" ht="82" customHeight="1">
      <x:c r="A17" s="18" t="str">
        <x:v>FOU-SC-11-SIDE</x:v>
      </x:c>
      <x:c r="B17" s="9" t="str">
        <x:v>Vérifier un compartiment de service</x:v>
      </x:c>
      <x:c r="C17" s="15" t="str">
        <x:v>Défini</x:v>
      </x:c>
      <x:c r="D17" s="16" t="str">
        <x:v>Extrapolation</x:v>
      </x:c>
      <x:c r="E17" s="16" t="str">
        <x:v>P2</x:v>
      </x:c>
      <x:c r="F17" s="9" t="str">
        <x:v>Exploration facultative originale.</x:v>
      </x:c>
      <x:c r="G17" s="9" t="str">
        <x:v>Offrir une réserve tactique limitée.</x:v>
      </x:c>
      <x:c r="H17" s="9" t="str">
        <x:v>Aucun personnage canon supplémentaire trouvé au hasard.</x:v>
      </x:c>
      <x:c r="I17" s="9" t="str">
        <x:v>Portes de sécurité, câbles et couvert bas fixé au sol.</x:v>
      </x:c>
      <x:c r="J17" s="9" t="str">
        <x:v>Inspection, interaction courte, confirmation; permettre de renoncer sans bloquer le chemin principal.</x:v>
      </x:c>
      <x:c r="K17" s="9" t="str">
        <x:v>Confirmation discrète; aucune réplique source réemployée.</x:v>
      </x:c>
      <x:c r="L17" s="9" t="str">
        <x:v>Objectif facultatif FOU/11/optional; récompense locale de contexte, pas de modification de la fin.</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Terminer, ignorer ou abandonner cette tâche laisse le récit principal accessible et conserve correctement l’état en sauvegarde.</x:v>
      </x:c>
      <x:c r="O17" s="9" t="str">
        <x:v>FOU-SC-11-MAIN</x:v>
      </x:c>
      <x:c r="P17" s="9" t="str">
        <x:v>Ajout original; cette tâche n’est pas attestée dans le comic.</x:v>
      </x:c>
      <x:c r="Q17" s="9" t="str"/>
      <x:c r="R17" s="20" t="str"/>
      <x:c r="S17" s="20" t="str"/>
    </x:row>
    <x:row r="18" ht="82" customHeight="1">
      <x:c r="A18" s="19" t="str">
        <x:v>FOU-SC-12-SIDE</x:v>
      </x:c>
      <x:c r="B18" s="7" t="str">
        <x:v>Relire une intention familiale</x:v>
      </x:c>
      <x:c r="C18" s="15" t="str">
        <x:v>Défini</x:v>
      </x:c>
      <x:c r="D18" s="17" t="str">
        <x:v>Extrapolation</x:v>
      </x:c>
      <x:c r="E18" s="17" t="str">
        <x:v>P2</x:v>
      </x:c>
      <x:c r="F18" s="7" t="str">
        <x:v>Texte original facultatif de contexte.</x:v>
      </x:c>
      <x:c r="G18" s="7" t="str">
        <x:v>Éviter de réduire les proches à des déclencheurs de combat.</x:v>
      </x:c>
      <x:c r="H18" s="7" t="str">
        <x:v>N’ajoute pas un message authentique attribué au comic.</x:v>
      </x:c>
      <x:c r="I18" s="7" t="str">
        <x:v>Matériaux simples et mer en arrière-plan si confirmée dans les planches.</x:v>
      </x:c>
      <x:c r="J18" s="7" t="str">
        <x:v>Inspection, interaction courte, confirmation; permettre de renoncer sans bloquer le chemin principal.</x:v>
      </x:c>
      <x:c r="K18" s="7" t="str">
        <x:v>Confirmation discrète; aucune réplique source réemployée.</x:v>
      </x:c>
      <x:c r="L18" s="7" t="str">
        <x:v>Objectif facultatif FOU/12/optional; récompense locale de contexte, pas de modification de la fin.</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Terminer, ignorer ou abandonner cette tâche laisse le récit principal accessible et conserve correctement l’état en sauvegarde.</x:v>
      </x:c>
      <x:c r="O18" s="7" t="str">
        <x:v>FOU-SC-12-MAIN</x:v>
      </x:c>
      <x:c r="P18" s="7" t="str">
        <x:v>Ajout original; cette tâche n’est pas attestée dans le comic.</x:v>
      </x:c>
      <x:c r="Q18" s="7" t="str"/>
      <x:c r="R18" s="21" t="str"/>
      <x:c r="S18" s="21" t="str"/>
    </x:row>
    <x:row r="19" ht="82" customHeight="1">
      <x:c r="A19" s="18" t="str">
        <x:v>FOU-SC-13-SIDE</x:v>
      </x:c>
      <x:c r="B19" s="9" t="str">
        <x:v>Préparer un point d’arrimage</x:v>
      </x:c>
      <x:c r="C19" s="15" t="str">
        <x:v>Défini</x:v>
      </x:c>
      <x:c r="D19" s="16" t="str">
        <x:v>Extrapolation</x:v>
      </x:c>
      <x:c r="E19" s="16" t="str">
        <x:v>P2</x:v>
      </x:c>
      <x:c r="F19" s="9" t="str">
        <x:v>Tâche technique facultative originale.</x:v>
      </x:c>
      <x:c r="G19" s="9" t="str">
        <x:v>Faciliter la sortie sur la coque.</x:v>
      </x:c>
      <x:c r="H19" s="9" t="str">
        <x:v>Ne modifie pas le sort du clone ni ne lance le DLC Citadel dans ce module.</x:v>
      </x:c>
      <x:c r="I19" s="9" t="str">
        <x:v>Éclairage clinique, sas lumineux et noir spatial; visage de Shepard non imposé.</x:v>
      </x:c>
      <x:c r="J19" s="9" t="str">
        <x:v>Inspection, interaction courte, confirmation; permettre de renoncer sans bloquer le chemin principal.</x:v>
      </x:c>
      <x:c r="K19" s="9" t="str">
        <x:v>Confirmation discrète; aucune réplique source réemployée.</x:v>
      </x:c>
      <x:c r="L19" s="9" t="str">
        <x:v>Objectif facultatif FOU/13/optional; récompense locale de contexte, pas de modification de la fin.</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Terminer, ignorer ou abandonner cette tâche laisse le récit principal accessible et conserve correctement l’état en sauvegarde.</x:v>
      </x:c>
      <x:c r="O19" s="9" t="str">
        <x:v>FOU-SC-13-MAIN</x:v>
      </x:c>
      <x:c r="P19" s="9" t="str">
        <x:v>Ajout original; cette tâche n’est pas attestée dans le comic.</x:v>
      </x:c>
      <x:c r="Q19" s="9" t="str"/>
      <x:c r="R19" s="20" t="str"/>
      <x:c r="S19" s="20" t="str"/>
    </x:row>
  </x:sheetData>
  <x:conditionalFormatting sqref="D7:D19">
    <x:cfRule type="cellIs" dxfId="40" priority="1" operator="equal">
      <x:formula>"À vérifier"</x:formula>
    </x:cfRule>
    <x:cfRule type="cellIs" dxfId="41" priority="2" operator="equal">
      <x:formula>"Extrapolation"</x:formula>
    </x:cfRule>
  </x:conditionalFormatting>
  <x:conditionalFormatting sqref="C7:C19">
    <x:cfRule type="cellIs" dxfId="42" priority="3" operator="equal">
      <x:formula>"Validé"</x:formula>
    </x:cfRule>
  </x:conditionalFormatting>
  <x:conditionalFormatting sqref="E7:E19">
    <x:cfRule type="cellIs" dxfId="43"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519457f7a6214931"/>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Foundation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FOU-SC-01-CHOICE</x:v>
      </x:c>
      <x:c r="B7" s="9" t="str">
        <x:v>#1 — passé sur Themis — stratégie locale</x:v>
      </x:c>
      <x:c r="C7" s="15" t="str">
        <x:v>Défini</x:v>
      </x:c>
      <x:c r="D7" s="16" t="str">
        <x:v>Extrapolation</x:v>
      </x:c>
      <x:c r="E7" s="16" t="str">
        <x:v>P1</x:v>
      </x:c>
      <x:c r="F7" s="9" t="str">
        <x:v>Observer les rondes ou repérer un passage de service.</x:v>
      </x:c>
      <x:c r="G7" s="9" t="str">
        <x:v>Choix de méthode dans une adaptation; aucun embranchement alternatif n’est déclaré officiel.</x:v>
      </x:c>
      <x:c r="H7" s="9" t="str">
        <x:v>Deux méthodes de déplacement convergent vers la même transition biographique.</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FOU/01; stocker la méthode choisie et les conséquences temporaires, puis rejoindre le point de raccord.</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Les deux méthodes peuvent être comprises avant sélection; chacune rejoint le même ancrage canon sans supprimer un personnage nécessaire.</x:v>
      </x:c>
      <x:c r="O7" s="9" t="str">
        <x:v>FOU-SC-01-MAIN</x:v>
      </x:c>
      <x:c r="P7" s="9" t="str">
        <x:v>Bifurcation de gameplay originale, pas un choix présent dans l’œuvre.</x:v>
      </x:c>
      <x:c r="Q7" s="9" t="str"/>
      <x:c r="R7" s="20" t="str"/>
      <x:c r="S7" s="20" t="str"/>
    </x:row>
    <x:row r="8" ht="82" customHeight="1">
      <x:c r="A8" s="19" t="str">
        <x:v>FOU-SC-02-CHOICE</x:v>
      </x:c>
      <x:c r="B8" s="7" t="str">
        <x:v>#2 — dossier Wrex — stratégie locale</x:v>
      </x:c>
      <x:c r="C8" s="15" t="str">
        <x:v>Défini</x:v>
      </x:c>
      <x:c r="D8" s="17" t="str">
        <x:v>Extrapolation</x:v>
      </x:c>
      <x:c r="E8" s="17" t="str">
        <x:v>P1</x:v>
      </x:c>
      <x:c r="F8" s="7" t="str">
        <x:v>Renforcer la couverture ou réduire le trajet.</x:v>
      </x:c>
      <x:c r="G8" s="7" t="str">
        <x:v>Choix de méthode dans une adaptation; aucun embranchement alternatif n’est déclaré officiel.</x:v>
      </x:c>
      <x:c r="H8" s="7" t="str">
        <x:v>La couverture tolère un contrôle; le trajet court demande une observation supplémentaire.</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FOU/02; stocker la méthode choisie et les conséquences temporaires, puis rejoindre le point de raccord.</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Les deux méthodes peuvent être comprises avant sélection; chacune rejoint le même ancrage canon sans supprimer un personnage nécessaire.</x:v>
      </x:c>
      <x:c r="O8" s="7" t="str">
        <x:v>FOU-SC-02-MAIN</x:v>
      </x:c>
      <x:c r="P8" s="7" t="str">
        <x:v>Bifurcation de gameplay originale, pas un choix présent dans l’œuvre.</x:v>
      </x:c>
      <x:c r="Q8" s="7" t="str"/>
      <x:c r="R8" s="21" t="str"/>
      <x:c r="S8" s="21" t="str"/>
    </x:row>
    <x:row r="9" ht="82" customHeight="1">
      <x:c r="A9" s="18" t="str">
        <x:v>FOU-SC-03-CHOICE</x:v>
      </x:c>
      <x:c r="B9" s="9" t="str">
        <x:v>#3 — dossier Ashley — stratégie locale</x:v>
      </x:c>
      <x:c r="C9" s="15" t="str">
        <x:v>Défini</x:v>
      </x:c>
      <x:c r="D9" s="16" t="str">
        <x:v>Extrapolation</x:v>
      </x:c>
      <x:c r="E9" s="16" t="str">
        <x:v>P1</x:v>
      </x:c>
      <x:c r="F9" s="9" t="str">
        <x:v>Demander le contexte de l’ordre ou la chronologie de l’attaque.</x:v>
      </x:c>
      <x:c r="G9" s="9" t="str">
        <x:v>Choix de méthode dans une adaptation; aucun embranchement alternatif n’est déclaré officiel.</x:v>
      </x:c>
      <x:c r="H9" s="9" t="str">
        <x:v>Change l’ordre du récit; toutes les informations nécessaires restent consultables.</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FOU/03; stocker la méthode choisie et les conséquences temporaires, puis rejoindre le point de raccord.</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Les deux méthodes peuvent être comprises avant sélection; chacune rejoint le même ancrage canon sans supprimer un personnage nécessaire.</x:v>
      </x:c>
      <x:c r="O9" s="9" t="str">
        <x:v>FOU-SC-03-MAIN</x:v>
      </x:c>
      <x:c r="P9" s="9" t="str">
        <x:v>Bifurcation de gameplay originale, pas un choix présent dans l’œuvre.</x:v>
      </x:c>
      <x:c r="Q9" s="9" t="str"/>
      <x:c r="R9" s="20" t="str"/>
      <x:c r="S9" s="20" t="str"/>
    </x:row>
    <x:row r="10" ht="82" customHeight="1">
      <x:c r="A10" s="19" t="str">
        <x:v>FOU-SC-04-CHOICE</x:v>
      </x:c>
      <x:c r="B10" s="7" t="str">
        <x:v>#4 — formation de Kaidan — stratégie locale</x:v>
      </x:c>
      <x:c r="C10" s="15" t="str">
        <x:v>Défini</x:v>
      </x:c>
      <x:c r="D10" s="17" t="str">
        <x:v>Extrapolation</x:v>
      </x:c>
      <x:c r="E10" s="17" t="str">
        <x:v>P1</x:v>
      </x:c>
      <x:c r="F10" s="7" t="str">
        <x:v>Prendre le temps d’observer ou demander une démonstration.</x:v>
      </x:c>
      <x:c r="G10" s="7" t="str">
        <x:v>Choix de méthode dans une adaptation; aucun embranchement alternatif n’est déclaré officiel.</x:v>
      </x:c>
      <x:c r="H10" s="7" t="str">
        <x:v>Deux aides à l’apprentissage, sans changer les conséquences publiées.</x:v>
      </x:c>
      <x:c r="I10" s="7" t="str">
        <x:v>Deux options nommées avec leur conséquence immédiate; coût affiché avant engagement.</x:v>
      </x:c>
      <x:c r="J10" s="7" t="str">
        <x:v>Geler les poses de dialogue pendant le choix; ne pas consommer une action en quittant le menu.</x:v>
      </x:c>
      <x:c r="K10" s="7" t="str">
        <x:v>Retour de sélection sobre; confirmation distincte d’une simple navigation.</x:v>
      </x:c>
      <x:c r="L10" s="7" t="str">
        <x:v>Décision locale FOU/04; stocker la méthode choisie et les conséquences temporaires, puis rejoindre le point de raccord.</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Les deux méthodes peuvent être comprises avant sélection; chacune rejoint le même ancrage canon sans supprimer un personnage nécessaire.</x:v>
      </x:c>
      <x:c r="O10" s="7" t="str">
        <x:v>FOU-SC-04-MAIN</x:v>
      </x:c>
      <x:c r="P10" s="7" t="str">
        <x:v>Bifurcation de gameplay originale, pas un choix présent dans l’œuvre.</x:v>
      </x:c>
      <x:c r="Q10" s="7" t="str"/>
      <x:c r="R10" s="21" t="str"/>
      <x:c r="S10" s="21" t="str"/>
    </x:row>
    <x:row r="11" ht="82" customHeight="1">
      <x:c r="A11" s="18" t="str">
        <x:v>FOU-SC-05-CHOICE</x:v>
      </x:c>
      <x:c r="B11" s="9" t="str">
        <x:v>#5 — recherche de Shepard — stratégie locale</x:v>
      </x:c>
      <x:c r="C11" s="15" t="str">
        <x:v>Défini</x:v>
      </x:c>
      <x:c r="D11" s="16" t="str">
        <x:v>Extrapolation</x:v>
      </x:c>
      <x:c r="E11" s="16" t="str">
        <x:v>P1</x:v>
      </x:c>
      <x:c r="F11" s="9" t="str">
        <x:v>Faire inspecter Miranda sous couverture de Jacob ou reconnaître d’abord les sorties.</x:v>
      </x:c>
      <x:c r="G11" s="9" t="str">
        <x:v>Choix de méthode dans une adaptation; aucun embranchement alternatif n’est déclaré officiel.</x:v>
      </x:c>
      <x:c r="H11" s="9" t="str">
        <x:v>La première option est rapide; la seconde prépare une sortie plus sûre.</x:v>
      </x:c>
      <x:c r="I11" s="9" t="str">
        <x:v>Deux options nommées avec leur conséquence immédiate; coût affiché avant engagement.</x:v>
      </x:c>
      <x:c r="J11" s="9" t="str">
        <x:v>Geler les poses de dialogue pendant le choix; ne pas consommer une action en quittant le menu.</x:v>
      </x:c>
      <x:c r="K11" s="9" t="str">
        <x:v>Retour de sélection sobre; confirmation distincte d’une simple navigation.</x:v>
      </x:c>
      <x:c r="L11" s="9" t="str">
        <x:v>Décision locale FOU/05; stocker la méthode choisie et les conséquences temporaires, puis rejoindre le point de raccord.</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Les deux méthodes peuvent être comprises avant sélection; chacune rejoint le même ancrage canon sans supprimer un personnage nécessaire.</x:v>
      </x:c>
      <x:c r="O11" s="9" t="str">
        <x:v>FOU-SC-05-MAIN</x:v>
      </x:c>
      <x:c r="P11" s="9" t="str">
        <x:v>Bifurcation de gameplay originale, pas un choix présent dans l’œuvre.</x:v>
      </x:c>
      <x:c r="Q11" s="9" t="str"/>
      <x:c r="R11" s="20" t="str"/>
      <x:c r="S11" s="20" t="str"/>
    </x:row>
    <x:row r="12" ht="82" customHeight="1">
      <x:c r="A12" s="19" t="str">
        <x:v>FOU-SC-06-CHOICE</x:v>
      </x:c>
      <x:c r="B12" s="7" t="str">
        <x:v>#6 — piège batarian — stratégie locale</x:v>
      </x:c>
      <x:c r="C12" s="15" t="str">
        <x:v>Défini</x:v>
      </x:c>
      <x:c r="D12" s="17" t="str">
        <x:v>Extrapolation</x:v>
      </x:c>
      <x:c r="E12" s="17" t="str">
        <x:v>P1</x:v>
      </x:c>
      <x:c r="F12" s="7" t="str">
        <x:v>Diviser les rôles entre couverture et accès ou rester groupés sur le détour.</x:v>
      </x:c>
      <x:c r="G12" s="7" t="str">
        <x:v>Choix de méthode dans une adaptation; aucun embranchement alternatif n’est déclaré officiel.</x:v>
      </x:c>
      <x:c r="H12" s="7" t="str">
        <x:v>Séparation plus rapide mais fragile; détour moins exposé mais plus long.</x:v>
      </x:c>
      <x:c r="I12" s="7" t="str">
        <x:v>Deux options nommées avec leur conséquence immédiate; coût affiché avant engagement.</x:v>
      </x:c>
      <x:c r="J12" s="7" t="str">
        <x:v>Geler les poses de dialogue pendant le choix; ne pas consommer une action en quittant le menu.</x:v>
      </x:c>
      <x:c r="K12" s="7" t="str">
        <x:v>Retour de sélection sobre; confirmation distincte d’une simple navigation.</x:v>
      </x:c>
      <x:c r="L12" s="7" t="str">
        <x:v>Décision locale FOU/06; stocker la méthode choisie et les conséquences temporaires, puis rejoindre le point de raccord.</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Les deux méthodes peuvent être comprises avant sélection; chacune rejoint le même ancrage canon sans supprimer un personnage nécessaire.</x:v>
      </x:c>
      <x:c r="O12" s="7" t="str">
        <x:v>FOU-SC-06-MAIN</x:v>
      </x:c>
      <x:c r="P12" s="7" t="str">
        <x:v>Bifurcation de gameplay originale, pas un choix présent dans l’œuvre.</x:v>
      </x:c>
      <x:c r="Q12" s="7" t="str"/>
      <x:c r="R12" s="21" t="str"/>
      <x:c r="S12" s="21" t="str"/>
    </x:row>
    <x:row r="13" ht="82" customHeight="1">
      <x:c r="A13" s="18" t="str">
        <x:v>FOU-SC-07-CHOICE</x:v>
      </x:c>
      <x:c r="B13" s="9" t="str">
        <x:v>#7 — Sujet Zéro — stratégie locale</x:v>
      </x:c>
      <x:c r="C13" s="15" t="str">
        <x:v>Défini</x:v>
      </x:c>
      <x:c r="D13" s="16" t="str">
        <x:v>Extrapolation</x:v>
      </x:c>
      <x:c r="E13" s="16" t="str">
        <x:v>P1</x:v>
      </x:c>
      <x:c r="F13" s="9" t="str">
        <x:v>Ouvrir le passage de retrait ou protéger un agent visible.</x:v>
      </x:c>
      <x:c r="G13" s="9" t="str">
        <x:v>Choix de méthode dans une adaptation; aucun embranchement alternatif n’est déclaré officiel.</x:v>
      </x:c>
      <x:c r="H13" s="9" t="str">
        <x:v>Répartition de ressources locales; même échec/raccord source à contrôler.</x:v>
      </x:c>
      <x:c r="I13" s="9" t="str">
        <x:v>Deux options nommées avec leur conséquence immédiate; coût affiché avant engagement.</x:v>
      </x:c>
      <x:c r="J13" s="9" t="str">
        <x:v>Geler les poses de dialogue pendant le choix; ne pas consommer une action en quittant le menu.</x:v>
      </x:c>
      <x:c r="K13" s="9" t="str">
        <x:v>Retour de sélection sobre; confirmation distincte d’une simple navigation.</x:v>
      </x:c>
      <x:c r="L13" s="9" t="str">
        <x:v>Décision locale FOU/07; stocker la méthode choisie et les conséquences temporaires, puis rejoindre le point de raccord.</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Les deux méthodes peuvent être comprises avant sélection; chacune rejoint le même ancrage canon sans supprimer un personnage nécessaire.</x:v>
      </x:c>
      <x:c r="O13" s="9" t="str">
        <x:v>FOU-SC-07-MAIN</x:v>
      </x:c>
      <x:c r="P13" s="9" t="str">
        <x:v>Bifurcation de gameplay originale, pas un choix présent dans l’œuvre.</x:v>
      </x:c>
      <x:c r="Q13" s="9" t="str"/>
      <x:c r="R13" s="20" t="str"/>
      <x:c r="S13" s="20" t="str"/>
    </x:row>
    <x:row r="14" ht="82" customHeight="1">
      <x:c r="A14" s="19" t="str">
        <x:v>FOU-SC-08-CHOICE</x:v>
      </x:c>
      <x:c r="B14" s="7" t="str">
        <x:v>#8 — rencontre avec Thane — stratégie locale</x:v>
      </x:c>
      <x:c r="C14" s="15" t="str">
        <x:v>Défini</x:v>
      </x:c>
      <x:c r="D14" s="17" t="str">
        <x:v>Extrapolation</x:v>
      </x:c>
      <x:c r="E14" s="17" t="str">
        <x:v>P1</x:v>
      </x:c>
      <x:c r="F14" s="7" t="str">
        <x:v>Privilégier la couverture sociale ou observer les lignes de vue.</x:v>
      </x:c>
      <x:c r="G14" s="7" t="str">
        <x:v>Choix de méthode dans une adaptation; aucun embranchement alternatif n’est déclaré officiel.</x:v>
      </x:c>
      <x:c r="H14" s="7" t="str">
        <x:v>L’une ouvre une conversation, l’autre une route; toutes convergent vers le même événement source.</x:v>
      </x:c>
      <x:c r="I14" s="7" t="str">
        <x:v>Deux options nommées avec leur conséquence immédiate; coût affiché avant engagement.</x:v>
      </x:c>
      <x:c r="J14" s="7" t="str">
        <x:v>Geler les poses de dialogue pendant le choix; ne pas consommer une action en quittant le menu.</x:v>
      </x:c>
      <x:c r="K14" s="7" t="str">
        <x:v>Retour de sélection sobre; confirmation distincte d’une simple navigation.</x:v>
      </x:c>
      <x:c r="L14" s="7" t="str">
        <x:v>Décision locale FOU/08; stocker la méthode choisie et les conséquences temporaires, puis rejoindre le point de raccord.</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Les deux méthodes peuvent être comprises avant sélection; chacune rejoint le même ancrage canon sans supprimer un personnage nécessaire.</x:v>
      </x:c>
      <x:c r="O14" s="7" t="str">
        <x:v>FOU-SC-08-MAIN</x:v>
      </x:c>
      <x:c r="P14" s="7" t="str">
        <x:v>Bifurcation de gameplay originale, pas un choix présent dans l’œuvre.</x:v>
      </x:c>
      <x:c r="Q14" s="7" t="str"/>
      <x:c r="R14" s="21" t="str"/>
      <x:c r="S14" s="21" t="str"/>
    </x:row>
    <x:row r="15" ht="82" customHeight="1">
      <x:c r="A15" s="18" t="str">
        <x:v>FOU-SC-09-CHOICE</x:v>
      </x:c>
      <x:c r="B15" s="9" t="str">
        <x:v>#9 — dossier Mordin — stratégie locale</x:v>
      </x:c>
      <x:c r="C15" s="15" t="str">
        <x:v>Défini</x:v>
      </x:c>
      <x:c r="D15" s="16" t="str">
        <x:v>Extrapolation</x:v>
      </x:c>
      <x:c r="E15" s="16" t="str">
        <x:v>P1</x:v>
      </x:c>
      <x:c r="F15" s="9" t="str">
        <x:v>Préparer l’itinéraire ou analyser un risque de terrain.</x:v>
      </x:c>
      <x:c r="G15" s="9" t="str">
        <x:v>Choix de méthode dans une adaptation; aucun embranchement alternatif n’est déclaré officiel.</x:v>
      </x:c>
      <x:c r="H15" s="9" t="str">
        <x:v>Varie l’effort tactique, jamais le déploiement historique de la source.</x:v>
      </x:c>
      <x:c r="I15" s="9" t="str">
        <x:v>Deux options nommées avec leur conséquence immédiate; coût affiché avant engagement.</x:v>
      </x:c>
      <x:c r="J15" s="9" t="str">
        <x:v>Geler les poses de dialogue pendant le choix; ne pas consommer une action en quittant le menu.</x:v>
      </x:c>
      <x:c r="K15" s="9" t="str">
        <x:v>Retour de sélection sobre; confirmation distincte d’une simple navigation.</x:v>
      </x:c>
      <x:c r="L15" s="9" t="str">
        <x:v>Décision locale FOU/09; stocker la méthode choisie et les conséquences temporaires, puis rejoindre le point de raccord.</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Les deux méthodes peuvent être comprises avant sélection; chacune rejoint le même ancrage canon sans supprimer un personnage nécessaire.</x:v>
      </x:c>
      <x:c r="O15" s="9" t="str">
        <x:v>FOU-SC-09-MAIN</x:v>
      </x:c>
      <x:c r="P15" s="9" t="str">
        <x:v>Bifurcation de gameplay originale, pas un choix présent dans l’œuvre.</x:v>
      </x:c>
      <x:c r="Q15" s="9" t="str"/>
      <x:c r="R15" s="20" t="str"/>
      <x:c r="S15" s="20" t="str"/>
    </x:row>
    <x:row r="16" ht="82" customHeight="1">
      <x:c r="A16" s="19" t="str">
        <x:v>FOU-SC-10-CHOICE</x:v>
      </x:c>
      <x:c r="B16" s="7" t="str">
        <x:v>#10 — dossier Kasumi — stratégie locale</x:v>
      </x:c>
      <x:c r="C16" s="15" t="str">
        <x:v>Défini</x:v>
      </x:c>
      <x:c r="D16" s="17" t="str">
        <x:v>Extrapolation</x:v>
      </x:c>
      <x:c r="E16" s="17" t="str">
        <x:v>P1</x:v>
      </x:c>
      <x:c r="F16" s="7" t="str">
        <x:v>Passer par une fenêtre d’observation ou neutraliser une interface locale.</x:v>
      </x:c>
      <x:c r="G16" s="7" t="str">
        <x:v>Choix de méthode dans une adaptation; aucun embranchement alternatif n’est déclaré officiel.</x:v>
      </x:c>
      <x:c r="H16" s="7" t="str">
        <x:v>La première demande placement, la seconde préparation; pas de piratage universel.</x:v>
      </x:c>
      <x:c r="I16" s="7" t="str">
        <x:v>Deux options nommées avec leur conséquence immédiate; coût affiché avant engagement.</x:v>
      </x:c>
      <x:c r="J16" s="7" t="str">
        <x:v>Geler les poses de dialogue pendant le choix; ne pas consommer une action en quittant le menu.</x:v>
      </x:c>
      <x:c r="K16" s="7" t="str">
        <x:v>Retour de sélection sobre; confirmation distincte d’une simple navigation.</x:v>
      </x:c>
      <x:c r="L16" s="7" t="str">
        <x:v>Décision locale FOU/10; stocker la méthode choisie et les conséquences temporaires, puis rejoindre le point de raccord.</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Les deux méthodes peuvent être comprises avant sélection; chacune rejoint le même ancrage canon sans supprimer un personnage nécessaire.</x:v>
      </x:c>
      <x:c r="O16" s="7" t="str">
        <x:v>FOU-SC-10-MAIN</x:v>
      </x:c>
      <x:c r="P16" s="7" t="str">
        <x:v>Bifurcation de gameplay originale, pas un choix présent dans l’œuvre.</x:v>
      </x:c>
      <x:c r="Q16" s="7" t="str"/>
      <x:c r="R16" s="21" t="str"/>
      <x:c r="S16" s="21" t="str"/>
    </x:row>
    <x:row r="17" ht="82" customHeight="1">
      <x:c r="A17" s="18" t="str">
        <x:v>FOU-SC-11-CHOICE</x:v>
      </x:c>
      <x:c r="B17" s="9" t="str">
        <x:v>#11 — dossier Zaeed — stratégie locale</x:v>
      </x:c>
      <x:c r="C17" s="15" t="str">
        <x:v>Défini</x:v>
      </x:c>
      <x:c r="D17" s="16" t="str">
        <x:v>Extrapolation</x:v>
      </x:c>
      <x:c r="E17" s="16" t="str">
        <x:v>P1</x:v>
      </x:c>
      <x:c r="F17" s="9" t="str">
        <x:v>Fixer l’ennemi au loin ou avancer de couvert en couvert.</x:v>
      </x:c>
      <x:c r="G17" s="9" t="str">
        <x:v>Choix de méthode dans une adaptation; aucun embranchement alternatif n’est déclaré officiel.</x:v>
      </x:c>
      <x:c r="H17" s="9" t="str">
        <x:v>Tir soutenu consomme plus de ressources proposées; progression lente conserve l’équipement.</x:v>
      </x:c>
      <x:c r="I17" s="9" t="str">
        <x:v>Deux options nommées avec leur conséquence immédiate; coût affiché avant engagement.</x:v>
      </x:c>
      <x:c r="J17" s="9" t="str">
        <x:v>Geler les poses de dialogue pendant le choix; ne pas consommer une action en quittant le menu.</x:v>
      </x:c>
      <x:c r="K17" s="9" t="str">
        <x:v>Retour de sélection sobre; confirmation distincte d’une simple navigation.</x:v>
      </x:c>
      <x:c r="L17" s="9" t="str">
        <x:v>Décision locale FOU/11; stocker la méthode choisie et les conséquences temporaires, puis rejoindre le point de raccord.</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Les deux méthodes peuvent être comprises avant sélection; chacune rejoint le même ancrage canon sans supprimer un personnage nécessaire.</x:v>
      </x:c>
      <x:c r="O17" s="9" t="str">
        <x:v>FOU-SC-11-MAIN</x:v>
      </x:c>
      <x:c r="P17" s="9" t="str">
        <x:v>Bifurcation de gameplay originale, pas un choix présent dans l’œuvre.</x:v>
      </x:c>
      <x:c r="Q17" s="9" t="str"/>
      <x:c r="R17" s="20" t="str"/>
      <x:c r="S17" s="20" t="str"/>
    </x:row>
    <x:row r="18" ht="82" customHeight="1">
      <x:c r="A18" s="19" t="str">
        <x:v>FOU-SC-12-CHOICE</x:v>
      </x:c>
      <x:c r="B18" s="7" t="str">
        <x:v>#12 — histoire de Thane — stratégie locale</x:v>
      </x:c>
      <x:c r="C18" s="15" t="str">
        <x:v>Défini</x:v>
      </x:c>
      <x:c r="D18" s="17" t="str">
        <x:v>Extrapolation</x:v>
      </x:c>
      <x:c r="E18" s="17" t="str">
        <x:v>P1</x:v>
      </x:c>
      <x:c r="F18" s="7" t="str">
        <x:v>Examiner un souvenir matériel ou écouter une réflexion.</x:v>
      </x:c>
      <x:c r="G18" s="7" t="str">
        <x:v>Choix de méthode dans une adaptation; aucun embranchement alternatif n’est déclaré officiel.</x:v>
      </x:c>
      <x:c r="H18" s="7" t="str">
        <x:v>Change l’ordre de contexte; ne permet pas de réécrire le sort d’Irikah.</x:v>
      </x:c>
      <x:c r="I18" s="7" t="str">
        <x:v>Deux options nommées avec leur conséquence immédiate; coût affiché avant engagement.</x:v>
      </x:c>
      <x:c r="J18" s="7" t="str">
        <x:v>Geler les poses de dialogue pendant le choix; ne pas consommer une action en quittant le menu.</x:v>
      </x:c>
      <x:c r="K18" s="7" t="str">
        <x:v>Retour de sélection sobre; confirmation distincte d’une simple navigation.</x:v>
      </x:c>
      <x:c r="L18" s="7" t="str">
        <x:v>Décision locale FOU/12; stocker la méthode choisie et les conséquences temporaires, puis rejoindre le point de raccord.</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Les deux méthodes peuvent être comprises avant sélection; chacune rejoint le même ancrage canon sans supprimer un personnage nécessaire.</x:v>
      </x:c>
      <x:c r="O18" s="7" t="str">
        <x:v>FOU-SC-12-MAIN</x:v>
      </x:c>
      <x:c r="P18" s="7" t="str">
        <x:v>Bifurcation de gameplay originale, pas un choix présent dans l’œuvre.</x:v>
      </x:c>
      <x:c r="Q18" s="7" t="str"/>
      <x:c r="R18" s="21" t="str"/>
      <x:c r="S18" s="21" t="str"/>
    </x:row>
    <x:row r="19" ht="82" customHeight="1">
      <x:c r="A19" s="18" t="str">
        <x:v>FOU-SC-13-CHOICE</x:v>
      </x:c>
      <x:c r="B19" s="9" t="str">
        <x:v>#13 — sortie de Rasa — stratégie locale</x:v>
      </x:c>
      <x:c r="C19" s="15" t="str">
        <x:v>Défini</x:v>
      </x:c>
      <x:c r="D19" s="16" t="str">
        <x:v>Extrapolation</x:v>
      </x:c>
      <x:c r="E19" s="16" t="str">
        <x:v>P1</x:v>
      </x:c>
      <x:c r="F19" s="9" t="str">
        <x:v>Détourner un contrôle local ou utiliser une route de service préparée.</x:v>
      </x:c>
      <x:c r="G19" s="9" t="str">
        <x:v>Choix de méthode dans une adaptation; aucun embranchement alternatif n’est déclaré officiel.</x:v>
      </x:c>
      <x:c r="H19" s="9" t="str">
        <x:v>Change le placement des obstacles; le départ final et la distinction clone/original sont conservés.</x:v>
      </x:c>
      <x:c r="I19" s="9" t="str">
        <x:v>Deux options nommées avec leur conséquence immédiate; coût affiché avant engagement.</x:v>
      </x:c>
      <x:c r="J19" s="9" t="str">
        <x:v>Geler les poses de dialogue pendant le choix; ne pas consommer une action en quittant le menu.</x:v>
      </x:c>
      <x:c r="K19" s="9" t="str">
        <x:v>Retour de sélection sobre; confirmation distincte d’une simple navigation.</x:v>
      </x:c>
      <x:c r="L19" s="9" t="str">
        <x:v>Décision locale FOU/13; stocker la méthode choisie et les conséquences temporaires, puis rejoindre le point de raccord.</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Les deux méthodes peuvent être comprises avant sélection; chacune rejoint le même ancrage canon sans supprimer un personnage nécessaire.</x:v>
      </x:c>
      <x:c r="O19" s="9" t="str">
        <x:v>FOU-SC-13-MAIN</x:v>
      </x:c>
      <x:c r="P19" s="9" t="str">
        <x:v>Bifurcation de gameplay originale, pas un choix présent dans l’œuvre.</x:v>
      </x:c>
      <x:c r="Q19" s="9" t="str"/>
      <x:c r="R19" s="20" t="str"/>
      <x:c r="S19" s="20" t="str"/>
    </x:row>
  </x:sheetData>
  <x:conditionalFormatting sqref="D7:D19">
    <x:cfRule type="cellIs" dxfId="44" priority="1" operator="equal">
      <x:formula>"À vérifier"</x:formula>
    </x:cfRule>
    <x:cfRule type="cellIs" dxfId="45" priority="2" operator="equal">
      <x:formula>"Extrapolation"</x:formula>
    </x:cfRule>
  </x:conditionalFormatting>
  <x:conditionalFormatting sqref="C7:C19">
    <x:cfRule type="cellIs" dxfId="46" priority="3" operator="equal">
      <x:formula>"Validé"</x:formula>
    </x:cfRule>
  </x:conditionalFormatting>
  <x:conditionalFormatting sqref="E7:E19">
    <x:cfRule type="cellIs" dxfId="47"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935dacd60ced4273"/>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Foundation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FOU-SC-01-DIA</x:v>
      </x:c>
      <x:c r="B7" s="9" t="str">
        <x:v>#1 — passé sur Themis — intentions de conversation</x:v>
      </x:c>
      <x:c r="C7" s="15" t="str">
        <x:v>Défini</x:v>
      </x:c>
      <x:c r="D7" s="16" t="str">
        <x:v>Extrapolation</x:v>
      </x:c>
      <x:c r="E7" s="16" t="str">
        <x:v>P1</x:v>
      </x:c>
      <x:c r="F7" s="9" t="str">
        <x:v>Exprimer pression, ruse et désir d’autonomie par un texte original bref.</x:v>
      </x:c>
      <x:c r="G7" s="9" t="str">
        <x:v>Préserver le thème « identité et survie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#1 — passé sur Themis »; poser les sprites avant tout changement de caméra.</x:v>
      </x:c>
      <x:c r="K7" s="9" t="str">
        <x:v>Dialogue original à écrire; texte intégral accessible, avance manuelle et rappel des locuteurs.</x:v>
      </x:c>
      <x:c r="L7" s="9" t="str">
        <x:v>Arbre proposé FOU/01/dialogue; séparer ce qui est su, ce qui est affirmé et ce qui reste caché au joueur.</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 lecteur peut identifier le locuteur, son but et le niveau de certitude; aucune phrase du comic n’est reproduite comme dialogue final.</x:v>
      </x:c>
      <x:c r="O7" s="9" t="str">
        <x:v>FOU-SC-01-MAIN</x:v>
      </x:c>
      <x:c r="P7" s="9" t="str">
        <x:v>Écriture originale à partir des thèmes, sans transcrire les bulles.</x:v>
      </x:c>
      <x:c r="Q7" s="9" t="str"/>
      <x:c r="R7" s="20" t="str"/>
      <x:c r="S7" s="20" t="str"/>
    </x:row>
    <x:row r="8" ht="82" customHeight="1">
      <x:c r="A8" s="19" t="str">
        <x:v>FOU-SC-02-DIA</x:v>
      </x:c>
      <x:c r="B8" s="7" t="str">
        <x:v>#2 — dossier Wrex — intentions de conversation</x:v>
      </x:c>
      <x:c r="C8" s="15" t="str">
        <x:v>Défini</x:v>
      </x:c>
      <x:c r="D8" s="17" t="str">
        <x:v>Extrapolation</x:v>
      </x:c>
      <x:c r="E8" s="17" t="str">
        <x:v>P1</x:v>
      </x:c>
      <x:c r="F8" s="7" t="str">
        <x:v>Rasa justifie sa méthode; Kai Leng peut la contester sans imposer une vérité de gameplay.</x:v>
      </x:c>
      <x:c r="G8" s="7" t="str">
        <x:v>Préserver le thème « plan et variable incontrôlée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#2 — dossier Wrex »; poser les sprites avant tout changement de caméra.</x:v>
      </x:c>
      <x:c r="K8" s="7" t="str">
        <x:v>Dialogue original à écrire; texte intégral accessible, avance manuelle et rappel des locuteurs.</x:v>
      </x:c>
      <x:c r="L8" s="7" t="str">
        <x:v>Arbre proposé FOU/02/dialogue; séparer ce qui est su, ce qui est affirmé et ce qui reste caché au joueur.</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 lecteur peut identifier le locuteur, son but et le niveau de certitude; aucune phrase du comic n’est reproduite comme dialogue final.</x:v>
      </x:c>
      <x:c r="O8" s="7" t="str">
        <x:v>FOU-SC-02-MAIN</x:v>
      </x:c>
      <x:c r="P8" s="7" t="str">
        <x:v>Écriture originale à partir des thèmes, sans transcrire les bulles.</x:v>
      </x:c>
      <x:c r="Q8" s="7" t="str"/>
      <x:c r="R8" s="21" t="str"/>
      <x:c r="S8" s="21" t="str"/>
    </x:row>
    <x:row r="9" ht="82" customHeight="1">
      <x:c r="A9" s="18" t="str">
        <x:v>FOU-SC-03-DIA</x:v>
      </x:c>
      <x:c r="B9" s="9" t="str">
        <x:v>#3 — dossier Ashley — intentions de conversation</x:v>
      </x:c>
      <x:c r="C9" s="15" t="str">
        <x:v>Défini</x:v>
      </x:c>
      <x:c r="D9" s="16" t="str">
        <x:v>Extrapolation</x:v>
      </x:c>
      <x:c r="E9" s="16" t="str">
        <x:v>P1</x:v>
      </x:c>
      <x:c r="F9" s="9" t="str">
        <x:v>Ashley expose une expérience; l’interface ne certifie pas la couverture de Rasa comme honnête.</x:v>
      </x:c>
      <x:c r="G9" s="9" t="str">
        <x:v>Préserver le thème « témoignage et manipulation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#3 — dossier Ashley »; poser les sprites avant tout changement de caméra.</x:v>
      </x:c>
      <x:c r="K9" s="9" t="str">
        <x:v>Dialogue original à écrire; texte intégral accessible, avance manuelle et rappel des locuteurs.</x:v>
      </x:c>
      <x:c r="L9" s="9" t="str">
        <x:v>Arbre proposé FOU/03/dialogue; séparer ce qui est su, ce qui est affirmé et ce qui reste caché au joueur.</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 lecteur peut identifier le locuteur, son but et le niveau de certitude; aucune phrase du comic n’est reproduite comme dialogue final.</x:v>
      </x:c>
      <x:c r="O9" s="9" t="str">
        <x:v>FOU-SC-03-MAIN</x:v>
      </x:c>
      <x:c r="P9" s="9" t="str">
        <x:v>Écriture originale à partir des thèmes, sans transcrire les bulles.</x:v>
      </x:c>
      <x:c r="Q9" s="9" t="str"/>
      <x:c r="R9" s="20" t="str"/>
      <x:c r="S9" s="20" t="str"/>
    </x:row>
    <x:row r="10" ht="82" customHeight="1">
      <x:c r="A10" s="19" t="str">
        <x:v>FOU-SC-04-DIA</x:v>
      </x:c>
      <x:c r="B10" s="7" t="str">
        <x:v>#4 — formation de Kaidan — intentions de conversation</x:v>
      </x:c>
      <x:c r="C10" s="15" t="str">
        <x:v>Défini</x:v>
      </x:c>
      <x:c r="D10" s="17" t="str">
        <x:v>Extrapolation</x:v>
      </x:c>
      <x:c r="E10" s="17" t="str">
        <x:v>P1</x:v>
      </x:c>
      <x:c r="F10" s="7" t="str">
        <x:v>Kaidan et Rahna ont des intentions propres; éviter des répliques longues copiées et un score moral simpliste.</x:v>
      </x:c>
      <x:c r="G10" s="7" t="str">
        <x:v>Préserver le thème « apprentissage et abus d’autorité »; échanges nouveaux, sans recopier les bulles.</x:v>
      </x:c>
      <x:c r="H10" s="7" t="str">
        <x:v>Proposer questions de contexte, reformulation et fin de conversation; les informations nécessaires restent accessibles après une réponse sceptique.</x:v>
      </x:c>
      <x:c r="I10" s="7" t="str">
        <x:v>Portraits sobres avec locuteur et destinataire; encart distinct si l’information est un soupçon.</x:v>
      </x:c>
      <x:c r="J10" s="7" t="str">
        <x:v>Entrée prudente, geste d'inspection et retour au contrôle pour « #4 — formation de Kaidan »; poser les sprites avant tout changement de caméra.</x:v>
      </x:c>
      <x:c r="K10" s="7" t="str">
        <x:v>Dialogue original à écrire; texte intégral accessible, avance manuelle et rappel des locuteurs.</x:v>
      </x:c>
      <x:c r="L10" s="7" t="str">
        <x:v>Arbre proposé FOU/04/dialogue; séparer ce qui est su, ce qui est affirmé et ce qui reste caché au joueur.</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 lecteur peut identifier le locuteur, son but et le niveau de certitude; aucune phrase du comic n’est reproduite comme dialogue final.</x:v>
      </x:c>
      <x:c r="O10" s="7" t="str">
        <x:v>FOU-SC-04-MAIN</x:v>
      </x:c>
      <x:c r="P10" s="7" t="str">
        <x:v>Écriture originale à partir des thèmes, sans transcrire les bulles.</x:v>
      </x:c>
      <x:c r="Q10" s="7" t="str"/>
      <x:c r="R10" s="21" t="str"/>
      <x:c r="S10" s="21" t="str"/>
    </x:row>
    <x:row r="11" ht="82" customHeight="1">
      <x:c r="A11" s="18" t="str">
        <x:v>FOU-SC-05-DIA</x:v>
      </x:c>
      <x:c r="B11" s="9" t="str">
        <x:v>#5 — recherche de Shepard — intentions de conversation</x:v>
      </x:c>
      <x:c r="C11" s="15" t="str">
        <x:v>Défini</x:v>
      </x:c>
      <x:c r="D11" s="16" t="str">
        <x:v>Extrapolation</x:v>
      </x:c>
      <x:c r="E11" s="16" t="str">
        <x:v>P1</x:v>
      </x:c>
      <x:c r="F11" s="9" t="str">
        <x:v>Le duo confronte ses hypothèses à des indices limités, sans savoir le futur de Shepard.</x:v>
      </x:c>
      <x:c r="G11" s="9" t="str">
        <x:v>Préserver le thème « mission et information incomplète »; échanges nouveaux, sans recopier les bulles.</x:v>
      </x:c>
      <x:c r="H11" s="9" t="str">
        <x:v>Proposer questions de contexte, reformulation et fin de conversation; les informations nécessaires restent accessibles après une réponse sceptique.</x:v>
      </x:c>
      <x:c r="I11" s="9" t="str">
        <x:v>Portraits sobres avec locuteur et destinataire; encart distinct si l’information est un soupçon.</x:v>
      </x:c>
      <x:c r="J11" s="9" t="str">
        <x:v>Entrée prudente, geste d'inspection et retour au contrôle pour « #5 — recherche de Shepard »; poser les sprites avant tout changement de caméra.</x:v>
      </x:c>
      <x:c r="K11" s="9" t="str">
        <x:v>Dialogue original à écrire; texte intégral accessible, avance manuelle et rappel des locuteurs.</x:v>
      </x:c>
      <x:c r="L11" s="9" t="str">
        <x:v>Arbre proposé FOU/05/dialogue; séparer ce qui est su, ce qui est affirmé et ce qui reste caché au joueur.</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 lecteur peut identifier le locuteur, son but et le niveau de certitude; aucune phrase du comic n’est reproduite comme dialogue final.</x:v>
      </x:c>
      <x:c r="O11" s="9" t="str">
        <x:v>FOU-SC-05-MAIN</x:v>
      </x:c>
      <x:c r="P11" s="9" t="str">
        <x:v>Écriture originale à partir des thèmes, sans transcrire les bulles.</x:v>
      </x:c>
      <x:c r="Q11" s="9" t="str"/>
      <x:c r="R11" s="20" t="str"/>
      <x:c r="S11" s="20" t="str"/>
    </x:row>
    <x:row r="12" ht="82" customHeight="1">
      <x:c r="A12" s="19" t="str">
        <x:v>FOU-SC-06-DIA</x:v>
      </x:c>
      <x:c r="B12" s="7" t="str">
        <x:v>#6 — piège batarian — intentions de conversation</x:v>
      </x:c>
      <x:c r="C12" s="15" t="str">
        <x:v>Défini</x:v>
      </x:c>
      <x:c r="D12" s="17" t="str">
        <x:v>Extrapolation</x:v>
      </x:c>
      <x:c r="E12" s="17" t="str">
        <x:v>P1</x:v>
      </x:c>
      <x:c r="F12" s="7" t="str">
        <x:v>Ordres courts et confiance pratique du duo, sans romance ou loyauté inventée.</x:v>
      </x:c>
      <x:c r="G12" s="7" t="str">
        <x:v>Préserver le thème « coopération sous contrainte »; échanges nouveaux, sans recopier les bulles.</x:v>
      </x:c>
      <x:c r="H12" s="7" t="str">
        <x:v>Proposer questions de contexte, reformulation et fin de conversation; les informations nécessaires restent accessibles après une réponse sceptique.</x:v>
      </x:c>
      <x:c r="I12" s="7" t="str">
        <x:v>Portraits sobres avec locuteur et destinataire; encart distinct si l’information est un soupçon.</x:v>
      </x:c>
      <x:c r="J12" s="7" t="str">
        <x:v>Entrée prudente, geste d'inspection et retour au contrôle pour « #6 — piège batarian »; poser les sprites avant tout changement de caméra.</x:v>
      </x:c>
      <x:c r="K12" s="7" t="str">
        <x:v>Dialogue original à écrire; texte intégral accessible, avance manuelle et rappel des locuteurs.</x:v>
      </x:c>
      <x:c r="L12" s="7" t="str">
        <x:v>Arbre proposé FOU/06/dialogue; séparer ce qui est su, ce qui est affirmé et ce qui reste caché au joueur.</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 lecteur peut identifier le locuteur, son but et le niveau de certitude; aucune phrase du comic n’est reproduite comme dialogue final.</x:v>
      </x:c>
      <x:c r="O12" s="7" t="str">
        <x:v>FOU-SC-06-MAIN</x:v>
      </x:c>
      <x:c r="P12" s="7" t="str">
        <x:v>Écriture originale à partir des thèmes, sans transcrire les bulles.</x:v>
      </x:c>
      <x:c r="Q12" s="7" t="str"/>
      <x:c r="R12" s="21" t="str"/>
      <x:c r="S12" s="21" t="str"/>
    </x:row>
    <x:row r="13" ht="82" customHeight="1">
      <x:c r="A13" s="18" t="str">
        <x:v>FOU-SC-07-DIA</x:v>
      </x:c>
      <x:c r="B13" s="9" t="str">
        <x:v>#7 — Sujet Zéro — intentions de conversation</x:v>
      </x:c>
      <x:c r="C13" s="15" t="str">
        <x:v>Défini</x:v>
      </x:c>
      <x:c r="D13" s="16" t="str">
        <x:v>Extrapolation</x:v>
      </x:c>
      <x:c r="E13" s="16" t="str">
        <x:v>P1</x:v>
      </x:c>
      <x:c r="F13" s="9" t="str">
        <x:v>Les mots des agents peuvent être biaisés; le journal les attribue clairement.</x:v>
      </x:c>
      <x:c r="G13" s="9" t="str">
        <x:v>Préserver le thème « violence d’une capture »; échanges nouveaux, sans recopier les bulles.</x:v>
      </x:c>
      <x:c r="H13" s="9" t="str">
        <x:v>Proposer questions de contexte, reformulation et fin de conversation; les informations nécessaires restent accessibles après une réponse sceptique.</x:v>
      </x:c>
      <x:c r="I13" s="9" t="str">
        <x:v>Portraits sobres avec locuteur et destinataire; encart distinct si l’information est un soupçon.</x:v>
      </x:c>
      <x:c r="J13" s="9" t="str">
        <x:v>Entrée prudente, geste d'inspection et retour au contrôle pour « #7 — Sujet Zéro »; poser les sprites avant tout changement de caméra.</x:v>
      </x:c>
      <x:c r="K13" s="9" t="str">
        <x:v>Dialogue original à écrire; texte intégral accessible, avance manuelle et rappel des locuteurs.</x:v>
      </x:c>
      <x:c r="L13" s="9" t="str">
        <x:v>Arbre proposé FOU/07/dialogue; séparer ce qui est su, ce qui est affirmé et ce qui reste caché au joueur.</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 lecteur peut identifier le locuteur, son but et le niveau de certitude; aucune phrase du comic n’est reproduite comme dialogue final.</x:v>
      </x:c>
      <x:c r="O13" s="9" t="str">
        <x:v>FOU-SC-07-MAIN</x:v>
      </x:c>
      <x:c r="P13" s="9" t="str">
        <x:v>Écriture originale à partir des thèmes, sans transcrire les bulles.</x:v>
      </x:c>
      <x:c r="Q13" s="9" t="str"/>
      <x:c r="R13" s="20" t="str"/>
      <x:c r="S13" s="20" t="str"/>
    </x:row>
    <x:row r="14" ht="82" customHeight="1">
      <x:c r="A14" s="19" t="str">
        <x:v>FOU-SC-08-DIA</x:v>
      </x:c>
      <x:c r="B14" s="7" t="str">
        <x:v>#8 — rencontre avec Thane — intentions de conversation</x:v>
      </x:c>
      <x:c r="C14" s="15" t="str">
        <x:v>Défini</x:v>
      </x:c>
      <x:c r="D14" s="17" t="str">
        <x:v>Extrapolation</x:v>
      </x:c>
      <x:c r="E14" s="17" t="str">
        <x:v>P1</x:v>
      </x:c>
      <x:c r="F14" s="7" t="str">
        <x:v>Rasa tente de reprendre l’initiative; Thane reste opaque sans devenir surnaturellement omniscient.</x:v>
      </x:c>
      <x:c r="G14" s="7" t="str">
        <x:v>Préserver le thème « contrôle et vulnérabilité »; échanges nouveaux, sans recopier les bulles.</x:v>
      </x:c>
      <x:c r="H14" s="7" t="str">
        <x:v>Proposer questions de contexte, reformulation et fin de conversation; les informations nécessaires restent accessibles après une réponse sceptique.</x:v>
      </x:c>
      <x:c r="I14" s="7" t="str">
        <x:v>Portraits sobres avec locuteur et destinataire; encart distinct si l’information est un soupçon.</x:v>
      </x:c>
      <x:c r="J14" s="7" t="str">
        <x:v>Entrée prudente, geste d'inspection et retour au contrôle pour « #8 — rencontre avec Thane »; poser les sprites avant tout changement de caméra.</x:v>
      </x:c>
      <x:c r="K14" s="7" t="str">
        <x:v>Dialogue original à écrire; texte intégral accessible, avance manuelle et rappel des locuteurs.</x:v>
      </x:c>
      <x:c r="L14" s="7" t="str">
        <x:v>Arbre proposé FOU/08/dialogue; séparer ce qui est su, ce qui est affirmé et ce qui reste caché au joueur.</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Le lecteur peut identifier le locuteur, son but et le niveau de certitude; aucune phrase du comic n’est reproduite comme dialogue final.</x:v>
      </x:c>
      <x:c r="O14" s="7" t="str">
        <x:v>FOU-SC-08-MAIN</x:v>
      </x:c>
      <x:c r="P14" s="7" t="str">
        <x:v>Écriture originale à partir des thèmes, sans transcrire les bulles.</x:v>
      </x:c>
      <x:c r="Q14" s="7" t="str"/>
      <x:c r="R14" s="21" t="str"/>
      <x:c r="S14" s="21" t="str"/>
    </x:row>
    <x:row r="15" ht="82" customHeight="1">
      <x:c r="A15" s="18" t="str">
        <x:v>FOU-SC-09-DIA</x:v>
      </x:c>
      <x:c r="B15" s="9" t="str">
        <x:v>#9 — dossier Mordin — intentions de conversation</x:v>
      </x:c>
      <x:c r="C15" s="15" t="str">
        <x:v>Défini</x:v>
      </x:c>
      <x:c r="D15" s="16" t="str">
        <x:v>Extrapolation</x:v>
      </x:c>
      <x:c r="E15" s="16" t="str">
        <x:v>P1</x:v>
      </x:c>
      <x:c r="F15" s="9" t="str">
        <x:v>Mordin expose son raisonnement et une opposition le conteste; éviter de présenter une position comme fait scientifique moral.</x:v>
      </x:c>
      <x:c r="G15" s="9" t="str">
        <x:v>Préserver le thème « efficacité et responsabilité morale »; échanges nouveaux, sans recopier les bulles.</x:v>
      </x:c>
      <x:c r="H15" s="9" t="str">
        <x:v>Proposer questions de contexte, reformulation et fin de conversation; les informations nécessaires restent accessibles après une réponse sceptique.</x:v>
      </x:c>
      <x:c r="I15" s="9" t="str">
        <x:v>Portraits sobres avec locuteur et destinataire; encart distinct si l’information est un soupçon.</x:v>
      </x:c>
      <x:c r="J15" s="9" t="str">
        <x:v>Entrée prudente, geste d'inspection et retour au contrôle pour « #9 — dossier Mordin »; poser les sprites avant tout changement de caméra.</x:v>
      </x:c>
      <x:c r="K15" s="9" t="str">
        <x:v>Dialogue original à écrire; texte intégral accessible, avance manuelle et rappel des locuteurs.</x:v>
      </x:c>
      <x:c r="L15" s="9" t="str">
        <x:v>Arbre proposé FOU/09/dialogue; séparer ce qui est su, ce qui est affirmé et ce qui reste caché au joueur.</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Le lecteur peut identifier le locuteur, son but et le niveau de certitude; aucune phrase du comic n’est reproduite comme dialogue final.</x:v>
      </x:c>
      <x:c r="O15" s="9" t="str">
        <x:v>FOU-SC-09-MAIN</x:v>
      </x:c>
      <x:c r="P15" s="9" t="str">
        <x:v>Écriture originale à partir des thèmes, sans transcrire les bulles.</x:v>
      </x:c>
      <x:c r="Q15" s="9" t="str"/>
      <x:c r="R15" s="20" t="str"/>
      <x:c r="S15" s="20" t="str"/>
    </x:row>
    <x:row r="16" ht="82" customHeight="1">
      <x:c r="A16" s="19" t="str">
        <x:v>FOU-SC-10-DIA</x:v>
      </x:c>
      <x:c r="B16" s="7" t="str">
        <x:v>#10 — dossier Kasumi — intentions de conversation</x:v>
      </x:c>
      <x:c r="C16" s="15" t="str">
        <x:v>Défini</x:v>
      </x:c>
      <x:c r="D16" s="17" t="str">
        <x:v>Extrapolation</x:v>
      </x:c>
      <x:c r="E16" s="17" t="str">
        <x:v>P1</x:v>
      </x:c>
      <x:c r="F16" s="7" t="str">
        <x:v>Échanges de confiance avec Keiji à écrire à partir d’intentions, sans recopier le récit.</x:v>
      </x:c>
      <x:c r="G16" s="7" t="str">
        <x:v>Préserver le thème « confiance et perte »; échanges nouveaux, sans recopier les bulles.</x:v>
      </x:c>
      <x:c r="H16" s="7" t="str">
        <x:v>Proposer questions de contexte, reformulation et fin de conversation; les informations nécessaires restent accessibles après une réponse sceptique.</x:v>
      </x:c>
      <x:c r="I16" s="7" t="str">
        <x:v>Portraits sobres avec locuteur et destinataire; encart distinct si l’information est un soupçon.</x:v>
      </x:c>
      <x:c r="J16" s="7" t="str">
        <x:v>Entrée prudente, geste d'inspection et retour au contrôle pour « #10 — dossier Kasumi »; poser les sprites avant tout changement de caméra.</x:v>
      </x:c>
      <x:c r="K16" s="7" t="str">
        <x:v>Dialogue original à écrire; texte intégral accessible, avance manuelle et rappel des locuteurs.</x:v>
      </x:c>
      <x:c r="L16" s="7" t="str">
        <x:v>Arbre proposé FOU/10/dialogue; séparer ce qui est su, ce qui est affirmé et ce qui reste caché au joueur.</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Le lecteur peut identifier le locuteur, son but et le niveau de certitude; aucune phrase du comic n’est reproduite comme dialogue final.</x:v>
      </x:c>
      <x:c r="O16" s="7" t="str">
        <x:v>FOU-SC-10-MAIN</x:v>
      </x:c>
      <x:c r="P16" s="7" t="str">
        <x:v>Écriture originale à partir des thèmes, sans transcrire les bulles.</x:v>
      </x:c>
      <x:c r="Q16" s="7" t="str"/>
      <x:c r="R16" s="21" t="str"/>
      <x:c r="S16" s="21" t="str"/>
    </x:row>
    <x:row r="17" ht="82" customHeight="1">
      <x:c r="A17" s="18" t="str">
        <x:v>FOU-SC-11-DIA</x:v>
      </x:c>
      <x:c r="B17" s="9" t="str">
        <x:v>#11 — dossier Zaeed — intentions de conversation</x:v>
      </x:c>
      <x:c r="C17" s="15" t="str">
        <x:v>Défini</x:v>
      </x:c>
      <x:c r="D17" s="16" t="str">
        <x:v>Extrapolation</x:v>
      </x:c>
      <x:c r="E17" s="16" t="str">
        <x:v>P1</x:v>
      </x:c>
      <x:c r="F17" s="9" t="str">
        <x:v>Zaeed exprime une méthode pragmatique; aucune glorification obligatoire du nombre de victimes.</x:v>
      </x:c>
      <x:c r="G17" s="9" t="str">
        <x:v>Préserver le thème « compétence et coût »; échanges nouveaux, sans recopier les bulles.</x:v>
      </x:c>
      <x:c r="H17" s="9" t="str">
        <x:v>Proposer questions de contexte, reformulation et fin de conversation; les informations nécessaires restent accessibles après une réponse sceptique.</x:v>
      </x:c>
      <x:c r="I17" s="9" t="str">
        <x:v>Portraits sobres avec locuteur et destinataire; encart distinct si l’information est un soupçon.</x:v>
      </x:c>
      <x:c r="J17" s="9" t="str">
        <x:v>Entrée prudente, geste d'inspection et retour au contrôle pour « #11 — dossier Zaeed »; poser les sprites avant tout changement de caméra.</x:v>
      </x:c>
      <x:c r="K17" s="9" t="str">
        <x:v>Dialogue original à écrire; texte intégral accessible, avance manuelle et rappel des locuteurs.</x:v>
      </x:c>
      <x:c r="L17" s="9" t="str">
        <x:v>Arbre proposé FOU/11/dialogue; séparer ce qui est su, ce qui est affirmé et ce qui reste caché au joueur.</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Le lecteur peut identifier le locuteur, son but et le niveau de certitude; aucune phrase du comic n’est reproduite comme dialogue final.</x:v>
      </x:c>
      <x:c r="O17" s="9" t="str">
        <x:v>FOU-SC-11-MAIN</x:v>
      </x:c>
      <x:c r="P17" s="9" t="str">
        <x:v>Écriture originale à partir des thèmes, sans transcrire les bulles.</x:v>
      </x:c>
      <x:c r="Q17" s="9" t="str"/>
      <x:c r="R17" s="20" t="str"/>
      <x:c r="S17" s="20" t="str"/>
    </x:row>
    <x:row r="18" ht="82" customHeight="1">
      <x:c r="A18" s="19" t="str">
        <x:v>FOU-SC-12-DIA</x:v>
      </x:c>
      <x:c r="B18" s="7" t="str">
        <x:v>#12 — histoire de Thane — intentions de conversation</x:v>
      </x:c>
      <x:c r="C18" s="15" t="str">
        <x:v>Défini</x:v>
      </x:c>
      <x:c r="D18" s="17" t="str">
        <x:v>Extrapolation</x:v>
      </x:c>
      <x:c r="E18" s="17" t="str">
        <x:v>P1</x:v>
      </x:c>
      <x:c r="F18" s="7" t="str">
        <x:v>Intimité familiale, culpabilité et nouvelle orientation; pas de monologue intégral de l’œuvre.</x:v>
      </x:c>
      <x:c r="G18" s="7" t="str">
        <x:v>Préserver le thème « deuil et responsabilité »; échanges nouveaux, sans recopier les bulles.</x:v>
      </x:c>
      <x:c r="H18" s="7" t="str">
        <x:v>Proposer questions de contexte, reformulation et fin de conversation; les informations nécessaires restent accessibles après une réponse sceptique.</x:v>
      </x:c>
      <x:c r="I18" s="7" t="str">
        <x:v>Portraits sobres avec locuteur et destinataire; encart distinct si l’information est un soupçon.</x:v>
      </x:c>
      <x:c r="J18" s="7" t="str">
        <x:v>Entrée prudente, geste d'inspection et retour au contrôle pour « #12 — histoire de Thane »; poser les sprites avant tout changement de caméra.</x:v>
      </x:c>
      <x:c r="K18" s="7" t="str">
        <x:v>Dialogue original à écrire; texte intégral accessible, avance manuelle et rappel des locuteurs.</x:v>
      </x:c>
      <x:c r="L18" s="7" t="str">
        <x:v>Arbre proposé FOU/12/dialogue; séparer ce qui est su, ce qui est affirmé et ce qui reste caché au joueur.</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Le lecteur peut identifier le locuteur, son but et le niveau de certitude; aucune phrase du comic n’est reproduite comme dialogue final.</x:v>
      </x:c>
      <x:c r="O18" s="7" t="str">
        <x:v>FOU-SC-12-MAIN</x:v>
      </x:c>
      <x:c r="P18" s="7" t="str">
        <x:v>Écriture originale à partir des thèmes, sans transcrire les bulles.</x:v>
      </x:c>
      <x:c r="Q18" s="7" t="str"/>
      <x:c r="R18" s="21" t="str"/>
      <x:c r="S18" s="21" t="str"/>
    </x:row>
    <x:row r="19" ht="82" customHeight="1">
      <x:c r="A19" s="18" t="str">
        <x:v>FOU-SC-13-DIA</x:v>
      </x:c>
      <x:c r="B19" s="9" t="str">
        <x:v>#13 — sortie de Rasa — intentions de conversation</x:v>
      </x:c>
      <x:c r="C19" s="15" t="str">
        <x:v>Défini</x:v>
      </x:c>
      <x:c r="D19" s="16" t="str">
        <x:v>Extrapolation</x:v>
      </x:c>
      <x:c r="E19" s="16" t="str">
        <x:v>P1</x:v>
      </x:c>
      <x:c r="F19" s="9" t="str">
        <x:v>Rasa et Miranda opposent leurs rapports à Cerberus; le journal attribue clairement leurs justifications.</x:v>
      </x:c>
      <x:c r="G19" s="9" t="str">
        <x:v>Préserver le thème « autonomie et appropriation »; échanges nouveaux, sans recopier les bulles.</x:v>
      </x:c>
      <x:c r="H19" s="9" t="str">
        <x:v>Proposer questions de contexte, reformulation et fin de conversation; les informations nécessaires restent accessibles après une réponse sceptique.</x:v>
      </x:c>
      <x:c r="I19" s="9" t="str">
        <x:v>Portraits sobres avec locuteur et destinataire; encart distinct si l’information est un soupçon.</x:v>
      </x:c>
      <x:c r="J19" s="9" t="str">
        <x:v>Entrée prudente, geste d'inspection et retour au contrôle pour « #13 — sortie de Rasa »; poser les sprites avant tout changement de caméra.</x:v>
      </x:c>
      <x:c r="K19" s="9" t="str">
        <x:v>Dialogue original à écrire; texte intégral accessible, avance manuelle et rappel des locuteurs.</x:v>
      </x:c>
      <x:c r="L19" s="9" t="str">
        <x:v>Arbre proposé FOU/13/dialogue; séparer ce qui est su, ce qui est affirmé et ce qui reste caché au joueur.</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Le lecteur peut identifier le locuteur, son but et le niveau de certitude; aucune phrase du comic n’est reproduite comme dialogue final.</x:v>
      </x:c>
      <x:c r="O19" s="9" t="str">
        <x:v>FOU-SC-13-MAIN</x:v>
      </x:c>
      <x:c r="P19" s="9" t="str">
        <x:v>Écriture originale à partir des thèmes, sans transcrire les bulles.</x:v>
      </x:c>
      <x:c r="Q19" s="9" t="str"/>
      <x:c r="R19" s="20" t="str"/>
      <x:c r="S19" s="20" t="str"/>
    </x:row>
  </x:sheetData>
  <x:conditionalFormatting sqref="D7:D19">
    <x:cfRule type="cellIs" dxfId="48" priority="1" operator="equal">
      <x:formula>"À vérifier"</x:formula>
    </x:cfRule>
    <x:cfRule type="cellIs" dxfId="49" priority="2" operator="equal">
      <x:formula>"Extrapolation"</x:formula>
    </x:cfRule>
  </x:conditionalFormatting>
  <x:conditionalFormatting sqref="C7:C19">
    <x:cfRule type="cellIs" dxfId="50" priority="3" operator="equal">
      <x:formula>"Validé"</x:formula>
    </x:cfRule>
  </x:conditionalFormatting>
  <x:conditionalFormatting sqref="E7:E19">
    <x:cfRule type="cellIs" dxfId="51"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bfb7dfc6a738485d"/>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Foundation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FOU-SC-01-CINE</x:v>
      </x:c>
      <x:c r="B7" s="9" t="str">
        <x:v>#1 — passé sur Themis — raccord mis en scène</x:v>
      </x:c>
      <x:c r="C7" s="15" t="str">
        <x:v>Défini</x:v>
      </x:c>
      <x:c r="D7" s="16" t="str">
        <x:v>Extrapolation</x:v>
      </x:c>
      <x:c r="E7" s="16" t="str">
        <x:v>P1</x:v>
      </x:c>
      <x:c r="F7" s="9" t="str">
        <x:v>Point de vue bas, silhouettes d’adultes tenues à distance; caméra s’ouvre à la sortie.</x:v>
      </x:c>
      <x:c r="G7" s="9" t="str">
        <x:v>Routine contrainte → observation → passage → sortie du cadre d’origine.</x:v>
      </x:c>
      <x:c r="H7" s="9" t="str"/>
      <x:c r="I7" s="9" t="str">
        <x:v>Passerelle étroite et lumière du treuil en arrière-plan.</x:v>
      </x:c>
      <x:c r="J7" s="9" t="str">
        <x:v>Entrée prudente, geste d'inspection et retour au contrôle pour « #1 — passé sur Themis »; poser les sprites avant tout changement de caméra.</x:v>
      </x:c>
      <x:c r="K7" s="9" t="str">
        <x:v>Travail minier répétitif puis espace sonore plus ouvert.</x:v>
      </x:c>
      <x:c r="L7" s="9" t="str">
        <x:v>Séquence proposée FOU/01/cinematic; mise à jour des états avant restitution du contrôle; bouton passer et relecture séparés.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La version passée et la version regardée aboutissent au même placement, inventaire et objectif; les sous-titres ne sont pas coupés.</x:v>
      </x:c>
      <x:c r="O7" s="9" t="str">
        <x:v>FOU-SC-01-MAIN</x:v>
      </x:c>
      <x:c r="P7" s="9" t="str">
        <x:v>Découpage original pour sprites 2D sur décor 3D.</x:v>
      </x:c>
      <x:c r="Q7" s="9" t="str"/>
      <x:c r="R7" s="20" t="str"/>
      <x:c r="S7" s="20" t="str"/>
    </x:row>
    <x:row r="8" ht="82" customHeight="1">
      <x:c r="A8" s="19" t="str">
        <x:v>FOU-SC-02-CINE</x:v>
      </x:c>
      <x:c r="B8" s="7" t="str">
        <x:v>#2 — dossier Wrex — raccord mis en scène</x:v>
      </x:c>
      <x:c r="C8" s="15" t="str">
        <x:v>Défini</x:v>
      </x:c>
      <x:c r="D8" s="17" t="str">
        <x:v>Extrapolation</x:v>
      </x:c>
      <x:c r="E8" s="17" t="str">
        <x:v>P1</x:v>
      </x:c>
      <x:c r="F8" s="7" t="str">
        <x:v>Alternance du dossier et de l’espace réel; grande silhouette de Wrex utilisée comme repère de pression.</x:v>
      </x:c>
      <x:c r="G8" s="7" t="str">
        <x:v>Dossier → couverture → choix de route → convergence du récit.</x:v>
      </x:c>
      <x:c r="H8" s="7" t="str"/>
      <x:c r="I8" s="7" t="str">
        <x:v>Accès résidentiel et contrôle de transit clair.</x:v>
      </x:c>
      <x:c r="J8" s="7" t="str">
        <x:v>Entrée prudente, geste d'inspection et retour au contrôle pour « #2 — dossier Wrex »; poser les sprites avant tout changement de caméra.</x:v>
      </x:c>
      <x:c r="K8" s="7" t="str">
        <x:v>Bureau calme puis bruit urbain de la Citadelle.</x:v>
      </x:c>
      <x:c r="L8" s="7" t="str">
        <x:v>Séquence proposée FOU/02/cinematic; mise à jour des états avant restitution du contrôle; bouton passer et relecture séparés.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La version passée et la version regardée aboutissent au même placement, inventaire et objectif; les sous-titres ne sont pas coupés.</x:v>
      </x:c>
      <x:c r="O8" s="7" t="str">
        <x:v>FOU-SC-02-MAIN</x:v>
      </x:c>
      <x:c r="P8" s="7" t="str">
        <x:v>Découpage original pour sprites 2D sur décor 3D.</x:v>
      </x:c>
      <x:c r="Q8" s="7" t="str"/>
      <x:c r="R8" s="21" t="str"/>
      <x:c r="S8" s="21" t="str"/>
    </x:row>
    <x:row r="9" ht="82" customHeight="1">
      <x:c r="A9" s="18" t="str">
        <x:v>FOU-SC-03-CINE</x:v>
      </x:c>
      <x:c r="B9" s="9" t="str">
        <x:v>#3 — dossier Ashley — raccord mis en scène</x:v>
      </x:c>
      <x:c r="C9" s="15" t="str">
        <x:v>Défini</x:v>
      </x:c>
      <x:c r="D9" s="16" t="str">
        <x:v>Extrapolation</x:v>
      </x:c>
      <x:c r="E9" s="16" t="str">
        <x:v>P1</x:v>
      </x:c>
      <x:c r="F9" s="9" t="str">
        <x:v>Raccord par un détail sonore entre salle d’entretien et terrain.</x:v>
      </x:c>
      <x:c r="G9" s="9" t="str">
        <x:v>Entretien → épisode de section → retour au témoignage → classement.</x:v>
      </x:c>
      <x:c r="H9" s="9" t="str"/>
      <x:c r="I9" s="9" t="str">
        <x:v>Cadre clinique simple puis espace extérieur ouvert.</x:v>
      </x:c>
      <x:c r="J9" s="9" t="str">
        <x:v>Entrée prudente, geste d'inspection et retour au contrôle pour « #3 — dossier Ashley »; poser les sprites avant tout changement de caméra.</x:v>
      </x:c>
      <x:c r="K9" s="9" t="str">
        <x:v>Voix proche et transition vers radio de section originale.</x:v>
      </x:c>
      <x:c r="L9" s="9" t="str">
        <x:v>Séquence proposée FOU/03/cinematic; mise à jour des états avant restitution du contrôle; bouton passer et relecture séparés.</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La version passée et la version regardée aboutissent au même placement, inventaire et objectif; les sous-titres ne sont pas coupés.</x:v>
      </x:c>
      <x:c r="O9" s="9" t="str">
        <x:v>FOU-SC-03-MAIN</x:v>
      </x:c>
      <x:c r="P9" s="9" t="str">
        <x:v>Découpage original pour sprites 2D sur décor 3D.</x:v>
      </x:c>
      <x:c r="Q9" s="9" t="str"/>
      <x:c r="R9" s="20" t="str"/>
      <x:c r="S9" s="20" t="str"/>
    </x:row>
    <x:row r="10" ht="82" customHeight="1">
      <x:c r="A10" s="19" t="str">
        <x:v>FOU-SC-04-CINE</x:v>
      </x:c>
      <x:c r="B10" s="7" t="str">
        <x:v>#4 — formation de Kaidan — raccord mis en scène</x:v>
      </x:c>
      <x:c r="C10" s="15" t="str">
        <x:v>Défini</x:v>
      </x:c>
      <x:c r="D10" s="17" t="str">
        <x:v>Extrapolation</x:v>
      </x:c>
      <x:c r="E10" s="17" t="str">
        <x:v>P1</x:v>
      </x:c>
      <x:c r="F10" s="7" t="str">
        <x:v>Lignes géométriques de la salle, distance oppressive de l’instructeur puis réaction du groupe.</x:v>
      </x:c>
      <x:c r="G10" s="7" t="str">
        <x:v>Repos → exercice → tension → événement fixé → retour au dossier.</x:v>
      </x:c>
      <x:c r="H10" s="7" t="str"/>
      <x:c r="I10" s="7" t="str">
        <x:v>Objets d’exercice simples et zones de sécurité visibles.</x:v>
      </x:c>
      <x:c r="J10" s="7" t="str">
        <x:v>Entrée prudente, geste d'inspection et retour au contrôle pour « #4 — formation de Kaidan »; poser les sprites avant tout changement de caméra.</x:v>
      </x:c>
      <x:c r="K10" s="7" t="str">
        <x:v>Ventilation stable puis silence à la rupture.</x:v>
      </x:c>
      <x:c r="L10" s="7" t="str">
        <x:v>Séquence proposée FOU/04/cinematic; mise à jour des états avant restitution du contrôle; bouton passer et relecture séparés.</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La version passée et la version regardée aboutissent au même placement, inventaire et objectif; les sous-titres ne sont pas coupés.</x:v>
      </x:c>
      <x:c r="O10" s="7" t="str">
        <x:v>FOU-SC-04-MAIN</x:v>
      </x:c>
      <x:c r="P10" s="7" t="str">
        <x:v>Découpage original pour sprites 2D sur décor 3D.</x:v>
      </x:c>
      <x:c r="Q10" s="7" t="str"/>
      <x:c r="R10" s="21" t="str"/>
      <x:c r="S10" s="21" t="str"/>
    </x:row>
    <x:row r="11" ht="82" customHeight="1">
      <x:c r="A11" s="18" t="str">
        <x:v>FOU-SC-05-CINE</x:v>
      </x:c>
      <x:c r="B11" s="9" t="str">
        <x:v>#5 — recherche de Shepard — raccord mis en scène</x:v>
      </x:c>
      <x:c r="C11" s="15" t="str">
        <x:v>Défini</x:v>
      </x:c>
      <x:c r="D11" s="16" t="str">
        <x:v>Extrapolation</x:v>
      </x:c>
      <x:c r="E11" s="16" t="str">
        <x:v>P1</x:v>
      </x:c>
      <x:c r="F11" s="9" t="str">
        <x:v>Cadre partagé puis séparation temporaire des fonctions.</x:v>
      </x:c>
      <x:c r="G11" s="9" t="str">
        <x:v>Briefing → inspection → résultat incomplet → nouvelle pression.</x:v>
      </x:c>
      <x:c r="H11" s="9" t="str"/>
      <x:c r="I11" s="9" t="str">
        <x:v>Antenne de transit et couvert distinct des objets inspectables.</x:v>
      </x:c>
      <x:c r="J11" s="9" t="str">
        <x:v>Entrée prudente, geste d'inspection et retour au contrôle pour « #5 — recherche de Shepard »; poser les sprites avant tout changement de caméra.</x:v>
      </x:c>
      <x:c r="K11" s="9" t="str">
        <x:v>Radio et bruit de manipulation original.</x:v>
      </x:c>
      <x:c r="L11" s="9" t="str">
        <x:v>Séquence proposée FOU/05/cinematic; mise à jour des états avant restitution du contrôle; bouton passer et relecture séparés.</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La version passée et la version regardée aboutissent au même placement, inventaire et objectif; les sous-titres ne sont pas coupés.</x:v>
      </x:c>
      <x:c r="O11" s="9" t="str">
        <x:v>FOU-SC-05-MAIN</x:v>
      </x:c>
      <x:c r="P11" s="9" t="str">
        <x:v>Découpage original pour sprites 2D sur décor 3D.</x:v>
      </x:c>
      <x:c r="Q11" s="9" t="str"/>
      <x:c r="R11" s="20" t="str"/>
      <x:c r="S11" s="20" t="str"/>
    </x:row>
    <x:row r="12" ht="82" customHeight="1">
      <x:c r="A12" s="19" t="str">
        <x:v>FOU-SC-06-CINE</x:v>
      </x:c>
      <x:c r="B12" s="7" t="str">
        <x:v>#6 — piège batarian — raccord mis en scène</x:v>
      </x:c>
      <x:c r="C12" s="15" t="str">
        <x:v>Défini</x:v>
      </x:c>
      <x:c r="D12" s="17" t="str">
        <x:v>Extrapolation</x:v>
      </x:c>
      <x:c r="E12" s="17" t="str">
        <x:v>P1</x:v>
      </x:c>
      <x:c r="F12" s="7" t="str">
        <x:v>Vue large des deux accès et portrait du chef de guerre seulement si confirmé visuellement.</x:v>
      </x:c>
      <x:c r="G12" s="7" t="str">
        <x:v>Constat de piège → coordination → traversée → sortie.</x:v>
      </x:c>
      <x:c r="H12" s="7" t="str"/>
      <x:c r="I12" s="7" t="str">
        <x:v>Cour de service et obstacles bas lisibles.</x:v>
      </x:c>
      <x:c r="J12" s="7" t="str">
        <x:v>Entrée prudente, geste d'inspection et retour au contrôle pour « #6 — piège batarian »; poser les sprites avant tout changement de caméra.</x:v>
      </x:c>
      <x:c r="K12" s="7" t="str">
        <x:v>Tirs courts, porte industrielle et respiration du groupe.</x:v>
      </x:c>
      <x:c r="L12" s="7" t="str">
        <x:v>Séquence proposée FOU/06/cinematic; mise à jour des états avant restitution du contrôle; bouton passer et relecture séparés.</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La version passée et la version regardée aboutissent au même placement, inventaire et objectif; les sous-titres ne sont pas coupés.</x:v>
      </x:c>
      <x:c r="O12" s="7" t="str">
        <x:v>FOU-SC-06-MAIN</x:v>
      </x:c>
      <x:c r="P12" s="7" t="str">
        <x:v>Découpage original pour sprites 2D sur décor 3D.</x:v>
      </x:c>
      <x:c r="Q12" s="7" t="str"/>
      <x:c r="R12" s="21" t="str"/>
      <x:c r="S12" s="21" t="str"/>
    </x:row>
    <x:row r="13" ht="82" customHeight="1">
      <x:c r="A13" s="18" t="str">
        <x:v>FOU-SC-07-CINE</x:v>
      </x:c>
      <x:c r="B13" s="9" t="str">
        <x:v>#7 — Sujet Zéro — raccord mis en scène</x:v>
      </x:c>
      <x:c r="C13" s="15" t="str">
        <x:v>Défini</x:v>
      </x:c>
      <x:c r="D13" s="16" t="str">
        <x:v>Extrapolation</x:v>
      </x:c>
      <x:c r="E13" s="16" t="str">
        <x:v>P1</x:v>
      </x:c>
      <x:c r="F13" s="9" t="str">
        <x:v>La caméra garde Jack et les issues visibles, sans multiplier les gros plans de violence.</x:v>
      </x:c>
      <x:c r="G13" s="9" t="str">
        <x:v>Approche → pression biotique → repli → compte rendu.</x:v>
      </x:c>
      <x:c r="H13" s="9" t="str"/>
      <x:c r="I13" s="9" t="str">
        <x:v>Contours biotiques localisés et éléments de couvert mobiles.</x:v>
      </x:c>
      <x:c r="J13" s="9" t="str">
        <x:v>Entrée prudente, geste d'inspection et retour au contrôle pour « #7 — Sujet Zéro »; poser les sprites avant tout changement de caméra.</x:v>
      </x:c>
      <x:c r="K13" s="9" t="str">
        <x:v>Onde grave originale et silences entre les impacts.</x:v>
      </x:c>
      <x:c r="L13" s="9" t="str">
        <x:v>Séquence proposée FOU/07/cinematic; mise à jour des états avant restitution du contrôle; bouton passer et relecture séparés.</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La version passée et la version regardée aboutissent au même placement, inventaire et objectif; les sous-titres ne sont pas coupés.</x:v>
      </x:c>
      <x:c r="O13" s="9" t="str">
        <x:v>FOU-SC-07-MAIN</x:v>
      </x:c>
      <x:c r="P13" s="9" t="str">
        <x:v>Découpage original pour sprites 2D sur décor 3D.</x:v>
      </x:c>
      <x:c r="Q13" s="9" t="str"/>
      <x:c r="R13" s="20" t="str"/>
      <x:c r="S13" s="20" t="str"/>
    </x:row>
    <x:row r="14" ht="82" customHeight="1">
      <x:c r="A14" s="19" t="str">
        <x:v>FOU-SC-08-CINE</x:v>
      </x:c>
      <x:c r="B14" s="7" t="str">
        <x:v>#8 — rencontre avec Thane — raccord mis en scène</x:v>
      </x:c>
      <x:c r="C14" s="15" t="str">
        <x:v>Défini</x:v>
      </x:c>
      <x:c r="D14" s="17" t="str">
        <x:v>Extrapolation</x:v>
      </x:c>
      <x:c r="E14" s="17" t="str">
        <x:v>P1</x:v>
      </x:c>
      <x:c r="F14" s="7" t="str">
        <x:v>Lignes de regard croisées et espace vide entre les protagonistes.</x:v>
      </x:c>
      <x:c r="G14" s="7" t="str">
        <x:v>Préparation → observation → confrontation de méthodes → raccord.</x:v>
      </x:c>
      <x:c r="H14" s="7" t="str"/>
      <x:c r="I14" s="7" t="str">
        <x:v>Fond sobre, points d’accès et faible contraste sur les passages secondaires.</x:v>
      </x:c>
      <x:c r="J14" s="7" t="str">
        <x:v>Entrée prudente, geste d'inspection et retour au contrôle pour « #8 — rencontre avec Thane »; poser les sprites avant tout changement de caméra.</x:v>
      </x:c>
      <x:c r="K14" s="7" t="str">
        <x:v>Bruit de lieu discret et silence à chaque échange décisif.</x:v>
      </x:c>
      <x:c r="L14" s="7" t="str">
        <x:v>Séquence proposée FOU/08/cinematic; mise à jour des états avant restitution du contrôle; bouton passer et relecture séparés.</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La version passée et la version regardée aboutissent au même placement, inventaire et objectif; les sous-titres ne sont pas coupés.</x:v>
      </x:c>
      <x:c r="O14" s="7" t="str">
        <x:v>FOU-SC-08-MAIN</x:v>
      </x:c>
      <x:c r="P14" s="7" t="str">
        <x:v>Découpage original pour sprites 2D sur décor 3D.</x:v>
      </x:c>
      <x:c r="Q14" s="7" t="str"/>
      <x:c r="R14" s="21" t="str"/>
      <x:c r="S14" s="21" t="str"/>
    </x:row>
    <x:row r="15" ht="82" customHeight="1">
      <x:c r="A15" s="18" t="str">
        <x:v>FOU-SC-09-CINE</x:v>
      </x:c>
      <x:c r="B15" s="9" t="str">
        <x:v>#9 — dossier Mordin — raccord mis en scène</x:v>
      </x:c>
      <x:c r="C15" s="15" t="str">
        <x:v>Défini</x:v>
      </x:c>
      <x:c r="D15" s="16" t="str">
        <x:v>Extrapolation</x:v>
      </x:c>
      <x:c r="E15" s="16" t="str">
        <x:v>P1</x:v>
      </x:c>
      <x:c r="F15" s="9" t="str">
        <x:v>Terrain à échelle de groupe puis pause de dialogue avec armes abaissées lorsque possible.</x:v>
      </x:c>
      <x:c r="G15" s="9" t="str">
        <x:v>Décision → terrain → opposition → extraction → interrogation morale.</x:v>
      </x:c>
      <x:c r="H15" s="9" t="str"/>
      <x:c r="I15" s="9" t="str">
        <x:v>Ruines de Tuchanka, contraste des silhouettes salarianes et kroganes.</x:v>
      </x:c>
      <x:c r="J15" s="9" t="str">
        <x:v>Entrée prudente, geste d'inspection et retour au contrôle pour « #9 — dossier Mordin »; poser les sprites avant tout changement de caméra.</x:v>
      </x:c>
      <x:c r="K15" s="9" t="str">
        <x:v>Vent grave et musique réduite pendant la confrontation d’idées.</x:v>
      </x:c>
      <x:c r="L15" s="9" t="str">
        <x:v>Séquence proposée FOU/09/cinematic; mise à jour des états avant restitution du contrôle; bouton passer et relecture séparés.</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La version passée et la version regardée aboutissent au même placement, inventaire et objectif; les sous-titres ne sont pas coupés.</x:v>
      </x:c>
      <x:c r="O15" s="9" t="str">
        <x:v>FOU-SC-09-MAIN</x:v>
      </x:c>
      <x:c r="P15" s="9" t="str">
        <x:v>Découpage original pour sprites 2D sur décor 3D.</x:v>
      </x:c>
      <x:c r="Q15" s="9" t="str"/>
      <x:c r="R15" s="20" t="str"/>
      <x:c r="S15" s="20" t="str"/>
    </x:row>
    <x:row r="16" ht="82" customHeight="1">
      <x:c r="A16" s="19" t="str">
        <x:v>FOU-SC-10-CINE</x:v>
      </x:c>
      <x:c r="B16" s="7" t="str">
        <x:v>#10 — dossier Kasumi — raccord mis en scène</x:v>
      </x:c>
      <x:c r="C16" s="15" t="str">
        <x:v>Défini</x:v>
      </x:c>
      <x:c r="D16" s="17" t="str">
        <x:v>Extrapolation</x:v>
      </x:c>
      <x:c r="E16" s="17" t="str">
        <x:v>P1</x:v>
      </x:c>
      <x:c r="F16" s="7" t="str">
        <x:v>Vue d’ensemble des lignes de surveillance, puis plan calme sur une relation.</x:v>
      </x:c>
      <x:c r="G16" s="7" t="str">
        <x:v>Repérage → accès discret → récupération proposée → raccord narratif.</x:v>
      </x:c>
      <x:c r="H16" s="7" t="str"/>
      <x:c r="I16" s="7" t="str">
        <x:v>Surfaces de prestige et passages techniques, contraste doux autour de la capuche.</x:v>
      </x:c>
      <x:c r="J16" s="7" t="str">
        <x:v>Entrée prudente, geste d'inspection et retour au contrôle pour « #10 — dossier Kasumi »; poser les sprites avant tout changement de caméra.</x:v>
      </x:c>
      <x:c r="K16" s="7" t="str">
        <x:v>Musique originale feutrée et petits clics d’outils.</x:v>
      </x:c>
      <x:c r="L16" s="7" t="str">
        <x:v>Séquence proposée FOU/10/cinematic; mise à jour des états avant restitution du contrôle; bouton passer et relecture séparés.</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La version passée et la version regardée aboutissent au même placement, inventaire et objectif; les sous-titres ne sont pas coupés.</x:v>
      </x:c>
      <x:c r="O16" s="7" t="str">
        <x:v>FOU-SC-10-MAIN</x:v>
      </x:c>
      <x:c r="P16" s="7" t="str">
        <x:v>Découpage original pour sprites 2D sur décor 3D.</x:v>
      </x:c>
      <x:c r="Q16" s="7" t="str"/>
      <x:c r="R16" s="21" t="str"/>
      <x:c r="S16" s="21" t="str"/>
    </x:row>
    <x:row r="17" ht="82" customHeight="1">
      <x:c r="A17" s="18" t="str">
        <x:v>FOU-SC-11-CINE</x:v>
      </x:c>
      <x:c r="B17" s="9" t="str">
        <x:v>#11 — dossier Zaeed — raccord mis en scène</x:v>
      </x:c>
      <x:c r="C17" s="15" t="str">
        <x:v>Défini</x:v>
      </x:c>
      <x:c r="D17" s="16" t="str">
        <x:v>Extrapolation</x:v>
      </x:c>
      <x:c r="E17" s="16" t="str">
        <x:v>P1</x:v>
      </x:c>
      <x:c r="F17" s="9" t="str">
        <x:v>Perspective courte de coursive, sections révélées avant progression.</x:v>
      </x:c>
      <x:c r="G17" s="9" t="str">
        <x:v>Entrée → menace de couloir → action sur accès → extraction.</x:v>
      </x:c>
      <x:c r="H17" s="9" t="str"/>
      <x:c r="I17" s="9" t="str">
        <x:v>Portes de sécurité, câbles et couvert bas fixé au sol.</x:v>
      </x:c>
      <x:c r="J17" s="9" t="str">
        <x:v>Entrée prudente, geste d'inspection et retour au contrôle pour « #11 — dossier Zaeed »; poser les sprites avant tout changement de caméra.</x:v>
      </x:c>
      <x:c r="K17" s="9" t="str">
        <x:v>Résonance de coque, tirs espacés et verrou de porte.</x:v>
      </x:c>
      <x:c r="L17" s="9" t="str">
        <x:v>Séquence proposée FOU/11/cinematic; mise à jour des états avant restitution du contrôle; bouton passer et relecture séparés.</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La version passée et la version regardée aboutissent au même placement, inventaire et objectif; les sous-titres ne sont pas coupés.</x:v>
      </x:c>
      <x:c r="O17" s="9" t="str">
        <x:v>FOU-SC-11-MAIN</x:v>
      </x:c>
      <x:c r="P17" s="9" t="str">
        <x:v>Découpage original pour sprites 2D sur décor 3D.</x:v>
      </x:c>
      <x:c r="Q17" s="9" t="str"/>
      <x:c r="R17" s="20" t="str"/>
      <x:c r="S17" s="20" t="str"/>
    </x:row>
    <x:row r="18" ht="82" customHeight="1">
      <x:c r="A18" s="19" t="str">
        <x:v>FOU-SC-12-CINE</x:v>
      </x:c>
      <x:c r="B18" s="7" t="str">
        <x:v>#12 — histoire de Thane — raccord mis en scène</x:v>
      </x:c>
      <x:c r="C18" s="15" t="str">
        <x:v>Défini</x:v>
      </x:c>
      <x:c r="D18" s="17" t="str">
        <x:v>Extrapolation</x:v>
      </x:c>
      <x:c r="E18" s="17" t="str">
        <x:v>P1</x:v>
      </x:c>
      <x:c r="F18" s="7" t="str">
        <x:v>Espaces domestiques puis horizons vides; violence importante traitée hors champ ou par ellipse originale.</x:v>
      </x:c>
      <x:c r="G18" s="7" t="str">
        <x:v>Relation → absence → recherche → réflexion.</x:v>
      </x:c>
      <x:c r="H18" s="7" t="str"/>
      <x:c r="I18" s="7" t="str">
        <x:v>Matériaux simples et mer en arrière-plan si confirmée dans les planches.</x:v>
      </x:c>
      <x:c r="J18" s="7" t="str">
        <x:v>Entrée prudente, geste d'inspection et retour au contrôle pour « #12 — histoire de Thane »; poser les sprites avant tout changement de caméra.</x:v>
      </x:c>
      <x:c r="K18" s="7" t="str">
        <x:v>Ambiance naturelle réduite et silence assumé.</x:v>
      </x:c>
      <x:c r="L18" s="7" t="str">
        <x:v>Séquence proposée FOU/12/cinematic; mise à jour des états avant restitution du contrôle; bouton passer et relecture séparés.</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La version passée et la version regardée aboutissent au même placement, inventaire et objectif; les sous-titres ne sont pas coupés.</x:v>
      </x:c>
      <x:c r="O18" s="7" t="str">
        <x:v>FOU-SC-12-MAIN</x:v>
      </x:c>
      <x:c r="P18" s="7" t="str">
        <x:v>Découpage original pour sprites 2D sur décor 3D.</x:v>
      </x:c>
      <x:c r="Q18" s="7" t="str"/>
      <x:c r="R18" s="21" t="str"/>
      <x:c r="S18" s="21" t="str"/>
    </x:row>
    <x:row r="19" ht="82" customHeight="1">
      <x:c r="A19" s="18" t="str">
        <x:v>FOU-SC-13-CINE</x:v>
      </x:c>
      <x:c r="B19" s="9" t="str">
        <x:v>#13 — sortie de Rasa — raccord mis en scène</x:v>
      </x:c>
      <x:c r="C19" s="15" t="str">
        <x:v>Défini</x:v>
      </x:c>
      <x:c r="D19" s="16" t="str">
        <x:v>Extrapolation</x:v>
      </x:c>
      <x:c r="E19" s="16" t="str">
        <x:v>P1</x:v>
      </x:c>
      <x:c r="F19" s="9" t="str">
        <x:v>La capsule donne la continuité spatiale entre intérieur et extérieur.</x:v>
      </x:c>
      <x:c r="G19" s="9" t="str">
        <x:v>Laboratoire → changement d’accès → sas → coque → départ fixé.</x:v>
      </x:c>
      <x:c r="H19" s="9" t="str"/>
      <x:c r="I19" s="9" t="str">
        <x:v>Éclairage clinique, sas lumineux et noir spatial; visage de Shepard non imposé.</x:v>
      </x:c>
      <x:c r="J19" s="9" t="str">
        <x:v>Entrée prudente, geste d'inspection et retour au contrôle pour « #13 — sortie de Rasa »; poser les sprites avant tout changement de caméra.</x:v>
      </x:c>
      <x:c r="K19" s="9" t="str">
        <x:v>Alarmes, souffle de combinaison et silence extérieur conventionnel.</x:v>
      </x:c>
      <x:c r="L19" s="9" t="str">
        <x:v>Séquence proposée FOU/13/cinematic; mise à jour des états avant restitution du contrôle; bouton passer et relecture séparés.</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La version passée et la version regardée aboutissent au même placement, inventaire et objectif; les sous-titres ne sont pas coupés.</x:v>
      </x:c>
      <x:c r="O19" s="9" t="str">
        <x:v>FOU-SC-13-MAIN</x:v>
      </x:c>
      <x:c r="P19" s="9" t="str">
        <x:v>Découpage original pour sprites 2D sur décor 3D.</x:v>
      </x:c>
      <x:c r="Q19" s="9" t="str"/>
      <x:c r="R19" s="20" t="str"/>
      <x:c r="S19" s="20" t="str"/>
    </x:row>
  </x:sheetData>
  <x:conditionalFormatting sqref="D7:D19">
    <x:cfRule type="cellIs" dxfId="52" priority="1" operator="equal">
      <x:formula>"À vérifier"</x:formula>
    </x:cfRule>
    <x:cfRule type="cellIs" dxfId="53" priority="2" operator="equal">
      <x:formula>"Extrapolation"</x:formula>
    </x:cfRule>
  </x:conditionalFormatting>
  <x:conditionalFormatting sqref="C7:C19">
    <x:cfRule type="cellIs" dxfId="54" priority="3" operator="equal">
      <x:formula>"Validé"</x:formula>
    </x:cfRule>
  </x:conditionalFormatting>
  <x:conditionalFormatting sqref="E7:E19">
    <x:cfRule type="cellIs" dxfId="55"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3743d87c7947430e"/>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Foundation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FOU-KIT-FIELD</x:v>
      </x:c>
      <x:c r="B7" s="9" t="str">
        <x:v>Armes de terrain par époque</x:v>
      </x:c>
      <x:c r="C7" s="15" t="str">
        <x:v>Défini</x:v>
      </x:c>
      <x:c r="D7" s="16" t="str">
        <x:v>Extrapolation</x:v>
      </x:c>
      <x:c r="E7" s="16" t="str">
        <x:v>P1</x:v>
      </x:c>
      <x:c r="F7" s="9" t="str">
        <x:v>Registre de profils proposés pour Ashley, Jacob et Zaeed.</x:v>
      </x:c>
      <x:c r="G7" s="9" t="str">
        <x:v>Empêcher un modèle tardif d’apparaître automatiquement dans un souvenir.</x:v>
      </x:c>
      <x:c r="H7" s="9" t="str">
        <x:v>Portée et coût réglables par module; aucun modèle exact sans contrôle visuel.</x:v>
      </x:c>
      <x:c r="I7" s="9" t="str">
        <x:v>Silhouettes légère, standard et lourde distinctes.</x:v>
      </x:c>
      <x:c r="J7" s="9" t="str">
        <x:v>Prise en main et recul propres au gabarit.</x:v>
      </x:c>
      <x:c r="K7" s="9" t="str">
        <x:v>Confirmation audiovisuelle originale, doublée d’un libellé.</x:v>
      </x:c>
      <x:c r="L7" s="9" t="str">
        <x:v>Spécification de ressource FOU/kit/FIELD; données séparées du moteur, interface de coût et états d'épuisement prévus.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Chaque arme possède un numéro et une époque de disponibilité.</x:v>
      </x:c>
      <x:c r="O7" s="9" t="str"/>
      <x:c r="P7" s="9" t="str">
        <x:v>Création de gameplay et direction visuelle originales; modèle exact à vérifier si une arme source est évoquée.</x:v>
      </x:c>
      <x:c r="Q7" s="9" t="str"/>
      <x:c r="R7" s="20" t="str"/>
      <x:c r="S7" s="20" t="str"/>
    </x:row>
    <x:row r="8" ht="82" customHeight="1">
      <x:c r="A8" s="19" t="str">
        <x:v>FOU-KIT-TRAINING</x:v>
      </x:c>
      <x:c r="B8" s="7" t="str">
        <x:v>Outils d’entraînement non létaux</x:v>
      </x:c>
      <x:c r="C8" s="15" t="str">
        <x:v>Défini</x:v>
      </x:c>
      <x:c r="D8" s="17" t="str">
        <x:v>Extrapolation</x:v>
      </x:c>
      <x:c r="E8" s="17" t="str">
        <x:v>P1</x:v>
      </x:c>
      <x:c r="F8" s="7" t="str">
        <x:v>Accessoires de formation proposés pour #4.</x:v>
      </x:c>
      <x:c r="G8" s="7" t="str">
        <x:v>Fournir une interaction accessible sans transformer la formation en arène.</x:v>
      </x:c>
      <x:c r="H8" s="7" t="str">
        <x:v>Aucun dégât biologique; assistance et relance sans pénalité.</x:v>
      </x:c>
      <x:c r="I8" s="7" t="str">
        <x:v>Objets géométriques de masse qualitative.</x:v>
      </x:c>
      <x:c r="J8" s="7" t="str">
        <x:v>Prise, déplacement et retour au support.</x:v>
      </x:c>
      <x:c r="K8" s="7" t="str">
        <x:v>Confirmation audiovisuelle originale, doublée d’un libellé.</x:v>
      </x:c>
      <x:c r="L8" s="7" t="str">
        <x:v>Spécification de ressource FOU/kit/TRAINING; données séparées du moteur, interface de coût et états d'épuisement prévus.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Aucun objet d’exercice ne devient une arme lootable hors du numéro.</x:v>
      </x:c>
      <x:c r="O8" s="7" t="str"/>
      <x:c r="P8" s="7" t="str">
        <x:v>Création de gameplay et direction visuelle originales; modèle exact à vérifier si une arme source est évoquée.</x:v>
      </x:c>
      <x:c r="Q8" s="7" t="str"/>
      <x:c r="R8" s="21" t="str"/>
      <x:c r="S8" s="21" t="str"/>
    </x:row>
  </x:sheetData>
  <x:conditionalFormatting sqref="D7:D8">
    <x:cfRule type="cellIs" dxfId="56" priority="1" operator="equal">
      <x:formula>"À vérifier"</x:formula>
    </x:cfRule>
    <x:cfRule type="cellIs" dxfId="57" priority="2" operator="equal">
      <x:formula>"Extrapolation"</x:formula>
    </x:cfRule>
  </x:conditionalFormatting>
  <x:conditionalFormatting sqref="C7:C8">
    <x:cfRule type="cellIs" dxfId="58" priority="3" operator="equal">
      <x:formula>"Validé"</x:formula>
    </x:cfRule>
  </x:conditionalFormatting>
  <x:conditionalFormatting sqref="E7:E8">
    <x:cfRule type="cellIs" dxfId="59"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05c5b15b427e4865"/>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Foundation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FOU-KIT-DISGUISE</x:v>
      </x:c>
      <x:c r="B7" s="9" t="str">
        <x:v>Couverture de Rasa</x:v>
      </x:c>
      <x:c r="C7" s="15" t="str">
        <x:v>Défini</x:v>
      </x:c>
      <x:c r="D7" s="16" t="str">
        <x:v>Extrapolation</x:v>
      </x:c>
      <x:c r="E7" s="16" t="str">
        <x:v>P1</x:v>
      </x:c>
      <x:c r="F7" s="9" t="str">
        <x:v>Système original d’identité locale.</x:v>
      </x:c>
      <x:c r="G7" s="9" t="str">
        <x:v>Structurer l’infiltration et les entretiens.</x:v>
      </x:c>
      <x:c r="H7" s="9" t="str">
        <x:v>Identité liée à un rôle, un lieu et un dossier; changement hors zone observée seulement.</x:v>
      </x:c>
      <x:c r="I7" s="9" t="str">
        <x:v>Portrait et nom affiché doublés d’un identifiant interne unique.</x:v>
      </x:c>
      <x:c r="J7" s="9" t="str">
        <x:v>Ajustement de tenue et changement de posture.</x:v>
      </x:c>
      <x:c r="K7" s="9" t="str">
        <x:v>Confirmation audiovisuelle originale, doublée d’un libellé.</x:v>
      </x:c>
      <x:c r="L7" s="9" t="str">
        <x:v>Spécification de ressource FOU/kit/DISGUISE; données séparées du moteur, interface de coût et états d'épuisement prévus.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L’identité visuelle n’altère pas la véritable fiche personnage.</x:v>
      </x:c>
      <x:c r="O7" s="9" t="str"/>
      <x:c r="P7" s="9" t="str">
        <x:v>Création de gameplay et direction visuelle originales; modèle exact à vérifier si une arme source est évoquée.</x:v>
      </x:c>
      <x:c r="Q7" s="9" t="str"/>
      <x:c r="R7" s="20" t="str"/>
      <x:c r="S7" s="20" t="str"/>
    </x:row>
    <x:row r="8" ht="82" customHeight="1">
      <x:c r="A8" s="19" t="str">
        <x:v>FOU-KIT-DOSSIER</x:v>
      </x:c>
      <x:c r="B8" s="7" t="str">
        <x:v>Registre des dossiers de Rasa</x:v>
      </x:c>
      <x:c r="C8" s="15" t="str">
        <x:v>Défini</x:v>
      </x:c>
      <x:c r="D8" s="17" t="str">
        <x:v>Extrapolation</x:v>
      </x:c>
      <x:c r="E8" s="17" t="str">
        <x:v>P1</x:v>
      </x:c>
      <x:c r="F8" s="7" t="str">
        <x:v>Interface originale de classement.</x:v>
      </x:c>
      <x:c r="G8" s="7" t="str">
        <x:v>Relier treize numéros sans divulgation anachronique.</x:v>
      </x:c>
      <x:c r="H8" s="7" t="str">
        <x:v>Stocker auteur, époque, source et niveau de certitude; pas de note globale de loyauté inventée.</x:v>
      </x:c>
      <x:c r="I8" s="7" t="str">
        <x:v>Onglets numérotés et badges de provenance.</x:v>
      </x:c>
      <x:c r="J8" s="7" t="str">
        <x:v>Ouverture et fermeture instantanées possibles.</x:v>
      </x:c>
      <x:c r="K8" s="7" t="str">
        <x:v>Confirmation audiovisuelle originale, doublée d’un libellé.</x:v>
      </x:c>
      <x:c r="L8" s="7" t="str">
        <x:v>Spécification de ressource FOU/kit/DOSSIER; données séparées du moteur, interface de coût et états d'épuisement prévus.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Une information future ne s’affiche pas dans un souvenir antérieur.</x:v>
      </x:c>
      <x:c r="O8" s="7" t="str"/>
      <x:c r="P8" s="7" t="str">
        <x:v>Création de gameplay et direction visuelle originales; modèle exact à vérifier si une arme source est évoquée.</x:v>
      </x:c>
      <x:c r="Q8" s="7" t="str"/>
      <x:c r="R8" s="21" t="str"/>
      <x:c r="S8" s="21" t="str"/>
    </x:row>
    <x:row r="9" ht="82" customHeight="1">
      <x:c r="A9" s="18" t="str">
        <x:v>FOU-KIT-TETHER</x:v>
      </x:c>
      <x:c r="B9" s="9" t="str">
        <x:v>Arrimage de capsule — prototype</x:v>
      </x:c>
      <x:c r="C9" s="15" t="str">
        <x:v>Défini</x:v>
      </x:c>
      <x:c r="D9" s="16" t="str">
        <x:v>Extrapolation</x:v>
      </x:c>
      <x:c r="E9" s="16" t="str">
        <x:v>P1</x:v>
      </x:c>
      <x:c r="F9" s="9" t="str">
        <x:v>Outil local pour le final.</x:v>
      </x:c>
      <x:c r="G9" s="9" t="str">
        <x:v>Sécuriser la continuité du porteur et de l’objet.</x:v>
      </x:c>
      <x:c r="H9" s="9" t="str">
        <x:v>Attache à un acteur à la fois; transfert atomique avant déplacement.</x:v>
      </x:c>
      <x:c r="I9" s="9" t="str">
        <x:v>Ligne d’attache sobre, distincte d’un rayon offensif.</x:v>
      </x:c>
      <x:c r="J9" s="9" t="str">
        <x:v>Fixation, vérification et détachement.</x:v>
      </x:c>
      <x:c r="K9" s="9" t="str">
        <x:v>Confirmation audiovisuelle originale, doublée d’un libellé.</x:v>
      </x:c>
      <x:c r="L9" s="9" t="str">
        <x:v>Spécification de ressource FOU/kit/TETHER; données séparées du moteur, interface de coût et états d'épuisement prévus.</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Sauvegarder pendant un transfert restitue un seul porteur valide.</x:v>
      </x:c>
      <x:c r="O9" s="9" t="str"/>
      <x:c r="P9" s="9" t="str">
        <x:v>Création de gameplay et direction visuelle originales; modèle exact à vérifier si une arme source est évoquée.</x:v>
      </x:c>
      <x:c r="Q9" s="9" t="str"/>
      <x:c r="R9" s="20" t="str"/>
      <x:c r="S9" s="20" t="str"/>
    </x:row>
  </x:sheetData>
  <x:conditionalFormatting sqref="D7:D9">
    <x:cfRule type="cellIs" dxfId="60" priority="1" operator="equal">
      <x:formula>"À vérifier"</x:formula>
    </x:cfRule>
    <x:cfRule type="cellIs" dxfId="61" priority="2" operator="equal">
      <x:formula>"Extrapolation"</x:formula>
    </x:cfRule>
  </x:conditionalFormatting>
  <x:conditionalFormatting sqref="C7:C9">
    <x:cfRule type="cellIs" dxfId="62" priority="3" operator="equal">
      <x:formula>"Validé"</x:formula>
    </x:cfRule>
  </x:conditionalFormatting>
  <x:conditionalFormatting sqref="E7:E9">
    <x:cfRule type="cellIs" dxfId="6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3e550831cbac4da8"/>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Foundation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FOU-KIT-BIOTIC</x:v>
      </x:c>
      <x:c r="B7" s="9" t="str">
        <x:v>Biotique de formation / de combat</x:v>
      </x:c>
      <x:c r="C7" s="15" t="str">
        <x:v>Défini</x:v>
      </x:c>
      <x:c r="D7" s="16" t="str">
        <x:v>Extrapolation</x:v>
      </x:c>
      <x:c r="E7" s="16" t="str">
        <x:v>P1</x:v>
      </x:c>
      <x:c r="F7" s="9" t="str">
        <x:v>Profils originaux séparés pour Kaidan jeune, Miranda et Jack.</x:v>
      </x:c>
      <x:c r="G7" s="9" t="str">
        <x:v>Éviter une liste universelle de pouvoirs.</x:v>
      </x:c>
      <x:c r="H7" s="9" t="str">
        <x:v>Exercice, protection de duo et menace de zone utilisent des commandes différentes; valeurs proposées.</x:v>
      </x:c>
      <x:c r="I7" s="9" t="str">
        <x:v>Effets de même famille mais silhouettes d’action distinctes.</x:v>
      </x:c>
      <x:c r="J7" s="9" t="str">
        <x:v>Anticipation adaptée au personnage et à l’époque.</x:v>
      </x:c>
      <x:c r="K7" s="9" t="str">
        <x:v>Confirmation audiovisuelle originale, doublée d’un libellé.</x:v>
      </x:c>
      <x:c r="L7" s="9" t="str">
        <x:v>Spécification de ressource FOU/kit/BIOTIC; données séparées du moteur, interface de coût et états d'épuisement prévus.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Un avatar jeune ne reçoit jamais le profil de Jack ou de Kaidan adulte.</x:v>
      </x:c>
      <x:c r="O7" s="9" t="str"/>
      <x:c r="P7" s="9" t="str">
        <x:v>Création de gameplay et direction visuelle originales; modèle exact à vérifier si une arme source est évoquée.</x:v>
      </x:c>
      <x:c r="Q7" s="9" t="str"/>
      <x:c r="R7" s="20" t="str"/>
      <x:c r="S7" s="20"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2e5484c8f134e33"/>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Foundation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FOU-ALLY-RASA</x:v>
      </x:c>
      <x:c r="B7" s="9" t="str">
        <x:v>Préparer une couverture</x:v>
      </x:c>
      <x:c r="C7" s="15" t="str">
        <x:v>Défini</x:v>
      </x:c>
      <x:c r="D7" s="16" t="str">
        <x:v>Extrapolation</x:v>
      </x:c>
      <x:c r="E7" s="16" t="str">
        <x:v>P1</x:v>
      </x:c>
      <x:c r="F7" s="9" t="str">
        <x:v>Action de groupe originale pour Rasa.</x:v>
      </x:c>
      <x:c r="G7" s="9" t="str">
        <x:v>Point de vue du cadre; collecte de dossiers, couverture et fuite selon le numéro.</x:v>
      </x:c>
      <x:c r="H7" s="9" t="str">
        <x:v>Proposition : transformer un indice vérifié en accès local; une couverture ne fonctionne que dans le contexte préparé.</x:v>
      </x:c>
      <x:c r="I7" s="9" t="str">
        <x:v>Identité affichée avec secteur et état d’usage.</x:v>
      </x:c>
      <x:c r="J7" s="9" t="str">
        <x:v>Observation, échange discret, changement de posture sociale et déplacement furtif.</x:v>
      </x:c>
      <x:c r="K7" s="9" t="str">
        <x:v>Confirmation courte doublée d’un pictogramme; événement silencieux visible dans le journal de combat.</x:v>
      </x:c>
      <x:c r="L7" s="9" t="str">
        <x:v>Commande ATB proposée FOU/RASA/assist; résoudre cible, coût proposé, contre-mesure et annulation avant les dégâts.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La commande indique son coût avant validation, échoue proprement si la cible devient invalide et ne déclenche pas une action canon supplémentaire.</x:v>
      </x:c>
      <x:c r="O7" s="9" t="str">
        <x:v>FOU-ACT-RASA, FOU-ANI-RASA</x:v>
      </x:c>
      <x:c r="P7" s="9" t="str">
        <x:v>Adaptation originale du rôle; pas un pouvoir officiel du comic.</x:v>
      </x:c>
      <x:c r="Q7" s="9" t="str"/>
      <x:c r="R7" s="20" t="str"/>
      <x:c r="S7" s="20" t="str"/>
    </x:row>
    <x:row r="8" ht="82" customHeight="1">
      <x:c r="A8" s="19" t="str">
        <x:v>FOU-ALLY-WREX</x:v>
      </x:c>
      <x:c r="B8" s="7" t="str">
        <x:v>Pression de passage</x:v>
      </x:c>
      <x:c r="C8" s="15" t="str">
        <x:v>Défini</x:v>
      </x:c>
      <x:c r="D8" s="17" t="str">
        <x:v>Extrapolation</x:v>
      </x:c>
      <x:c r="E8" s="17" t="str">
        <x:v>P1</x:v>
      </x:c>
      <x:c r="F8" s="7" t="str">
        <x:v>Action de groupe originale pour Urdnot Wrex.</x:v>
      </x:c>
      <x:c r="G8" s="7" t="str">
        <x:v>Force autonome dans le dossier #2; ne pas le placer sous les ordres permanents de Rasa.</x:v>
      </x:c>
      <x:c r="H8" s="7" t="str">
        <x:v>Proposition de rencontre : Wrex occupe un passage et force à adapter la route; soutien uniquement si le module le prévoit.</x:v>
      </x:c>
      <x:c r="I8" s="7" t="str">
        <x:v>Zone de passage marquée par silhouette krogan.</x:v>
      </x:c>
      <x:c r="J8" s="7" t="str">
        <x:v>Marche lourde, pause d’évaluation et geste brusque.</x:v>
      </x:c>
      <x:c r="K8" s="7" t="str">
        <x:v>Confirmation courte doublée d’un pictogramme; événement silencieux visible dans le journal de combat.</x:v>
      </x:c>
      <x:c r="L8" s="7" t="str">
        <x:v>Commande ATB proposée FOU/WREX/assist; résoudre cible, coût proposé, contre-mesure et annulation avant les dégâts.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La commande indique son coût avant validation, échoue proprement si la cible devient invalide et ne déclenche pas une action canon supplémentaire.</x:v>
      </x:c>
      <x:c r="O8" s="7" t="str">
        <x:v>FOU-ACT-WREX, FOU-ANI-WREX</x:v>
      </x:c>
      <x:c r="P8" s="7" t="str">
        <x:v>Adaptation originale du rôle; pas un pouvoir officiel du comic.</x:v>
      </x:c>
      <x:c r="Q8" s="7" t="str"/>
      <x:c r="R8" s="21" t="str"/>
      <x:c r="S8" s="21" t="str"/>
    </x:row>
    <x:row r="9" ht="82" customHeight="1">
      <x:c r="A9" s="18" t="str">
        <x:v>FOU-ALLY-ASHLEY</x:v>
      </x:c>
      <x:c r="B9" s="9" t="str">
        <x:v>Regrouper la section</x:v>
      </x:c>
      <x:c r="C9" s="15" t="str">
        <x:v>Défini</x:v>
      </x:c>
      <x:c r="D9" s="16" t="str">
        <x:v>Extrapolation</x:v>
      </x:c>
      <x:c r="E9" s="16" t="str">
        <x:v>P1</x:v>
      </x:c>
      <x:c r="F9" s="9" t="str">
        <x:v>Action de groupe originale pour Ashley Williams.</x:v>
      </x:c>
      <x:c r="G9" s="9" t="str">
        <x:v>Point de vue de terrain #3 et interlocutrice du cadre d’enquête.</x:v>
      </x:c>
      <x:c r="H9" s="9" t="str">
        <x:v>Proposition #3 : consacrer une action au repositionnement des alliés autorisés vers un couvert; pas de résurrection de soldats.</x:v>
      </x:c>
      <x:c r="I9" s="9" t="str">
        <x:v>Points de rassemblement avec noms de rôles.</x:v>
      </x:c>
      <x:c r="J9" s="9" t="str">
        <x:v>Ordre au groupe, vérification d’angle et fatigue après action.</x:v>
      </x:c>
      <x:c r="K9" s="9" t="str">
        <x:v>Confirmation courte doublée d’un pictogramme; événement silencieux visible dans le journal de combat.</x:v>
      </x:c>
      <x:c r="L9" s="9" t="str">
        <x:v>Commande ATB proposée FOU/ASHLEY/assist; résoudre cible, coût proposé, contre-mesure et annulation avant les dégâts.</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La commande indique son coût avant validation, échoue proprement si la cible devient invalide et ne déclenche pas une action canon supplémentaire.</x:v>
      </x:c>
      <x:c r="O9" s="9" t="str">
        <x:v>FOU-ACT-ASHLEY, FOU-ANI-ASHLEY</x:v>
      </x:c>
      <x:c r="P9" s="9" t="str">
        <x:v>Adaptation originale du rôle; pas un pouvoir officiel du comic.</x:v>
      </x:c>
      <x:c r="Q9" s="9" t="str"/>
      <x:c r="R9" s="20" t="str"/>
      <x:c r="S9" s="20" t="str"/>
    </x:row>
    <x:row r="10" ht="82" customHeight="1">
      <x:c r="A10" s="19" t="str">
        <x:v>FOU-ALLY-KAIDAN</x:v>
      </x:c>
      <x:c r="B10" s="7" t="str">
        <x:v>Soutien d’exercice</x:v>
      </x:c>
      <x:c r="C10" s="15" t="str">
        <x:v>Défini</x:v>
      </x:c>
      <x:c r="D10" s="17" t="str">
        <x:v>Extrapolation</x:v>
      </x:c>
      <x:c r="E10" s="17" t="str">
        <x:v>P1</x:v>
      </x:c>
      <x:c r="F10" s="7" t="str">
        <x:v>Action de groupe originale pour Kaidan Alenko.</x:v>
      </x:c>
      <x:c r="G10" s="7" t="str">
        <x:v>Avatar jeune dans #4; le module privilégie l’apprentissage et le conflit.</x:v>
      </x:c>
      <x:c r="H10" s="7" t="str">
        <x:v>Proposition : aider à maintenir un objet d’entraînement; aucune maîtrise adulte automatique.</x:v>
      </x:c>
      <x:c r="I10" s="7" t="str">
        <x:v>Contour de l’objet et état stable/instable.</x:v>
      </x:c>
      <x:c r="J10" s="7" t="str">
        <x:v>Concentration hésitante, geste de protection et retrait.</x:v>
      </x:c>
      <x:c r="K10" s="7" t="str">
        <x:v>Confirmation courte doublée d’un pictogramme; événement silencieux visible dans le journal de combat.</x:v>
      </x:c>
      <x:c r="L10" s="7" t="str">
        <x:v>Commande ATB proposée FOU/KAIDAN/assist; résoudre cible, coût proposé, contre-mesure et annulation avant les dégâts.</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La commande indique son coût avant validation, échoue proprement si la cible devient invalide et ne déclenche pas une action canon supplémentaire.</x:v>
      </x:c>
      <x:c r="O10" s="7" t="str">
        <x:v>FOU-ACT-KAIDAN, FOU-ANI-KAIDAN</x:v>
      </x:c>
      <x:c r="P10" s="7" t="str">
        <x:v>Adaptation originale du rôle; pas un pouvoir officiel du comic.</x:v>
      </x:c>
      <x:c r="Q10" s="7" t="str"/>
      <x:c r="R10" s="21" t="str"/>
      <x:c r="S10" s="21" t="str"/>
    </x:row>
    <x:row r="11" ht="82" customHeight="1">
      <x:c r="A11" s="18" t="str">
        <x:v>FOU-ALLY-MIRANDA</x:v>
      </x:c>
      <x:c r="B11" s="9" t="str">
        <x:v>Ouverture coordonnée</x:v>
      </x:c>
      <x:c r="C11" s="15" t="str">
        <x:v>Défini</x:v>
      </x:c>
      <x:c r="D11" s="16" t="str">
        <x:v>Extrapolation</x:v>
      </x:c>
      <x:c r="E11" s="16" t="str">
        <x:v>P1</x:v>
      </x:c>
      <x:c r="F11" s="9" t="str">
        <x:v>Action de groupe originale pour Miranda Lawson.</x:v>
      </x:c>
      <x:c r="G11" s="9" t="str">
        <x:v>Partenaire du duo puis autorité de station selon le segment.</x:v>
      </x:c>
      <x:c r="H11" s="9" t="str">
        <x:v>Proposition #5–6 : préparer une cible pour l’action suivante de Jacob; effet uniquement si la ligne de vue reste libre.</x:v>
      </x:c>
      <x:c r="I11" s="9" t="str">
        <x:v>Marque de préparation partagée entre portraits.</x:v>
      </x:c>
      <x:c r="J11" s="9" t="str">
        <x:v>Inspection, ordre de protection et maintien biotique bref.</x:v>
      </x:c>
      <x:c r="K11" s="9" t="str">
        <x:v>Confirmation courte doublée d’un pictogramme; événement silencieux visible dans le journal de combat.</x:v>
      </x:c>
      <x:c r="L11" s="9" t="str">
        <x:v>Commande ATB proposée FOU/MIRANDA/assist; résoudre cible, coût proposé, contre-mesure et annulation avant les dégâts.</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La commande indique son coût avant validation, échoue proprement si la cible devient invalide et ne déclenche pas une action canon supplémentaire.</x:v>
      </x:c>
      <x:c r="O11" s="9" t="str">
        <x:v>FOU-ACT-MIRANDA, FOU-ANI-MIRANDA</x:v>
      </x:c>
      <x:c r="P11" s="9" t="str">
        <x:v>Adaptation originale du rôle; pas un pouvoir officiel du comic.</x:v>
      </x:c>
      <x:c r="Q11" s="9" t="str"/>
      <x:c r="R11" s="20" t="str"/>
      <x:c r="S11" s="20" t="str"/>
    </x:row>
    <x:row r="12" ht="82" customHeight="1">
      <x:c r="A12" s="19" t="str">
        <x:v>FOU-ALLY-JACOB</x:v>
      </x:c>
      <x:c r="B12" s="7" t="str">
        <x:v>Couvrir la fouille</x:v>
      </x:c>
      <x:c r="C12" s="15" t="str">
        <x:v>Défini</x:v>
      </x:c>
      <x:c r="D12" s="17" t="str">
        <x:v>Extrapolation</x:v>
      </x:c>
      <x:c r="E12" s="17" t="str">
        <x:v>P1</x:v>
      </x:c>
      <x:c r="F12" s="7" t="str">
        <x:v>Action de groupe originale pour Jacob Taylor.</x:v>
      </x:c>
      <x:c r="G12" s="7" t="str">
        <x:v>Soutien de terrain du duo, protection et progression.</x:v>
      </x:c>
      <x:c r="H12" s="7" t="str">
        <x:v>Proposition : réserver une action de protection pendant l’inspection de Miranda; interrompt si le groupe se sépare.</x:v>
      </x:c>
      <x:c r="I12" s="7" t="str">
        <x:v>Ligne entre protecteur et cible.</x:v>
      </x:c>
      <x:c r="J12" s="7" t="str">
        <x:v>Couverture, relevé d’indice et passage en premier.</x:v>
      </x:c>
      <x:c r="K12" s="7" t="str">
        <x:v>Confirmation courte doublée d’un pictogramme; événement silencieux visible dans le journal de combat.</x:v>
      </x:c>
      <x:c r="L12" s="7" t="str">
        <x:v>Commande ATB proposée FOU/JACOB/assist; résoudre cible, coût proposé, contre-mesure et annulation avant les dégâts.</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La commande indique son coût avant validation, échoue proprement si la cible devient invalide et ne déclenche pas une action canon supplémentaire.</x:v>
      </x:c>
      <x:c r="O12" s="7" t="str">
        <x:v>FOU-ACT-JACOB, FOU-ANI-JACOB</x:v>
      </x:c>
      <x:c r="P12" s="7" t="str">
        <x:v>Adaptation originale du rôle; pas un pouvoir officiel du comic.</x:v>
      </x:c>
      <x:c r="Q12" s="7" t="str"/>
      <x:c r="R12" s="21" t="str"/>
      <x:c r="S12" s="21" t="str"/>
    </x:row>
    <x:row r="13" ht="82" customHeight="1">
      <x:c r="A13" s="18" t="str">
        <x:v>FOU-ALLY-THANE</x:v>
      </x:c>
      <x:c r="B13" s="9" t="str">
        <x:v>Observation retenue</x:v>
      </x:c>
      <x:c r="C13" s="15" t="str">
        <x:v>Défini</x:v>
      </x:c>
      <x:c r="D13" s="16" t="str">
        <x:v>Extrapolation</x:v>
      </x:c>
      <x:c r="E13" s="16" t="str">
        <x:v>P1</x:v>
      </x:c>
      <x:c r="F13" s="9" t="str">
        <x:v>Action de groupe originale pour Thane Krios.</x:v>
      </x:c>
      <x:c r="G13" s="9" t="str">
        <x:v>Deux contextes #8 et #12; distinguer rencontre avec Rasa et histoire familiale.</x:v>
      </x:c>
      <x:c r="H13" s="9" t="str">
        <x:v>Proposition : examiner une trajectoire pour identifier une issue discrète; ne révèle pas les pensées d’un autre personnage.</x:v>
      </x:c>
      <x:c r="I13" s="9" t="str">
        <x:v>Ligne d’observation sobre et point de sortie.</x:v>
      </x:c>
      <x:c r="J13" s="9" t="str">
        <x:v>Immobilité, inspection de ligne de vue et geste précis.</x:v>
      </x:c>
      <x:c r="K13" s="9" t="str">
        <x:v>Confirmation courte doublée d’un pictogramme; événement silencieux visible dans le journal de combat.</x:v>
      </x:c>
      <x:c r="L13" s="9" t="str">
        <x:v>Commande ATB proposée FOU/THANE/assist; résoudre cible, coût proposé, contre-mesure et annulation avant les dégâts.</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La commande indique son coût avant validation, échoue proprement si la cible devient invalide et ne déclenche pas une action canon supplémentaire.</x:v>
      </x:c>
      <x:c r="O13" s="9" t="str">
        <x:v>FOU-ACT-THANE, FOU-ANI-THANE</x:v>
      </x:c>
      <x:c r="P13" s="9" t="str">
        <x:v>Adaptation originale du rôle; pas un pouvoir officiel du comic.</x:v>
      </x:c>
      <x:c r="Q13" s="9" t="str"/>
      <x:c r="R13" s="20" t="str"/>
      <x:c r="S13" s="20" t="str"/>
    </x:row>
    <x:row r="14" ht="82" customHeight="1">
      <x:c r="A14" s="19" t="str">
        <x:v>FOU-ALLY-MORDIN</x:v>
      </x:c>
      <x:c r="B14" s="7" t="str">
        <x:v>Analyse de terrain</x:v>
      </x:c>
      <x:c r="C14" s="15" t="str">
        <x:v>Défini</x:v>
      </x:c>
      <x:c r="D14" s="17" t="str">
        <x:v>Extrapolation</x:v>
      </x:c>
      <x:c r="E14" s="17" t="str">
        <x:v>P1</x:v>
      </x:c>
      <x:c r="F14" s="7" t="str">
        <x:v>Action de groupe originale pour Mordin Solus.</x:v>
      </x:c>
      <x:c r="G14" s="7" t="str">
        <x:v>Point de vue technique et moral #9; opérations et conséquences restent distinctes.</x:v>
      </x:c>
      <x:c r="H14" s="7" t="str">
        <x:v>Proposition #9 : identifier un risque environnemental avant déplacement; aucune certitude morale déduite d’un scanner.</x:v>
      </x:c>
      <x:c r="I14" s="7" t="str">
        <x:v>Icône de terrain, pas de score de moralité.</x:v>
      </x:c>
      <x:c r="J14" s="7" t="str">
        <x:v>Analyse rapide, changement d’outil et réaction à une objection.</x:v>
      </x:c>
      <x:c r="K14" s="7" t="str">
        <x:v>Confirmation courte doublée d’un pictogramme; événement silencieux visible dans le journal de combat.</x:v>
      </x:c>
      <x:c r="L14" s="7" t="str">
        <x:v>Commande ATB proposée FOU/MORDIN/assist; résoudre cible, coût proposé, contre-mesure et annulation avant les dégâts.</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La commande indique son coût avant validation, échoue proprement si la cible devient invalide et ne déclenche pas une action canon supplémentaire.</x:v>
      </x:c>
      <x:c r="O14" s="7" t="str">
        <x:v>FOU-ACT-MORDIN, FOU-ANI-MORDIN</x:v>
      </x:c>
      <x:c r="P14" s="7" t="str">
        <x:v>Adaptation originale du rôle; pas un pouvoir officiel du comic.</x:v>
      </x:c>
      <x:c r="Q14" s="7" t="str"/>
      <x:c r="R14" s="21" t="str"/>
      <x:c r="S14" s="21" t="str"/>
    </x:row>
    <x:row r="15" ht="82" customHeight="1">
      <x:c r="A15" s="18" t="str">
        <x:v>FOU-ALLY-KASUMI</x:v>
      </x:c>
      <x:c r="B15" s="9" t="str">
        <x:v>Passage d’ombre</x:v>
      </x:c>
      <x:c r="C15" s="15" t="str">
        <x:v>Défini</x:v>
      </x:c>
      <x:c r="D15" s="16" t="str">
        <x:v>Extrapolation</x:v>
      </x:c>
      <x:c r="E15" s="16" t="str">
        <x:v>P1</x:v>
      </x:c>
      <x:c r="F15" s="9" t="str">
        <x:v>Action de groupe originale pour Kasumi Goto.</x:v>
      </x:c>
      <x:c r="G15" s="9" t="str">
        <x:v>Infiltration #10; réussite tactique n’annule pas le deuil du récit.</x:v>
      </x:c>
      <x:c r="H15" s="9" t="str">
        <x:v>Proposition : franchir une zone observée pendant une fenêtre annoncée; aucun camouflage illimité.</x:v>
      </x:c>
      <x:c r="I15" s="9" t="str">
        <x:v>Silhouette hachurée et minuterie qualitative.</x:v>
      </x:c>
      <x:c r="J15" s="9" t="str">
        <x:v>Accroupissement, manipulation rapide et arrêt d’écoute.</x:v>
      </x:c>
      <x:c r="K15" s="9" t="str">
        <x:v>Confirmation courte doublée d’un pictogramme; événement silencieux visible dans le journal de combat.</x:v>
      </x:c>
      <x:c r="L15" s="9" t="str">
        <x:v>Commande ATB proposée FOU/KASUMI/assist; résoudre cible, coût proposé, contre-mesure et annulation avant les dégâts.</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La commande indique son coût avant validation, échoue proprement si la cible devient invalide et ne déclenche pas une action canon supplémentaire.</x:v>
      </x:c>
      <x:c r="O15" s="9" t="str">
        <x:v>FOU-ACT-KASUMI, FOU-ANI-KASUMI</x:v>
      </x:c>
      <x:c r="P15" s="9" t="str">
        <x:v>Adaptation originale du rôle; pas un pouvoir officiel du comic.</x:v>
      </x:c>
      <x:c r="Q15" s="9" t="str"/>
      <x:c r="R15" s="20" t="str"/>
      <x:c r="S15" s="20" t="str"/>
    </x:row>
    <x:row r="16" ht="82" customHeight="1">
      <x:c r="A16" s="19" t="str">
        <x:v>FOU-ALLY-ZAEED</x:v>
      </x:c>
      <x:c r="B16" s="7" t="str">
        <x:v>Fixer une menace</x:v>
      </x:c>
      <x:c r="C16" s="15" t="str">
        <x:v>Défini</x:v>
      </x:c>
      <x:c r="D16" s="17" t="str">
        <x:v>Extrapolation</x:v>
      </x:c>
      <x:c r="E16" s="17" t="str">
        <x:v>P1</x:v>
      </x:c>
      <x:c r="F16" s="7" t="str">
        <x:v>Action de groupe originale pour Zaeed Massani.</x:v>
      </x:c>
      <x:c r="G16" s="7" t="str">
        <x:v>Action concentrée #11; efficacité et coût de la violence.</x:v>
      </x:c>
      <x:c r="H16" s="7" t="str">
        <x:v>Proposition : tir de pression sur une zone pour laisser passer un soutien; la suppression ne tue pas automatiquement la cible.</x:v>
      </x:c>
      <x:c r="I16" s="7" t="str">
        <x:v>Bande de pression et ligne de couvert.</x:v>
      </x:c>
      <x:c r="J16" s="7" t="str">
        <x:v>Visée ferme, déplacement sans précipitation et remise en garde.</x:v>
      </x:c>
      <x:c r="K16" s="7" t="str">
        <x:v>Confirmation courte doublée d’un pictogramme; événement silencieux visible dans le journal de combat.</x:v>
      </x:c>
      <x:c r="L16" s="7" t="str">
        <x:v>Commande ATB proposée FOU/ZAEED/assist; résoudre cible, coût proposé, contre-mesure et annulation avant les dégâts.</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La commande indique son coût avant validation, échoue proprement si la cible devient invalide et ne déclenche pas une action canon supplémentaire.</x:v>
      </x:c>
      <x:c r="O16" s="7" t="str">
        <x:v>FOU-ACT-ZAEED, FOU-ANI-ZAEED</x:v>
      </x:c>
      <x:c r="P16" s="7" t="str">
        <x:v>Adaptation originale du rôle; pas un pouvoir officiel du comic.</x:v>
      </x:c>
      <x:c r="Q16" s="7" t="str"/>
      <x:c r="R16" s="21" t="str"/>
      <x:c r="S16" s="21" t="str"/>
    </x:row>
  </x:sheetData>
  <x:conditionalFormatting sqref="D7:D16">
    <x:cfRule type="cellIs" dxfId="68" priority="1" operator="equal">
      <x:formula>"À vérifier"</x:formula>
    </x:cfRule>
    <x:cfRule type="cellIs" dxfId="69" priority="2" operator="equal">
      <x:formula>"Extrapolation"</x:formula>
    </x:cfRule>
  </x:conditionalFormatting>
  <x:conditionalFormatting sqref="C7:C16">
    <x:cfRule type="cellIs" dxfId="70" priority="3" operator="equal">
      <x:formula>"Validé"</x:formula>
    </x:cfRule>
  </x:conditionalFormatting>
  <x:conditionalFormatting sqref="E7:E16">
    <x:cfRule type="cellIs" dxfId="7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96ca7fb4fd654159"/>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Foundation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FOU-EN-GUARDS-M1</x:v>
      </x:c>
      <x:c r="B7" s="9" t="str">
        <x:v>Contrôle d’identité</x:v>
      </x:c>
      <x:c r="C7" s="15" t="str">
        <x:v>Défini</x:v>
      </x:c>
      <x:c r="D7" s="16" t="str">
        <x:v>Extrapolation</x:v>
      </x:c>
      <x:c r="E7" s="16" t="str">
        <x:v>P1</x:v>
      </x:c>
      <x:c r="F7" s="9" t="str">
        <x:v>Pattern original de suspicion.</x:v>
      </x:c>
      <x:c r="G7" s="9" t="str">
        <x:v>Obstacle de couverture dans #1, #2 et #10; variantes locales, pas une faction canon nouvelle.</x:v>
      </x:c>
      <x:c r="H7" s="9" t="str">
        <x:v>Présenter une couverture adaptée ou reculer avant fermeture; une fausse identité ne fonctionne pas partout.</x:v>
      </x:c>
      <x:c r="I7" s="9" t="str">
        <x:v>Icône de document et secteur.</x:v>
      </x:c>
      <x:c r="J7" s="9" t="str">
        <x:v>Observation, approche et arrêt au seuil.</x:v>
      </x:c>
      <x:c r="K7" s="9" t="str">
        <x:v>Pas et signal d’accès original.</x:v>
      </x:c>
      <x:c r="L7" s="9" t="str">
        <x:v>Action proposée FOU/GUARDS/1; étapes annonce → attente ATB → validation cible → résolution; annulation explicite si neutralisé.</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 joueur peut reconnaître la préparation et employer la contre-mesure avant la résolution; aucune attaque invisible ou imparable hors séquence annoncée.</x:v>
      </x:c>
      <x:c r="O7" s="9" t="str">
        <x:v>FOU-EN-GUARDS</x:v>
      </x:c>
      <x:c r="P7" s="9" t="str">
        <x:v>Pattern original; pas de valeur numérique canon.</x:v>
      </x:c>
      <x:c r="Q7" s="9" t="str"/>
      <x:c r="R7" s="20" t="str"/>
      <x:c r="S7" s="20" t="str"/>
    </x:row>
    <x:row r="8" ht="82" customHeight="1">
      <x:c r="A8" s="19" t="str">
        <x:v>FOU-EN-GUARDS-M2</x:v>
      </x:c>
      <x:c r="B8" s="7" t="str">
        <x:v>Fermeture locale</x:v>
      </x:c>
      <x:c r="C8" s="15" t="str">
        <x:v>Défini</x:v>
      </x:c>
      <x:c r="D8" s="17" t="str">
        <x:v>Extrapolation</x:v>
      </x:c>
      <x:c r="E8" s="17" t="str">
        <x:v>P1</x:v>
      </x:c>
      <x:c r="F8" s="7" t="str">
        <x:v>Pattern original d’accès.</x:v>
      </x:c>
      <x:c r="G8" s="7" t="str">
        <x:v>Obstacle de couverture dans #1, #2 et #10; variantes locales, pas une faction canon nouvelle.</x:v>
      </x:c>
      <x:c r="H8" s="7" t="str">
        <x:v>Observer le signal puis contourner; l’issue ne peut fermer sans alternative.</x:v>
      </x:c>
      <x:c r="I8" s="7" t="str">
        <x:v>Porte encadrée et flèche secondaire.</x:v>
      </x:c>
      <x:c r="J8" s="7" t="str">
        <x:v>Observation, approche et arrêt au seuil.</x:v>
      </x:c>
      <x:c r="K8" s="7" t="str">
        <x:v>Pas et signal d’accès original.</x:v>
      </x:c>
      <x:c r="L8" s="7" t="str">
        <x:v>Action proposée FOU/GUARDS/2; étapes annonce → attente ATB → validation cible → résolution; annulation explicite si neutralisé.</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 joueur peut reconnaître la préparation et employer la contre-mesure avant la résolution; aucune attaque invisible ou imparable hors séquence annoncée.</x:v>
      </x:c>
      <x:c r="O8" s="7" t="str">
        <x:v>FOU-EN-GUARDS</x:v>
      </x:c>
      <x:c r="P8" s="7" t="str">
        <x:v>Pattern original; pas de valeur numérique canon.</x:v>
      </x:c>
      <x:c r="Q8" s="7" t="str"/>
      <x:c r="R8" s="21" t="str"/>
      <x:c r="S8" s="21" t="str"/>
    </x:row>
    <x:row r="9" ht="82" customHeight="1">
      <x:c r="A9" s="18" t="str">
        <x:v>FOU-EN-BATARIAN-M1</x:v>
      </x:c>
      <x:c r="B9" s="9" t="str">
        <x:v>Tir de fermeture</x:v>
      </x:c>
      <x:c r="C9" s="15" t="str">
        <x:v>Défini</x:v>
      </x:c>
      <x:c r="D9" s="16" t="str">
        <x:v>Extrapolation</x:v>
      </x:c>
      <x:c r="E9" s="16" t="str">
        <x:v>P1</x:v>
      </x:c>
      <x:c r="F9" s="9" t="str">
        <x:v>Pattern original de contrôle de couloir.</x:v>
      </x:c>
      <x:c r="G9" s="9" t="str">
        <x:v>Rencontre localisée, sans attribuer cette conduite à toute une espèce.</x:v>
      </x:c>
      <x:c r="H9" s="9" t="str">
        <x:v>Couvert ou action de protection du duo interrompt la menace.</x:v>
      </x:c>
      <x:c r="I9" s="9" t="str">
        <x:v>Bande de tir clairement découpée.</x:v>
      </x:c>
      <x:c r="J9" s="9" t="str">
        <x:v>Visée, geste d’ordre et déplacement visible.</x:v>
      </x:c>
      <x:c r="K9" s="9" t="str">
        <x:v>Tirs courts et alarme de poste.</x:v>
      </x:c>
      <x:c r="L9" s="9" t="str">
        <x:v>Action proposée FOU/BATARIAN/1; étapes annonce → attente ATB → validation cible → résolution; annulation explicite si neutralisé.</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 joueur peut reconnaître la préparation et employer la contre-mesure avant la résolution; aucune attaque invisible ou imparable hors séquence annoncée.</x:v>
      </x:c>
      <x:c r="O9" s="9" t="str">
        <x:v>FOU-EN-BATARIAN</x:v>
      </x:c>
      <x:c r="P9" s="9" t="str">
        <x:v>Pattern original; pas de valeur numérique canon.</x:v>
      </x:c>
      <x:c r="Q9" s="9" t="str"/>
      <x:c r="R9" s="20" t="str"/>
      <x:c r="S9" s="20" t="str"/>
    </x:row>
    <x:row r="10" ht="82" customHeight="1">
      <x:c r="A10" s="19" t="str">
        <x:v>FOU-EN-BATARIAN-M2</x:v>
      </x:c>
      <x:c r="B10" s="7" t="str">
        <x:v>Appel de renfort local</x:v>
      </x:c>
      <x:c r="C10" s="15" t="str">
        <x:v>Défini</x:v>
      </x:c>
      <x:c r="D10" s="17" t="str">
        <x:v>Extrapolation</x:v>
      </x:c>
      <x:c r="E10" s="17" t="str">
        <x:v>P1</x:v>
      </x:c>
      <x:c r="F10" s="7" t="str">
        <x:v>Pattern original de renfort.</x:v>
      </x:c>
      <x:c r="G10" s="7" t="str">
        <x:v>Rencontre localisée, sans attribuer cette conduite à toute une espèce.</x:v>
      </x:c>
      <x:c r="H10" s="7" t="str">
        <x:v>Interrompre la radio ou préparer une sortie avant l’arrivée visible.</x:v>
      </x:c>
      <x:c r="I10" s="7" t="str">
        <x:v>Pictogramme d’appel sur l’opérateur.</x:v>
      </x:c>
      <x:c r="J10" s="7" t="str">
        <x:v>Visée, geste d’ordre et déplacement visible.</x:v>
      </x:c>
      <x:c r="K10" s="7" t="str">
        <x:v>Tirs courts et alarme de poste.</x:v>
      </x:c>
      <x:c r="L10" s="7" t="str">
        <x:v>Action proposée FOU/BATARIAN/2; étapes annonce → attente ATB → validation cible → résolution; annulation explicite si neutralisé.</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 joueur peut reconnaître la préparation et employer la contre-mesure avant la résolution; aucune attaque invisible ou imparable hors séquence annoncée.</x:v>
      </x:c>
      <x:c r="O10" s="7" t="str">
        <x:v>FOU-EN-BATARIAN</x:v>
      </x:c>
      <x:c r="P10" s="7" t="str">
        <x:v>Pattern original; pas de valeur numérique canon.</x:v>
      </x:c>
      <x:c r="Q10" s="7" t="str"/>
      <x:c r="R10" s="21" t="str"/>
      <x:c r="S10" s="21" t="str"/>
    </x:row>
    <x:row r="11" ht="82" customHeight="1">
      <x:c r="A11" s="18" t="str">
        <x:v>FOU-EN-MECHS-M1</x:v>
      </x:c>
      <x:c r="B11" s="9" t="str">
        <x:v>Rafale sectorielle</x:v>
      </x:c>
      <x:c r="C11" s="15" t="str">
        <x:v>Défini</x:v>
      </x:c>
      <x:c r="D11" s="16" t="str">
        <x:v>Extrapolation</x:v>
      </x:c>
      <x:c r="E11" s="16" t="str">
        <x:v>P1</x:v>
      </x:c>
      <x:c r="F11" s="9" t="str">
        <x:v>Pattern original de contrôle.</x:v>
      </x:c>
      <x:c r="G11" s="9" t="str">
        <x:v>Groupes à allégeance de scène, jamais hostiles par simple modèle.</x:v>
      </x:c>
      <x:c r="H11" s="9" t="str">
        <x:v>Couvert arrête la ligne; le pictogramme de camp reste visible.</x:v>
      </x:c>
      <x:c r="I11" s="9" t="str">
        <x:v>Ligne hachurée et badge de camp.</x:v>
      </x:c>
      <x:c r="J11" s="9" t="str">
        <x:v>Rotation de capteur et reprise de trajectoire après changement.</x:v>
      </x:c>
      <x:c r="K11" s="9" t="str">
        <x:v>Servomoteurs et changement de signature sonore.</x:v>
      </x:c>
      <x:c r="L11" s="9" t="str">
        <x:v>Action proposée FOU/MECHS/1; étapes annonce → attente ATB → validation cible → résolution; annulation explicite si neutralisé.</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 joueur peut reconnaître la préparation et employer la contre-mesure avant la résolution; aucune attaque invisible ou imparable hors séquence annoncée.</x:v>
      </x:c>
      <x:c r="O11" s="9" t="str">
        <x:v>FOU-EN-MECHS</x:v>
      </x:c>
      <x:c r="P11" s="9" t="str">
        <x:v>Pattern original; pas de valeur numérique canon.</x:v>
      </x:c>
      <x:c r="Q11" s="9" t="str"/>
      <x:c r="R11" s="20" t="str"/>
      <x:c r="S11" s="20" t="str"/>
    </x:row>
    <x:row r="12" ht="82" customHeight="1">
      <x:c r="A12" s="19" t="str">
        <x:v>FOU-EN-MECHS-M2</x:v>
      </x:c>
      <x:c r="B12" s="7" t="str">
        <x:v>Bascule de consigne</x:v>
      </x:c>
      <x:c r="C12" s="15" t="str">
        <x:v>Défini</x:v>
      </x:c>
      <x:c r="D12" s="17" t="str">
        <x:v>Extrapolation</x:v>
      </x:c>
      <x:c r="E12" s="17" t="str">
        <x:v>P1</x:v>
      </x:c>
      <x:c r="F12" s="7" t="str">
        <x:v>Comportement original de transition.</x:v>
      </x:c>
      <x:c r="G12" s="7" t="str">
        <x:v>Groupes à allégeance de scène, jamais hostiles par simple modèle.</x:v>
      </x:c>
      <x:c r="H12" s="7" t="str">
        <x:v>Geler une action pendant le changement puis réévaluer les cibles; le joueur reçoit une annonce claire.</x:v>
      </x:c>
      <x:c r="I12" s="7" t="str">
        <x:v>Cadre de camp changeant avec texte.</x:v>
      </x:c>
      <x:c r="J12" s="7" t="str">
        <x:v>Rotation de capteur et reprise de trajectoire après changement.</x:v>
      </x:c>
      <x:c r="K12" s="7" t="str">
        <x:v>Servomoteurs et changement de signature sonore.</x:v>
      </x:c>
      <x:c r="L12" s="7" t="str">
        <x:v>Action proposée FOU/MECHS/2; étapes annonce → attente ATB → validation cible → résolution; annulation explicite si neutralisé.</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 joueur peut reconnaître la préparation et employer la contre-mesure avant la résolution; aucune attaque invisible ou imparable hors séquence annoncée.</x:v>
      </x:c>
      <x:c r="O12" s="7" t="str">
        <x:v>FOU-EN-MECHS</x:v>
      </x:c>
      <x:c r="P12" s="7" t="str">
        <x:v>Pattern original; pas de valeur numérique canon.</x:v>
      </x:c>
      <x:c r="Q12" s="7" t="str"/>
      <x:c r="R12" s="21" t="str"/>
      <x:c r="S12" s="21" t="str"/>
    </x:row>
    <x:row r="13" ht="82" customHeight="1">
      <x:c r="A13" s="18" t="str">
        <x:v>FOU-EN-KROGAN-M1</x:v>
      </x:c>
      <x:c r="B13" s="9" t="str">
        <x:v>Défense de l’accès</x:v>
      </x:c>
      <x:c r="C13" s="15" t="str">
        <x:v>Défini</x:v>
      </x:c>
      <x:c r="D13" s="16" t="str">
        <x:v>Extrapolation</x:v>
      </x:c>
      <x:c r="E13" s="16" t="str">
        <x:v>P1</x:v>
      </x:c>
      <x:c r="F13" s="9" t="str">
        <x:v>Pattern original de maintien.</x:v>
      </x:c>
      <x:c r="G13" s="9" t="str">
        <x:v>Rencontre au contexte politique et moral explicite.</x:v>
      </x:c>
      <x:c r="H13" s="9" t="str">
        <x:v>Contourner la ligne ou se mettre à couvert; dialogue prioritaire quand le scénario le permet.</x:v>
      </x:c>
      <x:c r="I13" s="9" t="str">
        <x:v>Zone défendue clairement bornée.</x:v>
      </x:c>
      <x:c r="J13" s="9" t="str">
        <x:v>Ancrage, avance puis geste de défi.</x:v>
      </x:c>
      <x:c r="K13" s="9" t="str">
        <x:v>Voix originales et impacts lourds.</x:v>
      </x:c>
      <x:c r="L13" s="9" t="str">
        <x:v>Action proposée FOU/KROGAN/1; étapes annonce → attente ATB → validation cible → résolution; annulation explicite si neutralisé.</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 joueur peut reconnaître la préparation et employer la contre-mesure avant la résolution; aucune attaque invisible ou imparable hors séquence annoncée.</x:v>
      </x:c>
      <x:c r="O13" s="9" t="str">
        <x:v>FOU-EN-KROGAN</x:v>
      </x:c>
      <x:c r="P13" s="9" t="str">
        <x:v>Pattern original; pas de valeur numérique canon.</x:v>
      </x:c>
      <x:c r="Q13" s="9" t="str"/>
      <x:c r="R13" s="20" t="str"/>
      <x:c r="S13" s="20" t="str"/>
    </x:row>
    <x:row r="14" ht="82" customHeight="1">
      <x:c r="A14" s="19" t="str">
        <x:v>FOU-EN-KROGAN-M2</x:v>
      </x:c>
      <x:c r="B14" s="7" t="str">
        <x:v>Avance lourde</x:v>
      </x:c>
      <x:c r="C14" s="15" t="str">
        <x:v>Défini</x:v>
      </x:c>
      <x:c r="D14" s="17" t="str">
        <x:v>Extrapolation</x:v>
      </x:c>
      <x:c r="E14" s="17" t="str">
        <x:v>P1</x:v>
      </x:c>
      <x:c r="F14" s="7" t="str">
        <x:v>Pattern original de proximité.</x:v>
      </x:c>
      <x:c r="G14" s="7" t="str">
        <x:v>Rencontre au contexte politique et moral explicite.</x:v>
      </x:c>
      <x:c r="H14" s="7" t="str">
        <x:v>Trajectoire annoncée, sortie latérale disponible.</x:v>
      </x:c>
      <x:c r="I14" s="7" t="str">
        <x:v>Bande au sol et pose d’anticipation.</x:v>
      </x:c>
      <x:c r="J14" s="7" t="str">
        <x:v>Ancrage, avance puis geste de défi.</x:v>
      </x:c>
      <x:c r="K14" s="7" t="str">
        <x:v>Voix originales et impacts lourds.</x:v>
      </x:c>
      <x:c r="L14" s="7" t="str">
        <x:v>Action proposée FOU/KROGAN/2; étapes annonce → attente ATB → validation cible → résolution; annulation explicite si neutralisé.</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Le joueur peut reconnaître la préparation et employer la contre-mesure avant la résolution; aucune attaque invisible ou imparable hors séquence annoncée.</x:v>
      </x:c>
      <x:c r="O14" s="7" t="str">
        <x:v>FOU-EN-KROGAN</x:v>
      </x:c>
      <x:c r="P14" s="7" t="str">
        <x:v>Pattern original; pas de valeur numérique canon.</x:v>
      </x:c>
      <x:c r="Q14" s="7" t="str"/>
      <x:c r="R14" s="21" t="str"/>
      <x:c r="S14" s="21" t="str"/>
    </x:row>
  </x:sheetData>
  <x:conditionalFormatting sqref="D7:D14">
    <x:cfRule type="cellIs" dxfId="72" priority="1" operator="equal">
      <x:formula>"À vérifier"</x:formula>
    </x:cfRule>
    <x:cfRule type="cellIs" dxfId="73" priority="2" operator="equal">
      <x:formula>"Extrapolation"</x:formula>
    </x:cfRule>
  </x:conditionalFormatting>
  <x:conditionalFormatting sqref="C7:C14">
    <x:cfRule type="cellIs" dxfId="74" priority="3" operator="equal">
      <x:formula>"Validé"</x:formula>
    </x:cfRule>
  </x:conditionalFormatting>
  <x:conditionalFormatting sqref="E7:E14">
    <x:cfRule type="cellIs" dxfId="7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7ee1116ca6d740b4"/>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Foundation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FOU-ANI-RASA</x:v>
      </x:c>
      <x:c r="B7" s="9" t="str">
        <x:v>Rasa — jeu de poses</x:v>
      </x:c>
      <x:c r="C7" s="15" t="str">
        <x:v>Défini</x:v>
      </x:c>
      <x:c r="D7" s="16" t="str">
        <x:v>Extrapolation</x:v>
      </x:c>
      <x:c r="E7" s="16" t="str">
        <x:v>P1</x:v>
      </x:c>
      <x:c r="F7" s="9" t="str">
        <x:v>Définir les transitions propres au rôle de Rasa.</x:v>
      </x:c>
      <x:c r="G7" s="9" t="str">
        <x:v>Point de vue du cadre; collecte de dossiers, couverture et fuite selon le numéro.</x:v>
      </x:c>
      <x:c r="H7" s="9" t="str"/>
      <x:c r="I7" s="9" t="str">
        <x:v>Vêtements civils ou tenue d’agente par période; ne pas fusionner la silhouette enfant et celle du DLC.</x:v>
      </x:c>
      <x:c r="J7" s="9" t="str">
        <x:v>Observation, échange discret, changement de posture sociale et déplacement furtif.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FOU/RASA; paramètres direction, locomotion, accessoire et interruption.</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Un enchaînement déplacement → interaction → interruption → reprise conserve le pivot et les accessoires de Rasa.</x:v>
      </x:c>
      <x:c r="O7" s="9" t="str">
        <x:v>FOU-ACT-RASA, FOU-SPR-RASA</x:v>
      </x:c>
      <x:c r="P7" s="9" t="str">
        <x:v>Conception originale, aucune cadence extraite du comic.</x:v>
      </x:c>
      <x:c r="Q7" s="9" t="str"/>
      <x:c r="R7" s="20" t="str"/>
      <x:c r="S7" s="20" t="str"/>
    </x:row>
    <x:row r="8" ht="82" customHeight="1">
      <x:c r="A8" s="19" t="str">
        <x:v>FOU-ANI-WREX</x:v>
      </x:c>
      <x:c r="B8" s="7" t="str">
        <x:v>Urdnot Wrex — jeu de poses</x:v>
      </x:c>
      <x:c r="C8" s="15" t="str">
        <x:v>Défini</x:v>
      </x:c>
      <x:c r="D8" s="17" t="str">
        <x:v>Extrapolation</x:v>
      </x:c>
      <x:c r="E8" s="17" t="str">
        <x:v>P1</x:v>
      </x:c>
      <x:c r="F8" s="7" t="str">
        <x:v>Définir les transitions propres au rôle de Urdnot Wrex.</x:v>
      </x:c>
      <x:c r="G8" s="7" t="str">
        <x:v>Force autonome dans le dossier #2; ne pas le placer sous les ordres permanents de Rasa.</x:v>
      </x:c>
      <x:c r="H8" s="7" t="str"/>
      <x:c r="I8" s="7" t="str">
        <x:v>Krogan massif, armure de mercenaire à vérifier et écart de taille lisible.</x:v>
      </x:c>
      <x:c r="J8" s="7" t="str">
        <x:v>Marche lourde, pause d’évaluation et geste brusque.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FOU/WREX; paramètres direction, locomotion, accessoire et interruption.</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Un enchaînement déplacement → interaction → interruption → reprise conserve le pivot et les accessoires de Urdnot Wrex.</x:v>
      </x:c>
      <x:c r="O8" s="7" t="str">
        <x:v>FOU-ACT-WREX, FOU-SPR-WREX</x:v>
      </x:c>
      <x:c r="P8" s="7" t="str">
        <x:v>Conception originale, aucune cadence extraite du comic.</x:v>
      </x:c>
      <x:c r="Q8" s="7" t="str"/>
      <x:c r="R8" s="21" t="str"/>
      <x:c r="S8" s="21" t="str"/>
    </x:row>
    <x:row r="9" ht="82" customHeight="1">
      <x:c r="A9" s="18" t="str">
        <x:v>FOU-ANI-ASHLEY</x:v>
      </x:c>
      <x:c r="B9" s="9" t="str">
        <x:v>Ashley Williams — jeu de poses</x:v>
      </x:c>
      <x:c r="C9" s="15" t="str">
        <x:v>Défini</x:v>
      </x:c>
      <x:c r="D9" s="16" t="str">
        <x:v>Extrapolation</x:v>
      </x:c>
      <x:c r="E9" s="16" t="str">
        <x:v>P1</x:v>
      </x:c>
      <x:c r="F9" s="9" t="str">
        <x:v>Définir les transitions propres au rôle de Ashley Williams.</x:v>
      </x:c>
      <x:c r="G9" s="9" t="str">
        <x:v>Point de vue de terrain #3 et interlocutrice du cadre d’enquête.</x:v>
      </x:c>
      <x:c r="H9" s="9" t="str"/>
      <x:c r="I9" s="9" t="str">
        <x:v>Armure Alliance de la période, sans équipements tardifs de ME3.</x:v>
      </x:c>
      <x:c r="J9" s="9" t="str">
        <x:v>Ordre au groupe, vérification d’angle et fatigue après action. Décomposer anticipation, action, retour et interruption; garder un état neutre utilisable après une cinématique sautée.</x:v>
      </x:c>
      <x:c r="K9" s="9" t="str">
        <x:v>Associer les contacts de sol ou de siège à des événements; éviter le bruitage répété sur une pose tenue.</x:v>
      </x:c>
      <x:c r="L9" s="9" t="str">
        <x:v>Table d'animation prévue FOU/ASHLEY; paramètres direction, locomotion, accessoire et interruption.</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Un enchaînement déplacement → interaction → interruption → reprise conserve le pivot et les accessoires de Ashley Williams.</x:v>
      </x:c>
      <x:c r="O9" s="9" t="str">
        <x:v>FOU-ACT-ASHLEY, FOU-SPR-ASHLEY</x:v>
      </x:c>
      <x:c r="P9" s="9" t="str">
        <x:v>Conception originale, aucune cadence extraite du comic.</x:v>
      </x:c>
      <x:c r="Q9" s="9" t="str"/>
      <x:c r="R9" s="20" t="str"/>
      <x:c r="S9" s="20" t="str"/>
    </x:row>
    <x:row r="10" ht="82" customHeight="1">
      <x:c r="A10" s="19" t="str">
        <x:v>FOU-ANI-KAIDAN</x:v>
      </x:c>
      <x:c r="B10" s="7" t="str">
        <x:v>Kaidan Alenko — jeu de poses</x:v>
      </x:c>
      <x:c r="C10" s="15" t="str">
        <x:v>Défini</x:v>
      </x:c>
      <x:c r="D10" s="17" t="str">
        <x:v>Extrapolation</x:v>
      </x:c>
      <x:c r="E10" s="17" t="str">
        <x:v>P1</x:v>
      </x:c>
      <x:c r="F10" s="7" t="str">
        <x:v>Définir les transitions propres au rôle de Kaidan Alenko.</x:v>
      </x:c>
      <x:c r="G10" s="7" t="str">
        <x:v>Avatar jeune dans #4; le module privilégie l’apprentissage et le conflit.</x:v>
      </x:c>
      <x:c r="H10" s="7" t="str"/>
      <x:c r="I10" s="7" t="str">
        <x:v>Tenue de cadet à contrôler, pas d’armure d’officier adulte.</x:v>
      </x:c>
      <x:c r="J10" s="7" t="str">
        <x:v>Concentration hésitante, geste de protection et retrait. Décomposer anticipation, action, retour et interruption; garder un état neutre utilisable après une cinématique sautée.</x:v>
      </x:c>
      <x:c r="K10" s="7" t="str">
        <x:v>Associer les contacts de sol ou de siège à des événements; éviter le bruitage répété sur une pose tenue.</x:v>
      </x:c>
      <x:c r="L10" s="7" t="str">
        <x:v>Table d'animation prévue FOU/KAIDAN; paramètres direction, locomotion, accessoire et interruption.</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Un enchaînement déplacement → interaction → interruption → reprise conserve le pivot et les accessoires de Kaidan Alenko.</x:v>
      </x:c>
      <x:c r="O10" s="7" t="str">
        <x:v>FOU-ACT-KAIDAN, FOU-SPR-KAIDAN</x:v>
      </x:c>
      <x:c r="P10" s="7" t="str">
        <x:v>Conception originale, aucune cadence extraite du comic.</x:v>
      </x:c>
      <x:c r="Q10" s="7" t="str"/>
      <x:c r="R10" s="21" t="str"/>
      <x:c r="S10" s="21" t="str"/>
    </x:row>
    <x:row r="11" ht="82" customHeight="1">
      <x:c r="A11" s="18" t="str">
        <x:v>FOU-ANI-KAI</x:v>
      </x:c>
      <x:c r="B11" s="9" t="str">
        <x:v>Kai Leng — jeu de poses</x:v>
      </x:c>
      <x:c r="C11" s="15" t="str">
        <x:v>Défini</x:v>
      </x:c>
      <x:c r="D11" s="16" t="str">
        <x:v>Extrapolation</x:v>
      </x:c>
      <x:c r="E11" s="16" t="str">
        <x:v>P1</x:v>
      </x:c>
      <x:c r="F11" s="9" t="str">
        <x:v>Définir les transitions propres au rôle de Kai Leng.</x:v>
      </x:c>
      <x:c r="G11" s="9" t="str">
        <x:v>Agent du cadre; interventions limitées au numéro.</x:v>
      </x:c>
      <x:c r="H11" s="9" t="str"/>
      <x:c r="I11" s="9" t="str">
        <x:v>Tenue opérationnelle à comparer, silhouette mince et posture fermée.</x:v>
      </x:c>
      <x:c r="J11" s="9" t="str">
        <x:v>Attente immobile, pas contrôlés et geste de menace. Décomposer anticipation, action, retour et interruption; garder un état neutre utilisable après une cinématique sautée.</x:v>
      </x:c>
      <x:c r="K11" s="9" t="str">
        <x:v>Associer les contacts de sol ou de siège à des événements; éviter le bruitage répété sur une pose tenue.</x:v>
      </x:c>
      <x:c r="L11" s="9" t="str">
        <x:v>Table d'animation prévue FOU/KAI; paramètres direction, locomotion, accessoire et interruption.</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Un enchaînement déplacement → interaction → interruption → reprise conserve le pivot et les accessoires de Kai Leng.</x:v>
      </x:c>
      <x:c r="O11" s="9" t="str">
        <x:v>FOU-ACT-KAI, FOU-SPR-KAI</x:v>
      </x:c>
      <x:c r="P11" s="9" t="str">
        <x:v>Conception originale, aucune cadence extraite du comic.</x:v>
      </x:c>
      <x:c r="Q11" s="9" t="str"/>
      <x:c r="R11" s="20" t="str"/>
      <x:c r="S11" s="20" t="str"/>
    </x:row>
    <x:row r="12" ht="82" customHeight="1">
      <x:c r="A12" s="19" t="str">
        <x:v>FOU-ANI-MIRANDA</x:v>
      </x:c>
      <x:c r="B12" s="7" t="str">
        <x:v>Miranda Lawson — jeu de poses</x:v>
      </x:c>
      <x:c r="C12" s="15" t="str">
        <x:v>Défini</x:v>
      </x:c>
      <x:c r="D12" s="17" t="str">
        <x:v>Extrapolation</x:v>
      </x:c>
      <x:c r="E12" s="17" t="str">
        <x:v>P1</x:v>
      </x:c>
      <x:c r="F12" s="7" t="str">
        <x:v>Définir les transitions propres au rôle de Miranda Lawson.</x:v>
      </x:c>
      <x:c r="G12" s="7" t="str">
        <x:v>Partenaire du duo puis autorité de station selon le segment.</x:v>
      </x:c>
      <x:c r="H12" s="7" t="str"/>
      <x:c r="I12" s="7" t="str">
        <x:v>Combinaison de mission claire/sombre, variantes #5–6 et #13 séparées.</x:v>
      </x:c>
      <x:c r="J12" s="7" t="str">
        <x:v>Inspection, ordre de protection et maintien biotique bref. Décomposer anticipation, action, retour et interruption; garder un état neutre utilisable après une cinématique sautée.</x:v>
      </x:c>
      <x:c r="K12" s="7" t="str">
        <x:v>Associer les contacts de sol ou de siège à des événements; éviter le bruitage répété sur une pose tenue.</x:v>
      </x:c>
      <x:c r="L12" s="7" t="str">
        <x:v>Table d'animation prévue FOU/MIRANDA; paramètres direction, locomotion, accessoire et interruption.</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Un enchaînement déplacement → interaction → interruption → reprise conserve le pivot et les accessoires de Miranda Lawson.</x:v>
      </x:c>
      <x:c r="O12" s="7" t="str">
        <x:v>FOU-ACT-MIRANDA, FOU-SPR-MIRANDA</x:v>
      </x:c>
      <x:c r="P12" s="7" t="str">
        <x:v>Conception originale, aucune cadence extraite du comic.</x:v>
      </x:c>
      <x:c r="Q12" s="7" t="str"/>
      <x:c r="R12" s="21" t="str"/>
      <x:c r="S12" s="21" t="str"/>
    </x:row>
    <x:row r="13" ht="82" customHeight="1">
      <x:c r="A13" s="18" t="str">
        <x:v>FOU-ANI-JACOB</x:v>
      </x:c>
      <x:c r="B13" s="9" t="str">
        <x:v>Jacob Taylor — jeu de poses</x:v>
      </x:c>
      <x:c r="C13" s="15" t="str">
        <x:v>Défini</x:v>
      </x:c>
      <x:c r="D13" s="16" t="str">
        <x:v>Extrapolation</x:v>
      </x:c>
      <x:c r="E13" s="16" t="str">
        <x:v>P1</x:v>
      </x:c>
      <x:c r="F13" s="9" t="str">
        <x:v>Définir les transitions propres au rôle de Jacob Taylor.</x:v>
      </x:c>
      <x:c r="G13" s="9" t="str">
        <x:v>Soutien de terrain du duo, protection et progression.</x:v>
      </x:c>
      <x:c r="H13" s="9" t="str"/>
      <x:c r="I13" s="9" t="str">
        <x:v>Armure de mission adaptée à la période et arme compacte à vérifier.</x:v>
      </x:c>
      <x:c r="J13" s="9" t="str">
        <x:v>Couverture, relevé d’indice et passage en premier. Décomposer anticipation, action, retour et interruption; garder un état neutre utilisable après une cinématique sautée.</x:v>
      </x:c>
      <x:c r="K13" s="9" t="str">
        <x:v>Associer les contacts de sol ou de siège à des événements; éviter le bruitage répété sur une pose tenue.</x:v>
      </x:c>
      <x:c r="L13" s="9" t="str">
        <x:v>Table d'animation prévue FOU/JACOB; paramètres direction, locomotion, accessoire et interruption.</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Un enchaînement déplacement → interaction → interruption → reprise conserve le pivot et les accessoires de Jacob Taylor.</x:v>
      </x:c>
      <x:c r="O13" s="9" t="str">
        <x:v>FOU-ACT-JACOB, FOU-SPR-JACOB</x:v>
      </x:c>
      <x:c r="P13" s="9" t="str">
        <x:v>Conception originale, aucune cadence extraite du comic.</x:v>
      </x:c>
      <x:c r="Q13" s="9" t="str"/>
      <x:c r="R13" s="20" t="str"/>
      <x:c r="S13" s="20" t="str"/>
    </x:row>
    <x:row r="14" ht="82" customHeight="1">
      <x:c r="A14" s="19" t="str">
        <x:v>FOU-ANI-JACK</x:v>
      </x:c>
      <x:c r="B14" s="7" t="str">
        <x:v>Jack / Sujet Zéro — jeu de poses</x:v>
      </x:c>
      <x:c r="C14" s="15" t="str">
        <x:v>Défini</x:v>
      </x:c>
      <x:c r="D14" s="17" t="str">
        <x:v>Extrapolation</x:v>
      </x:c>
      <x:c r="E14" s="17" t="str">
        <x:v>P1</x:v>
      </x:c>
      <x:c r="F14" s="7" t="str">
        <x:v>Définir les transitions propres au rôle de Jack / Sujet Zéro.</x:v>
      </x:c>
      <x:c r="G14" s="7" t="str">
        <x:v>Force poursuivie; ne pas la présenter comme membre volontaire de l’équipe de capture.</x:v>
      </x:c>
      <x:c r="H14" s="7" t="str"/>
      <x:c r="I14" s="7" t="str">
        <x:v>Crâne rasé et marques corporelles à vérifier sur référence, effet biotique limité autour du corps.</x:v>
      </x:c>
      <x:c r="J14" s="7" t="str">
        <x:v>Tension, mouvement explosif et respiration après effort. Décomposer anticipation, action, retour et interruption; garder un état neutre utilisable après une cinématique sautée.</x:v>
      </x:c>
      <x:c r="K14" s="7" t="str">
        <x:v>Associer les contacts de sol ou de siège à des événements; éviter le bruitage répété sur une pose tenue.</x:v>
      </x:c>
      <x:c r="L14" s="7" t="str">
        <x:v>Table d'animation prévue FOU/JACK; paramètres direction, locomotion, accessoire et interruption.</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Un enchaînement déplacement → interaction → interruption → reprise conserve le pivot et les accessoires de Jack / Sujet Zéro.</x:v>
      </x:c>
      <x:c r="O14" s="7" t="str">
        <x:v>FOU-ACT-JACK, FOU-SPR-JACK</x:v>
      </x:c>
      <x:c r="P14" s="7" t="str">
        <x:v>Conception originale, aucune cadence extraite du comic.</x:v>
      </x:c>
      <x:c r="Q14" s="7" t="str"/>
      <x:c r="R14" s="21" t="str"/>
      <x:c r="S14" s="21" t="str"/>
    </x:row>
    <x:row r="15" ht="82" customHeight="1">
      <x:c r="A15" s="18" t="str">
        <x:v>FOU-ANI-THANE</x:v>
      </x:c>
      <x:c r="B15" s="9" t="str">
        <x:v>Thane Krios — jeu de poses</x:v>
      </x:c>
      <x:c r="C15" s="15" t="str">
        <x:v>Défini</x:v>
      </x:c>
      <x:c r="D15" s="16" t="str">
        <x:v>Extrapolation</x:v>
      </x:c>
      <x:c r="E15" s="16" t="str">
        <x:v>P1</x:v>
      </x:c>
      <x:c r="F15" s="9" t="str">
        <x:v>Définir les transitions propres au rôle de Thane Krios.</x:v>
      </x:c>
      <x:c r="G15" s="9" t="str">
        <x:v>Deux contextes #8 et #12; distinguer rencontre avec Rasa et histoire familiale.</x:v>
      </x:c>
      <x:c r="H15" s="9" t="str"/>
      <x:c r="I15" s="9" t="str">
        <x:v>Drell à silhouette fine, tenue d’assassin et état temporel à vérifier.</x:v>
      </x:c>
      <x:c r="J15" s="9" t="str">
        <x:v>Immobilité, inspection de ligne de vue et geste précis. Décomposer anticipation, action, retour et interruption; garder un état neutre utilisable après une cinématique sautée.</x:v>
      </x:c>
      <x:c r="K15" s="9" t="str">
        <x:v>Associer les contacts de sol ou de siège à des événements; éviter le bruitage répété sur une pose tenue.</x:v>
      </x:c>
      <x:c r="L15" s="9" t="str">
        <x:v>Table d'animation prévue FOU/THANE; paramètres direction, locomotion, accessoire et interruption.</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Un enchaînement déplacement → interaction → interruption → reprise conserve le pivot et les accessoires de Thane Krios.</x:v>
      </x:c>
      <x:c r="O15" s="9" t="str">
        <x:v>FOU-ACT-THANE, FOU-SPR-THANE</x:v>
      </x:c>
      <x:c r="P15" s="9" t="str">
        <x:v>Conception originale, aucune cadence extraite du comic.</x:v>
      </x:c>
      <x:c r="Q15" s="9" t="str"/>
      <x:c r="R15" s="20" t="str"/>
      <x:c r="S15" s="20" t="str"/>
    </x:row>
    <x:row r="16" ht="82" customHeight="1">
      <x:c r="A16" s="19" t="str">
        <x:v>FOU-ANI-MORDIN</x:v>
      </x:c>
      <x:c r="B16" s="7" t="str">
        <x:v>Mordin Solus — jeu de poses</x:v>
      </x:c>
      <x:c r="C16" s="15" t="str">
        <x:v>Défini</x:v>
      </x:c>
      <x:c r="D16" s="17" t="str">
        <x:v>Extrapolation</x:v>
      </x:c>
      <x:c r="E16" s="17" t="str">
        <x:v>P1</x:v>
      </x:c>
      <x:c r="F16" s="7" t="str">
        <x:v>Définir les transitions propres au rôle de Mordin Solus.</x:v>
      </x:c>
      <x:c r="G16" s="7" t="str">
        <x:v>Point de vue technique et moral #9; opérations et conséquences restent distinctes.</x:v>
      </x:c>
      <x:c r="H16" s="7" t="str"/>
      <x:c r="I16" s="7" t="str">
        <x:v>Salarian à silhouette fine; version avant/après blessures clairement séparée.</x:v>
      </x:c>
      <x:c r="J16" s="7" t="str">
        <x:v>Analyse rapide, changement d’outil et réaction à une objection. Décomposer anticipation, action, retour et interruption; garder un état neutre utilisable après une cinématique sautée.</x:v>
      </x:c>
      <x:c r="K16" s="7" t="str">
        <x:v>Associer les contacts de sol ou de siège à des événements; éviter le bruitage répété sur une pose tenue.</x:v>
      </x:c>
      <x:c r="L16" s="7" t="str">
        <x:v>Table d'animation prévue FOU/MORDIN; paramètres direction, locomotion, accessoire et interruption.</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Un enchaînement déplacement → interaction → interruption → reprise conserve le pivot et les accessoires de Mordin Solus.</x:v>
      </x:c>
      <x:c r="O16" s="7" t="str">
        <x:v>FOU-ACT-MORDIN, FOU-SPR-MORDIN</x:v>
      </x:c>
      <x:c r="P16" s="7" t="str">
        <x:v>Conception originale, aucune cadence extraite du comic.</x:v>
      </x:c>
      <x:c r="Q16" s="7" t="str"/>
      <x:c r="R16" s="21" t="str"/>
      <x:c r="S16" s="21" t="str"/>
    </x:row>
    <x:row r="17" ht="82" customHeight="1">
      <x:c r="A17" s="18" t="str">
        <x:v>FOU-ANI-KASUMI</x:v>
      </x:c>
      <x:c r="B17" s="9" t="str">
        <x:v>Kasumi Goto — jeu de poses</x:v>
      </x:c>
      <x:c r="C17" s="15" t="str">
        <x:v>Défini</x:v>
      </x:c>
      <x:c r="D17" s="16" t="str">
        <x:v>Extrapolation</x:v>
      </x:c>
      <x:c r="E17" s="16" t="str">
        <x:v>P1</x:v>
      </x:c>
      <x:c r="F17" s="9" t="str">
        <x:v>Définir les transitions propres au rôle de Kasumi Goto.</x:v>
      </x:c>
      <x:c r="G17" s="9" t="str">
        <x:v>Infiltration #10; réussite tactique n’annule pas le deuil du récit.</x:v>
      </x:c>
      <x:c r="H17" s="9" t="str"/>
      <x:c r="I17" s="9" t="str">
        <x:v>Capuche et silhouette compacte; tenue et motif à vérifier.</x:v>
      </x:c>
      <x:c r="J17" s="9" t="str">
        <x:v>Accroupissement, manipulation rapide et arrêt d’écoute. Décomposer anticipation, action, retour et interruption; garder un état neutre utilisable après une cinématique sautée.</x:v>
      </x:c>
      <x:c r="K17" s="9" t="str">
        <x:v>Associer les contacts de sol ou de siège à des événements; éviter le bruitage répété sur une pose tenue.</x:v>
      </x:c>
      <x:c r="L17" s="9" t="str">
        <x:v>Table d'animation prévue FOU/KASUMI; paramètres direction, locomotion, accessoire et interruption.</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Un enchaînement déplacement → interaction → interruption → reprise conserve le pivot et les accessoires de Kasumi Goto.</x:v>
      </x:c>
      <x:c r="O17" s="9" t="str">
        <x:v>FOU-ACT-KASUMI, FOU-SPR-KASUMI</x:v>
      </x:c>
      <x:c r="P17" s="9" t="str">
        <x:v>Conception originale, aucune cadence extraite du comic.</x:v>
      </x:c>
      <x:c r="Q17" s="9" t="str"/>
      <x:c r="R17" s="20" t="str"/>
      <x:c r="S17" s="20" t="str"/>
    </x:row>
    <x:row r="18" ht="82" customHeight="1">
      <x:c r="A18" s="19" t="str">
        <x:v>FOU-ANI-ZAEED</x:v>
      </x:c>
      <x:c r="B18" s="7" t="str">
        <x:v>Zaeed Massani — jeu de poses</x:v>
      </x:c>
      <x:c r="C18" s="15" t="str">
        <x:v>Défini</x:v>
      </x:c>
      <x:c r="D18" s="17" t="str">
        <x:v>Extrapolation</x:v>
      </x:c>
      <x:c r="E18" s="17" t="str">
        <x:v>P1</x:v>
      </x:c>
      <x:c r="F18" s="7" t="str">
        <x:v>Définir les transitions propres au rôle de Zaeed Massani.</x:v>
      </x:c>
      <x:c r="G18" s="7" t="str">
        <x:v>Action concentrée #11; efficacité et coût de la violence.</x:v>
      </x:c>
      <x:c r="H18" s="7" t="str"/>
      <x:c r="I18" s="7" t="str">
        <x:v>Mercenaire humain usé, armure lourde et visage à comparer.</x:v>
      </x:c>
      <x:c r="J18" s="7" t="str">
        <x:v>Visée ferme, déplacement sans précipitation et remise en garde. Décomposer anticipation, action, retour et interruption; garder un état neutre utilisable après une cinématique sautée.</x:v>
      </x:c>
      <x:c r="K18" s="7" t="str">
        <x:v>Associer les contacts de sol ou de siège à des événements; éviter le bruitage répété sur une pose tenue.</x:v>
      </x:c>
      <x:c r="L18" s="7" t="str">
        <x:v>Table d'animation prévue FOU/ZAEED; paramètres direction, locomotion, accessoire et interruption.</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Un enchaînement déplacement → interaction → interruption → reprise conserve le pivot et les accessoires de Zaeed Massani.</x:v>
      </x:c>
      <x:c r="O18" s="7" t="str">
        <x:v>FOU-ACT-ZAEED, FOU-SPR-ZAEED</x:v>
      </x:c>
      <x:c r="P18" s="7" t="str">
        <x:v>Conception originale, aucune cadence extraite du comic.</x:v>
      </x:c>
      <x:c r="Q18" s="7" t="str"/>
      <x:c r="R18" s="21" t="str"/>
      <x:c r="S18" s="21" t="str"/>
    </x:row>
    <x:row r="19" ht="82" customHeight="1">
      <x:c r="A19" s="18" t="str">
        <x:v>FOU-ANI-RAHNA</x:v>
      </x:c>
      <x:c r="B19" s="9" t="str">
        <x:v>Rahna — jeu de poses</x:v>
      </x:c>
      <x:c r="C19" s="15" t="str">
        <x:v>Défini</x:v>
      </x:c>
      <x:c r="D19" s="16" t="str">
        <x:v>Extrapolation</x:v>
      </x:c>
      <x:c r="E19" s="16" t="str">
        <x:v>P1</x:v>
      </x:c>
      <x:c r="F19" s="9" t="str">
        <x:v>Définir les transitions propres au rôle de Rahna.</x:v>
      </x:c>
      <x:c r="G19" s="9" t="str">
        <x:v>Cadette et personne à protéger, avec rôle narratif propre.</x:v>
      </x:c>
      <x:c r="H19" s="9" t="str"/>
      <x:c r="I19" s="9" t="str">
        <x:v>Tenue de formation biotique à contrôler; pas de costume adulte ajouté.</x:v>
      </x:c>
      <x:c r="J19" s="9" t="str">
        <x:v>Concentration, fatigue et retrait après une interaction. Décomposer anticipation, action, retour et interruption; garder un état neutre utilisable après une cinématique sautée.</x:v>
      </x:c>
      <x:c r="K19" s="9" t="str">
        <x:v>Associer les contacts de sol ou de siège à des événements; éviter le bruitage répété sur une pose tenue.</x:v>
      </x:c>
      <x:c r="L19" s="9" t="str">
        <x:v>Table d'animation prévue FOU/RAHNA; paramètres direction, locomotion, accessoire et interruption.</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Un enchaînement déplacement → interaction → interruption → reprise conserve le pivot et les accessoires de Rahna.</x:v>
      </x:c>
      <x:c r="O19" s="9" t="str">
        <x:v>FOU-ACT-RAHNA, FOU-SPR-RAHNA</x:v>
      </x:c>
      <x:c r="P19" s="9" t="str">
        <x:v>Conception originale, aucune cadence extraite du comic.</x:v>
      </x:c>
      <x:c r="Q19" s="9" t="str"/>
      <x:c r="R19" s="20" t="str"/>
      <x:c r="S19" s="20" t="str"/>
    </x:row>
    <x:row r="20" ht="82" customHeight="1">
      <x:c r="A20" s="19" t="str">
        <x:v>FOU-ANI-VYRNNUS</x:v>
      </x:c>
      <x:c r="B20" s="7" t="str">
        <x:v>Commandant Vyrnnus — jeu de poses</x:v>
      </x:c>
      <x:c r="C20" s="15" t="str">
        <x:v>Défini</x:v>
      </x:c>
      <x:c r="D20" s="17" t="str">
        <x:v>Extrapolation</x:v>
      </x:c>
      <x:c r="E20" s="17" t="str">
        <x:v>P1</x:v>
      </x:c>
      <x:c r="F20" s="7" t="str">
        <x:v>Définir les transitions propres au rôle de Commandant Vyrnnus.</x:v>
      </x:c>
      <x:c r="G20" s="7" t="str">
        <x:v>Autorité antagoniste du récit, sans boss de récompense obligatoire.</x:v>
      </x:c>
      <x:c r="H20" s="7" t="str"/>
      <x:c r="I20" s="7" t="str">
        <x:v>Turien instructeur, silhouette droite et mains visibles.</x:v>
      </x:c>
      <x:c r="J20" s="7" t="str">
        <x:v>Ordre sec, pression de proximité et réaction contrôlée. Décomposer anticipation, action, retour et interruption; garder un état neutre utilisable après une cinématique sautée.</x:v>
      </x:c>
      <x:c r="K20" s="7" t="str">
        <x:v>Associer les contacts de sol ou de siège à des événements; éviter le bruitage répété sur une pose tenue.</x:v>
      </x:c>
      <x:c r="L20" s="7" t="str">
        <x:v>Table d'animation prévue FOU/VYRNNUS; paramètres direction, locomotion, accessoire et interruption.</x:v>
      </x:c>
      <x:c r="M2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0" s="7" t="str">
        <x:v>Un enchaînement déplacement → interaction → interruption → reprise conserve le pivot et les accessoires de Commandant Vyrnnus.</x:v>
      </x:c>
      <x:c r="O20" s="7" t="str">
        <x:v>FOU-ACT-VYRNNUS, FOU-SPR-VYRNNUS</x:v>
      </x:c>
      <x:c r="P20" s="7" t="str">
        <x:v>Conception originale, aucune cadence extraite du comic.</x:v>
      </x:c>
      <x:c r="Q20" s="7" t="str"/>
      <x:c r="R20" s="21" t="str"/>
      <x:c r="S20" s="21" t="str"/>
    </x:row>
    <x:row r="21" ht="82" customHeight="1">
      <x:c r="A21" s="18" t="str">
        <x:v>FOU-ANI-IRIKAH</x:v>
      </x:c>
      <x:c r="B21" s="9" t="str">
        <x:v>Irikah Krios — jeu de poses</x:v>
      </x:c>
      <x:c r="C21" s="15" t="str">
        <x:v>Défini</x:v>
      </x:c>
      <x:c r="D21" s="16" t="str">
        <x:v>Extrapolation</x:v>
      </x:c>
      <x:c r="E21" s="16" t="str">
        <x:v>P1</x:v>
      </x:c>
      <x:c r="F21" s="9" t="str">
        <x:v>Définir les transitions propres au rôle de Irikah Krios.</x:v>
      </x:c>
      <x:c r="G21" s="9" t="str">
        <x:v>Relation et mémoire; ne pas réduire son rôle à un objet de quête.</x:v>
      </x:c>
      <x:c r="H21" s="9" t="str"/>
      <x:c r="I21" s="9" t="str">
        <x:v>Silhouette drell civile et environnement quotidien à vérifier.</x:v>
      </x:c>
      <x:c r="J21" s="9" t="str">
        <x:v>Arrêt déterminé, regard direct et gestes domestiques. Décomposer anticipation, action, retour et interruption; garder un état neutre utilisable après une cinématique sautée.</x:v>
      </x:c>
      <x:c r="K21" s="9" t="str">
        <x:v>Associer les contacts de sol ou de siège à des événements; éviter le bruitage répété sur une pose tenue.</x:v>
      </x:c>
      <x:c r="L21" s="9" t="str">
        <x:v>Table d'animation prévue FOU/IRIKAH; paramètres direction, locomotion, accessoire et interruption.</x:v>
      </x:c>
      <x:c r="M2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1" s="9" t="str">
        <x:v>Un enchaînement déplacement → interaction → interruption → reprise conserve le pivot et les accessoires de Irikah Krios.</x:v>
      </x:c>
      <x:c r="O21" s="9" t="str">
        <x:v>FOU-ACT-IRIKAH, FOU-SPR-IRIKAH</x:v>
      </x:c>
      <x:c r="P21" s="9" t="str">
        <x:v>Conception originale, aucune cadence extraite du comic.</x:v>
      </x:c>
      <x:c r="Q21" s="9" t="str"/>
      <x:c r="R21" s="20" t="str"/>
      <x:c r="S21" s="20" t="str"/>
    </x:row>
    <x:row r="22" ht="82" customHeight="1">
      <x:c r="A22" s="19" t="str">
        <x:v>FOU-ANI-KOLYAT</x:v>
      </x:c>
      <x:c r="B22" s="7" t="str">
        <x:v>Kolyat Krios — jeu de poses</x:v>
      </x:c>
      <x:c r="C22" s="15" t="str">
        <x:v>Défini</x:v>
      </x:c>
      <x:c r="D22" s="17" t="str">
        <x:v>Extrapolation</x:v>
      </x:c>
      <x:c r="E22" s="17" t="str">
        <x:v>P1</x:v>
      </x:c>
      <x:c r="F22" s="7" t="str">
        <x:v>Définir les transitions propres au rôle de Kolyat Krios.</x:v>
      </x:c>
      <x:c r="G22" s="7" t="str">
        <x:v>Enfant du contexte familial; aucune capacité de combat ajoutée.</x:v>
      </x:c>
      <x:c r="H22" s="7" t="str"/>
      <x:c r="I22" s="7" t="str">
        <x:v>Petite silhouette drell, âge et vêtements à contrôler.</x:v>
      </x:c>
      <x:c r="J22" s="7" t="str">
        <x:v>Attente, retrait et geste d’appel. Décomposer anticipation, action, retour et interruption; garder un état neutre utilisable après une cinématique sautée.</x:v>
      </x:c>
      <x:c r="K22" s="7" t="str">
        <x:v>Associer les contacts de sol ou de siège à des événements; éviter le bruitage répété sur une pose tenue.</x:v>
      </x:c>
      <x:c r="L22" s="7" t="str">
        <x:v>Table d'animation prévue FOU/KOLYAT; paramètres direction, locomotion, accessoire et interruption.</x:v>
      </x:c>
      <x:c r="M2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2" s="7" t="str">
        <x:v>Un enchaînement déplacement → interaction → interruption → reprise conserve le pivot et les accessoires de Kolyat Krios.</x:v>
      </x:c>
      <x:c r="O22" s="7" t="str">
        <x:v>FOU-ACT-KOLYAT, FOU-SPR-KOLYAT</x:v>
      </x:c>
      <x:c r="P22" s="7" t="str">
        <x:v>Conception originale, aucune cadence extraite du comic.</x:v>
      </x:c>
      <x:c r="Q22" s="7" t="str"/>
      <x:c r="R22" s="21" t="str"/>
      <x:c r="S22" s="21" t="str"/>
    </x:row>
    <x:row r="23" ht="82" customHeight="1">
      <x:c r="A23" s="18" t="str">
        <x:v>FOU-ANI-KEIJI</x:v>
      </x:c>
      <x:c r="B23" s="9" t="str">
        <x:v>Keiji Okuda — jeu de poses</x:v>
      </x:c>
      <x:c r="C23" s="15" t="str">
        <x:v>Défini</x:v>
      </x:c>
      <x:c r="D23" s="16" t="str">
        <x:v>Extrapolation</x:v>
      </x:c>
      <x:c r="E23" s="16" t="str">
        <x:v>P1</x:v>
      </x:c>
      <x:c r="F23" s="9" t="str">
        <x:v>Définir les transitions propres au rôle de Keiji Okuda.</x:v>
      </x:c>
      <x:c r="G23" s="9" t="str">
        <x:v>Partenaire du contexte #10; dialogues de confiance et raccord de perte.</x:v>
      </x:c>
      <x:c r="H23" s="9" t="str"/>
      <x:c r="I23" s="9" t="str">
        <x:v>Tenue de terrain sobre et silhouette à contrôler.</x:v>
      </x:c>
      <x:c r="J23" s="9" t="str">
        <x:v>Inspection, échange discret et attention partagée. Décomposer anticipation, action, retour et interruption; garder un état neutre utilisable après une cinématique sautée.</x:v>
      </x:c>
      <x:c r="K23" s="9" t="str">
        <x:v>Associer les contacts de sol ou de siège à des événements; éviter le bruitage répété sur une pose tenue.</x:v>
      </x:c>
      <x:c r="L23" s="9" t="str">
        <x:v>Table d'animation prévue FOU/KEIJI; paramètres direction, locomotion, accessoire et interruption.</x:v>
      </x:c>
      <x:c r="M2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3" s="9" t="str">
        <x:v>Un enchaînement déplacement → interaction → interruption → reprise conserve le pivot et les accessoires de Keiji Okuda.</x:v>
      </x:c>
      <x:c r="O23" s="9" t="str">
        <x:v>FOU-ACT-KEIJI, FOU-SPR-KEIJI</x:v>
      </x:c>
      <x:c r="P23" s="9" t="str">
        <x:v>Conception originale, aucune cadence extraite du comic.</x:v>
      </x:c>
      <x:c r="Q23" s="9" t="str"/>
      <x:c r="R23" s="20" t="str"/>
      <x:c r="S23" s="20" t="str"/>
    </x:row>
    <x:row r="24" ht="82" customHeight="1">
      <x:c r="A24" s="19" t="str">
        <x:v>FOU-ANI-TIM</x:v>
      </x:c>
      <x:c r="B24" s="7" t="str">
        <x:v>L’Homme trouble — jeu de poses</x:v>
      </x:c>
      <x:c r="C24" s="15" t="str">
        <x:v>Défini</x:v>
      </x:c>
      <x:c r="D24" s="17" t="str">
        <x:v>Extrapolation</x:v>
      </x:c>
      <x:c r="E24" s="17" t="str">
        <x:v>P1</x:v>
      </x:c>
      <x:c r="F24" s="7" t="str">
        <x:v>Définir les transitions propres au rôle de L’Homme trouble.</x:v>
      </x:c>
      <x:c r="G24" s="7" t="str">
        <x:v>Autorité du cadre, avec informations non partagées.</x:v>
      </x:c>
      <x:c r="H24" s="7" t="str"/>
      <x:c r="I24" s="7" t="str">
        <x:v>Portrait distant en contre-jour et interface fermée.</x:v>
      </x:c>
      <x:c r="J24" s="7" t="str">
        <x:v>Écoute immobile, ordre bref et coupure de liaison. Décomposer anticipation, action, retour et interruption; garder un état neutre utilisable après une cinématique sautée.</x:v>
      </x:c>
      <x:c r="K24" s="7" t="str">
        <x:v>Associer les contacts de sol ou de siège à des événements; éviter le bruitage répété sur une pose tenue.</x:v>
      </x:c>
      <x:c r="L24" s="7" t="str">
        <x:v>Table d'animation prévue FOU/TIM; paramètres direction, locomotion, accessoire et interruption.</x:v>
      </x:c>
      <x:c r="M2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4" s="7" t="str">
        <x:v>Un enchaînement déplacement → interaction → interruption → reprise conserve le pivot et les accessoires de L’Homme trouble.</x:v>
      </x:c>
      <x:c r="O24" s="7" t="str">
        <x:v>FOU-ACT-TIM, FOU-SPR-TIM</x:v>
      </x:c>
      <x:c r="P24" s="7" t="str">
        <x:v>Conception originale, aucune cadence extraite du comic.</x:v>
      </x:c>
      <x:c r="Q24" s="7" t="str"/>
      <x:c r="R24" s="21" t="str"/>
      <x:c r="S24" s="21" t="str"/>
    </x:row>
  </x:sheetData>
  <x:conditionalFormatting sqref="D7:D24">
    <x:cfRule type="cellIs" dxfId="76" priority="1" operator="equal">
      <x:formula>"À vérifier"</x:formula>
    </x:cfRule>
    <x:cfRule type="cellIs" dxfId="77" priority="2" operator="equal">
      <x:formula>"Extrapolation"</x:formula>
    </x:cfRule>
  </x:conditionalFormatting>
  <x:conditionalFormatting sqref="C7:C24">
    <x:cfRule type="cellIs" dxfId="78" priority="3" operator="equal">
      <x:formula>"Validé"</x:formula>
    </x:cfRule>
  </x:conditionalFormatting>
  <x:conditionalFormatting sqref="E7:E24">
    <x:cfRule type="cellIs" dxfId="79" priority="4" operator="equal">
      <x:formula>"P0"</x:formula>
    </x:cfRule>
  </x:conditionalFormatting>
  <x:dataValidations count="3">
    <x:dataValidation type="list" sqref="C7:C24">
      <x:formula1>"Défini,Prototype,Intégré,Validé"</x:formula1>
    </x:dataValidation>
    <x:dataValidation type="list" sqref="D7:D24">
      <x:formula1>"Établi,À vérifier,Extrapolation,Coupé attesté,Concept abandonné,Allégation écartée"</x:formula1>
    </x:dataValidation>
    <x:dataValidation type="list" sqref="E7:E24">
      <x:formula1>"P0,P1,P2"</x:formula1>
    </x:dataValidation>
  </x:dataValidations>
  <x:pageMargins left="0.7" right="0.7" top="0.75" bottom="0.75" header="0.3" footer="0.3"/>
  <x:tableParts count="1">
    <x:tablePart xmlns:r="http://schemas.openxmlformats.org/officeDocument/2006/relationships" r:id="Ra1d915088e9749c7"/>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Foundation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FOU-SPR-RASA</x:v>
      </x:c>
      <x:c r="B7" s="9" t="str">
        <x:v>Rasa — planche de sprites</x:v>
      </x:c>
      <x:c r="C7" s="15" t="str">
        <x:v>Défini</x:v>
      </x:c>
      <x:c r="D7" s="16" t="str">
        <x:v>Extrapolation</x:v>
      </x:c>
      <x:c r="E7" s="16" t="str">
        <x:v>P1</x:v>
      </x:c>
      <x:c r="F7" s="9" t="str">
        <x:v>Produire une silhouette lisible pour Rasa dans le module Foundation.</x:v>
      </x:c>
      <x:c r="G7" s="9" t="str">
        <x:v>Point de vue du cadre; collecte de dossiers, couverture et fuite selon le numéro.</x:v>
      </x:c>
      <x:c r="H7" s="9" t="str"/>
      <x:c r="I7" s="9" t="str">
        <x:v>Vêtements civils ou tenue d’agente par période; ne pas fusionner la silhouette enfant et celle du DLC. Prévoir face, dos et profils trois-quarts; conserver le même pivot de pieds dans chaque pose.</x:v>
      </x:c>
      <x:c r="J7" s="9" t="str">
        <x:v>Observation, échange discret, changement de posture sociale et déplacement furtif. Séparer arme/objet tenu du corps lorsque le changement de main est nécessaire.</x:v>
      </x:c>
      <x:c r="K7" s="9" t="str"/>
      <x:c r="L7" s="9" t="str">
        <x:v>Atlas prévu fou/actors/rasa; métadonnées pivot, masque d'occlusion, orientation et état. Aucun fichier de sprite n'est livré par ce catalogue.</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La planche permet d'identifier Rasa sans portrait UI à l'échelle de jeu; pieds stables devant les occultations du décor 3D.</x:v>
      </x:c>
      <x:c r="O7" s="9" t="str">
        <x:v>FOU-ACT-RASA</x:v>
      </x:c>
      <x:c r="P7" s="9" t="str">
        <x:v>Conception originale; référence visuelle du personnage à contrôler.</x:v>
      </x:c>
      <x:c r="Q7" s="9" t="str"/>
      <x:c r="R7" s="20" t="str"/>
      <x:c r="S7" s="20" t="str"/>
    </x:row>
    <x:row r="8" ht="82" customHeight="1">
      <x:c r="A8" s="19" t="str">
        <x:v>FOU-SPR-WREX</x:v>
      </x:c>
      <x:c r="B8" s="7" t="str">
        <x:v>Urdnot Wrex — planche de sprites</x:v>
      </x:c>
      <x:c r="C8" s="15" t="str">
        <x:v>Défini</x:v>
      </x:c>
      <x:c r="D8" s="17" t="str">
        <x:v>Extrapolation</x:v>
      </x:c>
      <x:c r="E8" s="17" t="str">
        <x:v>P1</x:v>
      </x:c>
      <x:c r="F8" s="7" t="str">
        <x:v>Produire une silhouette lisible pour Urdnot Wrex dans le module Foundation.</x:v>
      </x:c>
      <x:c r="G8" s="7" t="str">
        <x:v>Force autonome dans le dossier #2; ne pas le placer sous les ordres permanents de Rasa.</x:v>
      </x:c>
      <x:c r="H8" s="7" t="str"/>
      <x:c r="I8" s="7" t="str">
        <x:v>Krogan massif, armure de mercenaire à vérifier et écart de taille lisible. Prévoir face, dos et profils trois-quarts; conserver le même pivot de pieds dans chaque pose.</x:v>
      </x:c>
      <x:c r="J8" s="7" t="str">
        <x:v>Marche lourde, pause d’évaluation et geste brusque. Séparer arme/objet tenu du corps lorsque le changement de main est nécessaire.</x:v>
      </x:c>
      <x:c r="K8" s="7" t="str"/>
      <x:c r="L8" s="7" t="str">
        <x:v>Atlas prévu fou/actors/wrex; métadonnées pivot, masque d'occlusion, orientation et état. Aucun fichier de sprite n'est livré par ce catalogue.</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La planche permet d'identifier Urdnot Wrex sans portrait UI à l'échelle de jeu; pieds stables devant les occultations du décor 3D.</x:v>
      </x:c>
      <x:c r="O8" s="7" t="str">
        <x:v>FOU-ACT-WREX</x:v>
      </x:c>
      <x:c r="P8" s="7" t="str">
        <x:v>Conception originale; référence visuelle du personnage à contrôler.</x:v>
      </x:c>
      <x:c r="Q8" s="7" t="str"/>
      <x:c r="R8" s="21" t="str"/>
      <x:c r="S8" s="21" t="str"/>
    </x:row>
    <x:row r="9" ht="82" customHeight="1">
      <x:c r="A9" s="18" t="str">
        <x:v>FOU-SPR-ASHLEY</x:v>
      </x:c>
      <x:c r="B9" s="9" t="str">
        <x:v>Ashley Williams — planche de sprites</x:v>
      </x:c>
      <x:c r="C9" s="15" t="str">
        <x:v>Défini</x:v>
      </x:c>
      <x:c r="D9" s="16" t="str">
        <x:v>Extrapolation</x:v>
      </x:c>
      <x:c r="E9" s="16" t="str">
        <x:v>P1</x:v>
      </x:c>
      <x:c r="F9" s="9" t="str">
        <x:v>Produire une silhouette lisible pour Ashley Williams dans le module Foundation.</x:v>
      </x:c>
      <x:c r="G9" s="9" t="str">
        <x:v>Point de vue de terrain #3 et interlocutrice du cadre d’enquête.</x:v>
      </x:c>
      <x:c r="H9" s="9" t="str"/>
      <x:c r="I9" s="9" t="str">
        <x:v>Armure Alliance de la période, sans équipements tardifs de ME3. Prévoir face, dos et profils trois-quarts; conserver le même pivot de pieds dans chaque pose.</x:v>
      </x:c>
      <x:c r="J9" s="9" t="str">
        <x:v>Ordre au groupe, vérification d’angle et fatigue après action. Séparer arme/objet tenu du corps lorsque le changement de main est nécessaire.</x:v>
      </x:c>
      <x:c r="K9" s="9" t="str"/>
      <x:c r="L9" s="9" t="str">
        <x:v>Atlas prévu fou/actors/ashley; métadonnées pivot, masque d'occlusion, orientation et état. Aucun fichier de sprite n'est livré par ce catalogue.</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La planche permet d'identifier Ashley Williams sans portrait UI à l'échelle de jeu; pieds stables devant les occultations du décor 3D.</x:v>
      </x:c>
      <x:c r="O9" s="9" t="str">
        <x:v>FOU-ACT-ASHLEY</x:v>
      </x:c>
      <x:c r="P9" s="9" t="str">
        <x:v>Conception originale; référence visuelle du personnage à contrôler.</x:v>
      </x:c>
      <x:c r="Q9" s="9" t="str"/>
      <x:c r="R9" s="20" t="str"/>
      <x:c r="S9" s="20" t="str"/>
    </x:row>
    <x:row r="10" ht="82" customHeight="1">
      <x:c r="A10" s="19" t="str">
        <x:v>FOU-SPR-KAIDAN</x:v>
      </x:c>
      <x:c r="B10" s="7" t="str">
        <x:v>Kaidan Alenko — planche de sprites</x:v>
      </x:c>
      <x:c r="C10" s="15" t="str">
        <x:v>Défini</x:v>
      </x:c>
      <x:c r="D10" s="17" t="str">
        <x:v>Extrapolation</x:v>
      </x:c>
      <x:c r="E10" s="17" t="str">
        <x:v>P1</x:v>
      </x:c>
      <x:c r="F10" s="7" t="str">
        <x:v>Produire une silhouette lisible pour Kaidan Alenko dans le module Foundation.</x:v>
      </x:c>
      <x:c r="G10" s="7" t="str">
        <x:v>Avatar jeune dans #4; le module privilégie l’apprentissage et le conflit.</x:v>
      </x:c>
      <x:c r="H10" s="7" t="str"/>
      <x:c r="I10" s="7" t="str">
        <x:v>Tenue de cadet à contrôler, pas d’armure d’officier adulte. Prévoir face, dos et profils trois-quarts; conserver le même pivot de pieds dans chaque pose.</x:v>
      </x:c>
      <x:c r="J10" s="7" t="str">
        <x:v>Concentration hésitante, geste de protection et retrait. Séparer arme/objet tenu du corps lorsque le changement de main est nécessaire.</x:v>
      </x:c>
      <x:c r="K10" s="7" t="str"/>
      <x:c r="L10" s="7" t="str">
        <x:v>Atlas prévu fou/actors/kaidan; métadonnées pivot, masque d'occlusion, orientation et état. Aucun fichier de sprite n'est livré par ce catalogue.</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La planche permet d'identifier Kaidan Alenko sans portrait UI à l'échelle de jeu; pieds stables devant les occultations du décor 3D.</x:v>
      </x:c>
      <x:c r="O10" s="7" t="str">
        <x:v>FOU-ACT-KAIDAN</x:v>
      </x:c>
      <x:c r="P10" s="7" t="str">
        <x:v>Conception originale; référence visuelle du personnage à contrôler.</x:v>
      </x:c>
      <x:c r="Q10" s="7" t="str"/>
      <x:c r="R10" s="21" t="str"/>
      <x:c r="S10" s="21" t="str"/>
    </x:row>
    <x:row r="11" ht="82" customHeight="1">
      <x:c r="A11" s="18" t="str">
        <x:v>FOU-SPR-KAI</x:v>
      </x:c>
      <x:c r="B11" s="9" t="str">
        <x:v>Kai Leng — planche de sprites</x:v>
      </x:c>
      <x:c r="C11" s="15" t="str">
        <x:v>Défini</x:v>
      </x:c>
      <x:c r="D11" s="16" t="str">
        <x:v>Extrapolation</x:v>
      </x:c>
      <x:c r="E11" s="16" t="str">
        <x:v>P1</x:v>
      </x:c>
      <x:c r="F11" s="9" t="str">
        <x:v>Produire une silhouette lisible pour Kai Leng dans le module Foundation.</x:v>
      </x:c>
      <x:c r="G11" s="9" t="str">
        <x:v>Agent du cadre; interventions limitées au numéro.</x:v>
      </x:c>
      <x:c r="H11" s="9" t="str"/>
      <x:c r="I11" s="9" t="str">
        <x:v>Tenue opérationnelle à comparer, silhouette mince et posture fermée. Prévoir face, dos et profils trois-quarts; conserver le même pivot de pieds dans chaque pose.</x:v>
      </x:c>
      <x:c r="J11" s="9" t="str">
        <x:v>Attente immobile, pas contrôlés et geste de menace. Séparer arme/objet tenu du corps lorsque le changement de main est nécessaire.</x:v>
      </x:c>
      <x:c r="K11" s="9" t="str"/>
      <x:c r="L11" s="9" t="str">
        <x:v>Atlas prévu fou/actors/kai; métadonnées pivot, masque d'occlusion, orientation et état. Aucun fichier de sprite n'est livré par ce catalogue.</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La planche permet d'identifier Kai Leng sans portrait UI à l'échelle de jeu; pieds stables devant les occultations du décor 3D.</x:v>
      </x:c>
      <x:c r="O11" s="9" t="str">
        <x:v>FOU-ACT-KAI</x:v>
      </x:c>
      <x:c r="P11" s="9" t="str">
        <x:v>Conception originale; référence visuelle du personnage à contrôler.</x:v>
      </x:c>
      <x:c r="Q11" s="9" t="str"/>
      <x:c r="R11" s="20" t="str"/>
      <x:c r="S11" s="20" t="str"/>
    </x:row>
    <x:row r="12" ht="82" customHeight="1">
      <x:c r="A12" s="19" t="str">
        <x:v>FOU-SPR-MIRANDA</x:v>
      </x:c>
      <x:c r="B12" s="7" t="str">
        <x:v>Miranda Lawson — planche de sprites</x:v>
      </x:c>
      <x:c r="C12" s="15" t="str">
        <x:v>Défini</x:v>
      </x:c>
      <x:c r="D12" s="17" t="str">
        <x:v>Extrapolation</x:v>
      </x:c>
      <x:c r="E12" s="17" t="str">
        <x:v>P1</x:v>
      </x:c>
      <x:c r="F12" s="7" t="str">
        <x:v>Produire une silhouette lisible pour Miranda Lawson dans le module Foundation.</x:v>
      </x:c>
      <x:c r="G12" s="7" t="str">
        <x:v>Partenaire du duo puis autorité de station selon le segment.</x:v>
      </x:c>
      <x:c r="H12" s="7" t="str"/>
      <x:c r="I12" s="7" t="str">
        <x:v>Combinaison de mission claire/sombre, variantes #5–6 et #13 séparées. Prévoir face, dos et profils trois-quarts; conserver le même pivot de pieds dans chaque pose.</x:v>
      </x:c>
      <x:c r="J12" s="7" t="str">
        <x:v>Inspection, ordre de protection et maintien biotique bref. Séparer arme/objet tenu du corps lorsque le changement de main est nécessaire.</x:v>
      </x:c>
      <x:c r="K12" s="7" t="str"/>
      <x:c r="L12" s="7" t="str">
        <x:v>Atlas prévu fou/actors/miranda; métadonnées pivot, masque d'occlusion, orientation et état. Aucun fichier de sprite n'est livré par ce catalogue.</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La planche permet d'identifier Miranda Lawson sans portrait UI à l'échelle de jeu; pieds stables devant les occultations du décor 3D.</x:v>
      </x:c>
      <x:c r="O12" s="7" t="str">
        <x:v>FOU-ACT-MIRANDA</x:v>
      </x:c>
      <x:c r="P12" s="7" t="str">
        <x:v>Conception originale; référence visuelle du personnage à contrôler.</x:v>
      </x:c>
      <x:c r="Q12" s="7" t="str"/>
      <x:c r="R12" s="21" t="str"/>
      <x:c r="S12" s="21" t="str"/>
    </x:row>
    <x:row r="13" ht="82" customHeight="1">
      <x:c r="A13" s="18" t="str">
        <x:v>FOU-SPR-JACOB</x:v>
      </x:c>
      <x:c r="B13" s="9" t="str">
        <x:v>Jacob Taylor — planche de sprites</x:v>
      </x:c>
      <x:c r="C13" s="15" t="str">
        <x:v>Défini</x:v>
      </x:c>
      <x:c r="D13" s="16" t="str">
        <x:v>Extrapolation</x:v>
      </x:c>
      <x:c r="E13" s="16" t="str">
        <x:v>P1</x:v>
      </x:c>
      <x:c r="F13" s="9" t="str">
        <x:v>Produire une silhouette lisible pour Jacob Taylor dans le module Foundation.</x:v>
      </x:c>
      <x:c r="G13" s="9" t="str">
        <x:v>Soutien de terrain du duo, protection et progression.</x:v>
      </x:c>
      <x:c r="H13" s="9" t="str"/>
      <x:c r="I13" s="9" t="str">
        <x:v>Armure de mission adaptée à la période et arme compacte à vérifier. Prévoir face, dos et profils trois-quarts; conserver le même pivot de pieds dans chaque pose.</x:v>
      </x:c>
      <x:c r="J13" s="9" t="str">
        <x:v>Couverture, relevé d’indice et passage en premier. Séparer arme/objet tenu du corps lorsque le changement de main est nécessaire.</x:v>
      </x:c>
      <x:c r="K13" s="9" t="str"/>
      <x:c r="L13" s="9" t="str">
        <x:v>Atlas prévu fou/actors/jacob; métadonnées pivot, masque d'occlusion, orientation et état. Aucun fichier de sprite n'est livré par ce catalogue.</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La planche permet d'identifier Jacob Taylor sans portrait UI à l'échelle de jeu; pieds stables devant les occultations du décor 3D.</x:v>
      </x:c>
      <x:c r="O13" s="9" t="str">
        <x:v>FOU-ACT-JACOB</x:v>
      </x:c>
      <x:c r="P13" s="9" t="str">
        <x:v>Conception originale; référence visuelle du personnage à contrôler.</x:v>
      </x:c>
      <x:c r="Q13" s="9" t="str"/>
      <x:c r="R13" s="20" t="str"/>
      <x:c r="S13" s="20" t="str"/>
    </x:row>
    <x:row r="14" ht="82" customHeight="1">
      <x:c r="A14" s="19" t="str">
        <x:v>FOU-SPR-JACK</x:v>
      </x:c>
      <x:c r="B14" s="7" t="str">
        <x:v>Jack / Sujet Zéro — planche de sprites</x:v>
      </x:c>
      <x:c r="C14" s="15" t="str">
        <x:v>Défini</x:v>
      </x:c>
      <x:c r="D14" s="17" t="str">
        <x:v>Extrapolation</x:v>
      </x:c>
      <x:c r="E14" s="17" t="str">
        <x:v>P1</x:v>
      </x:c>
      <x:c r="F14" s="7" t="str">
        <x:v>Produire une silhouette lisible pour Jack / Sujet Zéro dans le module Foundation.</x:v>
      </x:c>
      <x:c r="G14" s="7" t="str">
        <x:v>Force poursuivie; ne pas la présenter comme membre volontaire de l’équipe de capture.</x:v>
      </x:c>
      <x:c r="H14" s="7" t="str"/>
      <x:c r="I14" s="7" t="str">
        <x:v>Crâne rasé et marques corporelles à vérifier sur référence, effet biotique limité autour du corps. Prévoir face, dos et profils trois-quarts; conserver le même pivot de pieds dans chaque pose.</x:v>
      </x:c>
      <x:c r="J14" s="7" t="str">
        <x:v>Tension, mouvement explosif et respiration après effort. Séparer arme/objet tenu du corps lorsque le changement de main est nécessaire.</x:v>
      </x:c>
      <x:c r="K14" s="7" t="str"/>
      <x:c r="L14" s="7" t="str">
        <x:v>Atlas prévu fou/actors/jack; métadonnées pivot, masque d'occlusion, orientation et état. Aucun fichier de sprite n'est livré par ce catalogue.</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La planche permet d'identifier Jack / Sujet Zéro sans portrait UI à l'échelle de jeu; pieds stables devant les occultations du décor 3D.</x:v>
      </x:c>
      <x:c r="O14" s="7" t="str">
        <x:v>FOU-ACT-JACK</x:v>
      </x:c>
      <x:c r="P14" s="7" t="str">
        <x:v>Conception originale; référence visuelle du personnage à contrôler.</x:v>
      </x:c>
      <x:c r="Q14" s="7" t="str"/>
      <x:c r="R14" s="21" t="str"/>
      <x:c r="S14" s="21" t="str"/>
    </x:row>
    <x:row r="15" ht="82" customHeight="1">
      <x:c r="A15" s="18" t="str">
        <x:v>FOU-SPR-THANE</x:v>
      </x:c>
      <x:c r="B15" s="9" t="str">
        <x:v>Thane Krios — planche de sprites</x:v>
      </x:c>
      <x:c r="C15" s="15" t="str">
        <x:v>Défini</x:v>
      </x:c>
      <x:c r="D15" s="16" t="str">
        <x:v>Extrapolation</x:v>
      </x:c>
      <x:c r="E15" s="16" t="str">
        <x:v>P1</x:v>
      </x:c>
      <x:c r="F15" s="9" t="str">
        <x:v>Produire une silhouette lisible pour Thane Krios dans le module Foundation.</x:v>
      </x:c>
      <x:c r="G15" s="9" t="str">
        <x:v>Deux contextes #8 et #12; distinguer rencontre avec Rasa et histoire familiale.</x:v>
      </x:c>
      <x:c r="H15" s="9" t="str"/>
      <x:c r="I15" s="9" t="str">
        <x:v>Drell à silhouette fine, tenue d’assassin et état temporel à vérifier. Prévoir face, dos et profils trois-quarts; conserver le même pivot de pieds dans chaque pose.</x:v>
      </x:c>
      <x:c r="J15" s="9" t="str">
        <x:v>Immobilité, inspection de ligne de vue et geste précis. Séparer arme/objet tenu du corps lorsque le changement de main est nécessaire.</x:v>
      </x:c>
      <x:c r="K15" s="9" t="str"/>
      <x:c r="L15" s="9" t="str">
        <x:v>Atlas prévu fou/actors/thane; métadonnées pivot, masque d'occlusion, orientation et état. Aucun fichier de sprite n'est livré par ce catalogue.</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La planche permet d'identifier Thane Krios sans portrait UI à l'échelle de jeu; pieds stables devant les occultations du décor 3D.</x:v>
      </x:c>
      <x:c r="O15" s="9" t="str">
        <x:v>FOU-ACT-THANE</x:v>
      </x:c>
      <x:c r="P15" s="9" t="str">
        <x:v>Conception originale; référence visuelle du personnage à contrôler.</x:v>
      </x:c>
      <x:c r="Q15" s="9" t="str"/>
      <x:c r="R15" s="20" t="str"/>
      <x:c r="S15" s="20" t="str"/>
    </x:row>
    <x:row r="16" ht="82" customHeight="1">
      <x:c r="A16" s="19" t="str">
        <x:v>FOU-SPR-MORDIN</x:v>
      </x:c>
      <x:c r="B16" s="7" t="str">
        <x:v>Mordin Solus — planche de sprites</x:v>
      </x:c>
      <x:c r="C16" s="15" t="str">
        <x:v>Défini</x:v>
      </x:c>
      <x:c r="D16" s="17" t="str">
        <x:v>Extrapolation</x:v>
      </x:c>
      <x:c r="E16" s="17" t="str">
        <x:v>P1</x:v>
      </x:c>
      <x:c r="F16" s="7" t="str">
        <x:v>Produire une silhouette lisible pour Mordin Solus dans le module Foundation.</x:v>
      </x:c>
      <x:c r="G16" s="7" t="str">
        <x:v>Point de vue technique et moral #9; opérations et conséquences restent distinctes.</x:v>
      </x:c>
      <x:c r="H16" s="7" t="str"/>
      <x:c r="I16" s="7" t="str">
        <x:v>Salarian à silhouette fine; version avant/après blessures clairement séparée. Prévoir face, dos et profils trois-quarts; conserver le même pivot de pieds dans chaque pose.</x:v>
      </x:c>
      <x:c r="J16" s="7" t="str">
        <x:v>Analyse rapide, changement d’outil et réaction à une objection. Séparer arme/objet tenu du corps lorsque le changement de main est nécessaire.</x:v>
      </x:c>
      <x:c r="K16" s="7" t="str"/>
      <x:c r="L16" s="7" t="str">
        <x:v>Atlas prévu fou/actors/mordin; métadonnées pivot, masque d'occlusion, orientation et état. Aucun fichier de sprite n'est livré par ce catalogue.</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La planche permet d'identifier Mordin Solus sans portrait UI à l'échelle de jeu; pieds stables devant les occultations du décor 3D.</x:v>
      </x:c>
      <x:c r="O16" s="7" t="str">
        <x:v>FOU-ACT-MORDIN</x:v>
      </x:c>
      <x:c r="P16" s="7" t="str">
        <x:v>Conception originale; référence visuelle du personnage à contrôler.</x:v>
      </x:c>
      <x:c r="Q16" s="7" t="str"/>
      <x:c r="R16" s="21" t="str"/>
      <x:c r="S16" s="21" t="str"/>
    </x:row>
    <x:row r="17" ht="82" customHeight="1">
      <x:c r="A17" s="18" t="str">
        <x:v>FOU-SPR-KASUMI</x:v>
      </x:c>
      <x:c r="B17" s="9" t="str">
        <x:v>Kasumi Goto — planche de sprites</x:v>
      </x:c>
      <x:c r="C17" s="15" t="str">
        <x:v>Défini</x:v>
      </x:c>
      <x:c r="D17" s="16" t="str">
        <x:v>Extrapolation</x:v>
      </x:c>
      <x:c r="E17" s="16" t="str">
        <x:v>P1</x:v>
      </x:c>
      <x:c r="F17" s="9" t="str">
        <x:v>Produire une silhouette lisible pour Kasumi Goto dans le module Foundation.</x:v>
      </x:c>
      <x:c r="G17" s="9" t="str">
        <x:v>Infiltration #10; réussite tactique n’annule pas le deuil du récit.</x:v>
      </x:c>
      <x:c r="H17" s="9" t="str"/>
      <x:c r="I17" s="9" t="str">
        <x:v>Capuche et silhouette compacte; tenue et motif à vérifier. Prévoir face, dos et profils trois-quarts; conserver le même pivot de pieds dans chaque pose.</x:v>
      </x:c>
      <x:c r="J17" s="9" t="str">
        <x:v>Accroupissement, manipulation rapide et arrêt d’écoute. Séparer arme/objet tenu du corps lorsque le changement de main est nécessaire.</x:v>
      </x:c>
      <x:c r="K17" s="9" t="str"/>
      <x:c r="L17" s="9" t="str">
        <x:v>Atlas prévu fou/actors/kasumi; métadonnées pivot, masque d'occlusion, orientation et état. Aucun fichier de sprite n'est livré par ce catalogue.</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La planche permet d'identifier Kasumi Goto sans portrait UI à l'échelle de jeu; pieds stables devant les occultations du décor 3D.</x:v>
      </x:c>
      <x:c r="O17" s="9" t="str">
        <x:v>FOU-ACT-KASUMI</x:v>
      </x:c>
      <x:c r="P17" s="9" t="str">
        <x:v>Conception originale; référence visuelle du personnage à contrôler.</x:v>
      </x:c>
      <x:c r="Q17" s="9" t="str"/>
      <x:c r="R17" s="20" t="str"/>
      <x:c r="S17" s="20" t="str"/>
    </x:row>
    <x:row r="18" ht="82" customHeight="1">
      <x:c r="A18" s="19" t="str">
        <x:v>FOU-SPR-ZAEED</x:v>
      </x:c>
      <x:c r="B18" s="7" t="str">
        <x:v>Zaeed Massani — planche de sprites</x:v>
      </x:c>
      <x:c r="C18" s="15" t="str">
        <x:v>Défini</x:v>
      </x:c>
      <x:c r="D18" s="17" t="str">
        <x:v>Extrapolation</x:v>
      </x:c>
      <x:c r="E18" s="17" t="str">
        <x:v>P1</x:v>
      </x:c>
      <x:c r="F18" s="7" t="str">
        <x:v>Produire une silhouette lisible pour Zaeed Massani dans le module Foundation.</x:v>
      </x:c>
      <x:c r="G18" s="7" t="str">
        <x:v>Action concentrée #11; efficacité et coût de la violence.</x:v>
      </x:c>
      <x:c r="H18" s="7" t="str"/>
      <x:c r="I18" s="7" t="str">
        <x:v>Mercenaire humain usé, armure lourde et visage à comparer. Prévoir face, dos et profils trois-quarts; conserver le même pivot de pieds dans chaque pose.</x:v>
      </x:c>
      <x:c r="J18" s="7" t="str">
        <x:v>Visée ferme, déplacement sans précipitation et remise en garde. Séparer arme/objet tenu du corps lorsque le changement de main est nécessaire.</x:v>
      </x:c>
      <x:c r="K18" s="7" t="str"/>
      <x:c r="L18" s="7" t="str">
        <x:v>Atlas prévu fou/actors/zaeed; métadonnées pivot, masque d'occlusion, orientation et état. Aucun fichier de sprite n'est livré par ce catalogue.</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La planche permet d'identifier Zaeed Massani sans portrait UI à l'échelle de jeu; pieds stables devant les occultations du décor 3D.</x:v>
      </x:c>
      <x:c r="O18" s="7" t="str">
        <x:v>FOU-ACT-ZAEED</x:v>
      </x:c>
      <x:c r="P18" s="7" t="str">
        <x:v>Conception originale; référence visuelle du personnage à contrôler.</x:v>
      </x:c>
      <x:c r="Q18" s="7" t="str"/>
      <x:c r="R18" s="21" t="str"/>
      <x:c r="S18" s="21" t="str"/>
    </x:row>
    <x:row r="19" ht="82" customHeight="1">
      <x:c r="A19" s="18" t="str">
        <x:v>FOU-SPR-RAHNA</x:v>
      </x:c>
      <x:c r="B19" s="9" t="str">
        <x:v>Rahna — planche de sprites</x:v>
      </x:c>
      <x:c r="C19" s="15" t="str">
        <x:v>Défini</x:v>
      </x:c>
      <x:c r="D19" s="16" t="str">
        <x:v>Extrapolation</x:v>
      </x:c>
      <x:c r="E19" s="16" t="str">
        <x:v>P1</x:v>
      </x:c>
      <x:c r="F19" s="9" t="str">
        <x:v>Produire une silhouette lisible pour Rahna dans le module Foundation.</x:v>
      </x:c>
      <x:c r="G19" s="9" t="str">
        <x:v>Cadette et personne à protéger, avec rôle narratif propre.</x:v>
      </x:c>
      <x:c r="H19" s="9" t="str"/>
      <x:c r="I19" s="9" t="str">
        <x:v>Tenue de formation biotique à contrôler; pas de costume adulte ajouté. Prévoir face, dos et profils trois-quarts; conserver le même pivot de pieds dans chaque pose.</x:v>
      </x:c>
      <x:c r="J19" s="9" t="str">
        <x:v>Concentration, fatigue et retrait après une interaction. Séparer arme/objet tenu du corps lorsque le changement de main est nécessaire.</x:v>
      </x:c>
      <x:c r="K19" s="9" t="str"/>
      <x:c r="L19" s="9" t="str">
        <x:v>Atlas prévu fou/actors/rahna; métadonnées pivot, masque d'occlusion, orientation et état. Aucun fichier de sprite n'est livré par ce catalogue.</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La planche permet d'identifier Rahna sans portrait UI à l'échelle de jeu; pieds stables devant les occultations du décor 3D.</x:v>
      </x:c>
      <x:c r="O19" s="9" t="str">
        <x:v>FOU-ACT-RAHNA</x:v>
      </x:c>
      <x:c r="P19" s="9" t="str">
        <x:v>Conception originale; référence visuelle du personnage à contrôler.</x:v>
      </x:c>
      <x:c r="Q19" s="9" t="str"/>
      <x:c r="R19" s="20" t="str"/>
      <x:c r="S19" s="20" t="str"/>
    </x:row>
    <x:row r="20" ht="82" customHeight="1">
      <x:c r="A20" s="19" t="str">
        <x:v>FOU-SPR-VYRNNUS</x:v>
      </x:c>
      <x:c r="B20" s="7" t="str">
        <x:v>Commandant Vyrnnus — planche de sprites</x:v>
      </x:c>
      <x:c r="C20" s="15" t="str">
        <x:v>Défini</x:v>
      </x:c>
      <x:c r="D20" s="17" t="str">
        <x:v>Extrapolation</x:v>
      </x:c>
      <x:c r="E20" s="17" t="str">
        <x:v>P1</x:v>
      </x:c>
      <x:c r="F20" s="7" t="str">
        <x:v>Produire une silhouette lisible pour Commandant Vyrnnus dans le module Foundation.</x:v>
      </x:c>
      <x:c r="G20" s="7" t="str">
        <x:v>Autorité antagoniste du récit, sans boss de récompense obligatoire.</x:v>
      </x:c>
      <x:c r="H20" s="7" t="str"/>
      <x:c r="I20" s="7" t="str">
        <x:v>Turien instructeur, silhouette droite et mains visibles. Prévoir face, dos et profils trois-quarts; conserver le même pivot de pieds dans chaque pose.</x:v>
      </x:c>
      <x:c r="J20" s="7" t="str">
        <x:v>Ordre sec, pression de proximité et réaction contrôlée. Séparer arme/objet tenu du corps lorsque le changement de main est nécessaire.</x:v>
      </x:c>
      <x:c r="K20" s="7" t="str"/>
      <x:c r="L20" s="7" t="str">
        <x:v>Atlas prévu fou/actors/vyrnnus; métadonnées pivot, masque d'occlusion, orientation et état. Aucun fichier de sprite n'est livré par ce catalogue.</x:v>
      </x:c>
      <x:c r="M2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0" s="7" t="str">
        <x:v>La planche permet d'identifier Commandant Vyrnnus sans portrait UI à l'échelle de jeu; pieds stables devant les occultations du décor 3D.</x:v>
      </x:c>
      <x:c r="O20" s="7" t="str">
        <x:v>FOU-ACT-VYRNNUS</x:v>
      </x:c>
      <x:c r="P20" s="7" t="str">
        <x:v>Conception originale; référence visuelle du personnage à contrôler.</x:v>
      </x:c>
      <x:c r="Q20" s="7" t="str"/>
      <x:c r="R20" s="21" t="str"/>
      <x:c r="S20" s="21" t="str"/>
    </x:row>
    <x:row r="21" ht="82" customHeight="1">
      <x:c r="A21" s="18" t="str">
        <x:v>FOU-SPR-IRIKAH</x:v>
      </x:c>
      <x:c r="B21" s="9" t="str">
        <x:v>Irikah Krios — planche de sprites</x:v>
      </x:c>
      <x:c r="C21" s="15" t="str">
        <x:v>Défini</x:v>
      </x:c>
      <x:c r="D21" s="16" t="str">
        <x:v>Extrapolation</x:v>
      </x:c>
      <x:c r="E21" s="16" t="str">
        <x:v>P1</x:v>
      </x:c>
      <x:c r="F21" s="9" t="str">
        <x:v>Produire une silhouette lisible pour Irikah Krios dans le module Foundation.</x:v>
      </x:c>
      <x:c r="G21" s="9" t="str">
        <x:v>Relation et mémoire; ne pas réduire son rôle à un objet de quête.</x:v>
      </x:c>
      <x:c r="H21" s="9" t="str"/>
      <x:c r="I21" s="9" t="str">
        <x:v>Silhouette drell civile et environnement quotidien à vérifier. Prévoir face, dos et profils trois-quarts; conserver le même pivot de pieds dans chaque pose.</x:v>
      </x:c>
      <x:c r="J21" s="9" t="str">
        <x:v>Arrêt déterminé, regard direct et gestes domestiques. Séparer arme/objet tenu du corps lorsque le changement de main est nécessaire.</x:v>
      </x:c>
      <x:c r="K21" s="9" t="str"/>
      <x:c r="L21" s="9" t="str">
        <x:v>Atlas prévu fou/actors/irikah; métadonnées pivot, masque d'occlusion, orientation et état. Aucun fichier de sprite n'est livré par ce catalogue.</x:v>
      </x:c>
      <x:c r="M2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1" s="9" t="str">
        <x:v>La planche permet d'identifier Irikah Krios sans portrait UI à l'échelle de jeu; pieds stables devant les occultations du décor 3D.</x:v>
      </x:c>
      <x:c r="O21" s="9" t="str">
        <x:v>FOU-ACT-IRIKAH</x:v>
      </x:c>
      <x:c r="P21" s="9" t="str">
        <x:v>Conception originale; référence visuelle du personnage à contrôler.</x:v>
      </x:c>
      <x:c r="Q21" s="9" t="str"/>
      <x:c r="R21" s="20" t="str"/>
      <x:c r="S21" s="20" t="str"/>
    </x:row>
    <x:row r="22" ht="82" customHeight="1">
      <x:c r="A22" s="19" t="str">
        <x:v>FOU-SPR-KOLYAT</x:v>
      </x:c>
      <x:c r="B22" s="7" t="str">
        <x:v>Kolyat Krios — planche de sprites</x:v>
      </x:c>
      <x:c r="C22" s="15" t="str">
        <x:v>Défini</x:v>
      </x:c>
      <x:c r="D22" s="17" t="str">
        <x:v>Extrapolation</x:v>
      </x:c>
      <x:c r="E22" s="17" t="str">
        <x:v>P1</x:v>
      </x:c>
      <x:c r="F22" s="7" t="str">
        <x:v>Produire une silhouette lisible pour Kolyat Krios dans le module Foundation.</x:v>
      </x:c>
      <x:c r="G22" s="7" t="str">
        <x:v>Enfant du contexte familial; aucune capacité de combat ajoutée.</x:v>
      </x:c>
      <x:c r="H22" s="7" t="str"/>
      <x:c r="I22" s="7" t="str">
        <x:v>Petite silhouette drell, âge et vêtements à contrôler. Prévoir face, dos et profils trois-quarts; conserver le même pivot de pieds dans chaque pose.</x:v>
      </x:c>
      <x:c r="J22" s="7" t="str">
        <x:v>Attente, retrait et geste d’appel. Séparer arme/objet tenu du corps lorsque le changement de main est nécessaire.</x:v>
      </x:c>
      <x:c r="K22" s="7" t="str"/>
      <x:c r="L22" s="7" t="str">
        <x:v>Atlas prévu fou/actors/kolyat; métadonnées pivot, masque d'occlusion, orientation et état. Aucun fichier de sprite n'est livré par ce catalogue.</x:v>
      </x:c>
      <x:c r="M2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2" s="7" t="str">
        <x:v>La planche permet d'identifier Kolyat Krios sans portrait UI à l'échelle de jeu; pieds stables devant les occultations du décor 3D.</x:v>
      </x:c>
      <x:c r="O22" s="7" t="str">
        <x:v>FOU-ACT-KOLYAT</x:v>
      </x:c>
      <x:c r="P22" s="7" t="str">
        <x:v>Conception originale; référence visuelle du personnage à contrôler.</x:v>
      </x:c>
      <x:c r="Q22" s="7" t="str"/>
      <x:c r="R22" s="21" t="str"/>
      <x:c r="S22" s="21" t="str"/>
    </x:row>
    <x:row r="23" ht="82" customHeight="1">
      <x:c r="A23" s="18" t="str">
        <x:v>FOU-SPR-KEIJI</x:v>
      </x:c>
      <x:c r="B23" s="9" t="str">
        <x:v>Keiji Okuda — planche de sprites</x:v>
      </x:c>
      <x:c r="C23" s="15" t="str">
        <x:v>Défini</x:v>
      </x:c>
      <x:c r="D23" s="16" t="str">
        <x:v>Extrapolation</x:v>
      </x:c>
      <x:c r="E23" s="16" t="str">
        <x:v>P1</x:v>
      </x:c>
      <x:c r="F23" s="9" t="str">
        <x:v>Produire une silhouette lisible pour Keiji Okuda dans le module Foundation.</x:v>
      </x:c>
      <x:c r="G23" s="9" t="str">
        <x:v>Partenaire du contexte #10; dialogues de confiance et raccord de perte.</x:v>
      </x:c>
      <x:c r="H23" s="9" t="str"/>
      <x:c r="I23" s="9" t="str">
        <x:v>Tenue de terrain sobre et silhouette à contrôler. Prévoir face, dos et profils trois-quarts; conserver le même pivot de pieds dans chaque pose.</x:v>
      </x:c>
      <x:c r="J23" s="9" t="str">
        <x:v>Inspection, échange discret et attention partagée. Séparer arme/objet tenu du corps lorsque le changement de main est nécessaire.</x:v>
      </x:c>
      <x:c r="K23" s="9" t="str"/>
      <x:c r="L23" s="9" t="str">
        <x:v>Atlas prévu fou/actors/keiji; métadonnées pivot, masque d'occlusion, orientation et état. Aucun fichier de sprite n'est livré par ce catalogue.</x:v>
      </x:c>
      <x:c r="M2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3" s="9" t="str">
        <x:v>La planche permet d'identifier Keiji Okuda sans portrait UI à l'échelle de jeu; pieds stables devant les occultations du décor 3D.</x:v>
      </x:c>
      <x:c r="O23" s="9" t="str">
        <x:v>FOU-ACT-KEIJI</x:v>
      </x:c>
      <x:c r="P23" s="9" t="str">
        <x:v>Conception originale; référence visuelle du personnage à contrôler.</x:v>
      </x:c>
      <x:c r="Q23" s="9" t="str"/>
      <x:c r="R23" s="20" t="str"/>
      <x:c r="S23" s="20" t="str"/>
    </x:row>
    <x:row r="24" ht="82" customHeight="1">
      <x:c r="A24" s="19" t="str">
        <x:v>FOU-SPR-TIM</x:v>
      </x:c>
      <x:c r="B24" s="7" t="str">
        <x:v>L’Homme trouble — planche de sprites</x:v>
      </x:c>
      <x:c r="C24" s="15" t="str">
        <x:v>Défini</x:v>
      </x:c>
      <x:c r="D24" s="17" t="str">
        <x:v>Extrapolation</x:v>
      </x:c>
      <x:c r="E24" s="17" t="str">
        <x:v>P1</x:v>
      </x:c>
      <x:c r="F24" s="7" t="str">
        <x:v>Produire une silhouette lisible pour L’Homme trouble dans le module Foundation.</x:v>
      </x:c>
      <x:c r="G24" s="7" t="str">
        <x:v>Autorité du cadre, avec informations non partagées.</x:v>
      </x:c>
      <x:c r="H24" s="7" t="str"/>
      <x:c r="I24" s="7" t="str">
        <x:v>Portrait distant en contre-jour et interface fermée. Prévoir face, dos et profils trois-quarts; conserver le même pivot de pieds dans chaque pose.</x:v>
      </x:c>
      <x:c r="J24" s="7" t="str">
        <x:v>Écoute immobile, ordre bref et coupure de liaison. Séparer arme/objet tenu du corps lorsque le changement de main est nécessaire.</x:v>
      </x:c>
      <x:c r="K24" s="7" t="str"/>
      <x:c r="L24" s="7" t="str">
        <x:v>Atlas prévu fou/actors/tim; métadonnées pivot, masque d'occlusion, orientation et état. Aucun fichier de sprite n'est livré par ce catalogue.</x:v>
      </x:c>
      <x:c r="M2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24" s="7" t="str">
        <x:v>La planche permet d'identifier L’Homme trouble sans portrait UI à l'échelle de jeu; pieds stables devant les occultations du décor 3D.</x:v>
      </x:c>
      <x:c r="O24" s="7" t="str">
        <x:v>FOU-ACT-TIM</x:v>
      </x:c>
      <x:c r="P24" s="7" t="str">
        <x:v>Conception originale; référence visuelle du personnage à contrôler.</x:v>
      </x:c>
      <x:c r="Q24" s="7" t="str"/>
      <x:c r="R24" s="21" t="str"/>
      <x:c r="S24" s="21" t="str"/>
    </x:row>
  </x:sheetData>
  <x:conditionalFormatting sqref="D7:D24">
    <x:cfRule type="cellIs" dxfId="80" priority="1" operator="equal">
      <x:formula>"À vérifier"</x:formula>
    </x:cfRule>
    <x:cfRule type="cellIs" dxfId="81" priority="2" operator="equal">
      <x:formula>"Extrapolation"</x:formula>
    </x:cfRule>
  </x:conditionalFormatting>
  <x:conditionalFormatting sqref="C7:C24">
    <x:cfRule type="cellIs" dxfId="82" priority="3" operator="equal">
      <x:formula>"Validé"</x:formula>
    </x:cfRule>
  </x:conditionalFormatting>
  <x:conditionalFormatting sqref="E7:E24">
    <x:cfRule type="cellIs" dxfId="83" priority="4" operator="equal">
      <x:formula>"P0"</x:formula>
    </x:cfRule>
  </x:conditionalFormatting>
  <x:dataValidations count="3">
    <x:dataValidation type="list" sqref="C7:C24">
      <x:formula1>"Défini,Prototype,Intégré,Validé"</x:formula1>
    </x:dataValidation>
    <x:dataValidation type="list" sqref="D7:D24">
      <x:formula1>"Établi,À vérifier,Extrapolation,Coupé attesté,Concept abandonné,Allégation écartée"</x:formula1>
    </x:dataValidation>
    <x:dataValidation type="list" sqref="E7:E24">
      <x:formula1>"P0,P1,P2"</x:formula1>
    </x:dataValidation>
  </x:dataValidations>
  <x:pageMargins left="0.7" right="0.7" top="0.75" bottom="0.75" header="0.3" footer="0.3"/>
  <x:tableParts count="1">
    <x:tablePart xmlns:r="http://schemas.openxmlformats.org/officeDocument/2006/relationships" r:id="Rd586cbcad1f14b2c"/>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Foundation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FOU-SC-01-VFX</x:v>
      </x:c>
      <x:c r="B7" s="9" t="str">
        <x:v>#1 — passé sur Themis — signal visuel</x:v>
      </x:c>
      <x:c r="C7" s="15" t="str">
        <x:v>Défini</x:v>
      </x:c>
      <x:c r="D7" s="16" t="str">
        <x:v>Extrapolation</x:v>
      </x:c>
      <x:c r="E7" s="16" t="str">
        <x:v>P1</x:v>
      </x:c>
      <x:c r="F7" s="9" t="str">
        <x:v>Repères de trajet activés après observation, sans interface militaire adulte.</x:v>
      </x:c>
      <x:c r="G7" s="9" t="str">
        <x:v>Rendre lisibles les interactions propres à cette séquence à la taille réelle du jeu.</x:v>
      </x:c>
      <x:c r="H7" s="9" t="str"/>
      <x:c r="I7" s="9" t="str">
        <x:v>Repères de trajet activés après observation, sans interface militaire adulte.</x:v>
      </x:c>
      <x:c r="J7" s="9" t="str">
        <x:v>Anticipation séparée de l’impact; variante sans flash, sans secousse et à contraste renforcé.</x:v>
      </x:c>
      <x:c r="K7" s="9" t="str">
        <x:v>Travail minier répétitif puis espace sonore plus ouvert.</x:v>
      </x:c>
      <x:c r="L7" s="9" t="str">
        <x:v>Émetteur proposé FOU/01/vfx; ancrage sur monde 3D et tri compatible avec les sprites; options de confort indépendantes.</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Le signal reste identifiable en pause et sans son; aucun flash plein écran indispensable pour comprendre la résolution.</x:v>
      </x:c>
      <x:c r="O7" s="9" t="str">
        <x:v>FOU-SC-01-MAIN</x:v>
      </x:c>
      <x:c r="P7" s="9" t="str">
        <x:v>VFX original; intensité et timing à régler au prototype.</x:v>
      </x:c>
      <x:c r="Q7" s="9" t="str"/>
      <x:c r="R7" s="20" t="str"/>
      <x:c r="S7" s="20" t="str"/>
    </x:row>
    <x:row r="8" ht="82" customHeight="1">
      <x:c r="A8" s="19" t="str">
        <x:v>FOU-SC-02-VFX</x:v>
      </x:c>
      <x:c r="B8" s="7" t="str">
        <x:v>#2 — dossier Wrex — signal visuel</x:v>
      </x:c>
      <x:c r="C8" s="15" t="str">
        <x:v>Défini</x:v>
      </x:c>
      <x:c r="D8" s="17" t="str">
        <x:v>Extrapolation</x:v>
      </x:c>
      <x:c r="E8" s="17" t="str">
        <x:v>P1</x:v>
      </x:c>
      <x:c r="F8" s="7" t="str">
        <x:v>Indicateur de proximité d’événement, sans minuterie cachée.</x:v>
      </x:c>
      <x:c r="G8" s="7" t="str">
        <x:v>Rendre lisibles les interactions propres à cette séquence à la taille réelle du jeu.</x:v>
      </x:c>
      <x:c r="H8" s="7" t="str"/>
      <x:c r="I8" s="7" t="str">
        <x:v>Indicateur de proximité d’événement, sans minuterie cachée.</x:v>
      </x:c>
      <x:c r="J8" s="7" t="str">
        <x:v>Anticipation séparée de l’impact; variante sans flash, sans secousse et à contraste renforcé.</x:v>
      </x:c>
      <x:c r="K8" s="7" t="str">
        <x:v>Bureau calme puis bruit urbain de la Citadelle.</x:v>
      </x:c>
      <x:c r="L8" s="7" t="str">
        <x:v>Émetteur proposé FOU/02/vfx; ancrage sur monde 3D et tri compatible avec les sprites; options de confort indépendantes.</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Le signal reste identifiable en pause et sans son; aucun flash plein écran indispensable pour comprendre la résolution.</x:v>
      </x:c>
      <x:c r="O8" s="7" t="str">
        <x:v>FOU-SC-02-MAIN</x:v>
      </x:c>
      <x:c r="P8" s="7" t="str">
        <x:v>VFX original; intensité et timing à régler au prototype.</x:v>
      </x:c>
      <x:c r="Q8" s="7" t="str"/>
      <x:c r="R8" s="21" t="str"/>
      <x:c r="S8" s="21" t="str"/>
    </x:row>
    <x:row r="9" ht="82" customHeight="1">
      <x:c r="A9" s="18" t="str">
        <x:v>FOU-SC-03-VFX</x:v>
      </x:c>
      <x:c r="B9" s="9" t="str">
        <x:v>#3 — dossier Ashley — signal visuel</x:v>
      </x:c>
      <x:c r="C9" s="15" t="str">
        <x:v>Défini</x:v>
      </x:c>
      <x:c r="D9" s="16" t="str">
        <x:v>Extrapolation</x:v>
      </x:c>
      <x:c r="E9" s="16" t="str">
        <x:v>P1</x:v>
      </x:c>
      <x:c r="F9" s="9" t="str">
        <x:v>Bord de cadre distinct pour le souvenir, sans filtre gênant.</x:v>
      </x:c>
      <x:c r="G9" s="9" t="str">
        <x:v>Rendre lisibles les interactions propres à cette séquence à la taille réelle du jeu.</x:v>
      </x:c>
      <x:c r="H9" s="9" t="str"/>
      <x:c r="I9" s="9" t="str">
        <x:v>Bord de cadre distinct pour le souvenir, sans filtre gênant.</x:v>
      </x:c>
      <x:c r="J9" s="9" t="str">
        <x:v>Anticipation séparée de l’impact; variante sans flash, sans secousse et à contraste renforcé.</x:v>
      </x:c>
      <x:c r="K9" s="9" t="str">
        <x:v>Voix proche et transition vers radio de section originale.</x:v>
      </x:c>
      <x:c r="L9" s="9" t="str">
        <x:v>Émetteur proposé FOU/03/vfx; ancrage sur monde 3D et tri compatible avec les sprites; options de confort indépendantes.</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Le signal reste identifiable en pause et sans son; aucun flash plein écran indispensable pour comprendre la résolution.</x:v>
      </x:c>
      <x:c r="O9" s="9" t="str">
        <x:v>FOU-SC-03-MAIN</x:v>
      </x:c>
      <x:c r="P9" s="9" t="str">
        <x:v>VFX original; intensité et timing à régler au prototype.</x:v>
      </x:c>
      <x:c r="Q9" s="9" t="str"/>
      <x:c r="R9" s="20" t="str"/>
      <x:c r="S9" s="20" t="str"/>
    </x:row>
    <x:row r="10" ht="82" customHeight="1">
      <x:c r="A10" s="19" t="str">
        <x:v>FOU-SC-04-VFX</x:v>
      </x:c>
      <x:c r="B10" s="7" t="str">
        <x:v>#4 — formation de Kaidan — signal visuel</x:v>
      </x:c>
      <x:c r="C10" s="15" t="str">
        <x:v>Défini</x:v>
      </x:c>
      <x:c r="D10" s="17" t="str">
        <x:v>Extrapolation</x:v>
      </x:c>
      <x:c r="E10" s="17" t="str">
        <x:v>P1</x:v>
      </x:c>
      <x:c r="F10" s="7" t="str">
        <x:v>Instabilité représentée par oscillation lente et icône, sans flash.</x:v>
      </x:c>
      <x:c r="G10" s="7" t="str">
        <x:v>Rendre lisibles les interactions propres à cette séquence à la taille réelle du jeu.</x:v>
      </x:c>
      <x:c r="H10" s="7" t="str"/>
      <x:c r="I10" s="7" t="str">
        <x:v>Instabilité représentée par oscillation lente et icône, sans flash.</x:v>
      </x:c>
      <x:c r="J10" s="7" t="str">
        <x:v>Anticipation séparée de l’impact; variante sans flash, sans secousse et à contraste renforcé.</x:v>
      </x:c>
      <x:c r="K10" s="7" t="str">
        <x:v>Ventilation stable puis silence à la rupture.</x:v>
      </x:c>
      <x:c r="L10" s="7" t="str">
        <x:v>Émetteur proposé FOU/04/vfx; ancrage sur monde 3D et tri compatible avec les sprites; options de confort indépendantes.</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Le signal reste identifiable en pause et sans son; aucun flash plein écran indispensable pour comprendre la résolution.</x:v>
      </x:c>
      <x:c r="O10" s="7" t="str">
        <x:v>FOU-SC-04-MAIN</x:v>
      </x:c>
      <x:c r="P10" s="7" t="str">
        <x:v>VFX original; intensité et timing à régler au prototype.</x:v>
      </x:c>
      <x:c r="Q10" s="7" t="str"/>
      <x:c r="R10" s="21" t="str"/>
      <x:c r="S10" s="21" t="str"/>
    </x:row>
    <x:row r="11" ht="82" customHeight="1">
      <x:c r="A11" s="18" t="str">
        <x:v>FOU-SC-05-VFX</x:v>
      </x:c>
      <x:c r="B11" s="9" t="str">
        <x:v>#5 — recherche de Shepard — signal visuel</x:v>
      </x:c>
      <x:c r="C11" s="15" t="str">
        <x:v>Défini</x:v>
      </x:c>
      <x:c r="D11" s="16" t="str">
        <x:v>Extrapolation</x:v>
      </x:c>
      <x:c r="E11" s="16" t="str">
        <x:v>P1</x:v>
      </x:c>
      <x:c r="F11" s="9" t="str">
        <x:v>Marquage d’inspection en deux étapes, visible sans son.</x:v>
      </x:c>
      <x:c r="G11" s="9" t="str">
        <x:v>Rendre lisibles les interactions propres à cette séquence à la taille réelle du jeu.</x:v>
      </x:c>
      <x:c r="H11" s="9" t="str"/>
      <x:c r="I11" s="9" t="str">
        <x:v>Marquage d’inspection en deux étapes, visible sans son.</x:v>
      </x:c>
      <x:c r="J11" s="9" t="str">
        <x:v>Anticipation séparée de l’impact; variante sans flash, sans secousse et à contraste renforcé.</x:v>
      </x:c>
      <x:c r="K11" s="9" t="str">
        <x:v>Radio et bruit de manipulation original.</x:v>
      </x:c>
      <x:c r="L11" s="9" t="str">
        <x:v>Émetteur proposé FOU/05/vfx; ancrage sur monde 3D et tri compatible avec les sprites; options de confort indépendantes.</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Le signal reste identifiable en pause et sans son; aucun flash plein écran indispensable pour comprendre la résolution.</x:v>
      </x:c>
      <x:c r="O11" s="9" t="str">
        <x:v>FOU-SC-05-MAIN</x:v>
      </x:c>
      <x:c r="P11" s="9" t="str">
        <x:v>VFX original; intensité et timing à régler au prototype.</x:v>
      </x:c>
      <x:c r="Q11" s="9" t="str"/>
      <x:c r="R11" s="20" t="str"/>
      <x:c r="S11" s="20" t="str"/>
    </x:row>
    <x:row r="12" ht="82" customHeight="1">
      <x:c r="A12" s="19" t="str">
        <x:v>FOU-SC-06-VFX</x:v>
      </x:c>
      <x:c r="B12" s="7" t="str">
        <x:v>#6 — piège batarian — signal visuel</x:v>
      </x:c>
      <x:c r="C12" s="15" t="str">
        <x:v>Défini</x:v>
      </x:c>
      <x:c r="D12" s="17" t="str">
        <x:v>Extrapolation</x:v>
      </x:c>
      <x:c r="E12" s="17" t="str">
        <x:v>P1</x:v>
      </x:c>
      <x:c r="F12" s="7" t="str">
        <x:v>Ligne de protection entre les deux partenaires; rupture annoncée si séparation.</x:v>
      </x:c>
      <x:c r="G12" s="7" t="str">
        <x:v>Rendre lisibles les interactions propres à cette séquence à la taille réelle du jeu.</x:v>
      </x:c>
      <x:c r="H12" s="7" t="str"/>
      <x:c r="I12" s="7" t="str">
        <x:v>Ligne de protection entre les deux partenaires; rupture annoncée si séparation.</x:v>
      </x:c>
      <x:c r="J12" s="7" t="str">
        <x:v>Anticipation séparée de l’impact; variante sans flash, sans secousse et à contraste renforcé.</x:v>
      </x:c>
      <x:c r="K12" s="7" t="str">
        <x:v>Tirs courts, porte industrielle et respiration du groupe.</x:v>
      </x:c>
      <x:c r="L12" s="7" t="str">
        <x:v>Émetteur proposé FOU/06/vfx; ancrage sur monde 3D et tri compatible avec les sprites; options de confort indépendantes.</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Le signal reste identifiable en pause et sans son; aucun flash plein écran indispensable pour comprendre la résolution.</x:v>
      </x:c>
      <x:c r="O12" s="7" t="str">
        <x:v>FOU-SC-06-MAIN</x:v>
      </x:c>
      <x:c r="P12" s="7" t="str">
        <x:v>VFX original; intensité et timing à régler au prototype.</x:v>
      </x:c>
      <x:c r="Q12" s="7" t="str"/>
      <x:c r="R12" s="21" t="str"/>
      <x:c r="S12" s="21" t="str"/>
    </x:row>
    <x:row r="13" ht="82" customHeight="1">
      <x:c r="A13" s="18" t="str">
        <x:v>FOU-SC-07-VFX</x:v>
      </x:c>
      <x:c r="B13" s="9" t="str">
        <x:v>#7 — Sujet Zéro — signal visuel</x:v>
      </x:c>
      <x:c r="C13" s="15" t="str">
        <x:v>Défini</x:v>
      </x:c>
      <x:c r="D13" s="16" t="str">
        <x:v>Extrapolation</x:v>
      </x:c>
      <x:c r="E13" s="16" t="str">
        <x:v>P1</x:v>
      </x:c>
      <x:c r="F13" s="9" t="str">
        <x:v>Déformation douce des zones menacées et trajectoires visibles.</x:v>
      </x:c>
      <x:c r="G13" s="9" t="str">
        <x:v>Rendre lisibles les interactions propres à cette séquence à la taille réelle du jeu.</x:v>
      </x:c>
      <x:c r="H13" s="9" t="str"/>
      <x:c r="I13" s="9" t="str">
        <x:v>Déformation douce des zones menacées et trajectoires visibles.</x:v>
      </x:c>
      <x:c r="J13" s="9" t="str">
        <x:v>Anticipation séparée de l’impact; variante sans flash, sans secousse et à contraste renforcé.</x:v>
      </x:c>
      <x:c r="K13" s="9" t="str">
        <x:v>Onde grave originale et silences entre les impacts.</x:v>
      </x:c>
      <x:c r="L13" s="9" t="str">
        <x:v>Émetteur proposé FOU/07/vfx; ancrage sur monde 3D et tri compatible avec les sprites; options de confort indépendantes.</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Le signal reste identifiable en pause et sans son; aucun flash plein écran indispensable pour comprendre la résolution.</x:v>
      </x:c>
      <x:c r="O13" s="9" t="str">
        <x:v>FOU-SC-07-MAIN</x:v>
      </x:c>
      <x:c r="P13" s="9" t="str">
        <x:v>VFX original; intensité et timing à régler au prototype.</x:v>
      </x:c>
      <x:c r="Q13" s="9" t="str"/>
      <x:c r="R13" s="20" t="str"/>
      <x:c r="S13" s="20" t="str"/>
    </x:row>
    <x:row r="14" ht="82" customHeight="1">
      <x:c r="A14" s="19" t="str">
        <x:v>FOU-SC-08-VFX</x:v>
      </x:c>
      <x:c r="B14" s="7" t="str">
        <x:v>#8 — rencontre avec Thane — signal visuel</x:v>
      </x:c>
      <x:c r="C14" s="15" t="str">
        <x:v>Défini</x:v>
      </x:c>
      <x:c r="D14" s="17" t="str">
        <x:v>Extrapolation</x:v>
      </x:c>
      <x:c r="E14" s="17" t="str">
        <x:v>P1</x:v>
      </x:c>
      <x:c r="F14" s="7" t="str">
        <x:v>Distinction entre angle confirmé et angle supposé par motif.</x:v>
      </x:c>
      <x:c r="G14" s="7" t="str">
        <x:v>Rendre lisibles les interactions propres à cette séquence à la taille réelle du jeu.</x:v>
      </x:c>
      <x:c r="H14" s="7" t="str"/>
      <x:c r="I14" s="7" t="str">
        <x:v>Distinction entre angle confirmé et angle supposé par motif.</x:v>
      </x:c>
      <x:c r="J14" s="7" t="str">
        <x:v>Anticipation séparée de l’impact; variante sans flash, sans secousse et à contraste renforcé.</x:v>
      </x:c>
      <x:c r="K14" s="7" t="str">
        <x:v>Bruit de lieu discret et silence à chaque échange décisif.</x:v>
      </x:c>
      <x:c r="L14" s="7" t="str">
        <x:v>Émetteur proposé FOU/08/vfx; ancrage sur monde 3D et tri compatible avec les sprites; options de confort indépendantes.</x:v>
      </x:c>
      <x:c r="M14"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4" s="7" t="str">
        <x:v>Le signal reste identifiable en pause et sans son; aucun flash plein écran indispensable pour comprendre la résolution.</x:v>
      </x:c>
      <x:c r="O14" s="7" t="str">
        <x:v>FOU-SC-08-MAIN</x:v>
      </x:c>
      <x:c r="P14" s="7" t="str">
        <x:v>VFX original; intensité et timing à régler au prototype.</x:v>
      </x:c>
      <x:c r="Q14" s="7" t="str"/>
      <x:c r="R14" s="21" t="str"/>
      <x:c r="S14" s="21" t="str"/>
    </x:row>
    <x:row r="15" ht="82" customHeight="1">
      <x:c r="A15" s="18" t="str">
        <x:v>FOU-SC-09-VFX</x:v>
      </x:c>
      <x:c r="B15" s="9" t="str">
        <x:v>#9 — dossier Mordin — signal visuel</x:v>
      </x:c>
      <x:c r="C15" s="15" t="str">
        <x:v>Défini</x:v>
      </x:c>
      <x:c r="D15" s="16" t="str">
        <x:v>Extrapolation</x:v>
      </x:c>
      <x:c r="E15" s="16" t="str">
        <x:v>P1</x:v>
      </x:c>
      <x:c r="F15" s="9" t="str">
        <x:v>Zone d’objectif clairement séparée des zones d’attaque.</x:v>
      </x:c>
      <x:c r="G15" s="9" t="str">
        <x:v>Rendre lisibles les interactions propres à cette séquence à la taille réelle du jeu.</x:v>
      </x:c>
      <x:c r="H15" s="9" t="str"/>
      <x:c r="I15" s="9" t="str">
        <x:v>Zone d’objectif clairement séparée des zones d’attaque.</x:v>
      </x:c>
      <x:c r="J15" s="9" t="str">
        <x:v>Anticipation séparée de l’impact; variante sans flash, sans secousse et à contraste renforcé.</x:v>
      </x:c>
      <x:c r="K15" s="9" t="str">
        <x:v>Vent grave et musique réduite pendant la confrontation d’idées.</x:v>
      </x:c>
      <x:c r="L15" s="9" t="str">
        <x:v>Émetteur proposé FOU/09/vfx; ancrage sur monde 3D et tri compatible avec les sprites; options de confort indépendantes.</x:v>
      </x:c>
      <x:c r="M15"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5" s="9" t="str">
        <x:v>Le signal reste identifiable en pause et sans son; aucun flash plein écran indispensable pour comprendre la résolution.</x:v>
      </x:c>
      <x:c r="O15" s="9" t="str">
        <x:v>FOU-SC-09-MAIN</x:v>
      </x:c>
      <x:c r="P15" s="9" t="str">
        <x:v>VFX original; intensité et timing à régler au prototype.</x:v>
      </x:c>
      <x:c r="Q15" s="9" t="str"/>
      <x:c r="R15" s="20" t="str"/>
      <x:c r="S15" s="20" t="str"/>
    </x:row>
    <x:row r="16" ht="82" customHeight="1">
      <x:c r="A16" s="19" t="str">
        <x:v>FOU-SC-10-VFX</x:v>
      </x:c>
      <x:c r="B16" s="7" t="str">
        <x:v>#10 — dossier Kasumi — signal visuel</x:v>
      </x:c>
      <x:c r="C16" s="15" t="str">
        <x:v>Défini</x:v>
      </x:c>
      <x:c r="D16" s="17" t="str">
        <x:v>Extrapolation</x:v>
      </x:c>
      <x:c r="E16" s="17" t="str">
        <x:v>P1</x:v>
      </x:c>
      <x:c r="F16" s="7" t="str">
        <x:v>Contour discret de visibilité et statut observée/cachée en texte.</x:v>
      </x:c>
      <x:c r="G16" s="7" t="str">
        <x:v>Rendre lisibles les interactions propres à cette séquence à la taille réelle du jeu.</x:v>
      </x:c>
      <x:c r="H16" s="7" t="str"/>
      <x:c r="I16" s="7" t="str">
        <x:v>Contour discret de visibilité et statut observée/cachée en texte.</x:v>
      </x:c>
      <x:c r="J16" s="7" t="str">
        <x:v>Anticipation séparée de l’impact; variante sans flash, sans secousse et à contraste renforcé.</x:v>
      </x:c>
      <x:c r="K16" s="7" t="str">
        <x:v>Musique originale feutrée et petits clics d’outils.</x:v>
      </x:c>
      <x:c r="L16" s="7" t="str">
        <x:v>Émetteur proposé FOU/10/vfx; ancrage sur monde 3D et tri compatible avec les sprites; options de confort indépendantes.</x:v>
      </x:c>
      <x:c r="M16"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6" s="7" t="str">
        <x:v>Le signal reste identifiable en pause et sans son; aucun flash plein écran indispensable pour comprendre la résolution.</x:v>
      </x:c>
      <x:c r="O16" s="7" t="str">
        <x:v>FOU-SC-10-MAIN</x:v>
      </x:c>
      <x:c r="P16" s="7" t="str">
        <x:v>VFX original; intensité et timing à régler au prototype.</x:v>
      </x:c>
      <x:c r="Q16" s="7" t="str"/>
      <x:c r="R16" s="21" t="str"/>
      <x:c r="S16" s="21" t="str"/>
    </x:row>
    <x:row r="17" ht="82" customHeight="1">
      <x:c r="A17" s="18" t="str">
        <x:v>FOU-SC-11-VFX</x:v>
      </x:c>
      <x:c r="B17" s="9" t="str">
        <x:v>#11 — dossier Zaeed — signal visuel</x:v>
      </x:c>
      <x:c r="C17" s="15" t="str">
        <x:v>Défini</x:v>
      </x:c>
      <x:c r="D17" s="16" t="str">
        <x:v>Extrapolation</x:v>
      </x:c>
      <x:c r="E17" s="16" t="str">
        <x:v>P1</x:v>
      </x:c>
      <x:c r="F17" s="9" t="str">
        <x:v>Ligne de pression interrompue par les cloisons.</x:v>
      </x:c>
      <x:c r="G17" s="9" t="str">
        <x:v>Rendre lisibles les interactions propres à cette séquence à la taille réelle du jeu.</x:v>
      </x:c>
      <x:c r="H17" s="9" t="str"/>
      <x:c r="I17" s="9" t="str">
        <x:v>Ligne de pression interrompue par les cloisons.</x:v>
      </x:c>
      <x:c r="J17" s="9" t="str">
        <x:v>Anticipation séparée de l’impact; variante sans flash, sans secousse et à contraste renforcé.</x:v>
      </x:c>
      <x:c r="K17" s="9" t="str">
        <x:v>Résonance de coque, tirs espacés et verrou de porte.</x:v>
      </x:c>
      <x:c r="L17" s="9" t="str">
        <x:v>Émetteur proposé FOU/11/vfx; ancrage sur monde 3D et tri compatible avec les sprites; options de confort indépendantes.</x:v>
      </x:c>
      <x:c r="M1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7" s="9" t="str">
        <x:v>Le signal reste identifiable en pause et sans son; aucun flash plein écran indispensable pour comprendre la résolution.</x:v>
      </x:c>
      <x:c r="O17" s="9" t="str">
        <x:v>FOU-SC-11-MAIN</x:v>
      </x:c>
      <x:c r="P17" s="9" t="str">
        <x:v>VFX original; intensité et timing à régler au prototype.</x:v>
      </x:c>
      <x:c r="Q17" s="9" t="str"/>
      <x:c r="R17" s="20" t="str"/>
      <x:c r="S17" s="20" t="str"/>
    </x:row>
    <x:row r="18" ht="82" customHeight="1">
      <x:c r="A18" s="19" t="str">
        <x:v>FOU-SC-12-VFX</x:v>
      </x:c>
      <x:c r="B18" s="7" t="str">
        <x:v>#12 — histoire de Thane — signal visuel</x:v>
      </x:c>
      <x:c r="C18" s="15" t="str">
        <x:v>Défini</x:v>
      </x:c>
      <x:c r="D18" s="17" t="str">
        <x:v>Extrapolation</x:v>
      </x:c>
      <x:c r="E18" s="17" t="str">
        <x:v>P1</x:v>
      </x:c>
      <x:c r="F18" s="7" t="str">
        <x:v>Fondu de mémoire lent, option instantanée pour le confort.</x:v>
      </x:c>
      <x:c r="G18" s="7" t="str">
        <x:v>Rendre lisibles les interactions propres à cette séquence à la taille réelle du jeu.</x:v>
      </x:c>
      <x:c r="H18" s="7" t="str"/>
      <x:c r="I18" s="7" t="str">
        <x:v>Fondu de mémoire lent, option instantanée pour le confort.</x:v>
      </x:c>
      <x:c r="J18" s="7" t="str">
        <x:v>Anticipation séparée de l’impact; variante sans flash, sans secousse et à contraste renforcé.</x:v>
      </x:c>
      <x:c r="K18" s="7" t="str">
        <x:v>Ambiance naturelle réduite et silence assumé.</x:v>
      </x:c>
      <x:c r="L18" s="7" t="str">
        <x:v>Émetteur proposé FOU/12/vfx; ancrage sur monde 3D et tri compatible avec les sprites; options de confort indépendantes.</x:v>
      </x:c>
      <x:c r="M1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8" s="7" t="str">
        <x:v>Le signal reste identifiable en pause et sans son; aucun flash plein écran indispensable pour comprendre la résolution.</x:v>
      </x:c>
      <x:c r="O18" s="7" t="str">
        <x:v>FOU-SC-12-MAIN</x:v>
      </x:c>
      <x:c r="P18" s="7" t="str">
        <x:v>VFX original; intensité et timing à régler au prototype.</x:v>
      </x:c>
      <x:c r="Q18" s="7" t="str"/>
      <x:c r="R18" s="21" t="str"/>
      <x:c r="S18" s="21" t="str"/>
    </x:row>
    <x:row r="19" ht="82" customHeight="1">
      <x:c r="A19" s="18" t="str">
        <x:v>FOU-SC-13-VFX</x:v>
      </x:c>
      <x:c r="B19" s="9" t="str">
        <x:v>#13 — sortie de Rasa — signal visuel</x:v>
      </x:c>
      <x:c r="C19" s="15" t="str">
        <x:v>Défini</x:v>
      </x:c>
      <x:c r="D19" s="16" t="str">
        <x:v>Extrapolation</x:v>
      </x:c>
      <x:c r="E19" s="16" t="str">
        <x:v>P1</x:v>
      </x:c>
      <x:c r="F19" s="9" t="str">
        <x:v>Liaisons de contrôle des mechs changent de motif avant leur action; aucun changement invisible d’allégeance.</x:v>
      </x:c>
      <x:c r="G19" s="9" t="str">
        <x:v>Rendre lisibles les interactions propres à cette séquence à la taille réelle du jeu.</x:v>
      </x:c>
      <x:c r="H19" s="9" t="str"/>
      <x:c r="I19" s="9" t="str">
        <x:v>Liaisons de contrôle des mechs changent de motif avant leur action; aucun changement invisible d’allégeance.</x:v>
      </x:c>
      <x:c r="J19" s="9" t="str">
        <x:v>Anticipation séparée de l’impact; variante sans flash, sans secousse et à contraste renforcé.</x:v>
      </x:c>
      <x:c r="K19" s="9" t="str">
        <x:v>Alarmes, souffle de combinaison et silence extérieur conventionnel.</x:v>
      </x:c>
      <x:c r="L19" s="9" t="str">
        <x:v>Émetteur proposé FOU/13/vfx; ancrage sur monde 3D et tri compatible avec les sprites; options de confort indépendantes.</x:v>
      </x:c>
      <x:c r="M1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9" s="9" t="str">
        <x:v>Le signal reste identifiable en pause et sans son; aucun flash plein écran indispensable pour comprendre la résolution.</x:v>
      </x:c>
      <x:c r="O19" s="9" t="str">
        <x:v>FOU-SC-13-MAIN</x:v>
      </x:c>
      <x:c r="P19" s="9" t="str">
        <x:v>VFX original; intensité et timing à régler au prototype.</x:v>
      </x:c>
      <x:c r="Q19" s="9" t="str"/>
      <x:c r="R19" s="20" t="str"/>
      <x:c r="S19" s="20" t="str"/>
    </x:row>
  </x:sheetData>
  <x:conditionalFormatting sqref="D7:D19">
    <x:cfRule type="cellIs" dxfId="84" priority="1" operator="equal">
      <x:formula>"À vérifier"</x:formula>
    </x:cfRule>
    <x:cfRule type="cellIs" dxfId="85" priority="2" operator="equal">
      <x:formula>"Extrapolation"</x:formula>
    </x:cfRule>
  </x:conditionalFormatting>
  <x:conditionalFormatting sqref="C7:C19">
    <x:cfRule type="cellIs" dxfId="86" priority="3" operator="equal">
      <x:formula>"Validé"</x:formula>
    </x:cfRule>
  </x:conditionalFormatting>
  <x:conditionalFormatting sqref="E7:E19">
    <x:cfRule type="cellIs" dxfId="87"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41a771c1c25a4386"/>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Foundation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FOU-AUD-THEMIS</x:v>
      </x:c>
      <x:c r="B7" s="9" t="str">
        <x:v>Themis — paysage sonore</x:v>
      </x:c>
      <x:c r="C7" s="15" t="str">
        <x:v>Défini</x:v>
      </x:c>
      <x:c r="D7" s="16" t="str">
        <x:v>Extrapolation</x:v>
      </x:c>
      <x:c r="E7" s="16" t="str">
        <x:v>P1</x:v>
      </x:c>
      <x:c r="F7" s="9" t="str">
        <x:v>Treuil, ventilation et impacts lointains.</x:v>
      </x:c>
      <x:c r="G7" s="9" t="str">
        <x:v>Origine dans une colonie minière violente, présentée sans quête d’exploitation répétitive.</x:v>
      </x:c>
      <x:c r="H7" s="9" t="str">
        <x:v>Doubler les alarmes utiles par texte, symbole ou changement de pose; les bruits d’ambiance ne portent pas seuls une information obligatoire.</x:v>
      </x:c>
      <x:c r="I7" s="9" t="str">
        <x:v>Poussière, métal usé et lumière de sécurité stable.</x:v>
      </x:c>
      <x:c r="J7" s="9" t="str">
        <x:v>Déclencher les contacts mécaniques au mouvement visible; éviter les boucles désynchronisées des portes.</x:v>
      </x:c>
      <x:c r="K7" s="9" t="str">
        <x:v>Treuil, ventilation et impacts lointains. Composer une ambiance originale en couches fond / activité / danger, avec réglage indépendant des voix.</x:v>
      </x:c>
      <x:c r="L7" s="9" t="str">
        <x:v>Bus proposé FOU/THEMIS; snapshots exploration, tension et dialogue; fondus après chargement.</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Un parcours muet reste compréhensible; l’entrée en dialogue baisse les ambiances sans couper brutalement leur réverbération.</x:v>
      </x:c>
      <x:c r="O7" s="9" t="str">
        <x:v>FOU-ZONE-THEMIS</x:v>
      </x:c>
      <x:c r="P7" s="9" t="str">
        <x:v>Création sonore originale; aucune piste commerciale requise.</x:v>
      </x:c>
      <x:c r="Q7" s="9" t="str"/>
      <x:c r="R7" s="20" t="str"/>
      <x:c r="S7" s="20" t="str"/>
    </x:row>
    <x:row r="8" ht="82" customHeight="1">
      <x:c r="A8" s="19" t="str">
        <x:v>FOU-AUD-CITADEL</x:v>
      </x:c>
      <x:c r="B8" s="7" t="str">
        <x:v>Citadelle — dossiers du premier volume — paysage sonore</x:v>
      </x:c>
      <x:c r="C8" s="15" t="str">
        <x:v>Défini</x:v>
      </x:c>
      <x:c r="D8" s="17" t="str">
        <x:v>Extrapolation</x:v>
      </x:c>
      <x:c r="E8" s="17" t="str">
        <x:v>P1</x:v>
      </x:c>
      <x:c r="F8" s="7" t="str">
        <x:v>Circulation de station et bourdonnement de bureau.</x:v>
      </x:c>
      <x:c r="G8" s="7" t="str">
        <x:v>Cadre social pour couverture et entretien.</x:v>
      </x:c>
      <x:c r="H8" s="7" t="str">
        <x:v>Doubler les alarmes utiles par texte, symbole ou changement de pose; les bruits d’ambiance ne portent pas seuls une information obligatoire.</x:v>
      </x:c>
      <x:c r="I8" s="7" t="str">
        <x:v>Surfaces claires, zones de confidentialité et circulation lisible.</x:v>
      </x:c>
      <x:c r="J8" s="7" t="str">
        <x:v>Déclencher les contacts mécaniques au mouvement visible; éviter les boucles désynchronisées des portes.</x:v>
      </x:c>
      <x:c r="K8" s="7" t="str">
        <x:v>Circulation de station et bourdonnement de bureau. Composer une ambiance originale en couches fond / activité / danger, avec réglage indépendant des voix.</x:v>
      </x:c>
      <x:c r="L8" s="7" t="str">
        <x:v>Bus proposé FOU/CITADEL; snapshots exploration, tension et dialogue; fondus après chargement.</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Un parcours muet reste compréhensible; l’entrée en dialogue baisse les ambiances sans couper brutalement leur réverbération.</x:v>
      </x:c>
      <x:c r="O8" s="7" t="str">
        <x:v>FOU-ZONE-CITADEL</x:v>
      </x:c>
      <x:c r="P8" s="7" t="str">
        <x:v>Création sonore originale; aucune piste commerciale requise.</x:v>
      </x:c>
      <x:c r="Q8" s="7" t="str"/>
      <x:c r="R8" s="21" t="str"/>
      <x:c r="S8" s="21" t="str"/>
    </x:row>
    <x:row r="9" ht="82" customHeight="1">
      <x:c r="A9" s="18" t="str">
        <x:v>FOU-AUD-EDEN</x:v>
      </x:c>
      <x:c r="B9" s="9" t="str">
        <x:v>Eden Prime — récit d’Ashley — paysage sonore</x:v>
      </x:c>
      <x:c r="C9" s="15" t="str">
        <x:v>Défini</x:v>
      </x:c>
      <x:c r="D9" s="16" t="str">
        <x:v>Extrapolation</x:v>
      </x:c>
      <x:c r="E9" s="16" t="str">
        <x:v>P1</x:v>
      </x:c>
      <x:c r="F9" s="9" t="str">
        <x:v>Ambiance extérieure interrompue par signaux de combat.</x:v>
      </x:c>
      <x:c r="G9" s="9" t="str">
        <x:v>Point de vue de section, distinct de la mission de Shepard.</x:v>
      </x:c>
      <x:c r="H9" s="9" t="str">
        <x:v>Doubler les alarmes utiles par texte, symbole ou changement de pose; les bruits d’ambiance ne portent pas seuls une information obligatoire.</x:v>
      </x:c>
      <x:c r="I9" s="9" t="str">
        <x:v>Végétation et métal agricole, fumée limitée à la lisibilité.</x:v>
      </x:c>
      <x:c r="J9" s="9" t="str">
        <x:v>Déclencher les contacts mécaniques au mouvement visible; éviter les boucles désynchronisées des portes.</x:v>
      </x:c>
      <x:c r="K9" s="9" t="str">
        <x:v>Ambiance extérieure interrompue par signaux de combat. Composer une ambiance originale en couches fond / activité / danger, avec réglage indépendant des voix.</x:v>
      </x:c>
      <x:c r="L9" s="9" t="str">
        <x:v>Bus proposé FOU/EDEN; snapshots exploration, tension et dialogue; fondus après chargement.</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Un parcours muet reste compréhensible; l’entrée en dialogue baisse les ambiances sans couper brutalement leur réverbération.</x:v>
      </x:c>
      <x:c r="O9" s="9" t="str">
        <x:v>FOU-ZONE-EDEN</x:v>
      </x:c>
      <x:c r="P9" s="9" t="str">
        <x:v>Création sonore originale; aucune piste commerciale requise.</x:v>
      </x:c>
      <x:c r="Q9" s="9" t="str"/>
      <x:c r="R9" s="20" t="str"/>
      <x:c r="S9" s="20" t="str"/>
    </x:row>
    <x:row r="10" ht="82" customHeight="1">
      <x:c r="A10" s="19" t="str">
        <x:v>FOU-AUD-GAGARIN</x:v>
      </x:c>
      <x:c r="B10" s="7" t="str">
        <x:v>Gagarin / Jump Zero — paysage sonore</x:v>
      </x:c>
      <x:c r="C10" s="15" t="str">
        <x:v>Défini</x:v>
      </x:c>
      <x:c r="D10" s="17" t="str">
        <x:v>Extrapolation</x:v>
      </x:c>
      <x:c r="E10" s="17" t="str">
        <x:v>P1</x:v>
      </x:c>
      <x:c r="F10" s="7" t="str">
        <x:v>Ventilation, objets de formation et silences pesants.</x:v>
      </x:c>
      <x:c r="G10" s="7" t="str">
        <x:v>Épisode d’apprentissage et d’autorité abusive.</x:v>
      </x:c>
      <x:c r="H10" s="7" t="str">
        <x:v>Doubler les alarmes utiles par texte, symbole ou changement de pose; les bruits d’ambiance ne portent pas seuls une information obligatoire.</x:v>
      </x:c>
      <x:c r="I10" s="7" t="str">
        <x:v>Intérieur fonctionnel, lumière froide et couleurs de cadets à contrôler.</x:v>
      </x:c>
      <x:c r="J10" s="7" t="str">
        <x:v>Déclencher les contacts mécaniques au mouvement visible; éviter les boucles désynchronisées des portes.</x:v>
      </x:c>
      <x:c r="K10" s="7" t="str">
        <x:v>Ventilation, objets de formation et silences pesants. Composer une ambiance originale en couches fond / activité / danger, avec réglage indépendant des voix.</x:v>
      </x:c>
      <x:c r="L10" s="7" t="str">
        <x:v>Bus proposé FOU/GAGARIN; snapshots exploration, tension et dialogue; fondus après chargement.</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Un parcours muet reste compréhensible; l’entrée en dialogue baisse les ambiances sans couper brutalement leur réverbération.</x:v>
      </x:c>
      <x:c r="O10" s="7" t="str">
        <x:v>FOU-ZONE-GAGARIN</x:v>
      </x:c>
      <x:c r="P10" s="7" t="str">
        <x:v>Création sonore originale; aucune piste commerciale requise.</x:v>
      </x:c>
      <x:c r="Q10" s="7" t="str"/>
      <x:c r="R10" s="21" t="str"/>
      <x:c r="S10" s="21" t="str"/>
    </x:row>
    <x:row r="11" ht="82" customHeight="1">
      <x:c r="A11" s="18" t="str">
        <x:v>FOU-AUD-TERMINUS</x:v>
      </x:c>
      <x:c r="B11" s="9" t="str">
        <x:v>Systèmes Terminus — recherche du duo — paysage sonore</x:v>
      </x:c>
      <x:c r="C11" s="15" t="str">
        <x:v>Défini</x:v>
      </x:c>
      <x:c r="D11" s="16" t="str">
        <x:v>Extrapolation</x:v>
      </x:c>
      <x:c r="E11" s="16" t="str">
        <x:v>P1</x:v>
      </x:c>
      <x:c r="F11" s="9" t="str">
        <x:v>Vent, moteurs et communications locales.</x:v>
      </x:c>
      <x:c r="G11" s="9" t="str">
        <x:v>Définir un terrain d’enquête limité sans nommer une planète non vérifiée.</x:v>
      </x:c>
      <x:c r="H11" s="9" t="str">
        <x:v>Doubler les alarmes utiles par texte, symbole ou changement de pose; les bruits d’ambiance ne portent pas seuls une information obligatoire.</x:v>
      </x:c>
      <x:c r="I11" s="9" t="str">
        <x:v>Matériaux usés, éclairage de service et horizon indéterminé.</x:v>
      </x:c>
      <x:c r="J11" s="9" t="str">
        <x:v>Déclencher les contacts mécaniques au mouvement visible; éviter les boucles désynchronisées des portes.</x:v>
      </x:c>
      <x:c r="K11" s="9" t="str">
        <x:v>Vent, moteurs et communications locales. Composer une ambiance originale en couches fond / activité / danger, avec réglage indépendant des voix.</x:v>
      </x:c>
      <x:c r="L11" s="9" t="str">
        <x:v>Bus proposé FOU/TERMINUS; snapshots exploration, tension et dialogue; fondus après chargement.</x:v>
      </x:c>
      <x:c r="M11"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1" s="9" t="str">
        <x:v>Un parcours muet reste compréhensible; l’entrée en dialogue baisse les ambiances sans couper brutalement leur réverbération.</x:v>
      </x:c>
      <x:c r="O11" s="9" t="str">
        <x:v>FOU-ZONE-TERMINUS</x:v>
      </x:c>
      <x:c r="P11" s="9" t="str">
        <x:v>Création sonore originale; aucune piste commerciale requise.</x:v>
      </x:c>
      <x:c r="Q11" s="9" t="str"/>
      <x:c r="R11" s="20" t="str"/>
      <x:c r="S11" s="20" t="str"/>
    </x:row>
    <x:row r="12" ht="82" customHeight="1">
      <x:c r="A12" s="19" t="str">
        <x:v>FOU-AUD-TUCHANKA</x:v>
      </x:c>
      <x:c r="B12" s="7" t="str">
        <x:v>Tuchanka — dossier Mordin — paysage sonore</x:v>
      </x:c>
      <x:c r="C12" s="15" t="str">
        <x:v>Défini</x:v>
      </x:c>
      <x:c r="D12" s="17" t="str">
        <x:v>Extrapolation</x:v>
      </x:c>
      <x:c r="E12" s="17" t="str">
        <x:v>P1</x:v>
      </x:c>
      <x:c r="F12" s="7" t="str">
        <x:v>Vent grave, échos de ruines et silence lors du débat.</x:v>
      </x:c>
      <x:c r="G12" s="7" t="str">
        <x:v>Mettre en scène un terrain et un dilemme sans transformer une catastrophe en score positif.</x:v>
      </x:c>
      <x:c r="H12" s="7" t="str">
        <x:v>Doubler les alarmes utiles par texte, symbole ou changement de pose; les bruits d’ambiance ne portent pas seuls une information obligatoire.</x:v>
      </x:c>
      <x:c r="I12" s="7" t="str">
        <x:v>Minéral ocre, ruines lourdes et éclairage poussiéreux.</x:v>
      </x:c>
      <x:c r="J12" s="7" t="str">
        <x:v>Déclencher les contacts mécaniques au mouvement visible; éviter les boucles désynchronisées des portes.</x:v>
      </x:c>
      <x:c r="K12" s="7" t="str">
        <x:v>Vent grave, échos de ruines et silence lors du débat. Composer une ambiance originale en couches fond / activité / danger, avec réglage indépendant des voix.</x:v>
      </x:c>
      <x:c r="L12" s="7" t="str">
        <x:v>Bus proposé FOU/TUCHANKA; snapshots exploration, tension et dialogue; fondus après chargement.</x:v>
      </x:c>
      <x:c r="M1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2" s="7" t="str">
        <x:v>Un parcours muet reste compréhensible; l’entrée en dialogue baisse les ambiances sans couper brutalement leur réverbération.</x:v>
      </x:c>
      <x:c r="O12" s="7" t="str">
        <x:v>FOU-ZONE-TUCHANKA</x:v>
      </x:c>
      <x:c r="P12" s="7" t="str">
        <x:v>Création sonore originale; aucune piste commerciale requise.</x:v>
      </x:c>
      <x:c r="Q12" s="7" t="str"/>
      <x:c r="R12" s="21" t="str"/>
      <x:c r="S12" s="21" t="str"/>
    </x:row>
    <x:row r="13" ht="82" customHeight="1">
      <x:c r="A13" s="18" t="str">
        <x:v>FOU-AUD-LAZARUS</x:v>
      </x:c>
      <x:c r="B13" s="9" t="str">
        <x:v>Station de recherche Lazarus — paysage sonore</x:v>
      </x:c>
      <x:c r="C13" s="15" t="str">
        <x:v>Défini</x:v>
      </x:c>
      <x:c r="D13" s="16" t="str">
        <x:v>Extrapolation</x:v>
      </x:c>
      <x:c r="E13" s="16" t="str">
        <x:v>P1</x:v>
      </x:c>
      <x:c r="F13" s="9" t="str">
        <x:v>Alarmes étouffées puis son de combinaison.</x:v>
      </x:c>
      <x:c r="G13" s="9" t="str">
        <x:v>Fuite, changement d’allégeance des systèmes et sortie vers le vide.</x:v>
      </x:c>
      <x:c r="H13" s="9" t="str">
        <x:v>Doubler les alarmes utiles par texte, symbole ou changement de pose; les bruits d’ambiance ne portent pas seuls une information obligatoire.</x:v>
      </x:c>
      <x:c r="I13" s="9" t="str">
        <x:v>Blanc de laboratoire, métal froid et contraste noir de l’espace.</x:v>
      </x:c>
      <x:c r="J13" s="9" t="str">
        <x:v>Déclencher les contacts mécaniques au mouvement visible; éviter les boucles désynchronisées des portes.</x:v>
      </x:c>
      <x:c r="K13" s="9" t="str">
        <x:v>Alarmes étouffées puis son de combinaison. Composer une ambiance originale en couches fond / activité / danger, avec réglage indépendant des voix.</x:v>
      </x:c>
      <x:c r="L13" s="9" t="str">
        <x:v>Bus proposé FOU/LAZARUS; snapshots exploration, tension et dialogue; fondus après chargement.</x:v>
      </x:c>
      <x:c r="M13"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3" s="9" t="str">
        <x:v>Un parcours muet reste compréhensible; l’entrée en dialogue baisse les ambiances sans couper brutalement leur réverbération.</x:v>
      </x:c>
      <x:c r="O13" s="9" t="str">
        <x:v>FOU-ZONE-LAZARUS</x:v>
      </x:c>
      <x:c r="P13" s="9" t="str">
        <x:v>Création sonore originale; aucune piste commerciale requise.</x:v>
      </x:c>
      <x:c r="Q13" s="9" t="str"/>
      <x:c r="R13" s="20" t="str"/>
      <x:c r="S13" s="20" t="str"/>
    </x:row>
  </x:sheetData>
  <x:conditionalFormatting sqref="D7:D13">
    <x:cfRule type="cellIs" dxfId="88" priority="1" operator="equal">
      <x:formula>"À vérifier"</x:formula>
    </x:cfRule>
    <x:cfRule type="cellIs" dxfId="89" priority="2" operator="equal">
      <x:formula>"Extrapolation"</x:formula>
    </x:cfRule>
  </x:conditionalFormatting>
  <x:conditionalFormatting sqref="C7:C13">
    <x:cfRule type="cellIs" dxfId="90" priority="3" operator="equal">
      <x:formula>"Validé"</x:formula>
    </x:cfRule>
  </x:conditionalFormatting>
  <x:conditionalFormatting sqref="E7:E13">
    <x:cfRule type="cellIs" dxfId="91"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76f9f3e1b6e642aa"/>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Foundation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FOU-SYS-CANON</x:v>
      </x:c>
      <x:c r="B7" s="9" t="str">
        <x:v>Journal à deux niveaux</x:v>
      </x:c>
      <x:c r="C7" s="15" t="str">
        <x:v>Défini</x:v>
      </x:c>
      <x:c r="D7" s="16" t="str">
        <x:v>Extrapolation</x:v>
      </x:c>
      <x:c r="E7" s="16" t="str">
        <x:v>P1</x:v>
      </x:c>
      <x:c r="F7" s="9" t="str">
        <x:v>Dans Foundation,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FOU/SYS-CANON; à appliquer au futur contenu de l'œuvre.</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Chaque entrée de journal porte sa provenance; un résultat de combat ne change jamais le niveau de certitude du fait source.</x:v>
      </x:c>
      <x:c r="O7" s="9" t="str">
        <x:v>FOU-REF-SCOPE</x:v>
      </x:c>
      <x:c r="P7" s="9" t="str">
        <x:v>Règle originale de production; les ancrages de continuité sont documentés dans les fiches REF.</x:v>
      </x:c>
      <x:c r="Q7" s="9" t="str"/>
      <x:c r="R7" s="20" t="str"/>
      <x:c r="S7" s="20" t="str"/>
    </x:row>
    <x:row r="8" ht="82" customHeight="1">
      <x:c r="A8" s="19" t="str">
        <x:v>FOU-SYS-GROUP</x:v>
      </x:c>
      <x:c r="B8" s="7" t="str">
        <x:v>Groupe propre au chapitre</x:v>
      </x:c>
      <x:c r="C8" s="15" t="str">
        <x:v>Défini</x:v>
      </x:c>
      <x:c r="D8" s="17" t="str">
        <x:v>Extrapolation</x:v>
      </x:c>
      <x:c r="E8" s="17" t="str">
        <x:v>P1</x:v>
      </x:c>
      <x:c r="F8" s="7" t="str">
        <x:v>Rasa dans le cadre d’enquête; équipes propres aux flashbacks. Miranda/Jacob forment le duo #5–6; les autres numéros n’autorisent pas un groupe universel de tous les équipiers.</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FOU/SYS-GROUP; à appliquer au futur contenu de l'œuvre.</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Recharger un chapitre restitue uniquement son groupe autorisé, ses positions et ses commandes proposées.</x:v>
      </x:c>
      <x:c r="O8" s="7" t="str">
        <x:v>FOU-REF-SCOPE</x:v>
      </x:c>
      <x:c r="P8" s="7" t="str">
        <x:v>Règle originale de production; les ancrages de continuité sont documentés dans les fiches REF.</x:v>
      </x:c>
      <x:c r="Q8" s="7" t="str"/>
      <x:c r="R8" s="21" t="str"/>
      <x:c r="S8" s="21" t="str"/>
    </x:row>
    <x:row r="9" ht="82" customHeight="1">
      <x:c r="A9" s="18" t="str">
        <x:v>FOU-SYS-ATB</x:v>
      </x:c>
      <x:c r="B9" s="9" t="str">
        <x:v>Rythme ATB proposé</x:v>
      </x:c>
      <x:c r="C9" s="15" t="str">
        <x:v>Défini</x:v>
      </x:c>
      <x:c r="D9" s="16" t="str">
        <x:v>Extrapolation</x:v>
      </x:c>
      <x:c r="E9" s="16" t="str">
        <x:v>P1</x:v>
      </x:c>
      <x:c r="F9" s="9" t="str">
        <x:v>Adapter le rythme au numéro : infiltration Rasa/Kasumi, appui Miranda/Jacob, contrôle biotique Jack, précision Thane/Zaeed, opérations Mordin. Les coûts sont des réglages de prototype.</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FOU/SYS-ATB; à appliquer au futur contenu de l'œuvre.</x:v>
      </x:c>
      <x:c r="M9"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9" s="9" t="str">
        <x:v>Un lecteur peut suivre chaque préparation sans son; la vitesse réglable ne modifie pas les conditions du raccord narratif.</x:v>
      </x:c>
      <x:c r="O9" s="9" t="str">
        <x:v>FOU-REF-SCOPE</x:v>
      </x:c>
      <x:c r="P9" s="9" t="str">
        <x:v>Règle originale de production; les ancrages de continuité sont documentés dans les fiches REF.</x:v>
      </x:c>
      <x:c r="Q9" s="9" t="str"/>
      <x:c r="R9" s="20" t="str"/>
      <x:c r="S9" s="20" t="str"/>
    </x:row>
    <x:row r="10" ht="82" customHeight="1">
      <x:c r="A10" s="19" t="str">
        <x:v>FOU-SYS-SAVE</x:v>
      </x:c>
      <x:c r="B10" s="7" t="str">
        <x:v>Sauvegarde des modules</x:v>
      </x:c>
      <x:c r="C10" s="15" t="str">
        <x:v>Défini</x:v>
      </x:c>
      <x:c r="D10" s="17" t="str">
        <x:v>Extrapolation</x:v>
      </x:c>
      <x:c r="E10" s="17" t="str">
        <x:v>P1</x:v>
      </x:c>
      <x:c r="F10" s="7" t="str">
        <x:v>Conserver la progression de Foundation sans exporter une issue hypothétique vers la continuité des jeux.</x:v>
      </x:c>
      <x:c r="G10" s="7" t="str">
        <x:v>Un contexte par numéro : époque, protagoniste, connaissances disponibles, état de dossier et raccord. Le journal de Rasa ne divulgue pas au personnage flashback ce qui a été appris plus tard.</x:v>
      </x:c>
      <x:c r="H10" s="7" t="str">
        <x:v>Un contexte par numéro : époque, protagoniste, connaissances disponibles, état de dossier et raccord. Le journal de Rasa ne divulgue pas au personnage flashback ce qui a été appris plus tard.</x:v>
      </x:c>
      <x:c r="I10" s="7" t="str"/>
      <x:c r="J10" s="7" t="str"/>
      <x:c r="K10" s="7" t="str"/>
      <x:c r="L10" s="7" t="str">
        <x:v>Contrat de production FOU/SYS-SAVE; à appliquer au futur contenu de l'œuvre.</x:v>
      </x:c>
      <x:c r="M10"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10" s="7" t="str">
        <x:v>Sauvegarder, quitter et reprendre avant/après un raccord ne double aucun objet, objectif ou récompense.</x:v>
      </x:c>
      <x:c r="O10" s="7" t="str">
        <x:v>FOU-REF-SCOPE</x:v>
      </x:c>
      <x:c r="P10" s="7" t="str">
        <x:v>Règle originale de production; les ancrages de continuité sont documentés dans les fiches REF.</x:v>
      </x:c>
      <x:c r="Q10" s="7" t="str"/>
      <x:c r="R10" s="21" t="str"/>
      <x:c r="S10" s="21"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c46d51a12e434548"/>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Foundation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FOU-SC-01-QA</x:v>
      </x:c>
      <x:c r="B7" s="9" t="str">
        <x:v>#1 — passé sur Themis — contrôle du parcours</x:v>
      </x:c>
      <x:c r="C7" s="15" t="str">
        <x:v>Défini</x:v>
      </x:c>
      <x:c r="D7" s="16" t="str">
        <x:v>Extrapolation</x:v>
      </x:c>
      <x:c r="E7" s="16" t="str">
        <x:v>P0</x:v>
      </x:c>
      <x:c r="F7" s="9" t="str">
        <x:v>Rejouer « #1 — passé sur Themis » par les deux méthodes proposées, avec tâche facultative ignorée puis terminée, et en sautant le raccord.</x:v>
      </x:c>
      <x:c r="G7" s="9" t="str">
        <x:v>Routine contrainte → observation → passage → sortie du cadre d’origine.</x:v>
      </x:c>
      <x:c r="H7" s="9" t="str">
        <x:v>Ressources d’enfant limitées; aucune aptitude adulte ni mission d’assassinat libre ajoutée.</x:v>
      </x:c>
      <x:c r="I7" s="9" t="str"/>
      <x:c r="J7" s="9" t="str"/>
      <x:c r="K7" s="9" t="str"/>
      <x:c r="L7" s="9" t="str">
        <x:v>Scénarios de recette à exécuter pour FOU/01; consigner résultat réel et preuve seulement lors d’une future réalisation.</x:v>
      </x:c>
      <x:c r="M7" s="9" t="str">
        <x:v>Fiche de recette définie; aucun test du jeu n’a été exécuté par ce catalogue.</x:v>
      </x:c>
      <x:c r="N7" s="9" t="str">
        <x:v>L'objectif « #1 — passé sur Themis » atteint son raccord annoncé après chaque méthode; sauvegarde, rechargement et saut de scène n'en changent ni le groupe ni les informations acquises.</x:v>
      </x:c>
      <x:c r="O7" s="9" t="str">
        <x:v>FOU-SC-01-MAIN, FOU-SC-01-CHOICE, FOU-SC-01-CINE, FOU-SC-01-PROP</x:v>
      </x:c>
      <x:c r="P7" s="9" t="str">
        <x:v>Critère de production original, pas une validation déjà obtenue.</x:v>
      </x:c>
      <x:c r="Q7" s="9" t="str"/>
      <x:c r="R7" s="20" t="str"/>
      <x:c r="S7" s="20" t="str"/>
    </x:row>
    <x:row r="8" ht="68" customHeight="1">
      <x:c r="A8" s="19" t="str">
        <x:v>FOU-SC-02-QA</x:v>
      </x:c>
      <x:c r="B8" s="7" t="str">
        <x:v>#2 — dossier Wrex — contrôle du parcours</x:v>
      </x:c>
      <x:c r="C8" s="15" t="str">
        <x:v>Défini</x:v>
      </x:c>
      <x:c r="D8" s="17" t="str">
        <x:v>Extrapolation</x:v>
      </x:c>
      <x:c r="E8" s="17" t="str">
        <x:v>P0</x:v>
      </x:c>
      <x:c r="F8" s="7" t="str">
        <x:v>Rejouer « #2 — dossier Wrex » par les deux méthodes proposées, avec tâche facultative ignorée puis terminée, et en sautant le raccord.</x:v>
      </x:c>
      <x:c r="G8" s="7" t="str">
        <x:v>Dossier → couverture → choix de route → convergence du récit.</x:v>
      </x:c>
      <x:c r="H8" s="7" t="str">
        <x:v>La pression est qualitative et visible; Wrex ne devient pas un ennemi à tuer pour réussir.</x:v>
      </x:c>
      <x:c r="I8" s="7" t="str"/>
      <x:c r="J8" s="7" t="str"/>
      <x:c r="K8" s="7" t="str"/>
      <x:c r="L8" s="7" t="str">
        <x:v>Scénarios de recette à exécuter pour FOU/02; consigner résultat réel et preuve seulement lors d’une future réalisation.</x:v>
      </x:c>
      <x:c r="M8" s="7" t="str">
        <x:v>Fiche de recette définie; aucun test du jeu n’a été exécuté par ce catalogue.</x:v>
      </x:c>
      <x:c r="N8" s="7" t="str">
        <x:v>L'objectif « #2 — dossier Wrex » atteint son raccord annoncé après chaque méthode; sauvegarde, rechargement et saut de scène n'en changent ni le groupe ni les informations acquises.</x:v>
      </x:c>
      <x:c r="O8" s="7" t="str">
        <x:v>FOU-SC-02-MAIN, FOU-SC-02-CHOICE, FOU-SC-02-CINE, FOU-SC-02-PROP</x:v>
      </x:c>
      <x:c r="P8" s="7" t="str">
        <x:v>Critère de production original, pas une validation déjà obtenue.</x:v>
      </x:c>
      <x:c r="Q8" s="7" t="str"/>
      <x:c r="R8" s="21" t="str"/>
      <x:c r="S8" s="21" t="str"/>
    </x:row>
    <x:row r="9" ht="68" customHeight="1">
      <x:c r="A9" s="18" t="str">
        <x:v>FOU-SC-03-QA</x:v>
      </x:c>
      <x:c r="B9" s="9" t="str">
        <x:v>#3 — dossier Ashley — contrôle du parcours</x:v>
      </x:c>
      <x:c r="C9" s="15" t="str">
        <x:v>Défini</x:v>
      </x:c>
      <x:c r="D9" s="16" t="str">
        <x:v>Extrapolation</x:v>
      </x:c>
      <x:c r="E9" s="16" t="str">
        <x:v>P0</x:v>
      </x:c>
      <x:c r="F9" s="9" t="str">
        <x:v>Rejouer « #3 — dossier Ashley » par les deux méthodes proposées, avec tâche facultative ignorée puis terminée, et en sautant le raccord.</x:v>
      </x:c>
      <x:c r="G9" s="9" t="str">
        <x:v>Entretien → épisode de section → retour au témoignage → classement.</x:v>
      </x:c>
      <x:c r="H9" s="9" t="str">
        <x:v>Le joueur classe propos et faits observés séparément; la qualité d’un entretien ne réécrit pas les pertes.</x:v>
      </x:c>
      <x:c r="I9" s="9" t="str"/>
      <x:c r="J9" s="9" t="str"/>
      <x:c r="K9" s="9" t="str"/>
      <x:c r="L9" s="9" t="str">
        <x:v>Scénarios de recette à exécuter pour FOU/03; consigner résultat réel et preuve seulement lors d’une future réalisation.</x:v>
      </x:c>
      <x:c r="M9" s="9" t="str">
        <x:v>Fiche de recette définie; aucun test du jeu n’a été exécuté par ce catalogue.</x:v>
      </x:c>
      <x:c r="N9" s="9" t="str">
        <x:v>L'objectif « #3 — dossier Ashley » atteint son raccord annoncé après chaque méthode; sauvegarde, rechargement et saut de scène n'en changent ni le groupe ni les informations acquises.</x:v>
      </x:c>
      <x:c r="O9" s="9" t="str">
        <x:v>FOU-SC-03-MAIN, FOU-SC-03-CHOICE, FOU-SC-03-CINE, FOU-SC-03-PROP</x:v>
      </x:c>
      <x:c r="P9" s="9" t="str">
        <x:v>Critère de production original, pas une validation déjà obtenue.</x:v>
      </x:c>
      <x:c r="Q9" s="9" t="str"/>
      <x:c r="R9" s="20" t="str"/>
      <x:c r="S9" s="20" t="str"/>
    </x:row>
    <x:row r="10" ht="68" customHeight="1">
      <x:c r="A10" s="19" t="str">
        <x:v>FOU-SC-04-QA</x:v>
      </x:c>
      <x:c r="B10" s="7" t="str">
        <x:v>#4 — formation de Kaidan — contrôle du parcours</x:v>
      </x:c>
      <x:c r="C10" s="15" t="str">
        <x:v>Défini</x:v>
      </x:c>
      <x:c r="D10" s="17" t="str">
        <x:v>Extrapolation</x:v>
      </x:c>
      <x:c r="E10" s="17" t="str">
        <x:v>P0</x:v>
      </x:c>
      <x:c r="F10" s="7" t="str">
        <x:v>Rejouer « #4 — formation de Kaidan » par les deux méthodes proposées, avec tâche facultative ignorée puis terminée, et en sautant le raccord.</x:v>
      </x:c>
      <x:c r="G10" s="7" t="str">
        <x:v>Repos → exercice → tension → événement fixé → retour au dossier.</x:v>
      </x:c>
      <x:c r="H10" s="7" t="str">
        <x:v>Les exercices de contrôle sont facultativement assistés; le conflit n’est pas un boss offrant du butin.</x:v>
      </x:c>
      <x:c r="I10" s="7" t="str"/>
      <x:c r="J10" s="7" t="str"/>
      <x:c r="K10" s="7" t="str"/>
      <x:c r="L10" s="7" t="str">
        <x:v>Scénarios de recette à exécuter pour FOU/04; consigner résultat réel et preuve seulement lors d’une future réalisation.</x:v>
      </x:c>
      <x:c r="M10" s="7" t="str">
        <x:v>Fiche de recette définie; aucun test du jeu n’a été exécuté par ce catalogue.</x:v>
      </x:c>
      <x:c r="N10" s="7" t="str">
        <x:v>L'objectif « #4 — formation de Kaidan » atteint son raccord annoncé après chaque méthode; sauvegarde, rechargement et saut de scène n'en changent ni le groupe ni les informations acquises.</x:v>
      </x:c>
      <x:c r="O10" s="7" t="str">
        <x:v>FOU-SC-04-MAIN, FOU-SC-04-CHOICE, FOU-SC-04-CINE, FOU-SC-04-PROP</x:v>
      </x:c>
      <x:c r="P10" s="7" t="str">
        <x:v>Critère de production original, pas une validation déjà obtenue.</x:v>
      </x:c>
      <x:c r="Q10" s="7" t="str"/>
      <x:c r="R10" s="21" t="str"/>
      <x:c r="S10" s="21" t="str"/>
    </x:row>
    <x:row r="11" ht="68" customHeight="1">
      <x:c r="A11" s="18" t="str">
        <x:v>FOU-SC-05-QA</x:v>
      </x:c>
      <x:c r="B11" s="9" t="str">
        <x:v>#5 — recherche de Shepard — contrôle du parcours</x:v>
      </x:c>
      <x:c r="C11" s="15" t="str">
        <x:v>Défini</x:v>
      </x:c>
      <x:c r="D11" s="16" t="str">
        <x:v>Extrapolation</x:v>
      </x:c>
      <x:c r="E11" s="16" t="str">
        <x:v>P0</x:v>
      </x:c>
      <x:c r="F11" s="9" t="str">
        <x:v>Rejouer « #5 — recherche de Shepard » par les deux méthodes proposées, avec tâche facultative ignorée puis terminée, et en sautant le raccord.</x:v>
      </x:c>
      <x:c r="G11" s="9" t="str">
        <x:v>Briefing → inspection → résultat incomplet → nouvelle pression.</x:v>
      </x:c>
      <x:c r="H11" s="9" t="str">
        <x:v>Inspecter nécessite que l’autre personnage protège ou surveille; aucune réussite de jet aléatoire bloque le récit.</x:v>
      </x:c>
      <x:c r="I11" s="9" t="str"/>
      <x:c r="J11" s="9" t="str"/>
      <x:c r="K11" s="9" t="str"/>
      <x:c r="L11" s="9" t="str">
        <x:v>Scénarios de recette à exécuter pour FOU/05; consigner résultat réel et preuve seulement lors d’une future réalisation.</x:v>
      </x:c>
      <x:c r="M11" s="9" t="str">
        <x:v>Fiche de recette définie; aucun test du jeu n’a été exécuté par ce catalogue.</x:v>
      </x:c>
      <x:c r="N11" s="9" t="str">
        <x:v>L'objectif « #5 — recherche de Shepard » atteint son raccord annoncé après chaque méthode; sauvegarde, rechargement et saut de scène n'en changent ni le groupe ni les informations acquises.</x:v>
      </x:c>
      <x:c r="O11" s="9" t="str">
        <x:v>FOU-SC-05-MAIN, FOU-SC-05-CHOICE, FOU-SC-05-CINE, FOU-SC-05-PROP</x:v>
      </x:c>
      <x:c r="P11" s="9" t="str">
        <x:v>Critère de production original, pas une validation déjà obtenue.</x:v>
      </x:c>
      <x:c r="Q11" s="9" t="str"/>
      <x:c r="R11" s="20" t="str"/>
      <x:c r="S11" s="20" t="str"/>
    </x:row>
    <x:row r="12" ht="68" customHeight="1">
      <x:c r="A12" s="19" t="str">
        <x:v>FOU-SC-06-QA</x:v>
      </x:c>
      <x:c r="B12" s="7" t="str">
        <x:v>#6 — piège batarian — contrôle du parcours</x:v>
      </x:c>
      <x:c r="C12" s="15" t="str">
        <x:v>Défini</x:v>
      </x:c>
      <x:c r="D12" s="17" t="str">
        <x:v>Extrapolation</x:v>
      </x:c>
      <x:c r="E12" s="17" t="str">
        <x:v>P0</x:v>
      </x:c>
      <x:c r="F12" s="7" t="str">
        <x:v>Rejouer « #6 — piège batarian » par les deux méthodes proposées, avec tâche facultative ignorée puis terminée, et en sautant le raccord.</x:v>
      </x:c>
      <x:c r="G12" s="7" t="str">
        <x:v>Constat de piège → coordination → traversée → sortie.</x:v>
      </x:c>
      <x:c r="H12" s="7" t="str">
        <x:v>La sortie est l’objectif; vaincre tous les adversaires n’est pas requis et ne crée pas de victoire politique canon.</x:v>
      </x:c>
      <x:c r="I12" s="7" t="str"/>
      <x:c r="J12" s="7" t="str"/>
      <x:c r="K12" s="7" t="str"/>
      <x:c r="L12" s="7" t="str">
        <x:v>Scénarios de recette à exécuter pour FOU/06; consigner résultat réel et preuve seulement lors d’une future réalisation.</x:v>
      </x:c>
      <x:c r="M12" s="7" t="str">
        <x:v>Fiche de recette définie; aucun test du jeu n’a été exécuté par ce catalogue.</x:v>
      </x:c>
      <x:c r="N12" s="7" t="str">
        <x:v>L'objectif « #6 — piège batarian » atteint son raccord annoncé après chaque méthode; sauvegarde, rechargement et saut de scène n'en changent ni le groupe ni les informations acquises.</x:v>
      </x:c>
      <x:c r="O12" s="7" t="str">
        <x:v>FOU-SC-06-MAIN, FOU-SC-06-CHOICE, FOU-SC-06-CINE, FOU-SC-06-PROP</x:v>
      </x:c>
      <x:c r="P12" s="7" t="str">
        <x:v>Critère de production original, pas une validation déjà obtenue.</x:v>
      </x:c>
      <x:c r="Q12" s="7" t="str"/>
      <x:c r="R12" s="21" t="str"/>
      <x:c r="S12" s="21" t="str"/>
    </x:row>
    <x:row r="13" ht="68" customHeight="1">
      <x:c r="A13" s="18" t="str">
        <x:v>FOU-SC-07-QA</x:v>
      </x:c>
      <x:c r="B13" s="9" t="str">
        <x:v>#7 — Sujet Zéro — contrôle du parcours</x:v>
      </x:c>
      <x:c r="C13" s="15" t="str">
        <x:v>Défini</x:v>
      </x:c>
      <x:c r="D13" s="16" t="str">
        <x:v>Extrapolation</x:v>
      </x:c>
      <x:c r="E13" s="16" t="str">
        <x:v>P0</x:v>
      </x:c>
      <x:c r="F13" s="9" t="str">
        <x:v>Rejouer « #7 — Sujet Zéro » par les deux méthodes proposées, avec tâche facultative ignorée puis terminée, et en sautant le raccord.</x:v>
      </x:c>
      <x:c r="G13" s="9" t="str">
        <x:v>Approche → pression biotique → repli → compte rendu.</x:v>
      </x:c>
      <x:c r="H13" s="9" t="str">
        <x:v>Le prototype utilise des zones de danger et un objectif de retrait; aucune jauge ne transforme la capture en mini-jeu gratifiant.</x:v>
      </x:c>
      <x:c r="I13" s="9" t="str"/>
      <x:c r="J13" s="9" t="str"/>
      <x:c r="K13" s="9" t="str"/>
      <x:c r="L13" s="9" t="str">
        <x:v>Scénarios de recette à exécuter pour FOU/07; consigner résultat réel et preuve seulement lors d’une future réalisation.</x:v>
      </x:c>
      <x:c r="M13" s="9" t="str">
        <x:v>Fiche de recette définie; aucun test du jeu n’a été exécuté par ce catalogue.</x:v>
      </x:c>
      <x:c r="N13" s="9" t="str">
        <x:v>L'objectif « #7 — Sujet Zéro » atteint son raccord annoncé après chaque méthode; sauvegarde, rechargement et saut de scène n'en changent ni le groupe ni les informations acquises.</x:v>
      </x:c>
      <x:c r="O13" s="9" t="str">
        <x:v>FOU-SC-07-MAIN, FOU-SC-07-CHOICE, FOU-SC-07-CINE, FOU-SC-07-PROP</x:v>
      </x:c>
      <x:c r="P13" s="9" t="str">
        <x:v>Critère de production original, pas une validation déjà obtenue.</x:v>
      </x:c>
      <x:c r="Q13" s="9" t="str"/>
      <x:c r="R13" s="20" t="str"/>
      <x:c r="S13" s="20" t="str"/>
    </x:row>
    <x:row r="14" ht="68" customHeight="1">
      <x:c r="A14" s="19" t="str">
        <x:v>FOU-SC-08-QA</x:v>
      </x:c>
      <x:c r="B14" s="7" t="str">
        <x:v>#8 — rencontre avec Thane — contrôle du parcours</x:v>
      </x:c>
      <x:c r="C14" s="15" t="str">
        <x:v>Défini</x:v>
      </x:c>
      <x:c r="D14" s="17" t="str">
        <x:v>Extrapolation</x:v>
      </x:c>
      <x:c r="E14" s="17" t="str">
        <x:v>P0</x:v>
      </x:c>
      <x:c r="F14" s="7" t="str">
        <x:v>Rejouer « #8 — rencontre avec Thane » par les deux méthodes proposées, avec tâche facultative ignorée puis terminée, et en sautant le raccord.</x:v>
      </x:c>
      <x:c r="G14" s="7" t="str">
        <x:v>Préparation → observation → confrontation de méthodes → raccord.</x:v>
      </x:c>
      <x:c r="H14" s="7" t="str">
        <x:v>Les indices servent à prévoir des accès, pas à rendre Thane entièrement lisible ou recruté.</x:v>
      </x:c>
      <x:c r="I14" s="7" t="str"/>
      <x:c r="J14" s="7" t="str"/>
      <x:c r="K14" s="7" t="str"/>
      <x:c r="L14" s="7" t="str">
        <x:v>Scénarios de recette à exécuter pour FOU/08; consigner résultat réel et preuve seulement lors d’une future réalisation.</x:v>
      </x:c>
      <x:c r="M14" s="7" t="str">
        <x:v>Fiche de recette définie; aucun test du jeu n’a été exécuté par ce catalogue.</x:v>
      </x:c>
      <x:c r="N14" s="7" t="str">
        <x:v>L'objectif « #8 — rencontre avec Thane » atteint son raccord annoncé après chaque méthode; sauvegarde, rechargement et saut de scène n'en changent ni le groupe ni les informations acquises.</x:v>
      </x:c>
      <x:c r="O14" s="7" t="str">
        <x:v>FOU-SC-08-MAIN, FOU-SC-08-CHOICE, FOU-SC-08-CINE, FOU-SC-08-PROP</x:v>
      </x:c>
      <x:c r="P14" s="7" t="str">
        <x:v>Critère de production original, pas une validation déjà obtenue.</x:v>
      </x:c>
      <x:c r="Q14" s="7" t="str"/>
      <x:c r="R14" s="21" t="str"/>
      <x:c r="S14" s="21" t="str"/>
    </x:row>
    <x:row r="15" ht="68" customHeight="1">
      <x:c r="A15" s="18" t="str">
        <x:v>FOU-SC-09-QA</x:v>
      </x:c>
      <x:c r="B15" s="9" t="str">
        <x:v>#9 — dossier Mordin — contrôle du parcours</x:v>
      </x:c>
      <x:c r="C15" s="15" t="str">
        <x:v>Défini</x:v>
      </x:c>
      <x:c r="D15" s="16" t="str">
        <x:v>Extrapolation</x:v>
      </x:c>
      <x:c r="E15" s="16" t="str">
        <x:v>P0</x:v>
      </x:c>
      <x:c r="F15" s="9" t="str">
        <x:v>Rejouer « #9 — dossier Mordin » par les deux méthodes proposées, avec tâche facultative ignorée puis terminée, et en sautant le raccord.</x:v>
      </x:c>
      <x:c r="G15" s="9" t="str">
        <x:v>Décision → terrain → opposition → extraction → interrogation morale.</x:v>
      </x:c>
      <x:c r="H15" s="9" t="str">
        <x:v>Le succès de navigation est séparé du jugement; aucune récompense n’approuve automatiquement la décision narrative.</x:v>
      </x:c>
      <x:c r="I15" s="9" t="str"/>
      <x:c r="J15" s="9" t="str"/>
      <x:c r="K15" s="9" t="str"/>
      <x:c r="L15" s="9" t="str">
        <x:v>Scénarios de recette à exécuter pour FOU/09; consigner résultat réel et preuve seulement lors d’une future réalisation.</x:v>
      </x:c>
      <x:c r="M15" s="9" t="str">
        <x:v>Fiche de recette définie; aucun test du jeu n’a été exécuté par ce catalogue.</x:v>
      </x:c>
      <x:c r="N15" s="9" t="str">
        <x:v>L'objectif « #9 — dossier Mordin » atteint son raccord annoncé après chaque méthode; sauvegarde, rechargement et saut de scène n'en changent ni le groupe ni les informations acquises.</x:v>
      </x:c>
      <x:c r="O15" s="9" t="str">
        <x:v>FOU-SC-09-MAIN, FOU-SC-09-CHOICE, FOU-SC-09-CINE, FOU-SC-09-PROP</x:v>
      </x:c>
      <x:c r="P15" s="9" t="str">
        <x:v>Critère de production original, pas une validation déjà obtenue.</x:v>
      </x:c>
      <x:c r="Q15" s="9" t="str"/>
      <x:c r="R15" s="20" t="str"/>
      <x:c r="S15" s="20" t="str"/>
    </x:row>
    <x:row r="16" ht="68" customHeight="1">
      <x:c r="A16" s="19" t="str">
        <x:v>FOU-SC-10-QA</x:v>
      </x:c>
      <x:c r="B16" s="7" t="str">
        <x:v>#10 — dossier Kasumi — contrôle du parcours</x:v>
      </x:c>
      <x:c r="C16" s="15" t="str">
        <x:v>Défini</x:v>
      </x:c>
      <x:c r="D16" s="17" t="str">
        <x:v>Extrapolation</x:v>
      </x:c>
      <x:c r="E16" s="17" t="str">
        <x:v>P0</x:v>
      </x:c>
      <x:c r="F16" s="7" t="str">
        <x:v>Rejouer « #10 — dossier Kasumi » par les deux méthodes proposées, avec tâche facultative ignorée puis terminée, et en sautant le raccord.</x:v>
      </x:c>
      <x:c r="G16" s="7" t="str">
        <x:v>Repérage → accès discret → récupération proposée → raccord narratif.</x:v>
      </x:c>
      <x:c r="H16" s="7" t="str">
        <x:v>Les objets optionnels restent des accessoires de prototype; aucune réussite parfaite ne change le deuil décrit par le volume.</x:v>
      </x:c>
      <x:c r="I16" s="7" t="str"/>
      <x:c r="J16" s="7" t="str"/>
      <x:c r="K16" s="7" t="str"/>
      <x:c r="L16" s="7" t="str">
        <x:v>Scénarios de recette à exécuter pour FOU/10; consigner résultat réel et preuve seulement lors d’une future réalisation.</x:v>
      </x:c>
      <x:c r="M16" s="7" t="str">
        <x:v>Fiche de recette définie; aucun test du jeu n’a été exécuté par ce catalogue.</x:v>
      </x:c>
      <x:c r="N16" s="7" t="str">
        <x:v>L'objectif « #10 — dossier Kasumi » atteint son raccord annoncé après chaque méthode; sauvegarde, rechargement et saut de scène n'en changent ni le groupe ni les informations acquises.</x:v>
      </x:c>
      <x:c r="O16" s="7" t="str">
        <x:v>FOU-SC-10-MAIN, FOU-SC-10-CHOICE, FOU-SC-10-CINE, FOU-SC-10-PROP</x:v>
      </x:c>
      <x:c r="P16" s="7" t="str">
        <x:v>Critère de production original, pas une validation déjà obtenue.</x:v>
      </x:c>
      <x:c r="Q16" s="7" t="str"/>
      <x:c r="R16" s="21" t="str"/>
      <x:c r="S16" s="21" t="str"/>
    </x:row>
    <x:row r="17" ht="68" customHeight="1">
      <x:c r="A17" s="18" t="str">
        <x:v>FOU-SC-11-QA</x:v>
      </x:c>
      <x:c r="B17" s="9" t="str">
        <x:v>#11 — dossier Zaeed — contrôle du parcours</x:v>
      </x:c>
      <x:c r="C17" s="15" t="str">
        <x:v>Défini</x:v>
      </x:c>
      <x:c r="D17" s="16" t="str">
        <x:v>Extrapolation</x:v>
      </x:c>
      <x:c r="E17" s="16" t="str">
        <x:v>P0</x:v>
      </x:c>
      <x:c r="F17" s="9" t="str">
        <x:v>Rejouer « #11 — dossier Zaeed » par les deux méthodes proposées, avec tâche facultative ignorée puis terminée, et en sautant le raccord.</x:v>
      </x:c>
      <x:c r="G17" s="9" t="str">
        <x:v>Entrée → menace de couloir → action sur accès → extraction.</x:v>
      </x:c>
      <x:c r="H17" s="9" t="str">
        <x:v>La destruction globale n’est pas une condition de score; l’objectif local et le raccord source restent distincts.</x:v>
      </x:c>
      <x:c r="I17" s="9" t="str"/>
      <x:c r="J17" s="9" t="str"/>
      <x:c r="K17" s="9" t="str"/>
      <x:c r="L17" s="9" t="str">
        <x:v>Scénarios de recette à exécuter pour FOU/11; consigner résultat réel et preuve seulement lors d’une future réalisation.</x:v>
      </x:c>
      <x:c r="M17" s="9" t="str">
        <x:v>Fiche de recette définie; aucun test du jeu n’a été exécuté par ce catalogue.</x:v>
      </x:c>
      <x:c r="N17" s="9" t="str">
        <x:v>L'objectif « #11 — dossier Zaeed » atteint son raccord annoncé après chaque méthode; sauvegarde, rechargement et saut de scène n'en changent ni le groupe ni les informations acquises.</x:v>
      </x:c>
      <x:c r="O17" s="9" t="str">
        <x:v>FOU-SC-11-MAIN, FOU-SC-11-CHOICE, FOU-SC-11-CINE, FOU-SC-11-PROP</x:v>
      </x:c>
      <x:c r="P17" s="9" t="str">
        <x:v>Critère de production original, pas une validation déjà obtenue.</x:v>
      </x:c>
      <x:c r="Q17" s="9" t="str"/>
      <x:c r="R17" s="20" t="str"/>
      <x:c r="S17" s="20" t="str"/>
    </x:row>
    <x:row r="18" ht="68" customHeight="1">
      <x:c r="A18" s="19" t="str">
        <x:v>FOU-SC-12-QA</x:v>
      </x:c>
      <x:c r="B18" s="7" t="str">
        <x:v>#12 — histoire de Thane — contrôle du parcours</x:v>
      </x:c>
      <x:c r="C18" s="15" t="str">
        <x:v>Défini</x:v>
      </x:c>
      <x:c r="D18" s="17" t="str">
        <x:v>Extrapolation</x:v>
      </x:c>
      <x:c r="E18" s="17" t="str">
        <x:v>P0</x:v>
      </x:c>
      <x:c r="F18" s="7" t="str">
        <x:v>Rejouer « #12 — histoire de Thane » par les deux méthodes proposées, avec tâche facultative ignorée puis terminée, et en sautant le raccord.</x:v>
      </x:c>
      <x:c r="G18" s="7" t="str">
        <x:v>Relation → absence → recherche → réflexion.</x:v>
      </x:c>
      <x:c r="H18" s="7" t="str">
        <x:v>Les scènes de violence ne sont pas une chaîne de primes; l’interaction porte surtout sur observation, transition et interprétation.</x:v>
      </x:c>
      <x:c r="I18" s="7" t="str"/>
      <x:c r="J18" s="7" t="str"/>
      <x:c r="K18" s="7" t="str"/>
      <x:c r="L18" s="7" t="str">
        <x:v>Scénarios de recette à exécuter pour FOU/12; consigner résultat réel et preuve seulement lors d’une future réalisation.</x:v>
      </x:c>
      <x:c r="M18" s="7" t="str">
        <x:v>Fiche de recette définie; aucun test du jeu n’a été exécuté par ce catalogue.</x:v>
      </x:c>
      <x:c r="N18" s="7" t="str">
        <x:v>L'objectif « #12 — histoire de Thane » atteint son raccord annoncé après chaque méthode; sauvegarde, rechargement et saut de scène n'en changent ni le groupe ni les informations acquises.</x:v>
      </x:c>
      <x:c r="O18" s="7" t="str">
        <x:v>FOU-SC-12-MAIN, FOU-SC-12-CHOICE, FOU-SC-12-CINE, FOU-SC-12-PROP</x:v>
      </x:c>
      <x:c r="P18" s="7" t="str">
        <x:v>Critère de production original, pas une validation déjà obtenue.</x:v>
      </x:c>
      <x:c r="Q18" s="7" t="str"/>
      <x:c r="R18" s="21" t="str"/>
      <x:c r="S18" s="21" t="str"/>
    </x:row>
    <x:row r="19" ht="68" customHeight="1">
      <x:c r="A19" s="18" t="str">
        <x:v>FOU-SC-13-QA</x:v>
      </x:c>
      <x:c r="B19" s="9" t="str">
        <x:v>#13 — sortie de Rasa — contrôle du parcours</x:v>
      </x:c>
      <x:c r="C19" s="15" t="str">
        <x:v>Défini</x:v>
      </x:c>
      <x:c r="D19" s="16" t="str">
        <x:v>Extrapolation</x:v>
      </x:c>
      <x:c r="E19" s="16" t="str">
        <x:v>P0</x:v>
      </x:c>
      <x:c r="F19" s="9" t="str">
        <x:v>Rejouer « #13 — sortie de Rasa » par les deux méthodes proposées, avec tâche facultative ignorée puis terminée, et en sautant le raccord.</x:v>
      </x:c>
      <x:c r="G19" s="9" t="str">
        <x:v>Laboratoire → changement d’accès → sas → coque → départ fixé.</x:v>
      </x:c>
      <x:c r="H19" s="9" t="str">
        <x:v>La capsule reste liée à un acteur porteur; une erreur de parcours provoque une reprise, pas la création d’un deuxième clone.</x:v>
      </x:c>
      <x:c r="I19" s="9" t="str"/>
      <x:c r="J19" s="9" t="str"/>
      <x:c r="K19" s="9" t="str"/>
      <x:c r="L19" s="9" t="str">
        <x:v>Scénarios de recette à exécuter pour FOU/13; consigner résultat réel et preuve seulement lors d’une future réalisation.</x:v>
      </x:c>
      <x:c r="M19" s="9" t="str">
        <x:v>Fiche de recette définie; aucun test du jeu n’a été exécuté par ce catalogue.</x:v>
      </x:c>
      <x:c r="N19" s="9" t="str">
        <x:v>L'objectif « #13 — sortie de Rasa » atteint son raccord annoncé après chaque méthode; sauvegarde, rechargement et saut de scène n'en changent ni le groupe ni les informations acquises.</x:v>
      </x:c>
      <x:c r="O19" s="9" t="str">
        <x:v>FOU-SC-13-MAIN, FOU-SC-13-CHOICE, FOU-SC-13-CINE, FOU-SC-13-PROP</x:v>
      </x:c>
      <x:c r="P19" s="9" t="str">
        <x:v>Critère de production original, pas une validation déjà obtenue.</x:v>
      </x:c>
      <x:c r="Q19" s="9" t="str"/>
      <x:c r="R19" s="20" t="str"/>
      <x:c r="S19" s="20" t="str"/>
    </x:row>
    <x:row r="20" ht="54" customHeight="1">
      <x:c r="A20" s="19" t="str">
        <x:v>FOU-QA-SOURCE</x:v>
      </x:c>
      <x:c r="B20" s="7" t="str">
        <x:v>Vérification des références</x:v>
      </x:c>
      <x:c r="C20" s="15" t="str">
        <x:v>Défini</x:v>
      </x:c>
      <x:c r="D20" s="17" t="str">
        <x:v>Extrapolation</x:v>
      </x:c>
      <x:c r="E20" s="17" t="str">
        <x:v>P0</x:v>
      </x:c>
      <x:c r="F20" s="7" t="str">
        <x:v>Contrôler Foundation dans une édition autorisée avant de transformer les éléments À vérifier en faits établis.</x:v>
      </x:c>
      <x:c r="G20" s="7" t="str">
        <x:v>Vérifier le bon numéro, les graphies, les costumes et le placement exact des séquences; aucune pagination non consultée fournie.</x:v>
      </x:c>
      <x:c r="H20" s="7" t="str"/>
      <x:c r="I20" s="7" t="str"/>
      <x:c r="J20" s="7" t="str"/>
      <x:c r="K20" s="7" t="str"/>
      <x:c r="L20" s="7" t="str">
        <x:v>Contrat de production FOU/QA-SOURCE; à appliquer au futur contenu de l'œuvre.</x:v>
      </x:c>
      <x:c r="M20" s="7" t="str">
        <x:v>Recette planifiée; aucune réalisation testée ici.</x:v>
      </x:c>
      <x:c r="N20" s="7" t="str">
        <x:v>Chaque ajout de nom, page, costume ou date est lié à la bonne édition; les descriptions restent brèves et paraphrasées.</x:v>
      </x:c>
      <x:c r="O20" s="7" t="str">
        <x:v>FOU-REF-SCOPE</x:v>
      </x:c>
      <x:c r="P20" s="7" t="str">
        <x:v>Règle originale de production; les ancrages de continuité sont documentés dans les fiches REF.</x:v>
      </x:c>
      <x:c r="Q20" s="7" t="str"/>
      <x:c r="R20" s="21" t="str"/>
      <x:c r="S20" s="21" t="str"/>
    </x:row>
    <x:row r="21" ht="54" customHeight="1">
      <x:c r="A21" s="18" t="str">
        <x:v>FOU-QA-VISIBILITY</x:v>
      </x:c>
      <x:c r="B21" s="9" t="str">
        <x:v>Lecture des sprites et du terrain</x:v>
      </x:c>
      <x:c r="C21" s="15" t="str">
        <x:v>Défini</x:v>
      </x:c>
      <x:c r="D21" s="16" t="str">
        <x:v>Extrapolation</x:v>
      </x:c>
      <x:c r="E21" s="16" t="str">
        <x:v>P0</x:v>
      </x:c>
      <x:c r="F21" s="9" t="str">
        <x:v>Contrôler la taille des sprites, la séparation des silhouettes et les sorties sous la caméra fixe de chaque scène.</x:v>
      </x:c>
      <x:c r="G21" s="9" t="str">
        <x:v>Faire parcourir les zones avec premier plan actif, sous-titres larges et mode de contraste renforcé.</x:v>
      </x:c>
      <x:c r="H21" s="9" t="str"/>
      <x:c r="I21" s="9" t="str"/>
      <x:c r="J21" s="9" t="str"/>
      <x:c r="K21" s="9" t="str"/>
      <x:c r="L21" s="9" t="str">
        <x:v>Contrat de production FOU/QA-VISIBILITY; à appliquer au futur contenu de l'œuvre.</x:v>
      </x:c>
      <x:c r="M21" s="9" t="str">
        <x:v>Recette planifiée; aucune réalisation testée ici.</x:v>
      </x:c>
      <x:c r="N21" s="9" t="str">
        <x:v>Le personnage contrôlé, les sorties et le signal de danger restent localisables sans désactiver le décor.</x:v>
      </x:c>
      <x:c r="O21" s="9" t="str">
        <x:v>FOU-REF-SCOPE</x:v>
      </x:c>
      <x:c r="P21" s="9" t="str">
        <x:v>Règle originale de production; les ancrages de continuité sont documentés dans les fiches REF.</x:v>
      </x:c>
      <x:c r="Q21" s="9" t="str"/>
      <x:c r="R21" s="20" t="str"/>
      <x:c r="S21" s="20" t="str"/>
    </x:row>
    <x:row r="22" ht="96" customHeight="1">
      <x:c r="A22" s="19" t="str">
        <x:v>FOU-QA-NARRATIVE</x:v>
      </x:c>
      <x:c r="B22" s="7" t="str">
        <x:v>Convergence narrative</x:v>
      </x:c>
      <x:c r="C22" s="15" t="str">
        <x:v>Défini</x:v>
      </x:c>
      <x:c r="D22" s="17" t="str">
        <x:v>Extrapolation</x:v>
      </x:c>
      <x:c r="E22" s="17" t="str">
        <x:v>P0</x:v>
      </x:c>
      <x:c r="F22"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G22" s="7" t="str">
        <x:v>La continuité éditoriale est distincte des essais de gameplay; un choix stratégique ne réécrit pas la fin publiée.</x:v>
      </x:c>
      <x:c r="H22" s="7" t="str"/>
      <x:c r="I22" s="7" t="str"/>
      <x:c r="J22" s="7" t="str"/>
      <x:c r="K22" s="7" t="str"/>
      <x:c r="L22" s="7" t="str">
        <x:v>Contrat de production FOU/QA-NARRATIVE; à appliquer au futur contenu de l'œuvre.</x:v>
      </x:c>
      <x:c r="M22" s="7" t="str">
        <x:v>Recette planifiée; aucune réalisation testée ici.</x:v>
      </x:c>
      <x:c r="N22" s="7" t="str">
        <x:v>Jouer chaque choix local et passer chaque cinématique produit les mêmes ancrages de conclusion; les divergences restent marquées adaptation.</x:v>
      </x:c>
      <x:c r="O22" s="7" t="str">
        <x:v>FOU-REF-SCOPE</x:v>
      </x:c>
      <x:c r="P22" s="7" t="str">
        <x:v>Règle originale de production; les ancrages de continuité sont documentés dans les fiches REF.</x:v>
      </x:c>
      <x:c r="Q22" s="7" t="str"/>
      <x:c r="R22" s="21" t="str"/>
      <x:c r="S22" s="21" t="str"/>
    </x:row>
  </x:sheetData>
  <x:conditionalFormatting sqref="D7:D22">
    <x:cfRule type="cellIs" dxfId="96" priority="1" operator="equal">
      <x:formula>"À vérifier"</x:formula>
    </x:cfRule>
    <x:cfRule type="cellIs" dxfId="97" priority="2" operator="equal">
      <x:formula>"Extrapolation"</x:formula>
    </x:cfRule>
  </x:conditionalFormatting>
  <x:conditionalFormatting sqref="C7:C22">
    <x:cfRule type="cellIs" dxfId="98" priority="3" operator="equal">
      <x:formula>"Validé"</x:formula>
    </x:cfRule>
  </x:conditionalFormatting>
  <x:conditionalFormatting sqref="E7:E22">
    <x:cfRule type="cellIs" dxfId="99"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e8cfb0f290d54c4b"/>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Foundation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FOU-CNT-PLACE</x:v>
      </x:c>
      <x:c r="B7" s="9" t="str">
        <x:v>Position dans l’univers</x:v>
      </x:c>
      <x:c r="C7" s="15" t="str">
        <x:v>Défini</x:v>
      </x:c>
      <x:c r="D7" s="16" t="str">
        <x:v>Extrapolation</x:v>
      </x:c>
      <x:c r="E7" s="16" t="str">
        <x:v>P1</x:v>
      </x:c>
      <x:c r="F7" s="9" t="str">
        <x:v>Foundation relie plusieurs périodes de la trilogie et le DLC Citadel. Le dernier numéro concerne un clone de Shepard, qui ne remplace ni le Shepard original ni les choix de personnalisation importés.</x:v>
      </x:c>
      <x:c r="G7" s="9" t="str">
        <x:v>La continuité éditoriale est distincte des essais de gameplay; un choix stratégique ne réécrit pas la fin publiée.</x:v>
      </x:c>
      <x:c r="H7" s="9" t="str"/>
      <x:c r="I7" s="9" t="str"/>
      <x:c r="J7" s="9" t="str"/>
      <x:c r="K7" s="9" t="str"/>
      <x:c r="L7" s="9" t="str">
        <x:v>Contrat de production FOU/CNT-PLACE; à appliquer au futur contenu de l'œuvre.</x:v>
      </x:c>
      <x:c r="M7" s="9" t="str">
        <x:v>Le fil de Rasa et les souvenirs des autres personnages restent séparés. Les options d’adaptation ne réécrivent ni les décès, ni l’issue du génophage, ni les origines des équipiers; aucun personnage n’est recruté uniquement parce que son dossier est consulté.</x:v>
      </x:c>
      <x:c r="N7" s="9" t="str">
        <x:v>La frise indique les incertitudes et les liens avec les autres œuvres sans attribuer une date non sourcée.</x:v>
      </x:c>
      <x:c r="O7" s="9" t="str">
        <x:v>FOU-REF-SCOPE</x:v>
      </x:c>
      <x:c r="P7" s="9" t="str">
        <x:v>Règle originale de production; les ancrages de continuité sont documentés dans les fiches REF.</x:v>
      </x:c>
      <x:c r="Q7" s="9" t="str"/>
      <x:c r="R7" s="20" t="str"/>
      <x:c r="S7" s="20" t="str"/>
    </x:row>
    <x:row r="8" ht="82" customHeight="1">
      <x:c r="A8" s="19" t="str">
        <x:v>FOU-CNT-NO-CUT</x:v>
      </x:c>
      <x:c r="B8" s="7" t="str">
        <x:v>Contenus non attestés</x:v>
      </x:c>
      <x:c r="C8" s="15" t="str">
        <x:v>Défini</x:v>
      </x:c>
      <x:c r="D8" s="17" t="str">
        <x:v>Extrapolation</x:v>
      </x:c>
      <x:c r="E8" s="17" t="str">
        <x:v>P1</x:v>
      </x:c>
      <x:c r="F8" s="7" t="str">
        <x:v>Aucune rumeur de scène coupée n’est intégrée à Foundation.</x:v>
      </x:c>
      <x:c r="G8" s="7" t="str">
        <x:v>Un contenu absent des notices consultées reste non documenté; une illustration préparatoire ne prouve pas une scène canon.</x:v>
      </x:c>
      <x:c r="H8" s="7" t="str"/>
      <x:c r="I8" s="7" t="str"/>
      <x:c r="J8" s="7" t="str"/>
      <x:c r="K8" s="7" t="str"/>
      <x:c r="L8" s="7" t="str">
        <x:v>Contrat de production FOU/CNT-NO-CUT; à appliquer au futur contenu de l'œuvre.</x:v>
      </x:c>
      <x:c r="M8" s="7" t="str">
        <x:v>Le fil de Rasa et les souvenirs des autres personnages restent séparés. Les options d’adaptation ne réécrivent ni les décès, ni l’issue du génophage, ni les origines des équipiers; aucun personnage n’est recruté uniquement parce que son dossier est consulté.</x:v>
      </x:c>
      <x:c r="N8" s="7" t="str">
        <x:v>Une future fiche Coupé attesté ou Concept abandonné devra citer une preuve primaire spécifique.</x:v>
      </x:c>
      <x:c r="O8" s="7" t="str">
        <x:v>FOU-REF-SCOPE</x:v>
      </x:c>
      <x:c r="P8" s="7" t="str">
        <x:v>Règle originale de production; les ancrages de continuité sont documentés dans les fiches REF.</x:v>
      </x:c>
      <x:c r="Q8" s="7" t="str"/>
      <x:c r="R8" s="21" t="str"/>
      <x:c r="S8" s="21"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20a2aaf2474e43ad"/>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Foundation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30" t="str">
        <x:v>Champ</x:v>
      </x:c>
      <x:c r="B6" s="32" t="str">
        <x:v>Définition</x:v>
      </x:c>
      <x:c r="C6" s="2"/>
      <x:c r="D6" s="2"/>
      <x:c r="E6" s="2"/>
      <x:c r="F6" s="2"/>
    </x:row>
    <x:row r="7" ht="30" customHeight="1">
      <x:c r="A7" s="7" t="str">
        <x:v>Œuvre</x:v>
      </x:c>
      <x:c r="B7" s="7" t="str">
        <x:v>Mass Effect: Foundation</x:v>
      </x:c>
      <x:c r="C7" s="2"/>
      <x:c r="D7" s="2"/>
      <x:c r="E7" s="2"/>
      <x:c r="F7" s="2"/>
    </x:row>
    <x:row r="8" ht="30" customHeight="1">
      <x:c r="A8" s="7" t="str">
        <x:v>Support</x:v>
      </x:c>
      <x:c r="B8" s="7" t="str">
        <x:v>Comic / bande dessinée</x:v>
      </x:c>
      <x:c r="C8" s="2"/>
      <x:c r="D8" s="2"/>
      <x:c r="E8" s="2"/>
      <x:c r="F8" s="2"/>
    </x:row>
    <x:row r="9" ht="68" customHeight="1">
      <x:c r="A9" s="7" t="str">
        <x:v>Périmètre</x:v>
      </x:c>
      <x:c r="B9" s="7" t="str">
        <x:v>Les treize numéros, avec un module par numéro : #1 Themis/Rasa; #2 Wrex; #3 Ashley; #4 Kaidan; #5–6 Miranda et Jacob; #7 Jack; #8 Thane; #9 Mordin; #10 Kasumi; #11 Zaeed; #12 Thane; #13 Rasa. Recueils #1–4, #5–8 et #9–13 repérés séparément.</x:v>
      </x:c>
      <x:c r="C9" s="2"/>
      <x:c r="D9" s="2"/>
      <x:c r="E9" s="2"/>
      <x:c r="F9" s="2"/>
    </x:row>
    <x:row r="10" ht="82" customHeight="1">
      <x:c r="A10" s="7" t="str">
        <x:v>Projet</x:v>
      </x:c>
      <x:c r="B10" s="7" t="str">
        <x:v>Dossier de production articulé autour des investigations de Rasa et des histoires de l’entourage de Shepard. Chaque numéro a son objectif proposé, une stratégie locale, des intentions de dialogue, un objet, un raccord visuel et une recette; le dispositif conserve les flashbacks et limites de connaissance.</x:v>
      </x:c>
      <x:c r="C10" s="2"/>
      <x:c r="D10" s="2"/>
      <x:c r="E10" s="2"/>
      <x:c r="F10" s="2"/>
    </x:row>
    <x:row r="11" ht="194" customHeight="1">
      <x:c r="A11" s="7" t="str">
        <x:v>Références et limites</x:v>
      </x:c>
      <x:c r="B11" s="7" t="str">
        <x:v>Les associations détaillées numéro/personnage reposent sur les notices de volumes et les extraits par numéro. Les entrées issues uniquement du wiki ou de catalogues secondaires restent À vérifier. Rasa/Maya Brooks est un dossier d’alias à contrôler, pas deux personnages jouables indépendants.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40" customHeight="1">
      <x:c r="A12" s="7" t="str">
        <x:v>Date de référence</x:v>
      </x:c>
      <x:c r="B12" s="44"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30" t="str">
        <x:v>Source</x:v>
      </x:c>
      <x:c r="B26" s="31" t="str">
        <x:v>Titre</x:v>
      </x:c>
      <x:c r="C26" s="31" t="str">
        <x:v>Type</x:v>
      </x:c>
      <x:c r="D26" s="31" t="str">
        <x:v>URL</x:v>
      </x:c>
      <x:c r="E26" s="31" t="str">
        <x:v>Périmètre</x:v>
      </x:c>
      <x:c r="F26" s="32" t="str">
        <x:v>Accès et limites</x:v>
      </x:c>
    </x:row>
    <x:row r="27" ht="42" customHeight="1">
      <x:c r="A27" s="6" t="str">
        <x:v>FOU-S-VOL1</x:v>
      </x:c>
      <x:c r="B27" s="6" t="str">
        <x:v>Dark Horse — Foundation Volume 1</x:v>
      </x:c>
      <x:c r="C27" s="6" t="str">
        <x:v>source officielle — notice Dark Horse via Penguin Random House</x:v>
      </x:c>
      <x:c r="D27" s="6" t="str">
        <x:v>https://www.penguinrandomhouse.com/books/246024/mass-effect-foundation-volume-1-by-mac-walters-various-artists/</x:v>
      </x:c>
      <x:c r="E27" s="6" t="str">
        <x:v>Rasa; Wrex, Ashley, Kaidan; collecte #1–4.</x:v>
      </x:c>
      <x:c r="F27" s="6" t="str">
        <x:v>Consulté le 22 octobre 2026; les faits sont paraphrasés brièvement.</x:v>
      </x:c>
    </x:row>
    <x:row r="28" ht="42" customHeight="1">
      <x:c r="A28" s="6" t="str">
        <x:v>FOU-S-VOL2</x:v>
      </x:c>
      <x:c r="B28" s="6" t="str">
        <x:v>Dark Horse — Foundation Volume 2</x:v>
      </x:c>
      <x:c r="C28" s="6" t="str">
        <x:v>source officielle — notice Dark Horse via Penguin Random House</x:v>
      </x:c>
      <x:c r="D28" s="6" t="str">
        <x:v>https://www.penguinrandomhouse.com/books/240011/mass-effect-foundation-volume-2-by-mac-walters/</x:v>
      </x:c>
      <x:c r="E28" s="6" t="str">
        <x:v>Miranda/Jacob, Rasa, Jack et Thane.</x:v>
      </x:c>
      <x:c r="F28" s="6" t="str">
        <x:v>Consulté le 22 octobre 2026; les faits sont paraphrasés brièvement.</x:v>
      </x:c>
    </x:row>
    <x:row r="29" ht="42" customHeight="1">
      <x:c r="A29" s="6" t="str">
        <x:v>FOU-S-VOL3</x:v>
      </x:c>
      <x:c r="B29" s="6" t="str">
        <x:v>Dark Horse — Foundation Volume 3</x:v>
      </x:c>
      <x:c r="C29" s="6" t="str">
        <x:v>source officielle — notice Dark Horse via Penguin Random House</x:v>
      </x:c>
      <x:c r="D29" s="6" t="str">
        <x:v>https://www.penguinrandomhouse.com/books/243699/mass-effect-foundation-volume-3-by-mac-walters-and-tony-parker/9781621159056/</x:v>
      </x:c>
      <x:c r="E29" s="6" t="str">
        <x:v>Mordin, Kasumi, Zaeed, Thane et Homme trouble.</x:v>
      </x:c>
      <x:c r="F29" s="6" t="str">
        <x:v>Consulté le 22 octobre 2026; les faits sont paraphrasés brièvement.</x:v>
      </x:c>
    </x:row>
    <x:row r="30" ht="42" customHeight="1">
      <x:c r="A30" s="6" t="str">
        <x:v>FOU-S-OMNI2</x:v>
      </x:c>
      <x:c r="B30" s="6" t="str">
        <x:v>Dark Horse — Mass Effect Omnibus Volume 2</x:v>
      </x:c>
      <x:c r="C30" s="6" t="str">
        <x:v>source officielle — notice Dark Horse via Penguin Random House</x:v>
      </x:c>
      <x:c r="D30" s="6" t="str">
        <x:v>https://www.penguinrandomhouse.com/books/556082/mass-effect-omnibus-volume-2-by-jeremy-barlow/</x:v>
      </x:c>
      <x:c r="E30" s="6" t="str">
        <x:v>Foundation #1–13, Blasto et He Who Laughs Best rassemblés.</x:v>
      </x:c>
      <x:c r="F30" s="6" t="str">
        <x:v>Consulté le 22 octobre 2026; les faits sont paraphrasés brièvement.</x:v>
      </x:c>
    </x:row>
    <x:row r="31" ht="54" customHeight="1">
      <x:c r="A31" s="6" t="str">
        <x:v>FOU-S-SERIES</x:v>
      </x:c>
      <x:c r="B31" s="6" t="str">
        <x:v>Foundation — série</x:v>
      </x:c>
      <x:c r="C31" s="6" t="str">
        <x:v>wiki — extrait indexé, à contrôler</x:v>
      </x:c>
      <x:c r="D31" s="6" t="str">
        <x:v>https://masseffect.fandom.com/wiki/Mass_Effect%3A_Foundation</x:v>
      </x:c>
      <x:c r="E31" s="6" t="str">
        <x:v>Répartition #1–4 / #5–8 / #9–13.</x:v>
      </x:c>
      <x:c r="F31" s="6" t="str">
        <x:v>Contenu lu dans le résultat de recherche indexé; ouverture directe Fandom restreinte ou en erreur. Comparaison avec le comic autorisé requise.</x:v>
      </x:c>
    </x:row>
    <x:row r="32" ht="54" customHeight="1">
      <x:c r="A32" s="6" t="str">
        <x:v>FOU-S-CHARS</x:v>
      </x:c>
      <x:c r="B32" s="6" t="str">
        <x:v>Foundation — personnages par numéro</x:v>
      </x:c>
      <x:c r="C32" s="6" t="str">
        <x:v>wiki — extrait indexé, à contrôler</x:v>
      </x:c>
      <x:c r="D32" s="6" t="str">
        <x:v>https://masseffect.fandom.com/wiki/Characters/Mass_Effect%3A_Foundation</x:v>
      </x:c>
      <x:c r="E32" s="6" t="str">
        <x:v>Associations personnages/numéros, détails à contrôler.</x:v>
      </x:c>
      <x:c r="F32" s="6" t="str">
        <x:v>Contenu lu dans le résultat de recherche indexé; ouverture directe Fandom restreinte ou en erreur. Comparaison avec le comic autorisé requise.</x:v>
      </x:c>
    </x:row>
    <x:row r="33" ht="54" customHeight="1">
      <x:c r="A33" s="6" t="str">
        <x:v>FOU-S-ISSUE1</x:v>
      </x:c>
      <x:c r="B33" s="6" t="str">
        <x:v>Foundation #1</x:v>
      </x:c>
      <x:c r="C33" s="6" t="str">
        <x:v>wiki — extrait indexé, à contrôler</x:v>
      </x:c>
      <x:c r="D33" s="6" t="str">
        <x:v>https://masseffect.fandom.com/wiki/Mass_Effect%3A_Foundation_1</x:v>
      </x:c>
      <x:c r="E33" s="6" t="str">
        <x:v>Themis et passé de Rasa.</x:v>
      </x:c>
      <x:c r="F33" s="6" t="str">
        <x:v>Contenu lu dans le résultat de recherche indexé; ouverture directe Fandom restreinte ou en erreur. Comparaison avec le comic autorisé requise.</x:v>
      </x:c>
    </x:row>
    <x:row r="34" ht="54" customHeight="1">
      <x:c r="A34" s="6" t="str">
        <x:v>FOU-S-ISSUE4</x:v>
      </x:c>
      <x:c r="B34" s="6" t="str">
        <x:v>Foundation #4</x:v>
      </x:c>
      <x:c r="C34" s="6" t="str">
        <x:v>wiki — extrait indexé, à contrôler</x:v>
      </x:c>
      <x:c r="D34" s="6" t="str">
        <x:v>https://masseffect.fandom.com/wiki/Mass_Effect%3A_Foundation_4</x:v>
      </x:c>
      <x:c r="E34" s="6" t="str">
        <x:v>Kaidan, Rahna et Vyrnnus à Gagarin.</x:v>
      </x:c>
      <x:c r="F34" s="6" t="str">
        <x:v>Contenu lu dans le résultat de recherche indexé; ouverture directe Fandom restreinte ou en erreur. Comparaison avec le comic autorisé requise.</x:v>
      </x:c>
    </x:row>
    <x:row r="35" ht="54" customHeight="1">
      <x:c r="A35" s="6" t="str">
        <x:v>FOU-S-ISSUE6</x:v>
      </x:c>
      <x:c r="B35" s="6" t="str">
        <x:v>Foundation #6</x:v>
      </x:c>
      <x:c r="C35" s="6" t="str">
        <x:v>wiki — extrait indexé, à contrôler</x:v>
      </x:c>
      <x:c r="D35" s="6" t="str">
        <x:v>https://masseffect.fandom.com/wiki/Mass_Effect%3A_Foundation_6</x:v>
      </x:c>
      <x:c r="E35" s="6" t="str">
        <x:v>Miranda et Jacob face à un chef batarian.</x:v>
      </x:c>
      <x:c r="F35" s="6" t="str">
        <x:v>Contenu lu dans le résultat de recherche indexé; ouverture directe Fandom restreinte ou en erreur. Comparaison avec le comic autorisé requise.</x:v>
      </x:c>
    </x:row>
    <x:row r="36" ht="54" customHeight="1">
      <x:c r="A36" s="6" t="str">
        <x:v>FOU-S-ISSUE8</x:v>
      </x:c>
      <x:c r="B36" s="6" t="str">
        <x:v>Foundation #8</x:v>
      </x:c>
      <x:c r="C36" s="6" t="str">
        <x:v>wiki — extrait indexé, à contrôler</x:v>
      </x:c>
      <x:c r="D36" s="6" t="str">
        <x:v>https://masseffect.fandom.com/wiki/Mass_Effect%3A_Foundation_8</x:v>
      </x:c>
      <x:c r="E36" s="6" t="str">
        <x:v>Rasa et Thane.</x:v>
      </x:c>
      <x:c r="F36" s="6" t="str">
        <x:v>Contenu lu dans le résultat de recherche indexé; ouverture directe Fandom restreinte ou en erreur. Comparaison avec le comic autorisé requise.</x:v>
      </x:c>
    </x:row>
    <x:row r="37" ht="54" customHeight="1">
      <x:c r="A37" s="6" t="str">
        <x:v>FOU-S-ISSUE9</x:v>
      </x:c>
      <x:c r="B37" s="6" t="str">
        <x:v>Foundation #9</x:v>
      </x:c>
      <x:c r="C37" s="6" t="str">
        <x:v>wiki — extrait indexé, à contrôler</x:v>
      </x:c>
      <x:c r="D37" s="6" t="str">
        <x:v>https://masseffect.fandom.com/wiki/Mass_Effect%3A_Foundation_9</x:v>
      </x:c>
      <x:c r="E37" s="6" t="str">
        <x:v>Mordin, STG et génophage.</x:v>
      </x:c>
      <x:c r="F37" s="6" t="str">
        <x:v>Contenu lu dans le résultat de recherche indexé; ouverture directe Fandom restreinte ou en erreur. Comparaison avec le comic autorisé requise.</x:v>
      </x:c>
    </x:row>
    <x:row r="38" ht="54" customHeight="1">
      <x:c r="A38" s="6" t="str">
        <x:v>FOU-S-ISSUE12</x:v>
      </x:c>
      <x:c r="B38" s="6" t="str">
        <x:v>Foundation #12</x:v>
      </x:c>
      <x:c r="C38" s="6" t="str">
        <x:v>wiki — extrait indexé, à contrôler</x:v>
      </x:c>
      <x:c r="D38" s="6" t="str">
        <x:v>https://masseffect.fandom.com/wiki/Mass_Effect%3A_Foundation_12</x:v>
      </x:c>
      <x:c r="E38" s="6" t="str">
        <x:v>Thane, Irikah, Kolyat.</x:v>
      </x:c>
      <x:c r="F38" s="6" t="str">
        <x:v>Contenu lu dans le résultat de recherche indexé; ouverture directe Fandom restreinte ou en erreur. Comparaison avec le comic autorisé requise.</x:v>
      </x:c>
    </x:row>
    <x:row r="39" ht="54" customHeight="1">
      <x:c r="A39" s="6" t="str">
        <x:v>FOU-S-ISSUE13</x:v>
      </x:c>
      <x:c r="B39" s="6" t="str">
        <x:v>Foundation #13</x:v>
      </x:c>
      <x:c r="C39" s="6" t="str">
        <x:v>wiki — extrait indexé, à contrôler</x:v>
      </x:c>
      <x:c r="D39" s="6" t="str">
        <x:v>https://masseffect.fandom.com/wiki/Mass_Effect%3A_Foundation_13</x:v>
      </x:c>
      <x:c r="E39" s="6" t="str">
        <x:v>Rasa, clone, Lazarus et fuite.</x:v>
      </x:c>
      <x:c r="F39" s="6" t="str">
        <x:v>Contenu lu dans le résultat de recherche indexé; ouverture directe Fandom restreinte ou en erreur. Comparaison avec le comic autorisé requise.</x:v>
      </x:c>
    </x:row>
    <x:row r="40" ht="42" customHeight="1">
      <x:c r="A40" s="6" t="str">
        <x:v>FOU-S-ISSUE5</x:v>
      </x:c>
      <x:c r="B40" s="6" t="str">
        <x:v>Dark Horse — Foundation #5, notice éditeur</x:v>
      </x:c>
      <x:c r="C40" s="6" t="str">
        <x:v>publication originale — notice éditeur distribuée</x:v>
      </x:c>
      <x:c r="D40" s="6" t="str">
        <x:v>https://books.apple.com/fr/book/mass-effect-foundation-5/id1047063498</x:v>
      </x:c>
      <x:c r="E40" s="6" t="str">
        <x:v>Miranda/Jacob et recherche de Shepard.</x:v>
      </x:c>
      <x:c r="F40" s="6" t="str">
        <x:v>Consulté le 22 octobre 2026; les faits sont paraphrasés brièvement.</x:v>
      </x:c>
    </x:row>
    <x:row r="41" ht="42" customHeight="1">
      <x:c r="A41" s="6" t="str">
        <x:v>FOU-S-ISSUE7</x:v>
      </x:c>
      <x:c r="B41" s="6" t="str">
        <x:v>Foundation — catalogue des sollicitations</x:v>
      </x:c>
      <x:c r="C41" s="6" t="str">
        <x:v>presse — catalogue secondaire de sollicitations</x:v>
      </x:c>
      <x:c r="D41" s="6" t="str">
        <x:v>https://comicpreviews.com/series/mass-effect-foundation-2013</x:v>
      </x:c>
      <x:c r="E41" s="6" t="str">
        <x:v>Sujet #7 Jack; recouper avec volume 2 officiel.</x:v>
      </x:c>
      <x:c r="F41" s="6" t="str">
        <x:v>Consulté le 22 octobre 2026; les faits sont paraphrasés brièvement.</x:v>
      </x:c>
    </x:row>
    <x:row r="42" ht="42" customHeight="1">
      <x:c r="A42" s="6" t="str">
        <x:v>FOU-S-ISSUE10</x:v>
      </x:c>
      <x:c r="B42" s="6" t="str">
        <x:v>Foundation #10 — sollicitation distribuée</x:v>
      </x:c>
      <x:c r="C42" s="6" t="str">
        <x:v>presse — catalogue secondaire de sollicitations</x:v>
      </x:c>
      <x:c r="D42" s="6" t="str">
        <x:v>https://www.g-mart.com/static/f129000.html</x:v>
      </x:c>
      <x:c r="E42" s="6" t="str">
        <x:v>Sujet Kasumi #10; recouper avec volume 3 officiel.</x:v>
      </x:c>
      <x:c r="F42" s="6" t="str">
        <x:v>Consulté le 22 octobre 2026; les faits sont paraphrasés brièvement.</x:v>
      </x:c>
    </x:row>
    <x:row r="43" ht="42" customHeight="1">
      <x:c r="A43" s="6" t="str">
        <x:v>FOU-S-ISSUE11</x:v>
      </x:c>
      <x:c r="B43" s="6" t="str">
        <x:v>Foundation #11 — sollicitation distribuée</x:v>
      </x:c>
      <x:c r="C43" s="6" t="str">
        <x:v>presse — catalogue secondaire de sollicitations</x:v>
      </x:c>
      <x:c r="D43" s="6" t="str">
        <x:v>https://comicpreviews.com/products/mass-effect-foundation-11</x:v>
      </x:c>
      <x:c r="E43" s="6" t="str">
        <x:v>Sujet Zaeed #11; recouper avec volume 3 officiel.</x:v>
      </x:c>
      <x:c r="F43" s="6" t="str">
        <x:v>Consulté le 22 octobre 2026; les faits sont paraphrasés brièvement.</x:v>
      </x:c>
    </x:row>
    <x:row r="44" ht="54" customHeight="1">
      <x:c r="A44" s="6" t="str">
        <x:v>FOU-S-STORY</x:v>
      </x:c>
      <x:c r="B44" s="6" t="str">
        <x:v>Storyline — Foundation #2–4</x:v>
      </x:c>
      <x:c r="C44" s="6" t="str">
        <x:v>wiki — extrait indexé, à contrôler</x:v>
      </x:c>
      <x:c r="D44" s="6" t="str">
        <x:v>https://masseffect.fandom.com/wiki/Storyline</x:v>
      </x:c>
      <x:c r="E44" s="6" t="str">
        <x:v>Repérage Wrex, Ashley et Kaidan; faits brefs seulement.</x:v>
      </x:c>
      <x:c r="F44" s="6" t="str">
        <x:v>Contenu lu dans le résultat de recherche indexé; ouverture directe Fandom restreinte ou en erreur. Comparaison avec le comic autorisé requise.</x:v>
      </x:c>
    </x:row>
    <x:row r="45" ht="22" customHeight="1">
      <x:c r="A45" s="2"/>
      <x:c r="B45" s="2"/>
      <x:c r="C45" s="2"/>
      <x:c r="D45" s="2"/>
      <x:c r="E45" s="2"/>
      <x:c r="F45" s="2"/>
    </x:row>
    <x:row r="46" ht="22" customHeight="1">
      <x:c r="A46" s="2"/>
      <x:c r="B46" s="2"/>
      <x:c r="C46" s="2"/>
      <x:c r="D46" s="2"/>
      <x:c r="E46" s="2"/>
      <x:c r="F46" s="2"/>
    </x:row>
    <x:row r="47" ht="22" customHeight="1">
      <x:c r="A47" s="2"/>
      <x:c r="B47" s="2"/>
      <x:c r="C47" s="2"/>
      <x:c r="D47" s="2"/>
      <x:c r="E47" s="2"/>
      <x:c r="F47" s="2"/>
    </x:row>
    <x:row r="48" ht="34" customHeight="1">
      <x:c r="A48" s="30" t="str">
        <x:v>Domaine</x:v>
      </x:c>
      <x:c r="B48" s="31" t="str">
        <x:v>Couverture actuelle</x:v>
      </x:c>
      <x:c r="C48" s="32" t="str">
        <x:v>Travail restant</x:v>
      </x:c>
      <x:c r="D48" s="2"/>
      <x:c r="E48" s="2"/>
      <x:c r="F48" s="2"/>
    </x:row>
    <x:row r="49" ht="68" customHeight="1">
      <x:c r="A49" s="6" t="str">
        <x:v>characters</x:v>
      </x:c>
      <x:c r="B49" s="6" t="str">
        <x:v>11 fiche(s) : Rasa; Urdnot Wrex; Ashley Williams; Kaidan Alenko</x:v>
      </x:c>
      <x:c r="C49" s="6" t="str">
        <x:v>Comparer les détails marqués À vérifier à une édition autorisée; les sources éditoriales n’attestent pas chaque détail graphique.</x:v>
      </x:c>
      <x:c r="D49" s="2"/>
      <x:c r="E49" s="2"/>
      <x:c r="F49" s="2"/>
    </x:row>
    <x:row r="50" ht="68" customHeight="1">
      <x:c r="A50" s="6" t="str">
        <x:v>npcs</x:v>
      </x:c>
      <x:c r="B50" s="6" t="str">
        <x:v>7 fiche(s) : Kai Leng; Rahna; Commandant Vyrnnus; Irikah Krios</x:v>
      </x:c>
      <x:c r="C50" s="6" t="str">
        <x:v>Comparer les détails marqués À vérifier à une édition autorisée; les sources éditoriales n’attestent pas chaque détail graphique.</x:v>
      </x:c>
      <x:c r="D50" s="2"/>
      <x:c r="E50" s="2"/>
      <x:c r="F50" s="2"/>
    </x:row>
    <x:row r="51" ht="68" customHeight="1">
      <x:c r="A51" s="6" t="str">
        <x:v>lore</x:v>
      </x:c>
      <x:c r="B51" s="6" t="str">
        <x:v>19 fiche(s) : Treize numéros réunis; Premier recueil : #1–4; Deuxième recueil : personnages; Troisième recueil : personnages</x:v>
      </x:c>
      <x:c r="C51" s="6" t="str">
        <x:v>Comparer les treize numéros et les trois sommaires autorisés; les correspondances secondaires restent à contrôler, en particulier les scènes de #7, #10 et #11.</x:v>
      </x:c>
      <x:c r="D51" s="2"/>
      <x:c r="E51" s="2"/>
      <x:c r="F51" s="2"/>
    </x:row>
    <x:row r="52" ht="68" customHeight="1">
      <x:c r="A52" s="6" t="str">
        <x:v>worlds</x:v>
      </x:c>
      <x:c r="B52" s="6" t="str">
        <x:v>7 fiche(s) : Themis; Citadelle — dossiers du premier volume; Eden Prime — récit d’Ashley; Gagarin / Jump Zero</x:v>
      </x:c>
      <x:c r="C52" s="6" t="str">
        <x:v>Relever les lieux secondaires des numéros #5–8, #10–12 avant tout ajout de planète ou de carte nommée; les zones non attestées restent explicitement prototypes.</x:v>
      </x:c>
      <x:c r="D52" s="2"/>
      <x:c r="E52" s="2"/>
      <x:c r="F52" s="2"/>
    </x:row>
    <x:row r="53" ht="68" customHeight="1">
      <x:c r="A53" s="6" t="str">
        <x:v>zones</x:v>
      </x:c>
      <x:c r="B53" s="6" t="str">
        <x:v>7 fiche(s) : Themis — espace jouable proposé; Citadelle — dossiers du premier volume — espace jouable proposé; Eden Prime — récit d’Ashley — espace jouable proposé; Gagarin / Jump Zero — espace jouable proposé</x:v>
      </x:c>
      <x:c r="C53" s="6" t="str">
        <x:v>Prototyper les règles proposées et exécuter les critères de recette; aucune fiche n’est déclarée intégrée ou validée.</x:v>
      </x:c>
      <x:c r="D53" s="2"/>
      <x:c r="E53" s="2"/>
      <x:c r="F53" s="2"/>
    </x:row>
    <x:row r="54" ht="54" customHeight="1">
      <x:c r="A54" s="6" t="str">
        <x:v>links</x:v>
      </x:c>
      <x:c r="B54" s="6" t="str">
        <x:v>7 fiche(s) : Themis — accès et sortie; Citadelle — dossiers du premier volume — accès et sortie; Eden Prime — récit d’Ashley — accès et sortie; Gagarin / Jump Zero — accès et sortie</x:v>
      </x:c>
      <x:c r="C54" s="6" t="str">
        <x:v>Prototyper les règles proposées et exécuter les critères de recette; aucune fiche n’est déclarée intégrée ou validée.</x:v>
      </x:c>
      <x:c r="D54" s="2"/>
      <x:c r="E54" s="2"/>
      <x:c r="F54" s="2"/>
    </x:row>
    <x:row r="55" ht="54" customHeight="1">
      <x:c r="A55" s="6" t="str">
        <x:v>scenery</x:v>
      </x:c>
      <x:c r="B55" s="6" t="str">
        <x:v>7 fiche(s) : Themis — décor et repère; Citadelle — dossiers du premier volume — décor et repère; Eden Prime — récit d’Ashley — décor et repère; Gagarin / Jump Zero — décor et repère</x:v>
      </x:c>
      <x:c r="C55" s="6" t="str">
        <x:v>Produire les assets originaux puis vérifier en situation; ce catalogue ne livre ni image, ni son, ni animation.</x:v>
      </x:c>
      <x:c r="D55" s="2"/>
      <x:c r="E55" s="2"/>
      <x:c r="F55" s="2"/>
    </x:row>
    <x:row r="56" ht="54" customHeight="1">
      <x:c r="A56" s="6" t="str">
        <x:v>props</x:v>
      </x:c>
      <x:c r="B56" s="6" t="str">
        <x:v>13 fiche(s) : Marque de service; Dossier d’objectif; Enregistreur d’entretien; Objet d’exercice biotique</x:v>
      </x:c>
      <x:c r="C56" s="6" t="str">
        <x:v>Prototyper les règles proposées et exécuter les critères de recette; aucune fiche n’est déclarée intégrée ou validée.</x:v>
      </x:c>
      <x:c r="D56" s="2"/>
      <x:c r="E56" s="2"/>
      <x:c r="F56" s="2"/>
    </x:row>
    <x:row r="57" ht="54" customHeight="1">
      <x:c r="A57" s="6" t="str">
        <x:v>enemies</x:v>
      </x:c>
      <x:c r="B57" s="6" t="str">
        <x:v>4 fiche(s) : Gardes d’accès — profils de prototype; Groupe du chef de guerre batarian; LOKI / YMIR de Lazarus; Opposition sur Tuchanka</x:v>
      </x:c>
      <x:c r="C57" s="6" t="str">
        <x:v>Prototyper les règles proposées et exécuter les critères de recette; aucune fiche n’est déclarée intégrée ou validée.</x:v>
      </x:c>
      <x:c r="D57" s="2"/>
      <x:c r="E57" s="2"/>
      <x:c r="F57" s="2"/>
    </x:row>
    <x:row r="58" ht="54" customHeight="1">
      <x:c r="A58" s="6" t="str">
        <x:v>main_quests</x:v>
      </x:c>
      <x:c r="B58" s="6" t="str">
        <x:v>13 fiche(s) : #1 — passé sur Themis — objectif jouable; #2 — dossier Wrex — objectif jouable; #3 — dossier Ashley — objectif jouable; #4 — formation de Kaidan — objectif jouable</x:v>
      </x:c>
      <x:c r="C58" s="6" t="str">
        <x:v>Prototyper les règles proposées et exécuter les critères de recette; aucune fiche n’est déclarée intégrée ou validée.</x:v>
      </x:c>
      <x:c r="D58" s="2"/>
      <x:c r="E58" s="2"/>
      <x:c r="F58" s="2"/>
    </x:row>
    <x:row r="59" ht="54" customHeight="1">
      <x:c r="A59" s="6" t="str">
        <x:v>side_quests</x:v>
      </x:c>
      <x:c r="B59" s="6" t="str">
        <x:v>13 fiche(s) : Observer un changement de relève; Confirmer un accès secondaire; Classer une contradiction apparente; Échanger avant le cours</x:v>
      </x:c>
      <x:c r="C59" s="6" t="str">
        <x:v>Prototyper les règles proposées et exécuter les critères de recette; aucune fiche n’est déclarée intégrée ou validée.</x:v>
      </x:c>
      <x:c r="D59" s="2"/>
      <x:c r="E59" s="2"/>
      <x:c r="F59" s="2"/>
    </x:row>
    <x:row r="60" ht="54" customHeight="1">
      <x:c r="A60" s="6" t="str">
        <x:v>choices</x:v>
      </x:c>
      <x:c r="B60" s="6" t="str">
        <x:v>13 fiche(s) : #1 — passé sur Themis — stratégie locale; #2 — dossier Wrex — stratégie locale; #3 — dossier Ashley — stratégie locale; #4 — formation de Kaidan — stratégie locale</x:v>
      </x:c>
      <x:c r="C60" s="6" t="str">
        <x:v>Prototyper les règles proposées et exécuter les critères de recette; aucune fiche n’est déclarée intégrée ou validée.</x:v>
      </x:c>
      <x:c r="D60" s="2"/>
      <x:c r="E60" s="2"/>
      <x:c r="F60" s="2"/>
    </x:row>
    <x:row r="61" ht="68" customHeight="1">
      <x:c r="A61" s="6" t="str">
        <x:v>dialogues</x:v>
      </x:c>
      <x:c r="B61" s="6" t="str">
        <x:v>13 fiche(s) : #1 — passé sur Themis — intentions de conversation; #2 — dossier Wrex — intentions de conversation; #3 — dossier Ashley — intentions de conversation; #4 — formation de Kaidan — intentions de conversation</x:v>
      </x:c>
      <x:c r="C61" s="6" t="str">
        <x:v>Prototyper les règles proposées et exécuter les critères de recette; aucune fiche n’est déclarée intégrée ou validée.</x:v>
      </x:c>
      <x:c r="D61" s="2"/>
      <x:c r="E61" s="2"/>
      <x:c r="F61" s="2"/>
    </x:row>
    <x:row r="62" ht="68" customHeight="1">
      <x:c r="A62" s="6" t="str">
        <x:v>cinematics</x:v>
      </x:c>
      <x:c r="B62" s="6" t="str">
        <x:v>13 fiche(s) : #1 — passé sur Themis — raccord mis en scène; #2 — dossier Wrex — raccord mis en scène; #3 — dossier Ashley — raccord mis en scène; #4 — formation de Kaidan — raccord mis en scène</x:v>
      </x:c>
      <x:c r="C62" s="6" t="str">
        <x:v>Prototyper les règles proposées et exécuter les critères de recette; aucune fiche n’est déclarée intégrée ou validée.</x:v>
      </x:c>
      <x:c r="D62" s="2"/>
      <x:c r="E62" s="2"/>
      <x:c r="F62" s="2"/>
    </x:row>
    <x:row r="63" ht="54" customHeight="1">
      <x:c r="A63" s="6" t="str">
        <x:v>weapons</x:v>
      </x:c>
      <x:c r="B63" s="6" t="str">
        <x:v>2 fiche(s) : Armes de terrain par époque; Outils d’entraînement non létaux</x:v>
      </x:c>
      <x:c r="C63" s="6" t="str">
        <x:v>Prototyper les règles proposées et exécuter les critères de recette; aucune fiche n’est déclarée intégrée ou validée.</x:v>
      </x:c>
      <x:c r="D63" s="2"/>
      <x:c r="E63" s="2"/>
      <x:c r="F63" s="2"/>
    </x:row>
    <x:row r="64" ht="54" customHeight="1">
      <x:c r="A64" s="6" t="str">
        <x:v>equipment</x:v>
      </x:c>
      <x:c r="B64" s="6" t="str">
        <x:v>3 fiche(s) : Couverture de Rasa; Registre des dossiers de Rasa; Arrimage de capsule — prototype</x:v>
      </x:c>
      <x:c r="C64" s="6" t="str">
        <x:v>Prototyper les règles proposées et exécuter les critères de recette; aucune fiche n’est déclarée intégrée ou validée.</x:v>
      </x:c>
      <x:c r="D64" s="2"/>
      <x:c r="E64" s="2"/>
      <x:c r="F64" s="2"/>
    </x:row>
    <x:row r="65" ht="54" customHeight="1">
      <x:c r="A65" s="6" t="str">
        <x:v>powers</x:v>
      </x:c>
      <x:c r="B65" s="6" t="str">
        <x:v>1 fiche(s) : Biotique de formation / de combat</x:v>
      </x:c>
      <x:c r="C65" s="6" t="str">
        <x:v>Prototyper les règles proposées et exécuter les critères de recette; aucune fiche n’est déclarée intégrée ou validée.</x:v>
      </x:c>
      <x:c r="D65" s="2"/>
      <x:c r="E65" s="2"/>
      <x:c r="F65" s="2"/>
    </x:row>
    <x:row r="66" ht="54" customHeight="1">
      <x:c r="A66" s="6" t="str">
        <x:v>ally_moves</x:v>
      </x:c>
      <x:c r="B66" s="6" t="str">
        <x:v>10 fiche(s) : Préparer une couverture; Pression de passage; Regrouper la section; Soutien d’exercice</x:v>
      </x:c>
      <x:c r="C66" s="6" t="str">
        <x:v>Prototyper les règles proposées et exécuter les critères de recette; aucune fiche n’est déclarée intégrée ou validée.</x:v>
      </x:c>
      <x:c r="D66" s="2"/>
      <x:c r="E66" s="2"/>
      <x:c r="F66" s="2"/>
    </x:row>
    <x:row r="67" ht="54" customHeight="1">
      <x:c r="A67" s="6" t="str">
        <x:v>enemy_moves</x:v>
      </x:c>
      <x:c r="B67" s="6" t="str">
        <x:v>8 fiche(s) : Contrôle d’identité; Fermeture locale; Tir de fermeture; Appel de renfort local</x:v>
      </x:c>
      <x:c r="C67" s="6" t="str">
        <x:v>Prototyper les règles proposées et exécuter les critères de recette; aucune fiche n’est déclarée intégrée ou validée.</x:v>
      </x:c>
      <x:c r="D67" s="2"/>
      <x:c r="E67" s="2"/>
      <x:c r="F67" s="2"/>
    </x:row>
    <x:row r="68" ht="54" customHeight="1">
      <x:c r="A68" s="6" t="str">
        <x:v>animations</x:v>
      </x:c>
      <x:c r="B68" s="6" t="str">
        <x:v>18 fiche(s) : Rasa — jeu de poses; Urdnot Wrex — jeu de poses; Ashley Williams — jeu de poses; Kaidan Alenko — jeu de poses</x:v>
      </x:c>
      <x:c r="C68" s="6" t="str">
        <x:v>Produire les assets originaux puis vérifier en situation; ce catalogue ne livre ni image, ni son, ni animation.</x:v>
      </x:c>
      <x:c r="D68" s="2"/>
      <x:c r="E68" s="2"/>
      <x:c r="F68" s="2"/>
    </x:row>
    <x:row r="69" ht="54" customHeight="1">
      <x:c r="A69" s="6" t="str">
        <x:v>sprites</x:v>
      </x:c>
      <x:c r="B69" s="6" t="str">
        <x:v>18 fiche(s) : Rasa — planche de sprites; Urdnot Wrex — planche de sprites; Ashley Williams — planche de sprites; Kaidan Alenko — planche de sprites</x:v>
      </x:c>
      <x:c r="C69" s="6" t="str">
        <x:v>Produire les assets originaux puis vérifier en situation; ce catalogue ne livre ni image, ni son, ni animation.</x:v>
      </x:c>
      <x:c r="D69" s="2"/>
      <x:c r="E69" s="2"/>
      <x:c r="F69" s="2"/>
    </x:row>
    <x:row r="70" ht="54" customHeight="1">
      <x:c r="A70" s="6" t="str">
        <x:v>vfx</x:v>
      </x:c>
      <x:c r="B70" s="6" t="str">
        <x:v>13 fiche(s) : #1 — passé sur Themis — signal visuel; #2 — dossier Wrex — signal visuel; #3 — dossier Ashley — signal visuel; #4 — formation de Kaidan — signal visuel</x:v>
      </x:c>
      <x:c r="C70" s="6" t="str">
        <x:v>Produire les assets originaux puis vérifier en situation; ce catalogue ne livre ni image, ni son, ni animation.</x:v>
      </x:c>
      <x:c r="D70" s="2"/>
      <x:c r="E70" s="2"/>
      <x:c r="F70" s="2"/>
    </x:row>
    <x:row r="71" ht="54" customHeight="1">
      <x:c r="A71" s="6" t="str">
        <x:v>audio</x:v>
      </x:c>
      <x:c r="B71" s="6" t="str">
        <x:v>7 fiche(s) : Themis — paysage sonore; Citadelle — dossiers du premier volume — paysage sonore; Eden Prime — récit d’Ashley — paysage sonore; Gagarin / Jump Zero — paysage sonore</x:v>
      </x:c>
      <x:c r="C71" s="6" t="str">
        <x:v>Produire les assets originaux puis vérifier en situation; ce catalogue ne livre ni image, ni son, ni animation.</x:v>
      </x:c>
      <x:c r="D71" s="2"/>
      <x:c r="E71" s="2"/>
      <x:c r="F71" s="2"/>
    </x:row>
    <x:row r="72" ht="54" customHeight="1">
      <x:c r="A72" s="6" t="str">
        <x:v>systems</x:v>
      </x:c>
      <x:c r="B72" s="6" t="str">
        <x:v>4 fiche(s) : Journal à deux niveaux; Groupe propre au chapitre; Rythme ATB proposé; Sauvegarde des modules</x:v>
      </x:c>
      <x:c r="C72" s="6" t="str">
        <x:v>Prototyper les règles proposées et exécuter les critères de recette; aucune fiche n’est déclarée intégrée ou validée.</x:v>
      </x:c>
      <x:c r="D72" s="2"/>
      <x:c r="E72" s="2"/>
      <x:c r="F72" s="2"/>
    </x:row>
    <x:row r="73" ht="68" customHeight="1">
      <x:c r="A73" s="6" t="str">
        <x:v>qa</x:v>
      </x:c>
      <x:c r="B73" s="6" t="str">
        <x:v>16 fiche(s) : #1 — passé sur Themis — contrôle du parcours; #2 — dossier Wrex — contrôle du parcours; #3 — dossier Ashley — contrôle du parcours; #4 — formation de Kaidan — contrôle du parcours</x:v>
      </x:c>
      <x:c r="C73" s="6" t="str">
        <x:v>Prototyper les règles proposées et exécuter les critères de recette; aucune fiche n’est déclarée intégrée ou validée.</x:v>
      </x:c>
      <x:c r="D73" s="2"/>
      <x:c r="E73" s="2"/>
      <x:c r="F73" s="2"/>
    </x:row>
    <x:row r="74" ht="68" customHeight="1">
      <x:c r="A74" s="6" t="str">
        <x:v>continuity</x:v>
      </x:c>
      <x:c r="B74" s="6" t="str">
        <x:v>2 fiche(s) : Position dans l’univers; Contenus non attestés</x:v>
      </x:c>
      <x:c r="C74" s="6" t="str">
        <x:v>Comparer les détails marqués À vérifier à une édition autorisée; les sources éditoriales n’attestent pas chaque détail graphique.</x:v>
      </x:c>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row r="134" ht="22" customHeight="1">
      <x:c r="A134" s="2"/>
      <x:c r="B134" s="2"/>
      <x:c r="C134" s="2"/>
      <x:c r="D134" s="2"/>
      <x:c r="E134" s="2"/>
      <x:c r="F134" s="2"/>
    </x:row>
    <x:row r="135" ht="22" customHeight="1">
      <x:c r="A135" s="2"/>
      <x:c r="B135" s="2"/>
      <x:c r="C135" s="2"/>
      <x:c r="D135" s="2"/>
      <x:c r="E135" s="2"/>
      <x:c r="F135" s="2"/>
    </x:row>
    <x:row r="136" ht="22" customHeight="1">
      <x:c r="A136" s="2"/>
      <x:c r="B136" s="2"/>
      <x:c r="C136" s="2"/>
      <x:c r="D136" s="2"/>
      <x:c r="E136" s="2"/>
      <x:c r="F136" s="2"/>
    </x:row>
    <x:row r="137" ht="22" customHeight="1">
      <x:c r="A137" s="2"/>
      <x:c r="B137" s="2"/>
      <x:c r="C137" s="2"/>
      <x:c r="D137" s="2"/>
      <x:c r="E137" s="2"/>
      <x:c r="F137" s="2"/>
    </x:row>
    <x:row r="138" ht="22" customHeight="1">
      <x:c r="A138" s="2"/>
      <x:c r="B138" s="2"/>
      <x:c r="C138" s="2"/>
      <x:c r="D138" s="2"/>
      <x:c r="E138" s="2"/>
      <x:c r="F138" s="2"/>
    </x:row>
    <x:row r="139" ht="22" customHeight="1">
      <x:c r="A139" s="2"/>
      <x:c r="B139" s="2"/>
      <x:c r="C139" s="2"/>
      <x:c r="D139" s="2"/>
      <x:c r="E139" s="2"/>
      <x:c r="F139" s="2"/>
    </x:row>
    <x:row r="140" ht="22" customHeight="1">
      <x:c r="A140" s="2"/>
      <x:c r="B140" s="2"/>
      <x:c r="C140" s="2"/>
      <x:c r="D140" s="2"/>
      <x:c r="E140" s="2"/>
      <x:c r="F140" s="2"/>
    </x:row>
    <x:row r="141" ht="22" customHeight="1">
      <x:c r="A141" s="2"/>
      <x:c r="B141" s="2"/>
      <x:c r="C141" s="2"/>
      <x:c r="D141" s="2"/>
      <x:c r="E141" s="2"/>
      <x:c r="F141" s="2"/>
    </x:row>
    <x:row r="142" ht="22" customHeight="1">
      <x:c r="A142" s="2"/>
      <x:c r="B142" s="2"/>
      <x:c r="C142" s="2"/>
      <x:c r="D142" s="2"/>
      <x:c r="E142" s="2"/>
      <x:c r="F142" s="2"/>
    </x:row>
    <x:row r="143" ht="22" customHeight="1">
      <x:c r="A143" s="2"/>
      <x:c r="B143" s="2"/>
      <x:c r="C143" s="2"/>
      <x:c r="D143" s="2"/>
      <x:c r="E143" s="2"/>
      <x:c r="F143" s="2"/>
    </x:row>
    <x:row r="144" ht="22" customHeight="1">
      <x:c r="A144" s="2"/>
      <x:c r="B144" s="2"/>
      <x:c r="C144" s="2"/>
      <x:c r="D144" s="2"/>
      <x:c r="E144" s="2"/>
      <x:c r="F144" s="2"/>
    </x:row>
  </x:sheetData>
  <x:pageMargins left="0.7" right="0.7" top="0.75" bottom="0.75" header="0.3" footer="0.3"/>
</x:worksheet>
</file>