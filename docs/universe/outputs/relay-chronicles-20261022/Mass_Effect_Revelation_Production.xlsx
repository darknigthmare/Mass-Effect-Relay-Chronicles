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154b7bdca042da" /></Relationships>
</file>

<file path=xl/workbook.xml><?xml version="1.0" encoding="utf-8"?>
<x:workbook xmlns:x="http://schemas.openxmlformats.org/spreadsheetml/2006/main">
  <x:sheets>
    <x:sheet xmlns:r="http://schemas.openxmlformats.org/officeDocument/2006/relationships" name="Dashboard" sheetId="1" r:id="Rbadfbf77a83943eb"/>
    <x:sheet xmlns:r="http://schemas.openxmlformats.org/officeDocument/2006/relationships" name="Personnages" sheetId="2" r:id="Rd5121f97b7a84763"/>
    <x:sheet xmlns:r="http://schemas.openxmlformats.org/officeDocument/2006/relationships" name="PNJ" sheetId="3" r:id="R27bf38292c0c463a"/>
    <x:sheet xmlns:r="http://schemas.openxmlformats.org/officeDocument/2006/relationships" name="Especes_factions" sheetId="4" r:id="R977e0bc9020d40ab"/>
    <x:sheet xmlns:r="http://schemas.openxmlformats.org/officeDocument/2006/relationships" name="Mondes" sheetId="5" r:id="R41028a70b71349f4"/>
    <x:sheet xmlns:r="http://schemas.openxmlformats.org/officeDocument/2006/relationships" name="Zones" sheetId="6" r:id="R180a60fe720f425d"/>
    <x:sheet xmlns:r="http://schemas.openxmlformats.org/officeDocument/2006/relationships" name="Liaisons" sheetId="7" r:id="R7276565e08c94737"/>
    <x:sheet xmlns:r="http://schemas.openxmlformats.org/officeDocument/2006/relationships" name="Decors" sheetId="8" r:id="R38873c10765e4ae4"/>
    <x:sheet xmlns:r="http://schemas.openxmlformats.org/officeDocument/2006/relationships" name="Props" sheetId="9" r:id="R19f62fb58f7d4a95"/>
    <x:sheet xmlns:r="http://schemas.openxmlformats.org/officeDocument/2006/relationships" name="Ennemis_boss" sheetId="10" r:id="R49f60ec43bbb4fda"/>
    <x:sheet xmlns:r="http://schemas.openxmlformats.org/officeDocument/2006/relationships" name="Missions" sheetId="11" r:id="R3d5a9165ee8a40ca"/>
    <x:sheet xmlns:r="http://schemas.openxmlformats.org/officeDocument/2006/relationships" name="Secondaires_DLC" sheetId="12" r:id="R39bce930b1bb436c"/>
    <x:sheet xmlns:r="http://schemas.openxmlformats.org/officeDocument/2006/relationships" name="Choix_relations" sheetId="13" r:id="R18f8e5f2ecbc40f5"/>
    <x:sheet xmlns:r="http://schemas.openxmlformats.org/officeDocument/2006/relationships" name="Dialogues" sheetId="14" r:id="Rad11ce2c56fb47cb"/>
    <x:sheet xmlns:r="http://schemas.openxmlformats.org/officeDocument/2006/relationships" name="Cinematiques" sheetId="15" r:id="R94451aecdf1144df"/>
    <x:sheet xmlns:r="http://schemas.openxmlformats.org/officeDocument/2006/relationships" name="Armes" sheetId="16" r:id="R1930d91796a44962"/>
    <x:sheet xmlns:r="http://schemas.openxmlformats.org/officeDocument/2006/relationships" name="Armures_equipement" sheetId="17" r:id="R418f12c803ac47d6"/>
    <x:sheet xmlns:r="http://schemas.openxmlformats.org/officeDocument/2006/relationships" name="Pouvoirs" sheetId="18" r:id="Re1a817d956964f73"/>
    <x:sheet xmlns:r="http://schemas.openxmlformats.org/officeDocument/2006/relationships" name="Movesets_allies" sheetId="19" r:id="R7031cc52b2fe4fc8"/>
    <x:sheet xmlns:r="http://schemas.openxmlformats.org/officeDocument/2006/relationships" name="Movesets_ennemis" sheetId="20" r:id="Re42b3561b0184911"/>
    <x:sheet xmlns:r="http://schemas.openxmlformats.org/officeDocument/2006/relationships" name="Animations" sheetId="21" r:id="R0b3319192583403d"/>
    <x:sheet xmlns:r="http://schemas.openxmlformats.org/officeDocument/2006/relationships" name="Sprites" sheetId="22" r:id="R59d78e450dfa4531"/>
    <x:sheet xmlns:r="http://schemas.openxmlformats.org/officeDocument/2006/relationships" name="VFX" sheetId="23" r:id="R424b76f9f0fe421c"/>
    <x:sheet xmlns:r="http://schemas.openxmlformats.org/officeDocument/2006/relationships" name="Audio" sheetId="24" r:id="R6fc0ed0d59a8434a"/>
    <x:sheet xmlns:r="http://schemas.openxmlformats.org/officeDocument/2006/relationships" name="UI_systemes" sheetId="25" r:id="R9c2c05c7f7114fe2"/>
    <x:sheet xmlns:r="http://schemas.openxmlformats.org/officeDocument/2006/relationships" name="QA" sheetId="26" r:id="R055d01008ebf4792"/>
    <x:sheet xmlns:r="http://schemas.openxmlformats.org/officeDocument/2006/relationships" name="Continuite" sheetId="27" r:id="R2808e5ffe5e44dda"/>
    <x:sheet xmlns:r="http://schemas.openxmlformats.org/officeDocument/2006/relationships" name="Guide" sheetId="28" r:id="Rc21d5227470e431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359f1fef44d74ecb" /><Relationship Type="http://schemas.openxmlformats.org/officeDocument/2006/relationships/theme" Target="/xl/theme/theme1.xml" Id="R83db5e1994a6485b" /><Relationship Type="http://schemas.openxmlformats.org/officeDocument/2006/relationships/sharedStrings" Target="/xl/sharedStrings.xml" Id="R99edf3909678410d" /><Relationship Type="http://schemas.openxmlformats.org/officeDocument/2006/relationships/worksheet" Target="/xl/worksheets/sheet1.xml" Id="Rbadfbf77a83943eb" /><Relationship Type="http://schemas.openxmlformats.org/officeDocument/2006/relationships/worksheet" Target="/xl/worksheets/sheet2.xml" Id="Rd5121f97b7a84763" /><Relationship Type="http://schemas.openxmlformats.org/officeDocument/2006/relationships/worksheet" Target="/xl/worksheets/sheet3.xml" Id="R27bf38292c0c463a" /><Relationship Type="http://schemas.openxmlformats.org/officeDocument/2006/relationships/worksheet" Target="/xl/worksheets/sheet4.xml" Id="R977e0bc9020d40ab" /><Relationship Type="http://schemas.openxmlformats.org/officeDocument/2006/relationships/worksheet" Target="/xl/worksheets/sheet5.xml" Id="R41028a70b71349f4" /><Relationship Type="http://schemas.openxmlformats.org/officeDocument/2006/relationships/worksheet" Target="/xl/worksheets/sheet6.xml" Id="R180a60fe720f425d" /><Relationship Type="http://schemas.openxmlformats.org/officeDocument/2006/relationships/worksheet" Target="/xl/worksheets/sheet7.xml" Id="R7276565e08c94737" /><Relationship Type="http://schemas.openxmlformats.org/officeDocument/2006/relationships/worksheet" Target="/xl/worksheets/sheet8.xml" Id="R38873c10765e4ae4" /><Relationship Type="http://schemas.openxmlformats.org/officeDocument/2006/relationships/worksheet" Target="/xl/worksheets/sheet9.xml" Id="R19f62fb58f7d4a95" /><Relationship Type="http://schemas.openxmlformats.org/officeDocument/2006/relationships/worksheet" Target="/xl/worksheets/sheet10.xml" Id="R49f60ec43bbb4fda" /><Relationship Type="http://schemas.openxmlformats.org/officeDocument/2006/relationships/worksheet" Target="/xl/worksheets/sheet11.xml" Id="R3d5a9165ee8a40ca" /><Relationship Type="http://schemas.openxmlformats.org/officeDocument/2006/relationships/worksheet" Target="/xl/worksheets/sheet12.xml" Id="R39bce930b1bb436c" /><Relationship Type="http://schemas.openxmlformats.org/officeDocument/2006/relationships/worksheet" Target="/xl/worksheets/sheet13.xml" Id="R18f8e5f2ecbc40f5" /><Relationship Type="http://schemas.openxmlformats.org/officeDocument/2006/relationships/worksheet" Target="/xl/worksheets/sheet14.xml" Id="Rad11ce2c56fb47cb" /><Relationship Type="http://schemas.openxmlformats.org/officeDocument/2006/relationships/worksheet" Target="/xl/worksheets/sheet15.xml" Id="R94451aecdf1144df" /><Relationship Type="http://schemas.openxmlformats.org/officeDocument/2006/relationships/worksheet" Target="/xl/worksheets/sheet16.xml" Id="R1930d91796a44962" /><Relationship Type="http://schemas.openxmlformats.org/officeDocument/2006/relationships/worksheet" Target="/xl/worksheets/sheet17.xml" Id="R418f12c803ac47d6" /><Relationship Type="http://schemas.openxmlformats.org/officeDocument/2006/relationships/worksheet" Target="/xl/worksheets/sheet18.xml" Id="Re1a817d956964f73" /><Relationship Type="http://schemas.openxmlformats.org/officeDocument/2006/relationships/worksheet" Target="/xl/worksheets/sheet19.xml" Id="R7031cc52b2fe4fc8" /><Relationship Type="http://schemas.openxmlformats.org/officeDocument/2006/relationships/worksheet" Target="/xl/worksheets/sheet20.xml" Id="Re42b3561b0184911" /><Relationship Type="http://schemas.openxmlformats.org/officeDocument/2006/relationships/worksheet" Target="/xl/worksheets/sheet21.xml" Id="R0b3319192583403d" /><Relationship Type="http://schemas.openxmlformats.org/officeDocument/2006/relationships/worksheet" Target="/xl/worksheets/sheet22.xml" Id="R59d78e450dfa4531" /><Relationship Type="http://schemas.openxmlformats.org/officeDocument/2006/relationships/worksheet" Target="/xl/worksheets/sheet23.xml" Id="R424b76f9f0fe421c" /><Relationship Type="http://schemas.openxmlformats.org/officeDocument/2006/relationships/worksheet" Target="/xl/worksheets/sheet24.xml" Id="R6fc0ed0d59a8434a" /><Relationship Type="http://schemas.openxmlformats.org/officeDocument/2006/relationships/worksheet" Target="/xl/worksheets/sheet25.xml" Id="R9c2c05c7f7114fe2" /><Relationship Type="http://schemas.openxmlformats.org/officeDocument/2006/relationships/worksheet" Target="/xl/worksheets/sheet26.xml" Id="R055d01008ebf4792" /><Relationship Type="http://schemas.openxmlformats.org/officeDocument/2006/relationships/worksheet" Target="/xl/worksheets/sheet27.xml" Id="R2808e5ffe5e44dda" /><Relationship Type="http://schemas.openxmlformats.org/officeDocument/2006/relationships/worksheet" Target="/xl/worksheets/sheet28.xml" Id="Rc21d5227470e4314" /></Relationships>
</file>

<file path=xl/tables/table1.xml><?xml version="1.0" encoding="utf-8"?>
<x:table xmlns:x="http://schemas.openxmlformats.org/spreadsheetml/2006/main" id="1" name="REV_characters" displayName="REV_character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REV_npcs" displayName="REV_npc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REV_lore" displayName="REV_lore"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REV_worlds" displayName="REV_world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REV_zones" displayName="REV_zon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REV_links" displayName="REV_link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REV_scenery" displayName="REV_scenery"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REV_props" displayName="REV_prop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REV_enemies" displayName="REV_enemi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REV_main_quests" displayName="REV_main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REV_side_quests" displayName="REV_side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REV_choices" displayName="REV_choic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REV_dialogues" displayName="REV_dialogu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REV_cinematics" displayName="REV_cinematic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REV_weapons" displayName="REV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REV_equipment" displayName="REV_equipment"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REV_powers" displayName="REV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REV_ally_moves" displayName="REV_all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REV_enemy_moves" displayName="REV_enemy_mov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REV_animations" displayName="REV_animation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REV_sprites" displayName="REV_sprit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REV_vfx" displayName="REV_vfx"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REV_audio" displayName="REV_audio"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REV_systems" displayName="REV_system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REV_qa" displayName="REV_qa"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REV_continuity" displayName="REV_continuity"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17ecf021f442e1" /></Relationships>
</file>

<file path=xl/worksheets/_rels/sheet3.xml.rels>&#65279;<?xml version="1.0" encoding="utf-8"?><Relationships xmlns="http://schemas.openxmlformats.org/package/2006/relationships"><Relationship Type="http://schemas.openxmlformats.org/officeDocument/2006/relationships/table" Target="/xl/tables/table2.xml" Id="R0ef5039969f94cc7" /></Relationships>
</file>

<file path=xl/worksheets/_rels/sheet4.xml.rels>&#65279;<?xml version="1.0" encoding="utf-8"?><Relationships xmlns="http://schemas.openxmlformats.org/package/2006/relationships"><Relationship Type="http://schemas.openxmlformats.org/officeDocument/2006/relationships/table" Target="/xl/tables/table3.xml" Id="Rc96b6d353ad84798" /></Relationships>
</file>

<file path=xl/worksheets/_rels/sheet5.xml.rels>&#65279;<?xml version="1.0" encoding="utf-8"?><Relationships xmlns="http://schemas.openxmlformats.org/package/2006/relationships"><Relationship Type="http://schemas.openxmlformats.org/officeDocument/2006/relationships/table" Target="/xl/tables/table4.xml" Id="R9aff43667d404470" /></Relationships>
</file>

<file path=xl/worksheets/_rels/sheet6.xml.rels>&#65279;<?xml version="1.0" encoding="utf-8"?><Relationships xmlns="http://schemas.openxmlformats.org/package/2006/relationships"><Relationship Type="http://schemas.openxmlformats.org/officeDocument/2006/relationships/table" Target="/xl/tables/table5.xml" Id="Ra709be759a0746ac" /></Relationships>
</file>

<file path=xl/worksheets/_rels/sheet7.xml.rels>&#65279;<?xml version="1.0" encoding="utf-8"?><Relationships xmlns="http://schemas.openxmlformats.org/package/2006/relationships"><Relationship Type="http://schemas.openxmlformats.org/officeDocument/2006/relationships/table" Target="/xl/tables/table6.xml" Id="Rdc61de01214f4781" /></Relationships>
</file>

<file path=xl/worksheets/_rels/sheet8.xml.rels>&#65279;<?xml version="1.0" encoding="utf-8"?><Relationships xmlns="http://schemas.openxmlformats.org/package/2006/relationships"><Relationship Type="http://schemas.openxmlformats.org/officeDocument/2006/relationships/table" Target="/xl/tables/table7.xml" Id="R039c4e154c564b59" /></Relationships>
</file>

<file path=xl/worksheets/_rels/sheet9.xml.rels>&#65279;<?xml version="1.0" encoding="utf-8"?><Relationships xmlns="http://schemas.openxmlformats.org/package/2006/relationships"><Relationship Type="http://schemas.openxmlformats.org/officeDocument/2006/relationships/table" Target="/xl/tables/table8.xml" Id="Rd21c9d2f8a85469d" /></Relationships>
</file>

<file path=xl/worksheets/_rels/sheet10.xml.rels>&#65279;<?xml version="1.0" encoding="utf-8"?><Relationships xmlns="http://schemas.openxmlformats.org/package/2006/relationships"><Relationship Type="http://schemas.openxmlformats.org/officeDocument/2006/relationships/table" Target="/xl/tables/table9.xml" Id="R22dfc1a385e249b2" /></Relationships>
</file>

<file path=xl/worksheets/_rels/sheet11.xml.rels>&#65279;<?xml version="1.0" encoding="utf-8"?><Relationships xmlns="http://schemas.openxmlformats.org/package/2006/relationships"><Relationship Type="http://schemas.openxmlformats.org/officeDocument/2006/relationships/table" Target="/xl/tables/table10.xml" Id="R84ef90daef3847b1" /></Relationships>
</file>

<file path=xl/worksheets/_rels/sheet12.xml.rels>&#65279;<?xml version="1.0" encoding="utf-8"?><Relationships xmlns="http://schemas.openxmlformats.org/package/2006/relationships"><Relationship Type="http://schemas.openxmlformats.org/officeDocument/2006/relationships/table" Target="/xl/tables/table11.xml" Id="R9d923c4831ac47fd" /></Relationships>
</file>

<file path=xl/worksheets/_rels/sheet13.xml.rels>&#65279;<?xml version="1.0" encoding="utf-8"?><Relationships xmlns="http://schemas.openxmlformats.org/package/2006/relationships"><Relationship Type="http://schemas.openxmlformats.org/officeDocument/2006/relationships/table" Target="/xl/tables/table12.xml" Id="R89e8875c685a4be4" /></Relationships>
</file>

<file path=xl/worksheets/_rels/sheet14.xml.rels>&#65279;<?xml version="1.0" encoding="utf-8"?><Relationships xmlns="http://schemas.openxmlformats.org/package/2006/relationships"><Relationship Type="http://schemas.openxmlformats.org/officeDocument/2006/relationships/table" Target="/xl/tables/table13.xml" Id="Rc7b606a215cb4e49" /></Relationships>
</file>

<file path=xl/worksheets/_rels/sheet15.xml.rels>&#65279;<?xml version="1.0" encoding="utf-8"?><Relationships xmlns="http://schemas.openxmlformats.org/package/2006/relationships"><Relationship Type="http://schemas.openxmlformats.org/officeDocument/2006/relationships/table" Target="/xl/tables/table14.xml" Id="Rda66e97cfc8640b7" /></Relationships>
</file>

<file path=xl/worksheets/_rels/sheet16.xml.rels>&#65279;<?xml version="1.0" encoding="utf-8"?><Relationships xmlns="http://schemas.openxmlformats.org/package/2006/relationships"><Relationship Type="http://schemas.openxmlformats.org/officeDocument/2006/relationships/table" Target="/xl/tables/table15.xml" Id="R4c40fc871c2643a0" /></Relationships>
</file>

<file path=xl/worksheets/_rels/sheet17.xml.rels>&#65279;<?xml version="1.0" encoding="utf-8"?><Relationships xmlns="http://schemas.openxmlformats.org/package/2006/relationships"><Relationship Type="http://schemas.openxmlformats.org/officeDocument/2006/relationships/table" Target="/xl/tables/table16.xml" Id="Re44edd345cd64b1b" /></Relationships>
</file>

<file path=xl/worksheets/_rels/sheet18.xml.rels>&#65279;<?xml version="1.0" encoding="utf-8"?><Relationships xmlns="http://schemas.openxmlformats.org/package/2006/relationships"><Relationship Type="http://schemas.openxmlformats.org/officeDocument/2006/relationships/table" Target="/xl/tables/table17.xml" Id="Rc829d1c49f96434b" /></Relationships>
</file>

<file path=xl/worksheets/_rels/sheet19.xml.rels>&#65279;<?xml version="1.0" encoding="utf-8"?><Relationships xmlns="http://schemas.openxmlformats.org/package/2006/relationships"><Relationship Type="http://schemas.openxmlformats.org/officeDocument/2006/relationships/table" Target="/xl/tables/table18.xml" Id="Rc033240389084e15" /></Relationships>
</file>

<file path=xl/worksheets/_rels/sheet20.xml.rels>&#65279;<?xml version="1.0" encoding="utf-8"?><Relationships xmlns="http://schemas.openxmlformats.org/package/2006/relationships"><Relationship Type="http://schemas.openxmlformats.org/officeDocument/2006/relationships/table" Target="/xl/tables/table19.xml" Id="R3cbd2f37d2334ba3" /></Relationships>
</file>

<file path=xl/worksheets/_rels/sheet21.xml.rels>&#65279;<?xml version="1.0" encoding="utf-8"?><Relationships xmlns="http://schemas.openxmlformats.org/package/2006/relationships"><Relationship Type="http://schemas.openxmlformats.org/officeDocument/2006/relationships/table" Target="/xl/tables/table20.xml" Id="R7eaab3a53f1d4231" /></Relationships>
</file>

<file path=xl/worksheets/_rels/sheet22.xml.rels>&#65279;<?xml version="1.0" encoding="utf-8"?><Relationships xmlns="http://schemas.openxmlformats.org/package/2006/relationships"><Relationship Type="http://schemas.openxmlformats.org/officeDocument/2006/relationships/table" Target="/xl/tables/table21.xml" Id="R3e90ef9a875d4777" /></Relationships>
</file>

<file path=xl/worksheets/_rels/sheet23.xml.rels>&#65279;<?xml version="1.0" encoding="utf-8"?><Relationships xmlns="http://schemas.openxmlformats.org/package/2006/relationships"><Relationship Type="http://schemas.openxmlformats.org/officeDocument/2006/relationships/table" Target="/xl/tables/table22.xml" Id="R07cc04de190c473a" /></Relationships>
</file>

<file path=xl/worksheets/_rels/sheet24.xml.rels>&#65279;<?xml version="1.0" encoding="utf-8"?><Relationships xmlns="http://schemas.openxmlformats.org/package/2006/relationships"><Relationship Type="http://schemas.openxmlformats.org/officeDocument/2006/relationships/table" Target="/xl/tables/table23.xml" Id="R22b9f3df85db45ec" /></Relationships>
</file>

<file path=xl/worksheets/_rels/sheet25.xml.rels>&#65279;<?xml version="1.0" encoding="utf-8"?><Relationships xmlns="http://schemas.openxmlformats.org/package/2006/relationships"><Relationship Type="http://schemas.openxmlformats.org/officeDocument/2006/relationships/table" Target="/xl/tables/table24.xml" Id="R460bb4d0fc564cba" /></Relationships>
</file>

<file path=xl/worksheets/_rels/sheet26.xml.rels>&#65279;<?xml version="1.0" encoding="utf-8"?><Relationships xmlns="http://schemas.openxmlformats.org/package/2006/relationships"><Relationship Type="http://schemas.openxmlformats.org/officeDocument/2006/relationships/table" Target="/xl/tables/table25.xml" Id="R4cfc1bc2df9a4d5e" /></Relationships>
</file>

<file path=xl/worksheets/_rels/sheet27.xml.rels>&#65279;<?xml version="1.0" encoding="utf-8"?><Relationships xmlns="http://schemas.openxmlformats.org/package/2006/relationships"><Relationship Type="http://schemas.openxmlformats.org/officeDocument/2006/relationships/table" Target="/xl/tables/table26.xml" Id="Ra6b9f2a5f0cf444a"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Revelation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158</x:v>
      </x:c>
      <x:c r="C5" s="2"/>
      <x:c r="D5" s="2" t="str">
        <x:v>Intégrés</x:v>
      </x:c>
      <x:c r="E5" s="31" t="n">
        <x:f>SUM(E10:F35)</x:f>
        <x:v>0</x:v>
      </x:c>
      <x:c r="F5" s="2"/>
      <x:c r="G5" s="2" t="str">
        <x:v>À vérifier</x:v>
      </x:c>
      <x:c r="H5" s="31" t="n">
        <x:f>SUM(H10:H35)</x:f>
        <x:v>1</x:v>
      </x:c>
      <x:c r="I5" s="2"/>
      <x:c r="J5" s="2" t="str">
        <x:v>Extrapolations</x:v>
      </x:c>
      <x:c r="K5" s="31" t="n">
        <x:f>SUM(I10:I35)</x:f>
        <x:v>132</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COUNTA('Personnages'!$A$7:$A$9)</x:f>
        <x:v>3</x:v>
      </x:c>
      <x:c r="C10" s="37" t="n">
        <x:f>COUNTIFS('Personnages'!$C$7:$C$9,"Défini")</x:f>
        <x:v>3</x:v>
      </x:c>
      <x:c r="D10" s="37" t="n">
        <x:f>COUNTIFS('Personnages'!$C$7:$C$9,"Prototype")</x:f>
        <x:v>0</x:v>
      </x:c>
      <x:c r="E10" s="37" t="n">
        <x:f>COUNTIFS('Personnages'!$C$7:$C$9,"Intégré")</x:f>
        <x:v>0</x:v>
      </x:c>
      <x:c r="F10" s="37" t="n">
        <x:f>COUNTIFS('Personnages'!$C$7:$C$9,"Validé")</x:f>
        <x:v>0</x:v>
      </x:c>
      <x:c r="G10" s="37" t="n">
        <x:f>COUNTIFS('Personnages'!$D$7:$D$9,"Établi")</x:f>
        <x:v>3</x:v>
      </x:c>
      <x:c r="H10" s="37" t="n">
        <x:f>COUNTIFS('Personnages'!$D$7:$D$9,"À vérifier")</x:f>
        <x:v>0</x:v>
      </x:c>
      <x:c r="I10" s="37" t="n">
        <x:f>COUNTIFS('Personnages'!$D$7:$D$9,"Extrapolation")</x:f>
        <x:v>0</x:v>
      </x:c>
      <x:c r="J10" s="37" t="n">
        <x:f>COUNTIFS('Personnages'!$D$7:$D$9,"Coupé attesté")</x:f>
        <x:v>0</x:v>
      </x:c>
      <x:c r="K10" s="37" t="n">
        <x:f>COUNTIFS('Personnages'!$D$7:$D$9,"Concept abandonné")</x:f>
        <x:v>0</x:v>
      </x:c>
      <x:c r="L10" s="37" t="n">
        <x:f>COUNTIFS('Personnages'!$D$7:$D$9,"Allégation écartée")</x:f>
        <x:v>0</x:v>
      </x:c>
      <x:c r="M10" s="37" t="n">
        <x:f>COUNTIFS('Personnages'!$E$7:$E$9,"P0")</x:f>
        <x:v>0</x:v>
      </x:c>
    </x:row>
    <x:row r="11" ht="22" customHeight="1">
      <x:c r="A11" s="2" t="str">
        <x:v>PNJ</x:v>
      </x:c>
      <x:c r="B11" s="38" t="n">
        <x:f>COUNTA('PNJ'!$A$7:$A$13)</x:f>
        <x:v>7</x:v>
      </x:c>
      <x:c r="C11" s="38" t="n">
        <x:f>COUNTIFS('PNJ'!$C$7:$C$13,"Défini")</x:f>
        <x:v>7</x:v>
      </x:c>
      <x:c r="D11" s="38" t="n">
        <x:f>COUNTIFS('PNJ'!$C$7:$C$13,"Prototype")</x:f>
        <x:v>0</x:v>
      </x:c>
      <x:c r="E11" s="38" t="n">
        <x:f>COUNTIFS('PNJ'!$C$7:$C$13,"Intégré")</x:f>
        <x:v>0</x:v>
      </x:c>
      <x:c r="F11" s="38" t="n">
        <x:f>COUNTIFS('PNJ'!$C$7:$C$13,"Validé")</x:f>
        <x:v>0</x:v>
      </x:c>
      <x:c r="G11" s="38" t="n">
        <x:f>COUNTIFS('PNJ'!$D$7:$D$13,"Établi")</x:f>
        <x:v>7</x:v>
      </x:c>
      <x:c r="H11" s="38" t="n">
        <x:f>COUNTIFS('PNJ'!$D$7:$D$13,"À vérifier")</x:f>
        <x:v>0</x:v>
      </x:c>
      <x:c r="I11" s="38" t="n">
        <x:f>COUNTIFS('PNJ'!$D$7:$D$13,"Extrapolation")</x:f>
        <x:v>0</x:v>
      </x:c>
      <x:c r="J11" s="38" t="n">
        <x:f>COUNTIFS('PNJ'!$D$7:$D$13,"Coupé attesté")</x:f>
        <x:v>0</x:v>
      </x:c>
      <x:c r="K11" s="38" t="n">
        <x:f>COUNTIFS('PNJ'!$D$7:$D$13,"Concept abandonné")</x:f>
        <x:v>0</x:v>
      </x:c>
      <x:c r="L11" s="38" t="n">
        <x:f>COUNTIFS('PNJ'!$D$7:$D$13,"Allégation écartée")</x:f>
        <x:v>0</x:v>
      </x:c>
      <x:c r="M11" s="38" t="n">
        <x:f>COUNTIFS('PNJ'!$E$7:$E$13,"P0")</x:f>
        <x:v>0</x:v>
      </x:c>
    </x:row>
    <x:row r="12" ht="22" customHeight="1">
      <x:c r="A12" s="33" t="str">
        <x:v>Espèces et factions</x:v>
      </x:c>
      <x:c r="B12" s="37" t="n">
        <x:f>COUNTA('Especes_factions'!$A$7:$A$9)</x:f>
        <x:v>3</x:v>
      </x:c>
      <x:c r="C12" s="37" t="n">
        <x:f>COUNTIFS('Especes_factions'!$C$7:$C$9,"Défini")</x:f>
        <x:v>0</x:v>
      </x:c>
      <x:c r="D12" s="37" t="n">
        <x:f>COUNTIFS('Especes_factions'!$C$7:$C$9,"Prototype")</x:f>
        <x:v>3</x:v>
      </x:c>
      <x:c r="E12" s="37" t="n">
        <x:f>COUNTIFS('Especes_factions'!$C$7:$C$9,"Intégré")</x:f>
        <x:v>0</x:v>
      </x:c>
      <x:c r="F12" s="37" t="n">
        <x:f>COUNTIFS('Especes_factions'!$C$7:$C$9,"Validé")</x:f>
        <x:v>0</x:v>
      </x:c>
      <x:c r="G12" s="37" t="n">
        <x:f>COUNTIFS('Especes_factions'!$D$7:$D$9,"Établi")</x:f>
        <x:v>3</x:v>
      </x:c>
      <x:c r="H12" s="37" t="n">
        <x:f>COUNTIFS('Especes_factions'!$D$7:$D$9,"À vérifier")</x:f>
        <x:v>0</x:v>
      </x:c>
      <x:c r="I12" s="37" t="n">
        <x:f>COUNTIFS('Especes_factions'!$D$7:$D$9,"Extrapolation")</x:f>
        <x:v>0</x:v>
      </x:c>
      <x:c r="J12" s="37" t="n">
        <x:f>COUNTIFS('Especes_factions'!$D$7:$D$9,"Coupé attesté")</x:f>
        <x:v>0</x:v>
      </x:c>
      <x:c r="K12" s="37" t="n">
        <x:f>COUNTIFS('Especes_factions'!$D$7:$D$9,"Concept abandonné")</x:f>
        <x:v>0</x:v>
      </x:c>
      <x:c r="L12" s="37" t="n">
        <x:f>COUNTIFS('Especes_factions'!$D$7:$D$9,"Allégation écartée")</x:f>
        <x:v>0</x:v>
      </x:c>
      <x:c r="M12" s="37" t="n">
        <x:f>COUNTIFS('Especes_factions'!$E$7:$E$9,"P0")</x:f>
        <x:v>0</x:v>
      </x:c>
    </x:row>
    <x:row r="13" ht="22" customHeight="1">
      <x:c r="A13" s="2" t="str">
        <x:v>Mondes</x:v>
      </x:c>
      <x:c r="B13" s="38" t="n">
        <x:f>COUNTA('Mondes'!$A$7:$A$10)</x:f>
        <x:v>4</x:v>
      </x:c>
      <x:c r="C13" s="38" t="n">
        <x:f>COUNTIFS('Mondes'!$C$7:$C$10,"Défini")</x:f>
        <x:v>1</x:v>
      </x:c>
      <x:c r="D13" s="38" t="n">
        <x:f>COUNTIFS('Mondes'!$C$7:$C$10,"Prototype")</x:f>
        <x:v>3</x:v>
      </x:c>
      <x:c r="E13" s="38" t="n">
        <x:f>COUNTIFS('Mondes'!$C$7:$C$10,"Intégré")</x:f>
        <x:v>0</x:v>
      </x:c>
      <x:c r="F13" s="38" t="n">
        <x:f>COUNTIFS('Mondes'!$C$7:$C$10,"Validé")</x:f>
        <x:v>0</x:v>
      </x:c>
      <x:c r="G13" s="38" t="n">
        <x:f>COUNTIFS('Mondes'!$D$7:$D$10,"Établi")</x:f>
        <x:v>4</x:v>
      </x:c>
      <x:c r="H13" s="38" t="n">
        <x:f>COUNTIFS('Mondes'!$D$7:$D$10,"À vérifier")</x:f>
        <x:v>0</x:v>
      </x:c>
      <x:c r="I13" s="38" t="n">
        <x:f>COUNTIFS('Mondes'!$D$7:$D$10,"Extrapolation")</x:f>
        <x:v>0</x:v>
      </x:c>
      <x:c r="J13" s="38" t="n">
        <x:f>COUNTIFS('Mondes'!$D$7:$D$10,"Coupé attesté")</x:f>
        <x:v>0</x:v>
      </x:c>
      <x:c r="K13" s="38" t="n">
        <x:f>COUNTIFS('Mondes'!$D$7:$D$10,"Concept abandonné")</x:f>
        <x:v>0</x:v>
      </x:c>
      <x:c r="L13" s="38" t="n">
        <x:f>COUNTIFS('Mondes'!$D$7:$D$10,"Allégation écartée")</x:f>
        <x:v>0</x:v>
      </x:c>
      <x:c r="M13" s="38" t="n">
        <x:f>COUNTIFS('Mondes'!$E$7:$E$10,"P0")</x:f>
        <x:v>0</x:v>
      </x:c>
    </x:row>
    <x:row r="14" ht="22" customHeight="1">
      <x:c r="A14" s="33" t="str">
        <x:v>Zones</x:v>
      </x:c>
      <x:c r="B14" s="37" t="n">
        <x:f>COUNTA('Zones'!$A$7:$A$14)</x:f>
        <x:v>8</x:v>
      </x:c>
      <x:c r="C14" s="37" t="n">
        <x:f>COUNTIFS('Zones'!$C$7:$C$14,"Défini")</x:f>
        <x:v>8</x:v>
      </x:c>
      <x:c r="D14" s="37" t="n">
        <x:f>COUNTIFS('Zones'!$C$7:$C$14,"Prototype")</x:f>
        <x:v>0</x:v>
      </x:c>
      <x:c r="E14" s="37" t="n">
        <x:f>COUNTIFS('Zones'!$C$7:$C$14,"Intégré")</x:f>
        <x:v>0</x:v>
      </x:c>
      <x:c r="F14" s="37" t="n">
        <x:f>COUNTIFS('Zones'!$C$7:$C$14,"Validé")</x:f>
        <x:v>0</x:v>
      </x:c>
      <x:c r="G14" s="37" t="n">
        <x:f>COUNTIFS('Zones'!$D$7:$D$14,"Établi")</x:f>
        <x:v>0</x:v>
      </x:c>
      <x:c r="H14" s="37" t="n">
        <x:f>COUNTIFS('Zones'!$D$7:$D$14,"À vérifier")</x:f>
        <x:v>0</x:v>
      </x:c>
      <x:c r="I14" s="37" t="n">
        <x:f>COUNTIFS('Zones'!$D$7:$D$14,"Extrapolation")</x:f>
        <x:v>8</x:v>
      </x:c>
      <x:c r="J14" s="37" t="n">
        <x:f>COUNTIFS('Zones'!$D$7:$D$14,"Coupé attesté")</x:f>
        <x:v>0</x:v>
      </x:c>
      <x:c r="K14" s="37" t="n">
        <x:f>COUNTIFS('Zones'!$D$7:$D$14,"Concept abandonné")</x:f>
        <x:v>0</x:v>
      </x:c>
      <x:c r="L14" s="37" t="n">
        <x:f>COUNTIFS('Zones'!$D$7:$D$14,"Allégation écartée")</x:f>
        <x:v>0</x:v>
      </x:c>
      <x:c r="M14" s="37" t="n">
        <x:f>COUNTIFS('Zones'!$E$7:$E$14,"P0")</x:f>
        <x:v>0</x:v>
      </x:c>
    </x:row>
    <x:row r="15" ht="22" customHeight="1">
      <x:c r="A15" s="2" t="str">
        <x:v>Liaisons</x:v>
      </x:c>
      <x:c r="B15" s="38" t="n">
        <x:f>COUNTA('Liaisons'!$A$7:$A$14)</x:f>
        <x:v>8</x:v>
      </x:c>
      <x:c r="C15" s="38" t="n">
        <x:f>COUNTIFS('Liaisons'!$C$7:$C$14,"Défini")</x:f>
        <x:v>8</x:v>
      </x:c>
      <x:c r="D15" s="38" t="n">
        <x:f>COUNTIFS('Liaisons'!$C$7:$C$14,"Prototype")</x:f>
        <x:v>0</x:v>
      </x:c>
      <x:c r="E15" s="38" t="n">
        <x:f>COUNTIFS('Liaisons'!$C$7:$C$14,"Intégré")</x:f>
        <x:v>0</x:v>
      </x:c>
      <x:c r="F15" s="38" t="n">
        <x:f>COUNTIFS('Liaisons'!$C$7:$C$14,"Validé")</x:f>
        <x:v>0</x:v>
      </x:c>
      <x:c r="G15" s="38" t="n">
        <x:f>COUNTIFS('Liaisons'!$D$7:$D$14,"Établi")</x:f>
        <x:v>0</x:v>
      </x:c>
      <x:c r="H15" s="38" t="n">
        <x:f>COUNTIFS('Liaisons'!$D$7:$D$14,"À vérifier")</x:f>
        <x:v>0</x:v>
      </x:c>
      <x:c r="I15" s="38" t="n">
        <x:f>COUNTIFS('Liaisons'!$D$7:$D$14,"Extrapolation")</x:f>
        <x:v>8</x:v>
      </x:c>
      <x:c r="J15" s="38" t="n">
        <x:f>COUNTIFS('Liaisons'!$D$7:$D$14,"Coupé attesté")</x:f>
        <x:v>0</x:v>
      </x:c>
      <x:c r="K15" s="38" t="n">
        <x:f>COUNTIFS('Liaisons'!$D$7:$D$14,"Concept abandonné")</x:f>
        <x:v>0</x:v>
      </x:c>
      <x:c r="L15" s="38" t="n">
        <x:f>COUNTIFS('Liaisons'!$D$7:$D$14,"Allégation écartée")</x:f>
        <x:v>0</x:v>
      </x:c>
      <x:c r="M15" s="38" t="n">
        <x:f>COUNTIFS('Liaisons'!$E$7:$E$14,"P0")</x:f>
        <x:v>0</x:v>
      </x:c>
    </x:row>
    <x:row r="16" ht="22" customHeight="1">
      <x:c r="A16" s="33" t="str">
        <x:v>Décors</x:v>
      </x:c>
      <x:c r="B16" s="37" t="n">
        <x:f>COUNTA('Decors'!$A$7:$A$14)</x:f>
        <x:v>8</x:v>
      </x:c>
      <x:c r="C16" s="37" t="n">
        <x:f>COUNTIFS('Decors'!$C$7:$C$14,"Défini")</x:f>
        <x:v>8</x:v>
      </x:c>
      <x:c r="D16" s="37" t="n">
        <x:f>COUNTIFS('Decors'!$C$7:$C$14,"Prototype")</x:f>
        <x:v>0</x:v>
      </x:c>
      <x:c r="E16" s="37" t="n">
        <x:f>COUNTIFS('Decors'!$C$7:$C$14,"Intégré")</x:f>
        <x:v>0</x:v>
      </x:c>
      <x:c r="F16" s="37" t="n">
        <x:f>COUNTIFS('Decors'!$C$7:$C$14,"Validé")</x:f>
        <x:v>0</x:v>
      </x:c>
      <x:c r="G16" s="37" t="n">
        <x:f>COUNTIFS('Decors'!$D$7:$D$14,"Établi")</x:f>
        <x:v>0</x:v>
      </x:c>
      <x:c r="H16" s="37" t="n">
        <x:f>COUNTIFS('Decors'!$D$7:$D$14,"À vérifier")</x:f>
        <x:v>0</x:v>
      </x:c>
      <x:c r="I16" s="37" t="n">
        <x:f>COUNTIFS('Decors'!$D$7:$D$14,"Extrapolation")</x:f>
        <x:v>8</x:v>
      </x:c>
      <x:c r="J16" s="37" t="n">
        <x:f>COUNTIFS('Decors'!$D$7:$D$14,"Coupé attesté")</x:f>
        <x:v>0</x:v>
      </x:c>
      <x:c r="K16" s="37" t="n">
        <x:f>COUNTIFS('Decors'!$D$7:$D$14,"Concept abandonné")</x:f>
        <x:v>0</x:v>
      </x:c>
      <x:c r="L16" s="37" t="n">
        <x:f>COUNTIFS('Decors'!$D$7:$D$14,"Allégation écartée")</x:f>
        <x:v>0</x:v>
      </x:c>
      <x:c r="M16" s="37" t="n">
        <x:f>COUNTIFS('Decors'!$E$7:$E$14,"P0")</x:f>
        <x:v>0</x:v>
      </x:c>
    </x:row>
    <x:row r="17" ht="22" customHeight="1">
      <x:c r="A17" s="2" t="str">
        <x:v>Props</x:v>
      </x:c>
      <x:c r="B17" s="38" t="n">
        <x:f>COUNTA('Props'!$A$7:$A$7)</x:f>
        <x:v>1</x:v>
      </x:c>
      <x:c r="C17" s="38" t="n">
        <x:f>COUNTIFS('Props'!$C$7:$C$7,"Défini")</x:f>
        <x:v>1</x:v>
      </x:c>
      <x:c r="D17" s="38" t="n">
        <x:f>COUNTIFS('Props'!$C$7:$C$7,"Prototype")</x:f>
        <x:v>0</x:v>
      </x:c>
      <x:c r="E17" s="38" t="n">
        <x:f>COUNTIFS('Props'!$C$7:$C$7,"Intégré")</x:f>
        <x:v>0</x:v>
      </x:c>
      <x:c r="F17" s="38" t="n">
        <x:f>COUNTIFS('Props'!$C$7:$C$7,"Validé")</x:f>
        <x:v>0</x:v>
      </x:c>
      <x:c r="G17" s="38" t="n">
        <x:f>COUNTIFS('Props'!$D$7:$D$7,"Établi")</x:f>
        <x:v>1</x:v>
      </x:c>
      <x:c r="H17" s="38" t="n">
        <x:f>COUNTIFS('Props'!$D$7:$D$7,"À vérifier")</x:f>
        <x:v>0</x:v>
      </x:c>
      <x:c r="I17" s="38" t="n">
        <x:f>COUNTIFS('Props'!$D$7:$D$7,"Extrapolation")</x:f>
        <x:v>0</x:v>
      </x:c>
      <x:c r="J17" s="38" t="n">
        <x:f>COUNTIFS('Props'!$D$7:$D$7,"Coupé attesté")</x:f>
        <x:v>0</x:v>
      </x:c>
      <x:c r="K17" s="38" t="n">
        <x:f>COUNTIFS('Props'!$D$7:$D$7,"Concept abandonné")</x:f>
        <x:v>0</x:v>
      </x:c>
      <x:c r="L17" s="38" t="n">
        <x:f>COUNTIFS('Props'!$D$7:$D$7,"Allégation écartée")</x:f>
        <x:v>0</x:v>
      </x:c>
      <x:c r="M17" s="38" t="n">
        <x:f>COUNTIFS('Props'!$E$7:$E$7,"P0")</x:f>
        <x:v>0</x:v>
      </x:c>
    </x:row>
    <x:row r="18" ht="22" customHeight="1">
      <x:c r="A18" s="33" t="str">
        <x:v>Ennemis et boss</x:v>
      </x:c>
      <x:c r="B18" s="37" t="n">
        <x:f>COUNTA('Ennemis_boss'!$A$7:$A$10)</x:f>
        <x:v>4</x:v>
      </x:c>
      <x:c r="C18" s="37" t="n">
        <x:f>COUNTIFS('Ennemis_boss'!$C$7:$C$10,"Défini")</x:f>
        <x:v>4</x:v>
      </x:c>
      <x:c r="D18" s="37" t="n">
        <x:f>COUNTIFS('Ennemis_boss'!$C$7:$C$10,"Prototype")</x:f>
        <x:v>0</x:v>
      </x:c>
      <x:c r="E18" s="37" t="n">
        <x:f>COUNTIFS('Ennemis_boss'!$C$7:$C$10,"Intégré")</x:f>
        <x:v>0</x:v>
      </x:c>
      <x:c r="F18" s="37" t="n">
        <x:f>COUNTIFS('Ennemis_boss'!$C$7:$C$10,"Validé")</x:f>
        <x:v>0</x:v>
      </x:c>
      <x:c r="G18" s="37" t="n">
        <x:f>COUNTIFS('Ennemis_boss'!$D$7:$D$10,"Établi")</x:f>
        <x:v>0</x:v>
      </x:c>
      <x:c r="H18" s="37" t="n">
        <x:f>COUNTIFS('Ennemis_boss'!$D$7:$D$10,"À vérifier")</x:f>
        <x:v>0</x:v>
      </x:c>
      <x:c r="I18" s="37" t="n">
        <x:f>COUNTIFS('Ennemis_boss'!$D$7:$D$10,"Extrapolation")</x:f>
        <x:v>4</x:v>
      </x:c>
      <x:c r="J18" s="37" t="n">
        <x:f>COUNTIFS('Ennemis_boss'!$D$7:$D$10,"Coupé attesté")</x:f>
        <x:v>0</x:v>
      </x:c>
      <x:c r="K18" s="37" t="n">
        <x:f>COUNTIFS('Ennemis_boss'!$D$7:$D$10,"Concept abandonné")</x:f>
        <x:v>0</x:v>
      </x:c>
      <x:c r="L18" s="37" t="n">
        <x:f>COUNTIFS('Ennemis_boss'!$D$7:$D$10,"Allégation écartée")</x:f>
        <x:v>0</x:v>
      </x:c>
      <x:c r="M18" s="37" t="n">
        <x:f>COUNTIFS('Ennemis_boss'!$E$7:$E$10,"P0")</x:f>
        <x:v>0</x:v>
      </x:c>
    </x:row>
    <x:row r="19" ht="22" customHeight="1">
      <x:c r="A19" s="2" t="str">
        <x:v>Missions</x:v>
      </x:c>
      <x:c r="B19" s="38" t="n">
        <x:f>COUNTA('Missions'!$A$7:$A$14)</x:f>
        <x:v>8</x:v>
      </x:c>
      <x:c r="C19" s="38" t="n">
        <x:f>COUNTIFS('Missions'!$C$7:$C$14,"Défini")</x:f>
        <x:v>8</x:v>
      </x:c>
      <x:c r="D19" s="38" t="n">
        <x:f>COUNTIFS('Missions'!$C$7:$C$14,"Prototype")</x:f>
        <x:v>0</x:v>
      </x:c>
      <x:c r="E19" s="38" t="n">
        <x:f>COUNTIFS('Missions'!$C$7:$C$14,"Intégré")</x:f>
        <x:v>0</x:v>
      </x:c>
      <x:c r="F19" s="38" t="n">
        <x:f>COUNTIFS('Missions'!$C$7:$C$14,"Validé")</x:f>
        <x:v>0</x:v>
      </x:c>
      <x:c r="G19" s="38" t="n">
        <x:f>COUNTIFS('Missions'!$D$7:$D$14,"Établi")</x:f>
        <x:v>0</x:v>
      </x:c>
      <x:c r="H19" s="38" t="n">
        <x:f>COUNTIFS('Missions'!$D$7:$D$14,"À vérifier")</x:f>
        <x:v>0</x:v>
      </x:c>
      <x:c r="I19" s="38" t="n">
        <x:f>COUNTIFS('Missions'!$D$7:$D$14,"Extrapolation")</x:f>
        <x:v>8</x:v>
      </x:c>
      <x:c r="J19" s="38" t="n">
        <x:f>COUNTIFS('Missions'!$D$7:$D$14,"Coupé attesté")</x:f>
        <x:v>0</x:v>
      </x:c>
      <x:c r="K19" s="38" t="n">
        <x:f>COUNTIFS('Missions'!$D$7:$D$14,"Concept abandonné")</x:f>
        <x:v>0</x:v>
      </x:c>
      <x:c r="L19" s="38" t="n">
        <x:f>COUNTIFS('Missions'!$D$7:$D$14,"Allégation écartée")</x:f>
        <x:v>0</x:v>
      </x:c>
      <x:c r="M19" s="38" t="n">
        <x:f>COUNTIFS('Missions'!$E$7:$E$14,"P0")</x:f>
        <x:v>8</x:v>
      </x:c>
    </x:row>
    <x:row r="20" ht="22" customHeight="1">
      <x:c r="A20" s="33" t="str">
        <x:v>Secondaires et DLC</x:v>
      </x:c>
      <x:c r="B20" s="37" t="n">
        <x:f>COUNTA('Secondaires_DLC'!$A$7:$A$14)</x:f>
        <x:v>8</x:v>
      </x:c>
      <x:c r="C20" s="37" t="n">
        <x:f>COUNTIFS('Secondaires_DLC'!$C$7:$C$14,"Défini")</x:f>
        <x:v>8</x:v>
      </x:c>
      <x:c r="D20" s="37" t="n">
        <x:f>COUNTIFS('Secondaires_DLC'!$C$7:$C$14,"Prototype")</x:f>
        <x:v>0</x:v>
      </x:c>
      <x:c r="E20" s="37" t="n">
        <x:f>COUNTIFS('Secondaires_DLC'!$C$7:$C$14,"Intégré")</x:f>
        <x:v>0</x:v>
      </x:c>
      <x:c r="F20" s="37" t="n">
        <x:f>COUNTIFS('Secondaires_DLC'!$C$7:$C$14,"Validé")</x:f>
        <x:v>0</x:v>
      </x:c>
      <x:c r="G20" s="37" t="n">
        <x:f>COUNTIFS('Secondaires_DLC'!$D$7:$D$14,"Établi")</x:f>
        <x:v>0</x:v>
      </x:c>
      <x:c r="H20" s="37" t="n">
        <x:f>COUNTIFS('Secondaires_DLC'!$D$7:$D$14,"À vérifier")</x:f>
        <x:v>0</x:v>
      </x:c>
      <x:c r="I20" s="37" t="n">
        <x:f>COUNTIFS('Secondaires_DLC'!$D$7:$D$14,"Extrapolation")</x:f>
        <x:v>8</x:v>
      </x:c>
      <x:c r="J20" s="37" t="n">
        <x:f>COUNTIFS('Secondaires_DLC'!$D$7:$D$14,"Coupé attesté")</x:f>
        <x:v>0</x:v>
      </x:c>
      <x:c r="K20" s="37" t="n">
        <x:f>COUNTIFS('Secondaires_DLC'!$D$7:$D$14,"Concept abandonné")</x:f>
        <x:v>0</x:v>
      </x:c>
      <x:c r="L20" s="37" t="n">
        <x:f>COUNTIFS('Secondaires_DLC'!$D$7:$D$14,"Allégation écartée")</x:f>
        <x:v>0</x:v>
      </x:c>
      <x:c r="M20" s="37" t="n">
        <x:f>COUNTIFS('Secondaires_DLC'!$E$7:$E$14,"P0")</x:f>
        <x:v>0</x:v>
      </x:c>
    </x:row>
    <x:row r="21" ht="22" customHeight="1">
      <x:c r="A21" s="2" t="str">
        <x:v>Choix et relations</x:v>
      </x:c>
      <x:c r="B21" s="38" t="n">
        <x:f>COUNTA('Choix_relations'!$A$7:$A$14)</x:f>
        <x:v>8</x:v>
      </x:c>
      <x:c r="C21" s="38" t="n">
        <x:f>COUNTIFS('Choix_relations'!$C$7:$C$14,"Défini")</x:f>
        <x:v>8</x:v>
      </x:c>
      <x:c r="D21" s="38" t="n">
        <x:f>COUNTIFS('Choix_relations'!$C$7:$C$14,"Prototype")</x:f>
        <x:v>0</x:v>
      </x:c>
      <x:c r="E21" s="38" t="n">
        <x:f>COUNTIFS('Choix_relations'!$C$7:$C$14,"Intégré")</x:f>
        <x:v>0</x:v>
      </x:c>
      <x:c r="F21" s="38" t="n">
        <x:f>COUNTIFS('Choix_relations'!$C$7:$C$14,"Validé")</x:f>
        <x:v>0</x:v>
      </x:c>
      <x:c r="G21" s="38" t="n">
        <x:f>COUNTIFS('Choix_relations'!$D$7:$D$14,"Établi")</x:f>
        <x:v>0</x:v>
      </x:c>
      <x:c r="H21" s="38" t="n">
        <x:f>COUNTIFS('Choix_relations'!$D$7:$D$14,"À vérifier")</x:f>
        <x:v>0</x:v>
      </x:c>
      <x:c r="I21" s="38" t="n">
        <x:f>COUNTIFS('Choix_relations'!$D$7:$D$14,"Extrapolation")</x:f>
        <x:v>8</x:v>
      </x:c>
      <x:c r="J21" s="38" t="n">
        <x:f>COUNTIFS('Choix_relations'!$D$7:$D$14,"Coupé attesté")</x:f>
        <x:v>0</x:v>
      </x:c>
      <x:c r="K21" s="38" t="n">
        <x:f>COUNTIFS('Choix_relations'!$D$7:$D$14,"Concept abandonné")</x:f>
        <x:v>0</x:v>
      </x:c>
      <x:c r="L21" s="38" t="n">
        <x:f>COUNTIFS('Choix_relations'!$D$7:$D$14,"Allégation écartée")</x:f>
        <x:v>0</x:v>
      </x:c>
      <x:c r="M21" s="38" t="n">
        <x:f>COUNTIFS('Choix_relations'!$E$7:$E$14,"P0")</x:f>
        <x:v>0</x:v>
      </x:c>
    </x:row>
    <x:row r="22" ht="22" customHeight="1">
      <x:c r="A22" s="33" t="str">
        <x:v>Dialogues</x:v>
      </x:c>
      <x:c r="B22" s="37" t="n">
        <x:f>COUNTA('Dialogues'!$A$7:$A$16)</x:f>
        <x:v>10</x:v>
      </x:c>
      <x:c r="C22" s="37" t="n">
        <x:f>COUNTIFS('Dialogues'!$C$7:$C$16,"Défini")</x:f>
        <x:v>10</x:v>
      </x:c>
      <x:c r="D22" s="37" t="n">
        <x:f>COUNTIFS('Dialogues'!$C$7:$C$16,"Prototype")</x:f>
        <x:v>0</x:v>
      </x:c>
      <x:c r="E22" s="37" t="n">
        <x:f>COUNTIFS('Dialogues'!$C$7:$C$16,"Intégré")</x:f>
        <x:v>0</x:v>
      </x:c>
      <x:c r="F22" s="37" t="n">
        <x:f>COUNTIFS('Dialogues'!$C$7:$C$16,"Validé")</x:f>
        <x:v>0</x:v>
      </x:c>
      <x:c r="G22" s="37" t="n">
        <x:f>COUNTIFS('Dialogues'!$D$7:$D$16,"Établi")</x:f>
        <x:v>0</x:v>
      </x:c>
      <x:c r="H22" s="37" t="n">
        <x:f>COUNTIFS('Dialogues'!$D$7:$D$16,"À vérifier")</x:f>
        <x:v>0</x:v>
      </x:c>
      <x:c r="I22" s="37" t="n">
        <x:f>COUNTIFS('Dialogues'!$D$7:$D$16,"Extrapolation")</x:f>
        <x:v>10</x:v>
      </x:c>
      <x:c r="J22" s="37" t="n">
        <x:f>COUNTIFS('Dialogues'!$D$7:$D$16,"Coupé attesté")</x:f>
        <x:v>0</x:v>
      </x:c>
      <x:c r="K22" s="37" t="n">
        <x:f>COUNTIFS('Dialogues'!$D$7:$D$16,"Concept abandonné")</x:f>
        <x:v>0</x:v>
      </x:c>
      <x:c r="L22" s="37" t="n">
        <x:f>COUNTIFS('Dialogues'!$D$7:$D$16,"Allégation écartée")</x:f>
        <x:v>0</x:v>
      </x:c>
      <x:c r="M22" s="37" t="n">
        <x:f>COUNTIFS('Dialogues'!$E$7:$E$16,"P0")</x:f>
        <x:v>0</x:v>
      </x:c>
    </x:row>
    <x:row r="23" ht="22" customHeight="1">
      <x:c r="A23" s="2" t="str">
        <x:v>Cinématiques</x:v>
      </x:c>
      <x:c r="B23" s="38" t="n">
        <x:f>COUNTA('Cinematiques'!$A$7:$A$14)</x:f>
        <x:v>8</x:v>
      </x:c>
      <x:c r="C23" s="38" t="n">
        <x:f>COUNTIFS('Cinematiques'!$C$7:$C$14,"Défini")</x:f>
        <x:v>8</x:v>
      </x:c>
      <x:c r="D23" s="38" t="n">
        <x:f>COUNTIFS('Cinematiques'!$C$7:$C$14,"Prototype")</x:f>
        <x:v>0</x:v>
      </x:c>
      <x:c r="E23" s="38" t="n">
        <x:f>COUNTIFS('Cinematiques'!$C$7:$C$14,"Intégré")</x:f>
        <x:v>0</x:v>
      </x:c>
      <x:c r="F23" s="38" t="n">
        <x:f>COUNTIFS('Cinematiques'!$C$7:$C$14,"Validé")</x:f>
        <x:v>0</x:v>
      </x:c>
      <x:c r="G23" s="38" t="n">
        <x:f>COUNTIFS('Cinematiques'!$D$7:$D$14,"Établi")</x:f>
        <x:v>0</x:v>
      </x:c>
      <x:c r="H23" s="38" t="n">
        <x:f>COUNTIFS('Cinematiques'!$D$7:$D$14,"À vérifier")</x:f>
        <x:v>0</x:v>
      </x:c>
      <x:c r="I23" s="38" t="n">
        <x:f>COUNTIFS('Cinematiques'!$D$7:$D$14,"Extrapolation")</x:f>
        <x:v>8</x:v>
      </x:c>
      <x:c r="J23" s="38" t="n">
        <x:f>COUNTIFS('Cinematiques'!$D$7:$D$14,"Coupé attesté")</x:f>
        <x:v>0</x:v>
      </x:c>
      <x:c r="K23" s="38" t="n">
        <x:f>COUNTIFS('Cinematiques'!$D$7:$D$14,"Concept abandonné")</x:f>
        <x:v>0</x:v>
      </x:c>
      <x:c r="L23" s="38" t="n">
        <x:f>COUNTIFS('Cinematiques'!$D$7:$D$14,"Allégation écartée")</x:f>
        <x:v>0</x:v>
      </x:c>
      <x:c r="M23" s="38" t="n">
        <x:f>COUNTIFS('Cinematiques'!$E$7:$E$14,"P0")</x:f>
        <x:v>0</x:v>
      </x:c>
    </x:row>
    <x:row r="24" ht="22" customHeight="1">
      <x:c r="A24" s="33" t="str">
        <x:v>Armes</x:v>
      </x:c>
      <x:c r="B24" s="37" t="n">
        <x:f>COUNTA('Armes'!$A$7:$A$7)</x:f>
        <x:v>1</x:v>
      </x:c>
      <x:c r="C24" s="37" t="n">
        <x:f>COUNTIFS('Armes'!$C$7:$C$7,"Défini")</x:f>
        <x:v>1</x:v>
      </x:c>
      <x:c r="D24" s="37" t="n">
        <x:f>COUNTIFS('Armes'!$C$7:$C$7,"Prototype")</x:f>
        <x:v>0</x:v>
      </x:c>
      <x:c r="E24" s="37" t="n">
        <x:f>COUNTIFS('Armes'!$C$7:$C$7,"Intégré")</x:f>
        <x:v>0</x:v>
      </x:c>
      <x:c r="F24" s="37" t="n">
        <x:f>COUNTIFS('Armes'!$C$7:$C$7,"Validé")</x:f>
        <x:v>0</x:v>
      </x:c>
      <x:c r="G24" s="37" t="n">
        <x:f>COUNTIFS('Armes'!$D$7:$D$7,"Établi")</x:f>
        <x:v>1</x:v>
      </x:c>
      <x:c r="H24" s="37" t="n">
        <x:f>COUNTIFS('Armes'!$D$7:$D$7,"À vérifier")</x:f>
        <x:v>0</x:v>
      </x:c>
      <x:c r="I24" s="37" t="n">
        <x:f>COUNTIFS('Armes'!$D$7:$D$7,"Extrapolation")</x:f>
        <x:v>0</x:v>
      </x:c>
      <x:c r="J24" s="37" t="n">
        <x:f>COUNTIFS('Armes'!$D$7:$D$7,"Coupé attesté")</x:f>
        <x:v>0</x:v>
      </x:c>
      <x:c r="K24" s="37" t="n">
        <x:f>COUNTIFS('Armes'!$D$7:$D$7,"Concept abandonné")</x:f>
        <x:v>0</x:v>
      </x:c>
      <x:c r="L24" s="37" t="n">
        <x:f>COUNTIFS('Armes'!$D$7:$D$7,"Allégation écartée")</x:f>
        <x:v>0</x:v>
      </x:c>
      <x:c r="M24" s="37" t="n">
        <x:f>COUNTIFS('Armes'!$E$7:$E$7,"P0")</x:f>
        <x:v>0</x:v>
      </x:c>
    </x:row>
    <x:row r="25" ht="22" customHeight="1">
      <x:c r="A25" s="2" t="str">
        <x:v>Armures et équipement</x:v>
      </x:c>
      <x:c r="B25" s="38" t="n">
        <x:f>COUNTA('Armures_equipement'!$A$7:$A$8)</x:f>
        <x:v>2</x:v>
      </x:c>
      <x:c r="C25" s="38" t="n">
        <x:f>COUNTIFS('Armures_equipement'!$C$7:$C$8,"Défini")</x:f>
        <x:v>2</x:v>
      </x:c>
      <x:c r="D25" s="38" t="n">
        <x:f>COUNTIFS('Armures_equipement'!$C$7:$C$8,"Prototype")</x:f>
        <x:v>0</x:v>
      </x:c>
      <x:c r="E25" s="38" t="n">
        <x:f>COUNTIFS('Armures_equipement'!$C$7:$C$8,"Intégré")</x:f>
        <x:v>0</x:v>
      </x:c>
      <x:c r="F25" s="38" t="n">
        <x:f>COUNTIFS('Armures_equipement'!$C$7:$C$8,"Validé")</x:f>
        <x:v>0</x:v>
      </x:c>
      <x:c r="G25" s="38" t="n">
        <x:f>COUNTIFS('Armures_equipement'!$D$7:$D$8,"Établi")</x:f>
        <x:v>2</x:v>
      </x:c>
      <x:c r="H25" s="38" t="n">
        <x:f>COUNTIFS('Armures_equipement'!$D$7:$D$8,"À vérifier")</x:f>
        <x:v>0</x:v>
      </x:c>
      <x:c r="I25" s="38" t="n">
        <x:f>COUNTIFS('Armures_equipement'!$D$7:$D$8,"Extrapolation")</x:f>
        <x:v>0</x:v>
      </x:c>
      <x:c r="J25" s="38" t="n">
        <x:f>COUNTIFS('Armures_equipement'!$D$7:$D$8,"Coupé attesté")</x:f>
        <x:v>0</x:v>
      </x:c>
      <x:c r="K25" s="38" t="n">
        <x:f>COUNTIFS('Armures_equipement'!$D$7:$D$8,"Concept abandonné")</x:f>
        <x:v>0</x:v>
      </x:c>
      <x:c r="L25" s="38" t="n">
        <x:f>COUNTIFS('Armures_equipement'!$D$7:$D$8,"Allégation écartée")</x:f>
        <x:v>0</x:v>
      </x:c>
      <x:c r="M25" s="38" t="n">
        <x:f>COUNTIFS('Armures_equipement'!$E$7:$E$8,"P0")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1</x:v>
      </x:c>
      <x:c r="H26" s="37" t="n">
        <x:f>COUNTIFS('Pouvoirs'!$D$7:$D$7,"À vérifier")</x:f>
        <x:v>0</x:v>
      </x:c>
      <x:c r="I26" s="37" t="n">
        <x:f>COUNTIFS('Pouvoirs'!$D$7:$D$7,"Extrapolation")</x:f>
        <x:v>0</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COUNTA('Movesets_allies'!$A$7:$A$12)</x:f>
        <x:v>6</x:v>
      </x:c>
      <x:c r="C27" s="38" t="n">
        <x:f>COUNTIFS('Movesets_allies'!$C$7:$C$12,"Défini")</x:f>
        <x:v>6</x:v>
      </x:c>
      <x:c r="D27" s="38" t="n">
        <x:f>COUNTIFS('Movesets_allies'!$C$7:$C$12,"Prototype")</x:f>
        <x:v>0</x:v>
      </x:c>
      <x:c r="E27" s="38" t="n">
        <x:f>COUNTIFS('Movesets_allies'!$C$7:$C$12,"Intégré")</x:f>
        <x:v>0</x:v>
      </x:c>
      <x:c r="F27" s="38" t="n">
        <x:f>COUNTIFS('Movesets_allies'!$C$7:$C$12,"Validé")</x:f>
        <x:v>0</x:v>
      </x:c>
      <x:c r="G27" s="38" t="n">
        <x:f>COUNTIFS('Movesets_allies'!$D$7:$D$12,"Établi")</x:f>
        <x:v>0</x:v>
      </x:c>
      <x:c r="H27" s="38" t="n">
        <x:f>COUNTIFS('Movesets_allies'!$D$7:$D$12,"À vérifier")</x:f>
        <x:v>0</x:v>
      </x:c>
      <x:c r="I27" s="38" t="n">
        <x:f>COUNTIFS('Movesets_allies'!$D$7:$D$12,"Extrapolation")</x:f>
        <x:v>6</x:v>
      </x:c>
      <x:c r="J27" s="38" t="n">
        <x:f>COUNTIFS('Movesets_allies'!$D$7:$D$12,"Coupé attesté")</x:f>
        <x:v>0</x:v>
      </x:c>
      <x:c r="K27" s="38" t="n">
        <x:f>COUNTIFS('Movesets_allies'!$D$7:$D$12,"Concept abandonné")</x:f>
        <x:v>0</x:v>
      </x:c>
      <x:c r="L27" s="38" t="n">
        <x:f>COUNTIFS('Movesets_allies'!$D$7:$D$12,"Allégation écartée")</x:f>
        <x:v>0</x:v>
      </x:c>
      <x:c r="M27" s="38" t="n">
        <x:f>COUNTIFS('Movesets_allies'!$E$7:$E$12,"P0")</x:f>
        <x:v>0</x:v>
      </x:c>
    </x:row>
    <x:row r="28" ht="22" customHeight="1">
      <x:c r="A28" s="33" t="str">
        <x:v>Movesets ennemis</x:v>
      </x:c>
      <x:c r="B28" s="37" t="n">
        <x:f>COUNTA('Movesets_ennemis'!$A$7:$A$10)</x:f>
        <x:v>4</x:v>
      </x:c>
      <x:c r="C28" s="37" t="n">
        <x:f>COUNTIFS('Movesets_ennemis'!$C$7:$C$10,"Défini")</x:f>
        <x:v>4</x:v>
      </x:c>
      <x:c r="D28" s="37" t="n">
        <x:f>COUNTIFS('Movesets_ennemis'!$C$7:$C$10,"Prototype")</x:f>
        <x:v>0</x:v>
      </x:c>
      <x:c r="E28" s="37" t="n">
        <x:f>COUNTIFS('Movesets_ennemis'!$C$7:$C$10,"Intégré")</x:f>
        <x:v>0</x:v>
      </x:c>
      <x:c r="F28" s="37" t="n">
        <x:f>COUNTIFS('Movesets_ennemis'!$C$7:$C$10,"Validé")</x:f>
        <x:v>0</x:v>
      </x:c>
      <x:c r="G28" s="37" t="n">
        <x:f>COUNTIFS('Movesets_ennemis'!$D$7:$D$10,"Établi")</x:f>
        <x:v>0</x:v>
      </x:c>
      <x:c r="H28" s="37" t="n">
        <x:f>COUNTIFS('Movesets_ennemis'!$D$7:$D$10,"À vérifier")</x:f>
        <x:v>0</x:v>
      </x:c>
      <x:c r="I28" s="37" t="n">
        <x:f>COUNTIFS('Movesets_ennemis'!$D$7:$D$10,"Extrapolation")</x:f>
        <x:v>4</x:v>
      </x:c>
      <x:c r="J28" s="37" t="n">
        <x:f>COUNTIFS('Movesets_ennemis'!$D$7:$D$10,"Coupé attesté")</x:f>
        <x:v>0</x:v>
      </x:c>
      <x:c r="K28" s="37" t="n">
        <x:f>COUNTIFS('Movesets_ennemis'!$D$7:$D$10,"Concept abandonné")</x:f>
        <x:v>0</x:v>
      </x:c>
      <x:c r="L28" s="37" t="n">
        <x:f>COUNTIFS('Movesets_ennemis'!$D$7:$D$10,"Allégation écartée")</x:f>
        <x:v>0</x:v>
      </x:c>
      <x:c r="M28" s="37" t="n">
        <x:f>COUNTIFS('Movesets_ennemis'!$E$7:$E$10,"P0")</x:f>
        <x:v>0</x:v>
      </x:c>
    </x:row>
    <x:row r="29" ht="22" customHeight="1">
      <x:c r="A29" s="2" t="str">
        <x:v>Animations</x:v>
      </x:c>
      <x:c r="B29" s="38" t="n">
        <x:f>COUNTA('Animations'!$A$7:$A$16)</x:f>
        <x:v>10</x:v>
      </x:c>
      <x:c r="C29" s="38" t="n">
        <x:f>COUNTIFS('Animations'!$C$7:$C$16,"Défini")</x:f>
        <x:v>10</x:v>
      </x:c>
      <x:c r="D29" s="38" t="n">
        <x:f>COUNTIFS('Animations'!$C$7:$C$16,"Prototype")</x:f>
        <x:v>0</x:v>
      </x:c>
      <x:c r="E29" s="38" t="n">
        <x:f>COUNTIFS('Animations'!$C$7:$C$16,"Intégré")</x:f>
        <x:v>0</x:v>
      </x:c>
      <x:c r="F29" s="38" t="n">
        <x:f>COUNTIFS('Animations'!$C$7:$C$16,"Validé")</x:f>
        <x:v>0</x:v>
      </x:c>
      <x:c r="G29" s="38" t="n">
        <x:f>COUNTIFS('Animations'!$D$7:$D$16,"Établi")</x:f>
        <x:v>0</x:v>
      </x:c>
      <x:c r="H29" s="38" t="n">
        <x:f>COUNTIFS('Animations'!$D$7:$D$16,"À vérifier")</x:f>
        <x:v>0</x:v>
      </x:c>
      <x:c r="I29" s="38" t="n">
        <x:f>COUNTIFS('Animations'!$D$7:$D$16,"Extrapolation")</x:f>
        <x:v>10</x:v>
      </x:c>
      <x:c r="J29" s="38" t="n">
        <x:f>COUNTIFS('Animations'!$D$7:$D$16,"Coupé attesté")</x:f>
        <x:v>0</x:v>
      </x:c>
      <x:c r="K29" s="38" t="n">
        <x:f>COUNTIFS('Animations'!$D$7:$D$16,"Concept abandonné")</x:f>
        <x:v>0</x:v>
      </x:c>
      <x:c r="L29" s="38" t="n">
        <x:f>COUNTIFS('Animations'!$D$7:$D$16,"Allégation écartée")</x:f>
        <x:v>0</x:v>
      </x:c>
      <x:c r="M29" s="38" t="n">
        <x:f>COUNTIFS('Animations'!$E$7:$E$16,"P0")</x:f>
        <x:v>0</x:v>
      </x:c>
    </x:row>
    <x:row r="30" ht="22" customHeight="1">
      <x:c r="A30" s="33" t="str">
        <x:v>Sprites</x:v>
      </x:c>
      <x:c r="B30" s="37" t="n">
        <x:f>COUNTA('Sprites'!$A$7:$A$16)</x:f>
        <x:v>10</x:v>
      </x:c>
      <x:c r="C30" s="37" t="n">
        <x:f>COUNTIFS('Sprites'!$C$7:$C$16,"Défini")</x:f>
        <x:v>10</x:v>
      </x:c>
      <x:c r="D30" s="37" t="n">
        <x:f>COUNTIFS('Sprites'!$C$7:$C$16,"Prototype")</x:f>
        <x:v>0</x:v>
      </x:c>
      <x:c r="E30" s="37" t="n">
        <x:f>COUNTIFS('Sprites'!$C$7:$C$16,"Intégré")</x:f>
        <x:v>0</x:v>
      </x:c>
      <x:c r="F30" s="37" t="n">
        <x:f>COUNTIFS('Sprites'!$C$7:$C$16,"Validé")</x:f>
        <x:v>0</x:v>
      </x:c>
      <x:c r="G30" s="37" t="n">
        <x:f>COUNTIFS('Sprites'!$D$7:$D$16,"Établi")</x:f>
        <x:v>0</x:v>
      </x:c>
      <x:c r="H30" s="37" t="n">
        <x:f>COUNTIFS('Sprites'!$D$7:$D$16,"À vérifier")</x:f>
        <x:v>0</x:v>
      </x:c>
      <x:c r="I30" s="37" t="n">
        <x:f>COUNTIFS('Sprites'!$D$7:$D$16,"Extrapolation")</x:f>
        <x:v>10</x:v>
      </x:c>
      <x:c r="J30" s="37" t="n">
        <x:f>COUNTIFS('Sprites'!$D$7:$D$16,"Coupé attesté")</x:f>
        <x:v>0</x:v>
      </x:c>
      <x:c r="K30" s="37" t="n">
        <x:f>COUNTIFS('Sprites'!$D$7:$D$16,"Concept abandonné")</x:f>
        <x:v>0</x:v>
      </x:c>
      <x:c r="L30" s="37" t="n">
        <x:f>COUNTIFS('Sprites'!$D$7:$D$16,"Allégation écartée")</x:f>
        <x:v>0</x:v>
      </x:c>
      <x:c r="M30" s="37" t="n">
        <x:f>COUNTIFS('Sprites'!$E$7:$E$16,"P0")</x:f>
        <x:v>0</x:v>
      </x:c>
    </x:row>
    <x:row r="31" ht="22" customHeight="1">
      <x:c r="A31" s="2" t="str">
        <x:v>VFX</x:v>
      </x:c>
      <x:c r="B31" s="38" t="n">
        <x:f>COUNTA('VFX'!$A$7:$A$10)</x:f>
        <x:v>4</x:v>
      </x:c>
      <x:c r="C31" s="38" t="n">
        <x:f>COUNTIFS('VFX'!$C$7:$C$10,"Défini")</x:f>
        <x:v>4</x:v>
      </x:c>
      <x:c r="D31" s="38" t="n">
        <x:f>COUNTIFS('VFX'!$C$7:$C$10,"Prototype")</x:f>
        <x:v>0</x:v>
      </x:c>
      <x:c r="E31" s="38" t="n">
        <x:f>COUNTIFS('VFX'!$C$7:$C$10,"Intégré")</x:f>
        <x:v>0</x:v>
      </x:c>
      <x:c r="F31" s="38" t="n">
        <x:f>COUNTIFS('VFX'!$C$7:$C$10,"Validé")</x:f>
        <x:v>0</x:v>
      </x:c>
      <x:c r="G31" s="38" t="n">
        <x:f>COUNTIFS('VFX'!$D$7:$D$10,"Établi")</x:f>
        <x:v>0</x:v>
      </x:c>
      <x:c r="H31" s="38" t="n">
        <x:f>COUNTIFS('VFX'!$D$7:$D$10,"À vérifier")</x:f>
        <x:v>0</x:v>
      </x:c>
      <x:c r="I31" s="38" t="n">
        <x:f>COUNTIFS('VFX'!$D$7:$D$10,"Extrapolation")</x:f>
        <x:v>4</x:v>
      </x:c>
      <x:c r="J31" s="38" t="n">
        <x:f>COUNTIFS('VFX'!$D$7:$D$10,"Coupé attesté")</x:f>
        <x:v>0</x:v>
      </x:c>
      <x:c r="K31" s="38" t="n">
        <x:f>COUNTIFS('VFX'!$D$7:$D$10,"Concept abandonné")</x:f>
        <x:v>0</x:v>
      </x:c>
      <x:c r="L31" s="38" t="n">
        <x:f>COUNTIFS('VFX'!$D$7:$D$10,"Allégation écartée")</x:f>
        <x:v>0</x:v>
      </x:c>
      <x:c r="M31" s="38" t="n">
        <x:f>COUNTIFS('VFX'!$E$7:$E$10,"P0")</x:f>
        <x:v>0</x:v>
      </x:c>
    </x:row>
    <x:row r="32" ht="22" customHeight="1">
      <x:c r="A32" s="33" t="str">
        <x:v>Audio</x:v>
      </x:c>
      <x:c r="B32" s="37" t="n">
        <x:f>COUNTA('Audio'!$A$7:$A$11)</x:f>
        <x:v>5</x:v>
      </x:c>
      <x:c r="C32" s="37" t="n">
        <x:f>COUNTIFS('Audio'!$C$7:$C$11,"Défini")</x:f>
        <x:v>5</x:v>
      </x:c>
      <x:c r="D32" s="37" t="n">
        <x:f>COUNTIFS('Audio'!$C$7:$C$11,"Prototype")</x:f>
        <x:v>0</x:v>
      </x:c>
      <x:c r="E32" s="37" t="n">
        <x:f>COUNTIFS('Audio'!$C$7:$C$11,"Intégré")</x:f>
        <x:v>0</x:v>
      </x:c>
      <x:c r="F32" s="37" t="n">
        <x:f>COUNTIFS('Audio'!$C$7:$C$11,"Validé")</x:f>
        <x:v>0</x:v>
      </x:c>
      <x:c r="G32" s="37" t="n">
        <x:f>COUNTIFS('Audio'!$D$7:$D$11,"Établi")</x:f>
        <x:v>0</x:v>
      </x:c>
      <x:c r="H32" s="37" t="n">
        <x:f>COUNTIFS('Audio'!$D$7:$D$11,"À vérifier")</x:f>
        <x:v>0</x:v>
      </x:c>
      <x:c r="I32" s="37" t="n">
        <x:f>COUNTIFS('Audio'!$D$7:$D$11,"Extrapolation")</x:f>
        <x:v>5</x:v>
      </x:c>
      <x:c r="J32" s="37" t="n">
        <x:f>COUNTIFS('Audio'!$D$7:$D$11,"Coupé attesté")</x:f>
        <x:v>0</x:v>
      </x:c>
      <x:c r="K32" s="37" t="n">
        <x:f>COUNTIFS('Audio'!$D$7:$D$11,"Concept abandonné")</x:f>
        <x:v>0</x:v>
      </x:c>
      <x:c r="L32" s="37" t="n">
        <x:f>COUNTIFS('Audio'!$D$7:$D$11,"Allégation écartée")</x:f>
        <x:v>0</x:v>
      </x:c>
      <x:c r="M32" s="37" t="n">
        <x:f>COUNTIFS('Audio'!$E$7:$E$11,"P0")</x:f>
        <x:v>0</x:v>
      </x:c>
    </x:row>
    <x:row r="33" ht="22" customHeight="1">
      <x:c r="A33" s="2" t="str">
        <x:v>Systèmes et UI</x:v>
      </x:c>
      <x:c r="B33" s="38" t="n">
        <x:f>COUNTA('UI_systemes'!$A$7:$A$14)</x:f>
        <x:v>8</x:v>
      </x:c>
      <x:c r="C33" s="38" t="n">
        <x:f>COUNTIFS('UI_systemes'!$C$7:$C$14,"Défini")</x:f>
        <x:v>8</x:v>
      </x:c>
      <x:c r="D33" s="38" t="n">
        <x:f>COUNTIFS('UI_systemes'!$C$7:$C$14,"Prototype")</x:f>
        <x:v>0</x:v>
      </x:c>
      <x:c r="E33" s="38" t="n">
        <x:f>COUNTIFS('UI_systemes'!$C$7:$C$14,"Intégré")</x:f>
        <x:v>0</x:v>
      </x:c>
      <x:c r="F33" s="38" t="n">
        <x:f>COUNTIFS('UI_systemes'!$C$7:$C$14,"Validé")</x:f>
        <x:v>0</x:v>
      </x:c>
      <x:c r="G33" s="38" t="n">
        <x:f>COUNTIFS('UI_systemes'!$D$7:$D$14,"Établi")</x:f>
        <x:v>0</x:v>
      </x:c>
      <x:c r="H33" s="38" t="n">
        <x:f>COUNTIFS('UI_systemes'!$D$7:$D$14,"À vérifier")</x:f>
        <x:v>0</x:v>
      </x:c>
      <x:c r="I33" s="38" t="n">
        <x:f>COUNTIFS('UI_systemes'!$D$7:$D$14,"Extrapolation")</x:f>
        <x:v>8</x:v>
      </x:c>
      <x:c r="J33" s="38" t="n">
        <x:f>COUNTIFS('UI_systemes'!$D$7:$D$14,"Coupé attesté")</x:f>
        <x:v>0</x:v>
      </x:c>
      <x:c r="K33" s="38" t="n">
        <x:f>COUNTIFS('UI_systemes'!$D$7:$D$14,"Concept abandonné")</x:f>
        <x:v>0</x:v>
      </x:c>
      <x:c r="L33" s="38" t="n">
        <x:f>COUNTIFS('UI_systemes'!$D$7:$D$14,"Allégation écartée")</x:f>
        <x:v>0</x:v>
      </x:c>
      <x:c r="M33" s="38" t="n">
        <x:f>COUNTIFS('UI_systemes'!$E$7:$E$14,"P0")</x:f>
        <x:v>2</x:v>
      </x:c>
    </x:row>
    <x:row r="34" ht="22" customHeight="1">
      <x:c r="A34" s="33" t="str">
        <x:v>QA</x:v>
      </x:c>
      <x:c r="B34" s="37" t="n">
        <x:f>COUNTA('QA'!$A$7:$A$18)</x:f>
        <x:v>12</x:v>
      </x:c>
      <x:c r="C34" s="37" t="n">
        <x:f>COUNTIFS('QA'!$C$7:$C$18,"Défini")</x:f>
        <x:v>12</x:v>
      </x:c>
      <x:c r="D34" s="37" t="n">
        <x:f>COUNTIFS('QA'!$C$7:$C$18,"Prototype")</x:f>
        <x:v>0</x:v>
      </x:c>
      <x:c r="E34" s="37" t="n">
        <x:f>COUNTIFS('QA'!$C$7:$C$18,"Intégré")</x:f>
        <x:v>0</x:v>
      </x:c>
      <x:c r="F34" s="37" t="n">
        <x:f>COUNTIFS('QA'!$C$7:$C$18,"Validé")</x:f>
        <x:v>0</x:v>
      </x:c>
      <x:c r="G34" s="37" t="n">
        <x:f>COUNTIFS('QA'!$D$7:$D$18,"Établi")</x:f>
        <x:v>0</x:v>
      </x:c>
      <x:c r="H34" s="37" t="n">
        <x:f>COUNTIFS('QA'!$D$7:$D$18,"À vérifier")</x:f>
        <x:v>0</x:v>
      </x:c>
      <x:c r="I34" s="37" t="n">
        <x:f>COUNTIFS('QA'!$D$7:$D$18,"Extrapolation")</x:f>
        <x:v>12</x:v>
      </x:c>
      <x:c r="J34" s="37" t="n">
        <x:f>COUNTIFS('QA'!$D$7:$D$18,"Coupé attesté")</x:f>
        <x:v>0</x:v>
      </x:c>
      <x:c r="K34" s="37" t="n">
        <x:f>COUNTIFS('QA'!$D$7:$D$18,"Concept abandonné")</x:f>
        <x:v>0</x:v>
      </x:c>
      <x:c r="L34" s="37" t="n">
        <x:f>COUNTIFS('QA'!$D$7:$D$18,"Allégation écartée")</x:f>
        <x:v>0</x:v>
      </x:c>
      <x:c r="M34" s="37" t="n">
        <x:f>COUNTIFS('QA'!$E$7:$E$18,"P0")</x:f>
        <x:v>3</x:v>
      </x:c>
    </x:row>
    <x:row r="35" ht="22" customHeight="1">
      <x:c r="A35" s="2" t="str">
        <x:v>Continuité</x:v>
      </x:c>
      <x:c r="B35" s="38" t="n">
        <x:f>COUNTA('Continuite'!$A$7:$A$13)</x:f>
        <x:v>7</x:v>
      </x:c>
      <x:c r="C35" s="38" t="n">
        <x:f>COUNTIFS('Continuite'!$C$7:$C$13,"Défini")</x:f>
        <x:v>7</x:v>
      </x:c>
      <x:c r="D35" s="38" t="n">
        <x:f>COUNTIFS('Continuite'!$C$7:$C$13,"Prototype")</x:f>
        <x:v>0</x:v>
      </x:c>
      <x:c r="E35" s="38" t="n">
        <x:f>COUNTIFS('Continuite'!$C$7:$C$13,"Intégré")</x:f>
        <x:v>0</x:v>
      </x:c>
      <x:c r="F35" s="38" t="n">
        <x:f>COUNTIFS('Continuite'!$C$7:$C$13,"Validé")</x:f>
        <x:v>0</x:v>
      </x:c>
      <x:c r="G35" s="38" t="n">
        <x:f>COUNTIFS('Continuite'!$D$7:$D$13,"Établi")</x:f>
        <x:v>3</x:v>
      </x:c>
      <x:c r="H35" s="38" t="n">
        <x:f>COUNTIFS('Continuite'!$D$7:$D$13,"À vérifier")</x:f>
        <x:v>1</x:v>
      </x:c>
      <x:c r="I35" s="38" t="n">
        <x:f>COUNTIFS('Continuite'!$D$7:$D$13,"Extrapolation")</x:f>
        <x:v>3</x:v>
      </x:c>
      <x:c r="J35" s="38" t="n">
        <x:f>COUNTIFS('Continuite'!$D$7:$D$13,"Coupé attesté")</x:f>
        <x:v>0</x:v>
      </x:c>
      <x:c r="K35" s="38" t="n">
        <x:f>COUNTIFS('Continuite'!$D$7:$D$13,"Concept abandonné")</x:f>
        <x:v>0</x:v>
      </x:c>
      <x:c r="L35" s="38" t="n">
        <x:f>COUNTIFS('Continuite'!$D$7:$D$13,"Allégation écartée")</x:f>
        <x:v>0</x:v>
      </x:c>
      <x:c r="M35" s="38" t="n">
        <x:f>COUNTIFS('Continuite'!$E$7:$E$13,"P0")</x:f>
        <x:v>7</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158</x:v>
      </x:c>
      <x:c r="C37" s="39" t="n">
        <x:f>SUM(C10:C35)</x:f>
        <x:v>152</x:v>
      </x:c>
      <x:c r="D37" s="39" t="n">
        <x:f>SUM(D10:D35)</x:f>
        <x:v>6</x:v>
      </x:c>
      <x:c r="E37" s="39" t="n">
        <x:f>SUM(E10:E35)</x:f>
        <x:v>0</x:v>
      </x:c>
      <x:c r="F37" s="39" t="n">
        <x:f>SUM(F10:F35)</x:f>
        <x:v>0</x:v>
      </x:c>
      <x:c r="G37" s="39" t="n">
        <x:f>SUM(G10:G35)</x:f>
        <x:v>25</x:v>
      </x:c>
      <x:c r="H37" s="39" t="n">
        <x:f>SUM(H10:H35)</x:f>
        <x:v>1</x:v>
      </x:c>
      <x:c r="I37" s="39" t="n">
        <x:f>SUM(I10:I35)</x:f>
        <x:v>132</x:v>
      </x:c>
      <x:c r="J37" s="39" t="n">
        <x:f>SUM(J10:J35)</x:f>
        <x:v>0</x:v>
      </x:c>
      <x:c r="K37" s="39" t="n">
        <x:f>SUM(K10:K35)</x:f>
        <x:v>0</x:v>
      </x:c>
      <x:c r="L37" s="39" t="n">
        <x:f>SUM(L10:L35)</x:f>
        <x:v>0</x:v>
      </x:c>
      <x:c r="M37" s="39" t="n">
        <x:f>SUM(M10:M35)</x:f>
        <x:v>20</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Revelation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REV-CHR-ANDERSON</x:v>
      </x:c>
      <x:c r="B7" s="9" t="str">
        <x:v>David Anderson</x:v>
      </x:c>
      <x:c r="C7" s="15" t="str">
        <x:v>Défini</x:v>
      </x:c>
      <x:c r="D7" s="16" t="str">
        <x:v>Établi</x:v>
      </x:c>
      <x:c r="E7" s="16" t="str">
        <x:v>P1</x:v>
      </x:c>
      <x:c r="F7" s="9" t="str">
        <x:v>Officier de l’Alliance chargé d’enquêter sur Sidon.</x:v>
      </x:c>
      <x:c r="G7" s="9" t="str">
        <x:v>Référence narrative ; proposition visuelle et interaction dans les fiches liées.</x:v>
      </x:c>
      <x:c r="H7" s="9" t="str"/>
      <x:c r="I7" s="9" t="str"/>
      <x:c r="J7" s="9" t="str"/>
      <x:c r="K7" s="9" t="str"/>
      <x:c r="L7" s="9" t="str">
        <x:v>Réserver actor.rev.anderson ; rôle de référence : équipier.</x:v>
      </x:c>
      <x:c r="M7" s="9" t="str">
        <x:v>Conserver la trajectoire menant à Mass Effect : Anderson ne devient pas Spectre dans ce module et les intentions de Saren ne deviennent pas un savoir public anticipé.</x:v>
      </x:c>
      <x:c r="N7" s="9" t="str">
        <x:v>Nom, rôle et présence confirmés dans la source indiquée ; aucune compétence chiffrée déduite du roman.</x:v>
      </x:c>
      <x:c r="O7" s="9" t="str"/>
      <x:c r="P7" s="9" t="str">
        <x:v>Notice de personnage ou présentation de l’œuvre ; pas de chapitre attribué.</x:v>
      </x:c>
      <x:c r="Q7" s="9" t="str">
        <x:v>REV-SRC-PUB</x:v>
      </x:c>
      <x:c r="R7" s="9" t="str">
        <x:v>https://www.penguinrandomhouse.com/books/89889/mass-effect-revelation-by-drew-karpyshyn/</x:v>
      </x:c>
      <x:c r="S7" s="9" t="str">
        <x:v>Le costume proposé dans les fiches de production n’est pas un modèle officiel.</x:v>
      </x:c>
    </x:row>
    <x:row r="8" ht="68" customHeight="1">
      <x:c r="A8" s="19" t="str">
        <x:v>REV-CHR-KAHLEE</x:v>
      </x:c>
      <x:c r="B8" s="7" t="str">
        <x:v>Kahlee Sanders</x:v>
      </x:c>
      <x:c r="C8" s="15" t="str">
        <x:v>Défini</x:v>
      </x:c>
      <x:c r="D8" s="17" t="str">
        <x:v>Établi</x:v>
      </x:c>
      <x:c r="E8" s="17" t="str">
        <x:v>P1</x:v>
      </x:c>
      <x:c r="F8" s="7" t="str">
        <x:v>Scientifique recherchée après la destruction du poste de recherche.</x:v>
      </x:c>
      <x:c r="G8" s="7" t="str">
        <x:v>Référence narrative ; proposition visuelle et interaction dans les fiches liées.</x:v>
      </x:c>
      <x:c r="H8" s="7" t="str"/>
      <x:c r="I8" s="7" t="str"/>
      <x:c r="J8" s="7" t="str"/>
      <x:c r="K8" s="7" t="str"/>
      <x:c r="L8" s="7" t="str">
        <x:v>Réserver actor.rev.kahlee ; rôle de référence : équipier.</x:v>
      </x:c>
      <x:c r="M8" s="7" t="str">
        <x:v>Conserver la trajectoire menant à Mass Effect : Anderson ne devient pas Spectre dans ce module et les intentions de Saren ne deviennent pas un savoir public anticipé.</x:v>
      </x:c>
      <x:c r="N8" s="7" t="str">
        <x:v>Nom, rôle et présence confirmés dans la source indiquée ; aucune compétence chiffrée déduite du roman.</x:v>
      </x:c>
      <x:c r="O8" s="7" t="str"/>
      <x:c r="P8" s="7" t="str">
        <x:v>Notice de personnage ou présentation de l’œuvre ; pas de chapitre attribué.</x:v>
      </x:c>
      <x:c r="Q8" s="7" t="str">
        <x:v>REV-SRC-PUB</x:v>
      </x:c>
      <x:c r="R8" s="7" t="str">
        <x:v>https://www.penguinrandomhouse.com/books/89889/mass-effect-revelation-by-drew-karpyshyn/</x:v>
      </x:c>
      <x:c r="S8" s="7" t="str">
        <x:v>Le costume proposé dans les fiches de production n’est pas un modèle officiel.</x:v>
      </x:c>
    </x:row>
    <x:row r="9" ht="68" customHeight="1">
      <x:c r="A9" s="18" t="str">
        <x:v>REV-CHR-JILL</x:v>
      </x:c>
      <x:c r="B9" s="9" t="str">
        <x:v>Jill Dah</x:v>
      </x:c>
      <x:c r="C9" s="15" t="str">
        <x:v>Défini</x:v>
      </x:c>
      <x:c r="D9" s="16" t="str">
        <x:v>Établi</x:v>
      </x:c>
      <x:c r="E9" s="16" t="str">
        <x:v>P1</x:v>
      </x:c>
      <x:c r="F9" s="9" t="str">
        <x:v>Marine de l’Alliance présente dans l’équipe d’Anderson à Sidon.</x:v>
      </x:c>
      <x:c r="G9" s="9" t="str">
        <x:v>Référence narrative ; proposition visuelle et interaction dans les fiches liées.</x:v>
      </x:c>
      <x:c r="H9" s="9" t="str"/>
      <x:c r="I9" s="9" t="str"/>
      <x:c r="J9" s="9" t="str"/>
      <x:c r="K9" s="9" t="str"/>
      <x:c r="L9" s="9" t="str">
        <x:v>Réserver actor.rev.jill ; rôle de référence : équipier.</x:v>
      </x:c>
      <x:c r="M9" s="9" t="str">
        <x:v>Conserver la trajectoire menant à Mass Effect : Anderson ne devient pas Spectre dans ce module et les intentions de Saren ne deviennent pas un savoir public anticipé.</x:v>
      </x:c>
      <x:c r="N9" s="9" t="str">
        <x:v>Nom, rôle et présence confirmés dans la source indiquée ; aucune compétence chiffrée déduite du roman.</x:v>
      </x:c>
      <x:c r="O9" s="9" t="str"/>
      <x:c r="P9" s="9" t="str">
        <x:v>Notice de personnage ou présentation de l’œuvre ; pas de chapitre attribué.</x:v>
      </x:c>
      <x:c r="Q9" s="9" t="str">
        <x:v>REV-SRC-DAH</x:v>
      </x:c>
      <x:c r="R9" s="9" t="str">
        <x:v>https://masseffect.fandom.com/wiki/Jill_Dah</x:v>
      </x:c>
      <x:c r="S9" s="9" t="str">
        <x:v>Le costume proposé dans les fiches de production n’est pas un modèle officiel.</x:v>
      </x:c>
    </x:row>
  </x:sheetData>
  <x:conditionalFormatting sqref="D7:D9">
    <x:cfRule type="cellIs" dxfId="0" priority="1" operator="equal">
      <x:formula>"À vérifier"</x:formula>
    </x:cfRule>
    <x:cfRule type="cellIs" dxfId="1" priority="2" operator="equal">
      <x:formula>"Extrapolation"</x:formula>
    </x:cfRule>
  </x:conditionalFormatting>
  <x:conditionalFormatting sqref="C7:C9">
    <x:cfRule type="cellIs" dxfId="2" priority="3" operator="equal">
      <x:formula>"Validé"</x:formula>
    </x:cfRule>
  </x:conditionalFormatting>
  <x:conditionalFormatting sqref="E7:E9">
    <x:cfRule type="cellIs" dxfId="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1117ecf021f442e1"/>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Revelation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REV-CHR-SAREN</x:v>
      </x:c>
      <x:c r="B7" s="9" t="str">
        <x:v>Saren Arterius</x:v>
      </x:c>
      <x:c r="C7" s="15" t="str">
        <x:v>Défini</x:v>
      </x:c>
      <x:c r="D7" s="16" t="str">
        <x:v>Établi</x:v>
      </x:c>
      <x:c r="E7" s="16" t="str">
        <x:v>P1</x:v>
      </x:c>
      <x:c r="F7" s="9" t="str">
        <x:v>Spectre turien impliqué dans l’enquête et poursuivant ses propres objectifs.</x:v>
      </x:c>
      <x:c r="G7" s="9" t="str">
        <x:v>Référence narrative ; proposition visuelle et interaction dans les fiches liées.</x:v>
      </x:c>
      <x:c r="H7" s="9" t="str"/>
      <x:c r="I7" s="9" t="str"/>
      <x:c r="J7" s="9" t="str"/>
      <x:c r="K7" s="9" t="str"/>
      <x:c r="L7" s="9" t="str">
        <x:v>Réserver actor.rev.saren ; rôle de référence : interlocuteur.</x:v>
      </x:c>
      <x:c r="M7" s="9" t="str">
        <x:v>Conserver la trajectoire menant à Mass Effect : Anderson ne devient pas Spectre dans ce module et les intentions de Saren ne deviennent pas un savoir public anticipé.</x:v>
      </x:c>
      <x:c r="N7" s="9" t="str">
        <x:v>Nom, rôle et présence confirmés dans la source indiquée ; aucune compétence chiffrée déduite du roman.</x:v>
      </x:c>
      <x:c r="O7" s="9" t="str"/>
      <x:c r="P7" s="9" t="str">
        <x:v>Notice de personnage ou présentation de l’œuvre ; pas de chapitre attribué.</x:v>
      </x:c>
      <x:c r="Q7" s="9" t="str">
        <x:v>REV-SRC-WIKI</x:v>
      </x:c>
      <x:c r="R7" s="9" t="str">
        <x:v>https://masseffect.fandom.com/wiki/Mass_Effect:_Revelation</x:v>
      </x:c>
      <x:c r="S7" s="9" t="str">
        <x:v>Le costume proposé dans les fiches de production n’est pas un modèle officiel.</x:v>
      </x:c>
    </x:row>
    <x:row r="8" ht="68" customHeight="1">
      <x:c r="A8" s="19" t="str">
        <x:v>REV-CHR-SKARR</x:v>
      </x:c>
      <x:c r="B8" s="7" t="str">
        <x:v>Skarr</x:v>
      </x:c>
      <x:c r="C8" s="15" t="str">
        <x:v>Défini</x:v>
      </x:c>
      <x:c r="D8" s="17" t="str">
        <x:v>Établi</x:v>
      </x:c>
      <x:c r="E8" s="17" t="str">
        <x:v>P1</x:v>
      </x:c>
      <x:c r="F8" s="7" t="str">
        <x:v>Mercenaire krogan et puissant biotique engagé par Had’dah.</x:v>
      </x:c>
      <x:c r="G8" s="7" t="str">
        <x:v>Référence narrative ; proposition visuelle et interaction dans les fiches liées.</x:v>
      </x:c>
      <x:c r="H8" s="7" t="str"/>
      <x:c r="I8" s="7" t="str"/>
      <x:c r="J8" s="7" t="str"/>
      <x:c r="K8" s="7" t="str"/>
      <x:c r="L8" s="7" t="str">
        <x:v>Réserver actor.rev.skarr ; rôle de référence : adversaire.</x:v>
      </x:c>
      <x:c r="M8" s="7" t="str">
        <x:v>Conserver la trajectoire menant à Mass Effect : Anderson ne devient pas Spectre dans ce module et les intentions de Saren ne deviennent pas un savoir public anticipé.</x:v>
      </x:c>
      <x:c r="N8" s="7" t="str">
        <x:v>Nom, rôle et présence confirmés dans la source indiquée ; aucune compétence chiffrée déduite du roman.</x:v>
      </x:c>
      <x:c r="O8" s="7" t="str"/>
      <x:c r="P8" s="7" t="str">
        <x:v>Notice de personnage ou présentation de l’œuvre ; pas de chapitre attribué.</x:v>
      </x:c>
      <x:c r="Q8" s="7" t="str">
        <x:v>REV-SRC-SKARR</x:v>
      </x:c>
      <x:c r="R8" s="7" t="str">
        <x:v>https://masseffect.fandom.com/wiki/Skarr</x:v>
      </x:c>
      <x:c r="S8" s="7" t="str">
        <x:v>Le costume proposé dans les fiches de production n’est pas un modèle officiel.</x:v>
      </x:c>
    </x:row>
    <x:row r="9" ht="68" customHeight="1">
      <x:c r="A9" s="18" t="str">
        <x:v>REV-CHR-EDAN</x:v>
      </x:c>
      <x:c r="B9" s="9" t="str">
        <x:v>Edan Had’dah</x:v>
      </x:c>
      <x:c r="C9" s="15" t="str">
        <x:v>Défini</x:v>
      </x:c>
      <x:c r="D9" s="16" t="str">
        <x:v>Établi</x:v>
      </x:c>
      <x:c r="E9" s="16" t="str">
        <x:v>P1</x:v>
      </x:c>
      <x:c r="F9" s="9" t="str">
        <x:v>Commanditaire des opérations de Skarr liées à l’affaire Sidon.</x:v>
      </x:c>
      <x:c r="G9" s="9" t="str">
        <x:v>Référence narrative ; proposition visuelle et interaction dans les fiches liées.</x:v>
      </x:c>
      <x:c r="H9" s="9" t="str"/>
      <x:c r="I9" s="9" t="str"/>
      <x:c r="J9" s="9" t="str"/>
      <x:c r="K9" s="9" t="str"/>
      <x:c r="L9" s="9" t="str">
        <x:v>Réserver actor.rev.edan ; rôle de référence : interlocuteur.</x:v>
      </x:c>
      <x:c r="M9" s="9" t="str">
        <x:v>Conserver la trajectoire menant à Mass Effect : Anderson ne devient pas Spectre dans ce module et les intentions de Saren ne deviennent pas un savoir public anticipé.</x:v>
      </x:c>
      <x:c r="N9" s="9" t="str">
        <x:v>Nom, rôle et présence confirmés dans la source indiquée ; aucune compétence chiffrée déduite du roman.</x:v>
      </x:c>
      <x:c r="O9" s="9" t="str"/>
      <x:c r="P9" s="9" t="str">
        <x:v>Notice de personnage ou présentation de l’œuvre ; pas de chapitre attribué.</x:v>
      </x:c>
      <x:c r="Q9" s="9" t="str">
        <x:v>REV-SRC-SKARR</x:v>
      </x:c>
      <x:c r="R9" s="9" t="str">
        <x:v>https://masseffect.fandom.com/wiki/Skarr</x:v>
      </x:c>
      <x:c r="S9" s="9" t="str">
        <x:v>Le costume proposé dans les fiches de production n’est pas un modèle officiel.</x:v>
      </x:c>
    </x:row>
    <x:row r="10" ht="68" customHeight="1">
      <x:c r="A10" s="19" t="str">
        <x:v>REV-CHR-GRISSOM</x:v>
      </x:c>
      <x:c r="B10" s="7" t="str">
        <x:v>Jon Grissom</x:v>
      </x:c>
      <x:c r="C10" s="15" t="str">
        <x:v>Défini</x:v>
      </x:c>
      <x:c r="D10" s="17" t="str">
        <x:v>Établi</x:v>
      </x:c>
      <x:c r="E10" s="17" t="str">
        <x:v>P1</x:v>
      </x:c>
      <x:c r="F10" s="7" t="str">
        <x:v>Kahlee se réfugie chez lui sur Elysium.</x:v>
      </x:c>
      <x:c r="G10" s="7" t="str">
        <x:v>Référence narrative ; proposition visuelle et interaction dans les fiches liées.</x:v>
      </x:c>
      <x:c r="H10" s="7" t="str"/>
      <x:c r="I10" s="7" t="str"/>
      <x:c r="J10" s="7" t="str"/>
      <x:c r="K10" s="7" t="str"/>
      <x:c r="L10" s="7" t="str">
        <x:v>Réserver actor.rev.grissom ; rôle de référence : interlocuteur.</x:v>
      </x:c>
      <x:c r="M10" s="7" t="str">
        <x:v>Conserver la trajectoire menant à Mass Effect : Anderson ne devient pas Spectre dans ce module et les intentions de Saren ne deviennent pas un savoir public anticipé.</x:v>
      </x:c>
      <x:c r="N10" s="7" t="str">
        <x:v>Nom, rôle et présence confirmés dans la source indiquée ; aucune compétence chiffrée déduite du roman.</x:v>
      </x:c>
      <x:c r="O10" s="7" t="str"/>
      <x:c r="P10" s="7" t="str">
        <x:v>Notice de personnage ou présentation de l’œuvre ; pas de chapitre attribué.</x:v>
      </x:c>
      <x:c r="Q10" s="7" t="str">
        <x:v>REV-SRC-SKARR</x:v>
      </x:c>
      <x:c r="R10" s="7" t="str">
        <x:v>https://masseffect.fandom.com/wiki/Skarr</x:v>
      </x:c>
      <x:c r="S10" s="7" t="str">
        <x:v>Le costume proposé dans les fiches de production n’est pas un modèle officiel.</x:v>
      </x:c>
    </x:row>
    <x:row r="11" ht="68" customHeight="1">
      <x:c r="A11" s="18" t="str">
        <x:v>REV-CHR-JELLA</x:v>
      </x:c>
      <x:c r="B11" s="9" t="str">
        <x:v>Jella</x:v>
      </x:c>
      <x:c r="C11" s="15" t="str">
        <x:v>Défini</x:v>
      </x:c>
      <x:c r="D11" s="16" t="str">
        <x:v>Établi</x:v>
      </x:c>
      <x:c r="E11" s="16" t="str">
        <x:v>P1</x:v>
      </x:c>
      <x:c r="F11" s="9" t="str">
        <x:v>Contact de Had’dah dans l’installation Dah’tan.</x:v>
      </x:c>
      <x:c r="G11" s="9" t="str">
        <x:v>Référence narrative ; proposition visuelle et interaction dans les fiches liées.</x:v>
      </x:c>
      <x:c r="H11" s="9" t="str"/>
      <x:c r="I11" s="9" t="str"/>
      <x:c r="J11" s="9" t="str"/>
      <x:c r="K11" s="9" t="str"/>
      <x:c r="L11" s="9" t="str">
        <x:v>Réserver actor.rev.jella ; rôle de référence : interlocuteur.</x:v>
      </x:c>
      <x:c r="M11" s="9" t="str">
        <x:v>Conserver la trajectoire menant à Mass Effect : Anderson ne devient pas Spectre dans ce module et les intentions de Saren ne deviennent pas un savoir public anticipé.</x:v>
      </x:c>
      <x:c r="N11" s="9" t="str">
        <x:v>Nom, rôle et présence confirmés dans la source indiquée ; aucune compétence chiffrée déduite du roman.</x:v>
      </x:c>
      <x:c r="O11" s="9" t="str"/>
      <x:c r="P11" s="9" t="str">
        <x:v>Notice de personnage ou présentation de l’œuvre ; pas de chapitre attribué.</x:v>
      </x:c>
      <x:c r="Q11" s="9" t="str">
        <x:v>REV-SRC-JELLA</x:v>
      </x:c>
      <x:c r="R11" s="9" t="str">
        <x:v>https://masseffect.fandom.com/wiki/Jella</x:v>
      </x:c>
      <x:c r="S11" s="9" t="str">
        <x:v>Le costume proposé dans les fiches de production n’est pas un modèle officiel.</x:v>
      </x:c>
    </x:row>
    <x:row r="12" ht="68" customHeight="1">
      <x:c r="A12" s="19" t="str">
        <x:v>REV-CHR-QIAN</x:v>
      </x:c>
      <x:c r="B12" s="7" t="str">
        <x:v>Shu Qian</x:v>
      </x:c>
      <x:c r="C12" s="15" t="str">
        <x:v>Défini</x:v>
      </x:c>
      <x:c r="D12" s="17" t="str">
        <x:v>Établi</x:v>
      </x:c>
      <x:c r="E12" s="17" t="str">
        <x:v>P1</x:v>
      </x:c>
      <x:c r="F12" s="7" t="str">
        <x:v>Chercheur associé à l’enquête sur les activités de Sidon.</x:v>
      </x:c>
      <x:c r="G12" s="7" t="str">
        <x:v>Référence narrative ; proposition visuelle et interaction dans les fiches liées.</x:v>
      </x:c>
      <x:c r="H12" s="7" t="str"/>
      <x:c r="I12" s="7" t="str"/>
      <x:c r="J12" s="7" t="str"/>
      <x:c r="K12" s="7" t="str"/>
      <x:c r="L12" s="7" t="str">
        <x:v>Réserver actor.rev.qian ; rôle de référence : interlocuteur.</x:v>
      </x:c>
      <x:c r="M12" s="7" t="str">
        <x:v>Conserver la trajectoire menant à Mass Effect : Anderson ne devient pas Spectre dans ce module et les intentions de Saren ne deviennent pas un savoir public anticipé.</x:v>
      </x:c>
      <x:c r="N12" s="7" t="str">
        <x:v>Nom, rôle et présence confirmés dans la source indiquée ; aucune compétence chiffrée déduite du roman.</x:v>
      </x:c>
      <x:c r="O12" s="7" t="str"/>
      <x:c r="P12" s="7" t="str">
        <x:v>Notice de personnage ou présentation de l’œuvre ; pas de chapitre attribué.</x:v>
      </x:c>
      <x:c r="Q12" s="7" t="str">
        <x:v>REV-SRC-AND</x:v>
      </x:c>
      <x:c r="R12" s="7" t="str">
        <x:v>https://masseffect.fandom.com/wiki/David_Anderson</x:v>
      </x:c>
      <x:c r="S12" s="7" t="str">
        <x:v>Le costume proposé dans les fiches de production n’est pas un modèle officiel.</x:v>
      </x:c>
    </x:row>
    <x:row r="13" ht="68" customHeight="1">
      <x:c r="A13" s="18" t="str">
        <x:v>REV-CHR-GROTO</x:v>
      </x:c>
      <x:c r="B13" s="9" t="str">
        <x:v>Groto Ib-ba</x:v>
      </x:c>
      <x:c r="C13" s="15" t="str">
        <x:v>Défini</x:v>
      </x:c>
      <x:c r="D13" s="16" t="str">
        <x:v>Établi</x:v>
      </x:c>
      <x:c r="E13" s="16" t="str">
        <x:v>P1</x:v>
      </x:c>
      <x:c r="F13" s="9" t="str">
        <x:v>Intermédiaire interrogé par Saren dans sa recherche de Kahlee.</x:v>
      </x:c>
      <x:c r="G13" s="9" t="str">
        <x:v>Référence narrative ; proposition visuelle et interaction dans les fiches liées.</x:v>
      </x:c>
      <x:c r="H13" s="9" t="str"/>
      <x:c r="I13" s="9" t="str"/>
      <x:c r="J13" s="9" t="str"/>
      <x:c r="K13" s="9" t="str"/>
      <x:c r="L13" s="9" t="str">
        <x:v>Réserver actor.rev.groto ; rôle de référence : interlocuteur.</x:v>
      </x:c>
      <x:c r="M13" s="9" t="str">
        <x:v>Conserver la trajectoire menant à Mass Effect : Anderson ne devient pas Spectre dans ce module et les intentions de Saren ne deviennent pas un savoir public anticipé.</x:v>
      </x:c>
      <x:c r="N13" s="9" t="str">
        <x:v>Nom, rôle et présence confirmés dans la source indiquée ; aucune compétence chiffrée déduite du roman.</x:v>
      </x:c>
      <x:c r="O13" s="9" t="str"/>
      <x:c r="P13" s="9" t="str">
        <x:v>Notice de personnage ou présentation de l’œuvre ; pas de chapitre attribué.</x:v>
      </x:c>
      <x:c r="Q13" s="9" t="str">
        <x:v>REV-SRC-SAREN</x:v>
      </x:c>
      <x:c r="R13" s="9" t="str">
        <x:v>https://masseffect.fandom.com/wiki/Saren_Arterius</x:v>
      </x:c>
      <x:c r="S13" s="9" t="str">
        <x:v>Le costume proposé dans les fiches de production n’est pas un modèle officiel.</x:v>
      </x:c>
    </x:row>
  </x:sheetData>
  <x:conditionalFormatting sqref="D7:D13">
    <x:cfRule type="cellIs" dxfId="4" priority="1" operator="equal">
      <x:formula>"À vérifier"</x:formula>
    </x:cfRule>
    <x:cfRule type="cellIs" dxfId="5" priority="2" operator="equal">
      <x:formula>"Extrapolation"</x:formula>
    </x:cfRule>
  </x:conditionalFormatting>
  <x:conditionalFormatting sqref="C7:C13">
    <x:cfRule type="cellIs" dxfId="6" priority="3" operator="equal">
      <x:formula>"Validé"</x:formula>
    </x:cfRule>
  </x:conditionalFormatting>
  <x:conditionalFormatting sqref="E7:E13">
    <x:cfRule type="cellIs" dxfId="7"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0ef5039969f94cc7"/>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1"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Revelation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REV-REF-SUNS</x:v>
      </x:c>
      <x:c r="B7" s="9" t="str">
        <x:v>Soleils Bleus</x:v>
      </x:c>
      <x:c r="C7" s="15" t="str">
        <x:v>Prototype</x:v>
      </x:c>
      <x:c r="D7" s="16" t="str">
        <x:v>Établi</x:v>
      </x:c>
      <x:c r="E7" s="16" t="str">
        <x:v>P1</x:v>
      </x:c>
      <x:c r="F7" s="9" t="str">
        <x:v>Les mercenaires sont engagés par Had’dah lors de l’affaire Sidon.</x:v>
      </x:c>
      <x:c r="G7" s="9" t="str">
        <x:v>Ancrage documentaire du module ; aucune statistique officielle inférée.</x:v>
      </x:c>
      <x:c r="H7" s="9" t="str"/>
      <x:c r="I7" s="9" t="str"/>
      <x:c r="J7" s="9" t="str"/>
      <x:c r="K7" s="9" t="str"/>
      <x:c r="L7" s="9" t="str">
        <x:v>Référence documentaire REV-REF-SUNS consultable dans les lectures de src/chronicle-story.js, avec sources et progression séparée. Aucune scène, carte, animation ou incarnation de personnage n’est produite par cette fiche.</x:v>
      </x:c>
      <x:c r="M7" s="9" t="str">
        <x:v>Conserver la trajectoire menant à Mass Effect : Anderson ne devient pas Spectre dans ce module et les intentions de Saren ne deviennent pas un savoir public anticipé.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REV-SRC-BLUE</x:v>
      </x:c>
      <x:c r="R7" s="9" t="str">
        <x:v>https://masseffect.fandom.com/wiki/Blue_Suns</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REV-REF-ALLIANCE</x:v>
      </x:c>
      <x:c r="B8" s="7" t="str">
        <x:v>Alliance interstellaire</x:v>
      </x:c>
      <x:c r="C8" s="15" t="str">
        <x:v>Prototype</x:v>
      </x:c>
      <x:c r="D8" s="17" t="str">
        <x:v>Établi</x:v>
      </x:c>
      <x:c r="E8" s="17" t="str">
        <x:v>P1</x:v>
      </x:c>
      <x:c r="F8" s="7" t="str">
        <x:v>L’enquête d’Anderson concerne un poste militaire humain secret.</x:v>
      </x:c>
      <x:c r="G8" s="7" t="str">
        <x:v>Ancrage documentaire du module ; aucune statistique officielle inférée.</x:v>
      </x:c>
      <x:c r="H8" s="7" t="str"/>
      <x:c r="I8" s="7" t="str"/>
      <x:c r="J8" s="7" t="str"/>
      <x:c r="K8" s="7" t="str"/>
      <x:c r="L8" s="7" t="str">
        <x:v>Référence documentaire REV-REF-ALLIANCE consultable dans les lectures de src/chronicle-story.js, avec sources et progression séparée. Aucune scène, carte, animation ou incarnation de personnage n’est produite par cette fiche.</x:v>
      </x:c>
      <x:c r="M8" s="7" t="str">
        <x:v>Conserver la trajectoire menant à Mass Effect : Anderson ne devient pas Spectre dans ce module et les intentions de Saren ne deviennent pas un savoir public anticipé.</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REV-SRC-PUB</x:v>
      </x:c>
      <x:c r="R8" s="7" t="str">
        <x:v>https://www.penguinrandomhouse.com/books/89889/mass-effect-revelation-by-drew-karpyshyn/</x:v>
      </x:c>
      <x:c r="S8"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9" ht="82" customHeight="1">
      <x:c r="A9" s="18" t="str">
        <x:v>REV-REF-AI</x:v>
      </x:c>
      <x:c r="B9" s="9" t="str">
        <x:v>Recherche en intelligence artificielle</x:v>
      </x:c>
      <x:c r="C9" s="15" t="str">
        <x:v>Prototype</x:v>
      </x:c>
      <x:c r="D9" s="16" t="str">
        <x:v>Établi</x:v>
      </x:c>
      <x:c r="E9" s="16" t="str">
        <x:v>P1</x:v>
      </x:c>
      <x:c r="F9" s="9" t="str">
        <x:v>La position galactique sur les IA est un enjeu du roman.</x:v>
      </x:c>
      <x:c r="G9" s="9" t="str">
        <x:v>Ancrage documentaire du module ; aucune statistique officielle inférée.</x:v>
      </x:c>
      <x:c r="H9" s="9" t="str"/>
      <x:c r="I9" s="9" t="str"/>
      <x:c r="J9" s="9" t="str"/>
      <x:c r="K9" s="9" t="str"/>
      <x:c r="L9" s="9" t="str">
        <x:v>Référence documentaire REV-REF-AI consultable dans les lectures de src/chronicle-story.js, avec sources et progression séparée. Aucune scène, carte, animation ou incarnation de personnage n’est produite par cette fiche.</x:v>
      </x:c>
      <x:c r="M9" s="9" t="str">
        <x:v>Conserver la trajectoire menant à Mass Effect : Anderson ne devient pas Spectre dans ce module et les intentions de Saren ne deviennent pas un savoir public anticipé.</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REV-SRC-WIKI</x:v>
      </x:c>
      <x:c r="R9" s="9" t="str">
        <x:v>https://masseffect.fandom.com/wiki/Mass_Effect:_Revelation</x:v>
      </x:c>
      <x:c r="S9"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9">
    <x:cfRule type="cellIs" dxfId="8" priority="1" operator="equal">
      <x:formula>"À vérifier"</x:formula>
    </x:cfRule>
    <x:cfRule type="cellIs" dxfId="9" priority="2" operator="equal">
      <x:formula>"Extrapolation"</x:formula>
    </x:cfRule>
  </x:conditionalFormatting>
  <x:conditionalFormatting sqref="C7:C9">
    <x:cfRule type="cellIs" dxfId="10" priority="3" operator="equal">
      <x:formula>"Validé"</x:formula>
    </x:cfRule>
  </x:conditionalFormatting>
  <x:conditionalFormatting sqref="E7:E9">
    <x:cfRule type="cellIs" dxfId="1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c96b6d353ad84798"/>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Revelation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REV-REF-SIDON</x:v>
      </x:c>
      <x:c r="B7" s="9" t="str">
        <x:v>Sidon</x:v>
      </x:c>
      <x:c r="C7" s="15" t="str">
        <x:v>Prototype</x:v>
      </x:c>
      <x:c r="D7" s="16" t="str">
        <x:v>Établi</x:v>
      </x:c>
      <x:c r="E7" s="16" t="str">
        <x:v>P1</x:v>
      </x:c>
      <x:c r="F7" s="9" t="str">
        <x:v>Le poste scientifique détruit de l’enquête se trouve sur Sidon.</x:v>
      </x:c>
      <x:c r="G7" s="9" t="str">
        <x:v>Ancrage documentaire du module ; aucune statistique officielle inférée.</x:v>
      </x:c>
      <x:c r="H7" s="9" t="str"/>
      <x:c r="I7" s="9" t="str"/>
      <x:c r="J7" s="9" t="str"/>
      <x:c r="K7" s="9" t="str"/>
      <x:c r="L7" s="9" t="str">
        <x:v>Référence documentaire REV-REF-SIDON consultable dans les lectures de src/chronicle-story.js, avec sources et progression séparée. Aucune scène, carte, animation ou incarnation de personnage n’est produite par cette fiche.</x:v>
      </x:c>
      <x:c r="M7" s="9" t="str">
        <x:v>Conserver la trajectoire menant à Mass Effect : Anderson ne devient pas Spectre dans ce module et les intentions de Saren ne deviennent pas un savoir public anticipé.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REV-SRC-WIKI</x:v>
      </x:c>
      <x:c r="R7" s="9" t="str">
        <x:v>https://masseffect.fandom.com/wiki/Mass_Effect:_Revelation</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REV-REF-ELYSIUM</x:v>
      </x:c>
      <x:c r="B8" s="7" t="str">
        <x:v>Elysium</x:v>
      </x:c>
      <x:c r="C8" s="15" t="str">
        <x:v>Prototype</x:v>
      </x:c>
      <x:c r="D8" s="17" t="str">
        <x:v>Établi</x:v>
      </x:c>
      <x:c r="E8" s="17" t="str">
        <x:v>P1</x:v>
      </x:c>
      <x:c r="F8" s="7" t="str">
        <x:v>Le refuge de Grissom et Kahlee se situe sur Elysium.</x:v>
      </x:c>
      <x:c r="G8" s="7" t="str">
        <x:v>Ancrage documentaire du module ; aucune statistique officielle inférée.</x:v>
      </x:c>
      <x:c r="H8" s="7" t="str"/>
      <x:c r="I8" s="7" t="str"/>
      <x:c r="J8" s="7" t="str"/>
      <x:c r="K8" s="7" t="str"/>
      <x:c r="L8" s="7" t="str">
        <x:v>Référence documentaire REV-REF-ELYSIUM consultable dans les lectures de src/chronicle-story.js, avec sources et progression séparée. Aucune scène, carte, animation ou incarnation de personnage n’est produite par cette fiche.</x:v>
      </x:c>
      <x:c r="M8" s="7" t="str">
        <x:v>Conserver la trajectoire menant à Mass Effect : Anderson ne devient pas Spectre dans ce module et les intentions de Saren ne deviennent pas un savoir public anticipé.</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REV-SRC-SKARR</x:v>
      </x:c>
      <x:c r="R8" s="7" t="str">
        <x:v>https://masseffect.fandom.com/wiki/Skarr</x:v>
      </x:c>
      <x:c r="S8"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9" ht="82" customHeight="1">
      <x:c r="A9" s="18" t="str">
        <x:v>REV-REF-CAMALA</x:v>
      </x:c>
      <x:c r="B9" s="9" t="str">
        <x:v>Camala</x:v>
      </x:c>
      <x:c r="C9" s="15" t="str">
        <x:v>Prototype</x:v>
      </x:c>
      <x:c r="D9" s="16" t="str">
        <x:v>Établi</x:v>
      </x:c>
      <x:c r="E9" s="16" t="str">
        <x:v>P1</x:v>
      </x:c>
      <x:c r="F9" s="9" t="str">
        <x:v>Dah’tan Manufacturing se trouve sur Camala.</x:v>
      </x:c>
      <x:c r="G9" s="9" t="str">
        <x:v>Ancrage documentaire du module ; aucune statistique officielle inférée.</x:v>
      </x:c>
      <x:c r="H9" s="9" t="str"/>
      <x:c r="I9" s="9" t="str"/>
      <x:c r="J9" s="9" t="str"/>
      <x:c r="K9" s="9" t="str"/>
      <x:c r="L9" s="9" t="str">
        <x:v>Référence documentaire REV-REF-CAMALA consultable dans les lectures de src/chronicle-story.js, avec sources et progression séparée. Aucune scène, carte, animation ou incarnation de personnage n’est produite par cette fiche.</x:v>
      </x:c>
      <x:c r="M9" s="9" t="str">
        <x:v>Conserver la trajectoire menant à Mass Effect : Anderson ne devient pas Spectre dans ce module et les intentions de Saren ne deviennent pas un savoir public anticipé.</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REV-SRC-SKARR</x:v>
      </x:c>
      <x:c r="R9" s="9" t="str">
        <x:v>https://masseffect.fandom.com/wiki/Skarr</x:v>
      </x:c>
      <x:c r="S9"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10" ht="68" customHeight="1">
      <x:c r="A10" s="19" t="str">
        <x:v>REV-REF-CITADEL</x:v>
      </x:c>
      <x:c r="B10" s="7" t="str">
        <x:v>Citadelle</x:v>
      </x:c>
      <x:c r="C10" s="15" t="str">
        <x:v>Défini</x:v>
      </x:c>
      <x:c r="D10" s="17" t="str">
        <x:v>Établi</x:v>
      </x:c>
      <x:c r="E10" s="17" t="str">
        <x:v>P1</x:v>
      </x:c>
      <x:c r="F10" s="7" t="str">
        <x:v>Le roman aborde la Citadelle et les rapports entre espèces conciliennes.</x:v>
      </x:c>
      <x:c r="G10" s="7" t="str">
        <x:v>Ancrage documentaire du module ; aucune statistique officielle inférée.</x:v>
      </x:c>
      <x:c r="H10" s="7" t="str"/>
      <x:c r="I10" s="7" t="str"/>
      <x:c r="J10" s="7" t="str"/>
      <x:c r="K10" s="7" t="str"/>
      <x:c r="L10" s="7" t="str">
        <x:v>Codex ref.rev.citadel ; affichage bref avec source.</x:v>
      </x:c>
      <x:c r="M10" s="7" t="str">
        <x:v>Conserver la trajectoire menant à Mass Effect : Anderson ne devient pas Spectre dans ce module et les intentions de Saren ne deviennent pas un savoir public anticipé.</x:v>
      </x:c>
      <x:c r="N10" s="7" t="str">
        <x:v>La source citée atteste précisément cet élément ; modèle, plan détaillé et valeur de combat restent séparés.</x:v>
      </x:c>
      <x:c r="O10" s="7" t="str"/>
      <x:c r="P10" s="7" t="str">
        <x:v>Rubrique consultée ou synopsis éditorial ; localisation précise dans l’œuvre à relever.</x:v>
      </x:c>
      <x:c r="Q10" s="7" t="str">
        <x:v>REV-SRC-WIKI</x:v>
      </x:c>
      <x:c r="R10" s="7" t="str">
        <x:v>https://masseffect.fandom.com/wiki/Mass_Effect:_Revelation</x:v>
      </x:c>
      <x:c r="S10" s="7" t="str">
        <x:v>Ce relevé n’est ni un inventaire exhaustif ni un résumé scène par scène.</x:v>
      </x:c>
    </x:row>
  </x:sheetData>
  <x:conditionalFormatting sqref="D7:D10">
    <x:cfRule type="cellIs" dxfId="12" priority="1" operator="equal">
      <x:formula>"À vérifier"</x:formula>
    </x:cfRule>
    <x:cfRule type="cellIs" dxfId="13" priority="2" operator="equal">
      <x:formula>"Extrapolation"</x:formula>
    </x:cfRule>
  </x:conditionalFormatting>
  <x:conditionalFormatting sqref="C7:C10">
    <x:cfRule type="cellIs" dxfId="14" priority="3" operator="equal">
      <x:formula>"Validé"</x:formula>
    </x:cfRule>
  </x:conditionalFormatting>
  <x:conditionalFormatting sqref="E7:E10">
    <x:cfRule type="cellIs" dxfId="1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9aff43667d404470"/>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Revelation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REV-MAP-SIDON</x:v>
      </x:c>
      <x:c r="B7" s="9" t="str">
        <x:v>Périmètre de Sidon — carte proposée</x:v>
      </x:c>
      <x:c r="C7" s="15" t="str">
        <x:v>Défini</x:v>
      </x:c>
      <x:c r="D7" s="16" t="str">
        <x:v>Extrapolation</x:v>
      </x:c>
      <x:c r="E7" s="16" t="str">
        <x:v>P1</x:v>
      </x:c>
      <x:c r="F7" s="9" t="str">
        <x:v>Bloc de niveau original autour de Périmètre de Sidon. Le plan n’est pas fourni par la source.</x:v>
      </x:c>
      <x:c r="G7" s="9" t="str">
        <x:v>Décor 3D à caméra fixe et personnages sprites. Vestibule détruit, embranchement vers laboratoire et sortie de secours.</x:v>
      </x:c>
      <x:c r="H7" s="9" t="str">
        <x:v>Des conduites instables coupent temporairement une ligne de passage. Les passages importants restent accessibles en mode pause tactique.</x:v>
      </x:c>
      <x:c r="I7" s="9" t="str">
        <x:v>Plaques brûlées, éclairage de balisage, silhouettes de structures sans gore détaillé. Séparer sol praticable, couvert et fond par valeur lumineuse.</x:v>
      </x:c>
      <x:c r="J7" s="9" t="str">
        <x:v>Occlusion douce des parois devant le groupe ; portes synchronisées avec les collisions.</x:v>
      </x:c>
      <x:c r="K7" s="9" t="str">
        <x:v>Bruits militaires secs et ambiance industrielle retenue. Un signal directionnel accompagne le danger local, doublé par une icône.</x:v>
      </x:c>
      <x:c r="L7" s="9" t="str">
        <x:v>maps/rev/sidon.scene ; navmesh, colliders, ancrages d’entrée et sorties nommés.</x:v>
      </x:c>
      <x:c r="M7" s="9" t="str">
        <x:v>Quitter seulement lorsque le lot d’indices local est consigné.</x:v>
      </x:c>
      <x:c r="N7" s="9" t="str">
        <x:v>Entrée, objectif et sortie sont reliés sans traverser une collision ; lisibilité des sprites aux carrefours.</x:v>
      </x:c>
      <x:c r="O7" s="9" t="str"/>
      <x:c r="P7" s="9" t="str"/>
      <x:c r="Q7" s="9" t="str"/>
      <x:c r="R7" s="9" t="str"/>
      <x:c r="S7" s="9" t="str">
        <x:v>Dimensions, connexions et accessoires de cette carte sont des propositions originales.</x:v>
      </x:c>
    </x:row>
    <x:row r="8" ht="54" customHeight="1">
      <x:c r="A8" s="19" t="str">
        <x:v>REV-MAP-HASTINGS</x:v>
      </x:c>
      <x:c r="B8" s="7" t="str">
        <x:v>Espace de débrief du Hastings — carte proposée</x:v>
      </x:c>
      <x:c r="C8" s="15" t="str">
        <x:v>Défini</x:v>
      </x:c>
      <x:c r="D8" s="17" t="str">
        <x:v>Extrapolation</x:v>
      </x:c>
      <x:c r="E8" s="17" t="str">
        <x:v>P1</x:v>
      </x:c>
      <x:c r="F8" s="7" t="str">
        <x:v>Bloc de niveau original autour de Espace de débrief du Hastings. Le plan n’est pas fourni par la source.</x:v>
      </x:c>
      <x:c r="G8" s="7" t="str">
        <x:v>Décor 3D à caméra fixe et personnages sprites. Petit hub séparant poste tactique, soins et accès navette.</x:v>
      </x:c>
      <x:c r="H8" s="7" t="str">
        <x:v>Les soins et le débrief consomment du temps de préparation simulé. Les passages importants restent accessibles en mode pause tactique.</x:v>
      </x:c>
      <x:c r="I8" s="7" t="str">
        <x:v>Métal bleu froid, sièges militaires, casiers personnalisés avec parcimonie. Séparer sol praticable, couvert et fond par valeur lumineuse.</x:v>
      </x:c>
      <x:c r="J8" s="7" t="str">
        <x:v>Occlusion douce des parois devant le groupe ; portes synchronisées avec les collisions.</x:v>
      </x:c>
      <x:c r="K8" s="7" t="str">
        <x:v>Bruits militaires secs et ambiance industrielle retenue. Un signal directionnel accompagne le danger local, doublé par une icône.</x:v>
      </x:c>
      <x:c r="L8" s="7" t="str">
        <x:v>maps/rev/hastings.scene ; navmesh, colliders, ancrages d’entrée et sorties nommés.</x:v>
      </x:c>
      <x:c r="M8" s="7" t="str">
        <x:v>Aucun voyage libre hors des étapes prévues.</x:v>
      </x:c>
      <x:c r="N8" s="7" t="str">
        <x:v>Entrée, objectif et sortie sont reliés sans traverser une collision ; lisibilité des sprites aux carrefours.</x:v>
      </x:c>
      <x:c r="O8" s="7" t="str"/>
      <x:c r="P8" s="7" t="str"/>
      <x:c r="Q8" s="7" t="str"/>
      <x:c r="R8" s="7" t="str"/>
      <x:c r="S8" s="7" t="str">
        <x:v>Dimensions, connexions et accessoires de cette carte sont des propositions originales.</x:v>
      </x:c>
    </x:row>
    <x:row r="9" ht="54" customHeight="1">
      <x:c r="A9" s="18" t="str">
        <x:v>REV-MAP-CITADEL</x:v>
      </x:c>
      <x:c r="B9" s="9" t="str">
        <x:v>Accueil concilien proposé — carte proposée</x:v>
      </x:c>
      <x:c r="C9" s="15" t="str">
        <x:v>Défini</x:v>
      </x:c>
      <x:c r="D9" s="16" t="str">
        <x:v>Extrapolation</x:v>
      </x:c>
      <x:c r="E9" s="16" t="str">
        <x:v>P1</x:v>
      </x:c>
      <x:c r="F9" s="9" t="str">
        <x:v>Bloc de niveau original autour de Accueil concilien proposé. Le plan n’est pas fourni par la source.</x:v>
      </x:c>
      <x:c r="G9" s="9" t="str">
        <x:v>Décor 3D à caméra fixe et personnages sprites. Hall public, antichambre et bureau de consultation reliés par deux itinéraires.</x:v>
      </x:c>
      <x:c r="H9" s="9" t="str">
        <x:v>Un contrôle d’autorisation remplace un verrou de combat. Les passages importants restent accessibles en mode pause tactique.</x:v>
      </x:c>
      <x:c r="I9" s="9" t="str">
        <x:v>Volumes propres et interfaces multilingues ; signalétique originale. Séparer sol praticable, couvert et fond par valeur lumineuse.</x:v>
      </x:c>
      <x:c r="J9" s="9" t="str">
        <x:v>Occlusion douce des parois devant le groupe ; portes synchronisées avec les collisions.</x:v>
      </x:c>
      <x:c r="K9" s="9" t="str">
        <x:v>Bruits militaires secs et ambiance industrielle retenue. Un signal directionnel accompagne le danger local, doublé par une icône.</x:v>
      </x:c>
      <x:c r="L9" s="9" t="str">
        <x:v>maps/rev/citadel.scene ; navmesh, colliders, ancrages d’entrée et sorties nommés.</x:v>
      </x:c>
      <x:c r="M9" s="9" t="str">
        <x:v>Accès au bureau après enregistrement du dossier.</x:v>
      </x:c>
      <x:c r="N9" s="9" t="str">
        <x:v>Entrée, objectif et sortie sont reliés sans traverser une collision ; lisibilité des sprites aux carrefours.</x:v>
      </x:c>
      <x:c r="O9" s="9" t="str"/>
      <x:c r="P9" s="9" t="str"/>
      <x:c r="Q9" s="9" t="str"/>
      <x:c r="R9" s="9" t="str"/>
      <x:c r="S9" s="9" t="str">
        <x:v>Dimensions, connexions et accessoires de cette carte sont des propositions originales.</x:v>
      </x:c>
    </x:row>
    <x:row r="10" ht="54" customHeight="1">
      <x:c r="A10" s="19" t="str">
        <x:v>REV-MAP-ELYSIUM</x:v>
      </x:c>
      <x:c r="B10" s="7" t="str">
        <x:v>Abords du refuge — carte proposée</x:v>
      </x:c>
      <x:c r="C10" s="15" t="str">
        <x:v>Défini</x:v>
      </x:c>
      <x:c r="D10" s="17" t="str">
        <x:v>Extrapolation</x:v>
      </x:c>
      <x:c r="E10" s="17" t="str">
        <x:v>P1</x:v>
      </x:c>
      <x:c r="F10" s="7" t="str">
        <x:v>Bloc de niveau original autour de Abords du refuge. Le plan n’est pas fourni par la source.</x:v>
      </x:c>
      <x:c r="G10" s="7" t="str">
        <x:v>Décor 3D à caméra fixe et personnages sprites. Maison compacte, jardin latéral et voie de dégagement.</x:v>
      </x:c>
      <x:c r="H10" s="7" t="str">
        <x:v>L’escorte doit éviter une ligne de tir annoncée. Les passages importants restent accessibles en mode pause tactique.</x:v>
      </x:c>
      <x:c r="I10" s="7" t="str">
        <x:v>Végétation domestique, mobilier habité, clôtures basses. Séparer sol praticable, couvert et fond par valeur lumineuse.</x:v>
      </x:c>
      <x:c r="J10" s="7" t="str">
        <x:v>Occlusion douce des parois devant le groupe ; portes synchronisées avec les collisions.</x:v>
      </x:c>
      <x:c r="K10" s="7" t="str">
        <x:v>Bruits militaires secs et ambiance industrielle retenue. Un signal directionnel accompagne le danger local, doublé par une icône.</x:v>
      </x:c>
      <x:c r="L10" s="7" t="str">
        <x:v>maps/rev/elysium.scene ; navmesh, colliders, ancrages d’entrée et sorties nommés.</x:v>
      </x:c>
      <x:c r="M10" s="7" t="str">
        <x:v>Préserver les personnes requises par la continuité.</x:v>
      </x:c>
      <x:c r="N10" s="7" t="str">
        <x:v>Entrée, objectif et sortie sont reliés sans traverser une collision ; lisibilité des sprites aux carrefours.</x:v>
      </x:c>
      <x:c r="O10" s="7" t="str"/>
      <x:c r="P10" s="7" t="str"/>
      <x:c r="Q10" s="7" t="str"/>
      <x:c r="R10" s="7" t="str"/>
      <x:c r="S10" s="7" t="str">
        <x:v>Dimensions, connexions et accessoires de cette carte sont des propositions originales.</x:v>
      </x:c>
    </x:row>
    <x:row r="11" ht="54" customHeight="1">
      <x:c r="A11" s="18" t="str">
        <x:v>REV-MAP-CAMALA</x:v>
      </x:c>
      <x:c r="B11" s="9" t="str">
        <x:v>Débarcadère industriel — carte proposée</x:v>
      </x:c>
      <x:c r="C11" s="15" t="str">
        <x:v>Défini</x:v>
      </x:c>
      <x:c r="D11" s="16" t="str">
        <x:v>Extrapolation</x:v>
      </x:c>
      <x:c r="E11" s="16" t="str">
        <x:v>P1</x:v>
      </x:c>
      <x:c r="F11" s="9" t="str">
        <x:v>Bloc de niveau original autour de Débarcadère industriel. Le plan n’est pas fourni par la source.</x:v>
      </x:c>
      <x:c r="G11" s="9" t="str">
        <x:v>Décor 3D à caméra fixe et personnages sprites. Quai, contrôle cargo et passage couvert vers le complexe.</x:v>
      </x:c>
      <x:c r="H11" s="9" t="str">
        <x:v>Portes de service alternant selon l’état des équipements. Les passages importants restent accessibles en mode pause tactique.</x:v>
      </x:c>
      <x:c r="I11" s="9" t="str">
        <x:v>Atmosphère de travail, palettes, panneaux de manutention. Séparer sol praticable, couvert et fond par valeur lumineuse.</x:v>
      </x:c>
      <x:c r="J11" s="9" t="str">
        <x:v>Occlusion douce des parois devant le groupe ; portes synchronisées avec les collisions.</x:v>
      </x:c>
      <x:c r="K11" s="9" t="str">
        <x:v>Bruits militaires secs et ambiance industrielle retenue. Un signal directionnel accompagne le danger local, doublé par une icône.</x:v>
      </x:c>
      <x:c r="L11" s="9" t="str">
        <x:v>maps/rev/camala.scene ; navmesh, colliders, ancrages d’entrée et sorties nommés.</x:v>
      </x:c>
      <x:c r="M11" s="9" t="str">
        <x:v>Départ conditionné par un accès industriel acquis.</x:v>
      </x:c>
      <x:c r="N11" s="9" t="str">
        <x:v>Entrée, objectif et sortie sont reliés sans traverser une collision ; lisibilité des sprites aux carrefours.</x:v>
      </x:c>
      <x:c r="O11" s="9" t="str"/>
      <x:c r="P11" s="9" t="str"/>
      <x:c r="Q11" s="9" t="str"/>
      <x:c r="R11" s="9" t="str"/>
      <x:c r="S11" s="9" t="str">
        <x:v>Dimensions, connexions et accessoires de cette carte sont des propositions originales.</x:v>
      </x:c>
    </x:row>
    <x:row r="12" ht="54" customHeight="1">
      <x:c r="A12" s="19" t="str">
        <x:v>REV-MAP-DAHTAN</x:v>
      </x:c>
      <x:c r="B12" s="7" t="str">
        <x:v>Annexe de Dah’tan — carte proposée</x:v>
      </x:c>
      <x:c r="C12" s="15" t="str">
        <x:v>Défini</x:v>
      </x:c>
      <x:c r="D12" s="17" t="str">
        <x:v>Extrapolation</x:v>
      </x:c>
      <x:c r="E12" s="17" t="str">
        <x:v>P1</x:v>
      </x:c>
      <x:c r="F12" s="7" t="str">
        <x:v>Bloc de niveau original autour de Annexe de Dah’tan. Le plan n’est pas fourni par la source.</x:v>
      </x:c>
      <x:c r="G12" s="7" t="str">
        <x:v>Décor 3D à caméra fixe et personnages sprites. Atelier central, passerelle latérale et salle de registres.</x:v>
      </x:c>
      <x:c r="H12" s="7" t="str">
        <x:v>Comparer l’indice de sécurité au journal local avant activation. Les passages importants restent accessibles en mode pause tactique.</x:v>
      </x:c>
      <x:c r="I12" s="7" t="str">
        <x:v>Machines interrompues, verrières ternies, conduits lourds. Séparer sol praticable, couvert et fond par valeur lumineuse.</x:v>
      </x:c>
      <x:c r="J12" s="7" t="str">
        <x:v>Occlusion douce des parois devant le groupe ; portes synchronisées avec les collisions.</x:v>
      </x:c>
      <x:c r="K12" s="7" t="str">
        <x:v>Bruits militaires secs et ambiance industrielle retenue. Un signal directionnel accompagne le danger local, doublé par une icône.</x:v>
      </x:c>
      <x:c r="L12" s="7" t="str">
        <x:v>maps/rev/dahtan.scene ; navmesh, colliders, ancrages d’entrée et sorties nommés.</x:v>
      </x:c>
      <x:c r="M12" s="7" t="str">
        <x:v>La carte est une extension originale, sans plan canonique prétendu.</x:v>
      </x:c>
      <x:c r="N12" s="7" t="str">
        <x:v>Entrée, objectif et sortie sont reliés sans traverser une collision ; lisibilité des sprites aux carrefours.</x:v>
      </x:c>
      <x:c r="O12" s="7" t="str"/>
      <x:c r="P12" s="7" t="str"/>
      <x:c r="Q12" s="7" t="str"/>
      <x:c r="R12" s="7" t="str"/>
      <x:c r="S12" s="7" t="str">
        <x:v>Dimensions, connexions et accessoires de cette carte sont des propositions originales.</x:v>
      </x:c>
    </x:row>
    <x:row r="13" ht="54" customHeight="1">
      <x:c r="A13" s="18" t="str">
        <x:v>REV-MAP-CONVOY</x:v>
      </x:c>
      <x:c r="B13" s="9" t="str">
        <x:v>Couloir de transfert — carte proposée</x:v>
      </x:c>
      <x:c r="C13" s="15" t="str">
        <x:v>Défini</x:v>
      </x:c>
      <x:c r="D13" s="16" t="str">
        <x:v>Extrapolation</x:v>
      </x:c>
      <x:c r="E13" s="16" t="str">
        <x:v>P1</x:v>
      </x:c>
      <x:c r="F13" s="9" t="str">
        <x:v>Bloc de niveau original autour de Couloir de transfert. Le plan n’est pas fourni par la source.</x:v>
      </x:c>
      <x:c r="G13" s="9" t="str">
        <x:v>Décor 3D à caméra fixe et personnages sprites. Route encaissée avec deux abris et passage technique.</x:v>
      </x:c>
      <x:c r="H13" s="9" t="str">
        <x:v>Fenêtres de traversée sous pression ennemie proposée. Les passages importants restent accessibles en mode pause tactique.</x:v>
      </x:c>
      <x:c r="I13" s="9" t="str">
        <x:v>Rover de transport stylisé, relief sec, signalétique de convoi. Séparer sol praticable, couvert et fond par valeur lumineuse.</x:v>
      </x:c>
      <x:c r="J13" s="9" t="str">
        <x:v>Occlusion douce des parois devant le groupe ; portes synchronisées avec les collisions.</x:v>
      </x:c>
      <x:c r="K13" s="9" t="str">
        <x:v>Bruits militaires secs et ambiance industrielle retenue. Un signal directionnel accompagne le danger local, doublé par une icône.</x:v>
      </x:c>
      <x:c r="L13" s="9" t="str">
        <x:v>maps/rev/convoy.scene ; navmesh, colliders, ancrages d’entrée et sorties nommés.</x:v>
      </x:c>
      <x:c r="M13" s="9" t="str">
        <x:v>Le convoi ne devient pas une route d’évasion alternative canonique.</x:v>
      </x:c>
      <x:c r="N13" s="9" t="str">
        <x:v>Entrée, objectif et sortie sont reliés sans traverser une collision ; lisibilité des sprites aux carrefours.</x:v>
      </x:c>
      <x:c r="O13" s="9" t="str"/>
      <x:c r="P13" s="9" t="str"/>
      <x:c r="Q13" s="9" t="str"/>
      <x:c r="R13" s="9" t="str"/>
      <x:c r="S13" s="9" t="str">
        <x:v>Dimensions, connexions et accessoires de cette carte sont des propositions originales.</x:v>
      </x:c>
    </x:row>
    <x:row r="14" ht="54" customHeight="1">
      <x:c r="A14" s="19" t="str">
        <x:v>REV-MAP-REFINERY</x:v>
      </x:c>
      <x:c r="B14" s="7" t="str">
        <x:v>Secteur de raffinerie — carte proposée</x:v>
      </x:c>
      <x:c r="C14" s="15" t="str">
        <x:v>Défini</x:v>
      </x:c>
      <x:c r="D14" s="17" t="str">
        <x:v>Extrapolation</x:v>
      </x:c>
      <x:c r="E14" s="17" t="str">
        <x:v>P1</x:v>
      </x:c>
      <x:c r="F14" s="7" t="str">
        <x:v>Bloc de niveau original autour de Secteur de raffinerie. Le plan n’est pas fourni par la source.</x:v>
      </x:c>
      <x:c r="G14" s="7" t="str">
        <x:v>Décor 3D à caméra fixe et personnages sprites. Coursive de service, aire de pompage, porte d’extraction.</x:v>
      </x:c>
      <x:c r="H14" s="7" t="str">
        <x:v>Énergie des pompes à redistribuer pour ouvrir l’extraction. Les passages importants restent accessibles en mode pause tactique.</x:v>
      </x:c>
      <x:c r="I14" s="7" t="str">
        <x:v>Cuves, vapeur contrôlée, grandes poutres et bassins masqués. Séparer sol praticable, couvert et fond par valeur lumineuse.</x:v>
      </x:c>
      <x:c r="J14" s="7" t="str">
        <x:v>Occlusion douce des parois devant le groupe ; portes synchronisées avec les collisions.</x:v>
      </x:c>
      <x:c r="K14" s="7" t="str">
        <x:v>Bruits militaires secs et ambiance industrielle retenue. Un signal directionnel accompagne le danger local, doublé par une icône.</x:v>
      </x:c>
      <x:c r="L14" s="7" t="str">
        <x:v>maps/rev/refinery.scene ; navmesh, colliders, ancrages d’entrée et sorties nommés.</x:v>
      </x:c>
      <x:c r="M14" s="7" t="str">
        <x:v>La résolution rejoint la continuité du roman.</x:v>
      </x:c>
      <x:c r="N14" s="7" t="str">
        <x:v>Entrée, objectif et sortie sont reliés sans traverser une collision ; lisibilité des sprites aux carrefours.</x:v>
      </x:c>
      <x:c r="O14" s="7" t="str"/>
      <x:c r="P14" s="7" t="str"/>
      <x:c r="Q14" s="7" t="str"/>
      <x:c r="R14" s="7" t="str"/>
      <x:c r="S14" s="7" t="str">
        <x:v>Dimensions, connexions et accessoires de cette carte sont des propositions originales.</x:v>
      </x:c>
    </x:row>
  </x:sheetData>
  <x:conditionalFormatting sqref="D7:D14">
    <x:cfRule type="cellIs" dxfId="16" priority="1" operator="equal">
      <x:formula>"À vérifier"</x:formula>
    </x:cfRule>
    <x:cfRule type="cellIs" dxfId="17" priority="2" operator="equal">
      <x:formula>"Extrapolation"</x:formula>
    </x:cfRule>
  </x:conditionalFormatting>
  <x:conditionalFormatting sqref="C7:C14">
    <x:cfRule type="cellIs" dxfId="18" priority="3" operator="equal">
      <x:formula>"Validé"</x:formula>
    </x:cfRule>
  </x:conditionalFormatting>
  <x:conditionalFormatting sqref="E7:E14">
    <x:cfRule type="cellIs" dxfId="1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a709be759a0746ac"/>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0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Revelation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REV-LNK-SIDON</x:v>
      </x:c>
      <x:c r="B7" s="9" t="str">
        <x:v>Périmètre de Sidon — transition de module</x:v>
      </x:c>
      <x:c r="C7" s="15" t="str">
        <x:v>Défini</x:v>
      </x:c>
      <x:c r="D7" s="16" t="str">
        <x:v>Extrapolation</x:v>
      </x:c>
      <x:c r="E7" s="16" t="str">
        <x:v>P1</x:v>
      </x:c>
      <x:c r="F7" s="9" t="str">
        <x:v>Liaison de niveau proposée, sans prétendre établir une géographie officielle.</x:v>
      </x:c>
      <x:c r="G7" s="9" t="str">
        <x:v>Associer un point de départ dans Périmètre de Sidon au bloc Espace de débrief du Hastings; transit masqué lorsque les lieux sont éloignés.</x:v>
      </x:c>
      <x:c r="H7" s="9" t="str">
        <x:v>Sortie inactive pendant une interaction critique ; confirmation uniquement si le retour est temporairement fermé.</x:v>
      </x:c>
      <x:c r="I7" s="9" t="str">
        <x:v>Flèche de sortie et nom du lieu cible ; distinguer voyage spatial et porte adjacente.</x:v>
      </x:c>
      <x:c r="J7" s="9" t="str">
        <x:v>Regroupement des sprites avant fondu ; aucun personnage laissé derrière hors cadre.</x:v>
      </x:c>
      <x:c r="K7" s="9" t="str">
        <x:v>Transition d’ambiance progressive ; sous-titre de lieu affiché après chargement.</x:v>
      </x:c>
      <x:c r="L7" s="9" t="str">
        <x:v>links/rev.json : sidon -&gt; hastings; sauvegarde avant transit, restauration à un ancrage sûr.</x:v>
      </x:c>
      <x:c r="M7" s="9" t="str">
        <x:v>Quitter seulement lorsque le lot d’indices local est consigné.</x:v>
      </x:c>
      <x:c r="N7" s="9" t="str">
        <x:v>Le groupe arrive au bon ancrage après chargement ; aller-retour ne duplique ni objet ni dialogue.</x:v>
      </x:c>
      <x:c r="O7" s="9" t="str">
        <x:v>REV-MAP-SIDON, REV-MAP-HASTINGS</x:v>
      </x:c>
      <x:c r="P7" s="9" t="str"/>
      <x:c r="Q7" s="9" t="str"/>
      <x:c r="R7" s="9" t="str"/>
      <x:c r="S7" s="9" t="str">
        <x:v>Boucle de parcours de production ; la dernière liaison sert à la consultation post-module, pas à remonter le temps.</x:v>
      </x:c>
    </x:row>
    <x:row r="8" ht="54" customHeight="1">
      <x:c r="A8" s="19" t="str">
        <x:v>REV-LNK-HASTINGS</x:v>
      </x:c>
      <x:c r="B8" s="7" t="str">
        <x:v>Espace de débrief du Hastings — transition de module</x:v>
      </x:c>
      <x:c r="C8" s="15" t="str">
        <x:v>Défini</x:v>
      </x:c>
      <x:c r="D8" s="17" t="str">
        <x:v>Extrapolation</x:v>
      </x:c>
      <x:c r="E8" s="17" t="str">
        <x:v>P1</x:v>
      </x:c>
      <x:c r="F8" s="7" t="str">
        <x:v>Liaison de niveau proposée, sans prétendre établir une géographie officielle.</x:v>
      </x:c>
      <x:c r="G8" s="7" t="str">
        <x:v>Associer un point de départ dans Espace de débrief du Hastings au bloc Accueil concilien proposé; transit masqué lorsque les lieux sont éloignés.</x:v>
      </x:c>
      <x:c r="H8" s="7" t="str">
        <x:v>Sortie inactive pendant une interaction critique ; confirmation uniquement si le retour est temporairement fermé.</x:v>
      </x:c>
      <x:c r="I8" s="7" t="str">
        <x:v>Flèche de sortie et nom du lieu cible ; distinguer voyage spatial et porte adjacente.</x:v>
      </x:c>
      <x:c r="J8" s="7" t="str">
        <x:v>Regroupement des sprites avant fondu ; aucun personnage laissé derrière hors cadre.</x:v>
      </x:c>
      <x:c r="K8" s="7" t="str">
        <x:v>Transition d’ambiance progressive ; sous-titre de lieu affiché après chargement.</x:v>
      </x:c>
      <x:c r="L8" s="7" t="str">
        <x:v>links/rev.json : hastings -&gt; citadel; sauvegarde avant transit, restauration à un ancrage sûr.</x:v>
      </x:c>
      <x:c r="M8" s="7" t="str">
        <x:v>Aucun voyage libre hors des étapes prévues.</x:v>
      </x:c>
      <x:c r="N8" s="7" t="str">
        <x:v>Le groupe arrive au bon ancrage après chargement ; aller-retour ne duplique ni objet ni dialogue.</x:v>
      </x:c>
      <x:c r="O8" s="7" t="str">
        <x:v>REV-MAP-HASTINGS, REV-MAP-CITADEL</x:v>
      </x:c>
      <x:c r="P8" s="7" t="str"/>
      <x:c r="Q8" s="7" t="str"/>
      <x:c r="R8" s="7" t="str"/>
      <x:c r="S8" s="7" t="str">
        <x:v>Boucle de parcours de production ; la dernière liaison sert à la consultation post-module, pas à remonter le temps.</x:v>
      </x:c>
    </x:row>
    <x:row r="9" ht="54" customHeight="1">
      <x:c r="A9" s="18" t="str">
        <x:v>REV-LNK-CITADEL</x:v>
      </x:c>
      <x:c r="B9" s="9" t="str">
        <x:v>Accueil concilien proposé — transition de module</x:v>
      </x:c>
      <x:c r="C9" s="15" t="str">
        <x:v>Défini</x:v>
      </x:c>
      <x:c r="D9" s="16" t="str">
        <x:v>Extrapolation</x:v>
      </x:c>
      <x:c r="E9" s="16" t="str">
        <x:v>P1</x:v>
      </x:c>
      <x:c r="F9" s="9" t="str">
        <x:v>Liaison de niveau proposée, sans prétendre établir une géographie officielle.</x:v>
      </x:c>
      <x:c r="G9" s="9" t="str">
        <x:v>Associer un point de départ dans Accueil concilien proposé au bloc Abords du refuge; transit masqué lorsque les lieux sont éloignés.</x:v>
      </x:c>
      <x:c r="H9" s="9" t="str">
        <x:v>Sortie inactive pendant une interaction critique ; confirmation uniquement si le retour est temporairement fermé.</x:v>
      </x:c>
      <x:c r="I9" s="9" t="str">
        <x:v>Flèche de sortie et nom du lieu cible ; distinguer voyage spatial et porte adjacente.</x:v>
      </x:c>
      <x:c r="J9" s="9" t="str">
        <x:v>Regroupement des sprites avant fondu ; aucun personnage laissé derrière hors cadre.</x:v>
      </x:c>
      <x:c r="K9" s="9" t="str">
        <x:v>Transition d’ambiance progressive ; sous-titre de lieu affiché après chargement.</x:v>
      </x:c>
      <x:c r="L9" s="9" t="str">
        <x:v>links/rev.json : citadel -&gt; elysium; sauvegarde avant transit, restauration à un ancrage sûr.</x:v>
      </x:c>
      <x:c r="M9" s="9" t="str">
        <x:v>Accès au bureau après enregistrement du dossier.</x:v>
      </x:c>
      <x:c r="N9" s="9" t="str">
        <x:v>Le groupe arrive au bon ancrage après chargement ; aller-retour ne duplique ni objet ni dialogue.</x:v>
      </x:c>
      <x:c r="O9" s="9" t="str">
        <x:v>REV-MAP-CITADEL, REV-MAP-ELYSIUM</x:v>
      </x:c>
      <x:c r="P9" s="9" t="str"/>
      <x:c r="Q9" s="9" t="str"/>
      <x:c r="R9" s="9" t="str"/>
      <x:c r="S9" s="9" t="str">
        <x:v>Boucle de parcours de production ; la dernière liaison sert à la consultation post-module, pas à remonter le temps.</x:v>
      </x:c>
    </x:row>
    <x:row r="10" ht="54" customHeight="1">
      <x:c r="A10" s="19" t="str">
        <x:v>REV-LNK-ELYSIUM</x:v>
      </x:c>
      <x:c r="B10" s="7" t="str">
        <x:v>Abords du refuge — transition de module</x:v>
      </x:c>
      <x:c r="C10" s="15" t="str">
        <x:v>Défini</x:v>
      </x:c>
      <x:c r="D10" s="17" t="str">
        <x:v>Extrapolation</x:v>
      </x:c>
      <x:c r="E10" s="17" t="str">
        <x:v>P1</x:v>
      </x:c>
      <x:c r="F10" s="7" t="str">
        <x:v>Liaison de niveau proposée, sans prétendre établir une géographie officielle.</x:v>
      </x:c>
      <x:c r="G10" s="7" t="str">
        <x:v>Associer un point de départ dans Abords du refuge au bloc Débarcadère industriel; transit masqué lorsque les lieux sont éloignés.</x:v>
      </x:c>
      <x:c r="H10" s="7" t="str">
        <x:v>Sortie inactive pendant une interaction critique ; confirmation uniquement si le retour est temporairement fermé.</x:v>
      </x:c>
      <x:c r="I10" s="7" t="str">
        <x:v>Flèche de sortie et nom du lieu cible ; distinguer voyage spatial et porte adjacente.</x:v>
      </x:c>
      <x:c r="J10" s="7" t="str">
        <x:v>Regroupement des sprites avant fondu ; aucun personnage laissé derrière hors cadre.</x:v>
      </x:c>
      <x:c r="K10" s="7" t="str">
        <x:v>Transition d’ambiance progressive ; sous-titre de lieu affiché après chargement.</x:v>
      </x:c>
      <x:c r="L10" s="7" t="str">
        <x:v>links/rev.json : elysium -&gt; camala; sauvegarde avant transit, restauration à un ancrage sûr.</x:v>
      </x:c>
      <x:c r="M10" s="7" t="str">
        <x:v>Préserver les personnes requises par la continuité.</x:v>
      </x:c>
      <x:c r="N10" s="7" t="str">
        <x:v>Le groupe arrive au bon ancrage après chargement ; aller-retour ne duplique ni objet ni dialogue.</x:v>
      </x:c>
      <x:c r="O10" s="7" t="str">
        <x:v>REV-MAP-ELYSIUM, REV-MAP-CAMALA</x:v>
      </x:c>
      <x:c r="P10" s="7" t="str"/>
      <x:c r="Q10" s="7" t="str"/>
      <x:c r="R10" s="7" t="str"/>
      <x:c r="S10" s="7" t="str">
        <x:v>Boucle de parcours de production ; la dernière liaison sert à la consultation post-module, pas à remonter le temps.</x:v>
      </x:c>
    </x:row>
    <x:row r="11" ht="54" customHeight="1">
      <x:c r="A11" s="18" t="str">
        <x:v>REV-LNK-CAMALA</x:v>
      </x:c>
      <x:c r="B11" s="9" t="str">
        <x:v>Débarcadère industriel — transition de module</x:v>
      </x:c>
      <x:c r="C11" s="15" t="str">
        <x:v>Défini</x:v>
      </x:c>
      <x:c r="D11" s="16" t="str">
        <x:v>Extrapolation</x:v>
      </x:c>
      <x:c r="E11" s="16" t="str">
        <x:v>P1</x:v>
      </x:c>
      <x:c r="F11" s="9" t="str">
        <x:v>Liaison de niveau proposée, sans prétendre établir une géographie officielle.</x:v>
      </x:c>
      <x:c r="G11" s="9" t="str">
        <x:v>Associer un point de départ dans Débarcadère industriel au bloc Annexe de Dah’tan; transit masqué lorsque les lieux sont éloignés.</x:v>
      </x:c>
      <x:c r="H11" s="9" t="str">
        <x:v>Sortie inactive pendant une interaction critique ; confirmation uniquement si le retour est temporairement fermé.</x:v>
      </x:c>
      <x:c r="I11" s="9" t="str">
        <x:v>Flèche de sortie et nom du lieu cible ; distinguer voyage spatial et porte adjacente.</x:v>
      </x:c>
      <x:c r="J11" s="9" t="str">
        <x:v>Regroupement des sprites avant fondu ; aucun personnage laissé derrière hors cadre.</x:v>
      </x:c>
      <x:c r="K11" s="9" t="str">
        <x:v>Transition d’ambiance progressive ; sous-titre de lieu affiché après chargement.</x:v>
      </x:c>
      <x:c r="L11" s="9" t="str">
        <x:v>links/rev.json : camala -&gt; dahtan; sauvegarde avant transit, restauration à un ancrage sûr.</x:v>
      </x:c>
      <x:c r="M11" s="9" t="str">
        <x:v>Départ conditionné par un accès industriel acquis.</x:v>
      </x:c>
      <x:c r="N11" s="9" t="str">
        <x:v>Le groupe arrive au bon ancrage après chargement ; aller-retour ne duplique ni objet ni dialogue.</x:v>
      </x:c>
      <x:c r="O11" s="9" t="str">
        <x:v>REV-MAP-CAMALA, REV-MAP-DAHTAN</x:v>
      </x:c>
      <x:c r="P11" s="9" t="str"/>
      <x:c r="Q11" s="9" t="str"/>
      <x:c r="R11" s="9" t="str"/>
      <x:c r="S11" s="9" t="str">
        <x:v>Boucle de parcours de production ; la dernière liaison sert à la consultation post-module, pas à remonter le temps.</x:v>
      </x:c>
    </x:row>
    <x:row r="12" ht="54" customHeight="1">
      <x:c r="A12" s="19" t="str">
        <x:v>REV-LNK-DAHTAN</x:v>
      </x:c>
      <x:c r="B12" s="7" t="str">
        <x:v>Annexe de Dah’tan — transition de module</x:v>
      </x:c>
      <x:c r="C12" s="15" t="str">
        <x:v>Défini</x:v>
      </x:c>
      <x:c r="D12" s="17" t="str">
        <x:v>Extrapolation</x:v>
      </x:c>
      <x:c r="E12" s="17" t="str">
        <x:v>P1</x:v>
      </x:c>
      <x:c r="F12" s="7" t="str">
        <x:v>Liaison de niveau proposée, sans prétendre établir une géographie officielle.</x:v>
      </x:c>
      <x:c r="G12" s="7" t="str">
        <x:v>Associer un point de départ dans Annexe de Dah’tan au bloc Couloir de transfert; transit masqué lorsque les lieux sont éloignés.</x:v>
      </x:c>
      <x:c r="H12" s="7" t="str">
        <x:v>Sortie inactive pendant une interaction critique ; confirmation uniquement si le retour est temporairement fermé.</x:v>
      </x:c>
      <x:c r="I12" s="7" t="str">
        <x:v>Flèche de sortie et nom du lieu cible ; distinguer voyage spatial et porte adjacente.</x:v>
      </x:c>
      <x:c r="J12" s="7" t="str">
        <x:v>Regroupement des sprites avant fondu ; aucun personnage laissé derrière hors cadre.</x:v>
      </x:c>
      <x:c r="K12" s="7" t="str">
        <x:v>Transition d’ambiance progressive ; sous-titre de lieu affiché après chargement.</x:v>
      </x:c>
      <x:c r="L12" s="7" t="str">
        <x:v>links/rev.json : dahtan -&gt; convoy; sauvegarde avant transit, restauration à un ancrage sûr.</x:v>
      </x:c>
      <x:c r="M12" s="7" t="str">
        <x:v>La carte est une extension originale, sans plan canonique prétendu.</x:v>
      </x:c>
      <x:c r="N12" s="7" t="str">
        <x:v>Le groupe arrive au bon ancrage après chargement ; aller-retour ne duplique ni objet ni dialogue.</x:v>
      </x:c>
      <x:c r="O12" s="7" t="str">
        <x:v>REV-MAP-DAHTAN, REV-MAP-CONVOY</x:v>
      </x:c>
      <x:c r="P12" s="7" t="str"/>
      <x:c r="Q12" s="7" t="str"/>
      <x:c r="R12" s="7" t="str"/>
      <x:c r="S12" s="7" t="str">
        <x:v>Boucle de parcours de production ; la dernière liaison sert à la consultation post-module, pas à remonter le temps.</x:v>
      </x:c>
    </x:row>
    <x:row r="13" ht="54" customHeight="1">
      <x:c r="A13" s="18" t="str">
        <x:v>REV-LNK-CONVOY</x:v>
      </x:c>
      <x:c r="B13" s="9" t="str">
        <x:v>Couloir de transfert — transition de module</x:v>
      </x:c>
      <x:c r="C13" s="15" t="str">
        <x:v>Défini</x:v>
      </x:c>
      <x:c r="D13" s="16" t="str">
        <x:v>Extrapolation</x:v>
      </x:c>
      <x:c r="E13" s="16" t="str">
        <x:v>P1</x:v>
      </x:c>
      <x:c r="F13" s="9" t="str">
        <x:v>Liaison de niveau proposée, sans prétendre établir une géographie officielle.</x:v>
      </x:c>
      <x:c r="G13" s="9" t="str">
        <x:v>Associer un point de départ dans Couloir de transfert au bloc Secteur de raffinerie; transit masqué lorsque les lieux sont éloignés.</x:v>
      </x:c>
      <x:c r="H13" s="9" t="str">
        <x:v>Sortie inactive pendant une interaction critique ; confirmation uniquement si le retour est temporairement fermé.</x:v>
      </x:c>
      <x:c r="I13" s="9" t="str">
        <x:v>Flèche de sortie et nom du lieu cible ; distinguer voyage spatial et porte adjacente.</x:v>
      </x:c>
      <x:c r="J13" s="9" t="str">
        <x:v>Regroupement des sprites avant fondu ; aucun personnage laissé derrière hors cadre.</x:v>
      </x:c>
      <x:c r="K13" s="9" t="str">
        <x:v>Transition d’ambiance progressive ; sous-titre de lieu affiché après chargement.</x:v>
      </x:c>
      <x:c r="L13" s="9" t="str">
        <x:v>links/rev.json : convoy -&gt; refinery; sauvegarde avant transit, restauration à un ancrage sûr.</x:v>
      </x:c>
      <x:c r="M13" s="9" t="str">
        <x:v>Le convoi ne devient pas une route d’évasion alternative canonique.</x:v>
      </x:c>
      <x:c r="N13" s="9" t="str">
        <x:v>Le groupe arrive au bon ancrage après chargement ; aller-retour ne duplique ni objet ni dialogue.</x:v>
      </x:c>
      <x:c r="O13" s="9" t="str">
        <x:v>REV-MAP-CONVOY, REV-MAP-REFINERY</x:v>
      </x:c>
      <x:c r="P13" s="9" t="str"/>
      <x:c r="Q13" s="9" t="str"/>
      <x:c r="R13" s="9" t="str"/>
      <x:c r="S13" s="9" t="str">
        <x:v>Boucle de parcours de production ; la dernière liaison sert à la consultation post-module, pas à remonter le temps.</x:v>
      </x:c>
    </x:row>
    <x:row r="14" ht="54" customHeight="1">
      <x:c r="A14" s="19" t="str">
        <x:v>REV-LNK-REFINERY</x:v>
      </x:c>
      <x:c r="B14" s="7" t="str">
        <x:v>Secteur de raffinerie — transition de module</x:v>
      </x:c>
      <x:c r="C14" s="15" t="str">
        <x:v>Défini</x:v>
      </x:c>
      <x:c r="D14" s="17" t="str">
        <x:v>Extrapolation</x:v>
      </x:c>
      <x:c r="E14" s="17" t="str">
        <x:v>P1</x:v>
      </x:c>
      <x:c r="F14" s="7" t="str">
        <x:v>Liaison de niveau proposée, sans prétendre établir une géographie officielle.</x:v>
      </x:c>
      <x:c r="G14" s="7" t="str">
        <x:v>Associer un point de départ dans Secteur de raffinerie au bloc Périmètre de Sidon; transit masqué lorsque les lieux sont éloignés.</x:v>
      </x:c>
      <x:c r="H14" s="7" t="str">
        <x:v>Sortie inactive pendant une interaction critique ; confirmation uniquement si le retour est temporairement fermé.</x:v>
      </x:c>
      <x:c r="I14" s="7" t="str">
        <x:v>Flèche de sortie et nom du lieu cible ; distinguer voyage spatial et porte adjacente.</x:v>
      </x:c>
      <x:c r="J14" s="7" t="str">
        <x:v>Regroupement des sprites avant fondu ; aucun personnage laissé derrière hors cadre.</x:v>
      </x:c>
      <x:c r="K14" s="7" t="str">
        <x:v>Transition d’ambiance progressive ; sous-titre de lieu affiché après chargement.</x:v>
      </x:c>
      <x:c r="L14" s="7" t="str">
        <x:v>links/rev.json : refinery -&gt; sidon; sauvegarde avant transit, restauration à un ancrage sûr.</x:v>
      </x:c>
      <x:c r="M14" s="7" t="str">
        <x:v>La résolution rejoint la continuité du roman.</x:v>
      </x:c>
      <x:c r="N14" s="7" t="str">
        <x:v>Le groupe arrive au bon ancrage après chargement ; aller-retour ne duplique ni objet ni dialogue.</x:v>
      </x:c>
      <x:c r="O14" s="7" t="str">
        <x:v>REV-MAP-REFINERY, REV-MAP-SIDON</x:v>
      </x:c>
      <x:c r="P14" s="7" t="str"/>
      <x:c r="Q14" s="7" t="str"/>
      <x:c r="R14" s="7" t="str"/>
      <x:c r="S14" s="7" t="str">
        <x:v>Boucle de parcours de production ; la dernière liaison sert à la consultation post-module, pas à remonter le temps.</x:v>
      </x:c>
    </x:row>
  </x:sheetData>
  <x:conditionalFormatting sqref="D7:D14">
    <x:cfRule type="cellIs" dxfId="20" priority="1" operator="equal">
      <x:formula>"À vérifier"</x:formula>
    </x:cfRule>
    <x:cfRule type="cellIs" dxfId="21" priority="2" operator="equal">
      <x:formula>"Extrapolation"</x:formula>
    </x:cfRule>
  </x:conditionalFormatting>
  <x:conditionalFormatting sqref="C7:C14">
    <x:cfRule type="cellIs" dxfId="22" priority="3" operator="equal">
      <x:formula>"Validé"</x:formula>
    </x:cfRule>
  </x:conditionalFormatting>
  <x:conditionalFormatting sqref="E7:E14">
    <x:cfRule type="cellIs" dxfId="2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dc61de01214f4781"/>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Revelation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REV-SET-SIDON</x:v>
      </x:c>
      <x:c r="B7" s="9" t="str">
        <x:v>Périmètre de Sidon — kit de décor</x:v>
      </x:c>
      <x:c r="C7" s="15" t="str">
        <x:v>Défini</x:v>
      </x:c>
      <x:c r="D7" s="16" t="str">
        <x:v>Extrapolation</x:v>
      </x:c>
      <x:c r="E7" s="16" t="str">
        <x:v>P1</x:v>
      </x:c>
      <x:c r="F7" s="9" t="str">
        <x:v>Production originale des éléments fixes de la carte liée.</x:v>
      </x:c>
      <x:c r="G7" s="9" t="str">
        <x:v>Plaques brûlées, éclairage de balisage, silhouettes de structures sans gore détaillé. Construire trois profondeurs de décor avec variantes intacte et perturbée si utiles.</x:v>
      </x:c>
      <x:c r="H7" s="9" t="str">
        <x:v>Le décor signale la règle : Des conduites instables coupent temporairement une ligne de passage.</x:v>
      </x:c>
      <x:c r="I7" s="9" t="str">
        <x:v>Volumes sans microdétails illisibles ; surfaces dangereuses reconnues également en niveaux de gris.</x:v>
      </x:c>
      <x:c r="J7" s="9" t="str">
        <x:v>Animer seulement les repères actifs ; ne pas déplacer un obstacle statique après le calcul du chemin.</x:v>
      </x:c>
      <x:c r="K7" s="9" t="str">
        <x:v>Boucles très courtes évitées ; matériaux sonores propres aux interactions de cette zone.</x:v>
      </x:c>
      <x:c r="L7" s="9" t="str">
        <x:v>assets/rev/sets/sidon/ ; collider séparé du mesh et des ornements.</x:v>
      </x:c>
      <x:c r="M7" s="9" t="str">
        <x:v>Quitter seulement lorsque le lot d’indices local est consigné.</x:v>
      </x:c>
      <x:c r="N7" s="9" t="str">
        <x:v>Aucun détail décoratif ne ressemble à tort à une porte ; vue complète vérifiée en petite résolution.</x:v>
      </x:c>
      <x:c r="O7" s="9" t="str">
        <x:v>REV-MAP-SIDON</x:v>
      </x:c>
      <x:c r="P7" s="9" t="str"/>
      <x:c r="Q7" s="9" t="str"/>
      <x:c r="R7" s="9" t="str"/>
      <x:c r="S7" s="9" t="str"/>
    </x:row>
    <x:row r="8" ht="68" customHeight="1">
      <x:c r="A8" s="19" t="str">
        <x:v>REV-SET-HASTINGS</x:v>
      </x:c>
      <x:c r="B8" s="7" t="str">
        <x:v>Espace de débrief du Hastings — kit de décor</x:v>
      </x:c>
      <x:c r="C8" s="15" t="str">
        <x:v>Défini</x:v>
      </x:c>
      <x:c r="D8" s="17" t="str">
        <x:v>Extrapolation</x:v>
      </x:c>
      <x:c r="E8" s="17" t="str">
        <x:v>P1</x:v>
      </x:c>
      <x:c r="F8" s="7" t="str">
        <x:v>Production originale des éléments fixes de la carte liée.</x:v>
      </x:c>
      <x:c r="G8" s="7" t="str">
        <x:v>Métal bleu froid, sièges militaires, casiers personnalisés avec parcimonie. Construire trois profondeurs de décor avec variantes intacte et perturbée si utiles.</x:v>
      </x:c>
      <x:c r="H8" s="7" t="str">
        <x:v>Le décor signale la règle : Les soins et le débrief consomment du temps de préparation simulé.</x:v>
      </x:c>
      <x:c r="I8" s="7" t="str">
        <x:v>Volumes sans microdétails illisibles ; surfaces dangereuses reconnues également en niveaux de gris.</x:v>
      </x:c>
      <x:c r="J8" s="7" t="str">
        <x:v>Animer seulement les repères actifs ; ne pas déplacer un obstacle statique après le calcul du chemin.</x:v>
      </x:c>
      <x:c r="K8" s="7" t="str">
        <x:v>Boucles très courtes évitées ; matériaux sonores propres aux interactions de cette zone.</x:v>
      </x:c>
      <x:c r="L8" s="7" t="str">
        <x:v>assets/rev/sets/hastings/ ; collider séparé du mesh et des ornements.</x:v>
      </x:c>
      <x:c r="M8" s="7" t="str">
        <x:v>Aucun voyage libre hors des étapes prévues.</x:v>
      </x:c>
      <x:c r="N8" s="7" t="str">
        <x:v>Aucun détail décoratif ne ressemble à tort à une porte ; vue complète vérifiée en petite résolution.</x:v>
      </x:c>
      <x:c r="O8" s="7" t="str">
        <x:v>REV-MAP-HASTINGS</x:v>
      </x:c>
      <x:c r="P8" s="7" t="str"/>
      <x:c r="Q8" s="7" t="str"/>
      <x:c r="R8" s="7" t="str"/>
      <x:c r="S8" s="7" t="str"/>
    </x:row>
    <x:row r="9" ht="68" customHeight="1">
      <x:c r="A9" s="18" t="str">
        <x:v>REV-SET-CITADEL</x:v>
      </x:c>
      <x:c r="B9" s="9" t="str">
        <x:v>Accueil concilien proposé — kit de décor</x:v>
      </x:c>
      <x:c r="C9" s="15" t="str">
        <x:v>Défini</x:v>
      </x:c>
      <x:c r="D9" s="16" t="str">
        <x:v>Extrapolation</x:v>
      </x:c>
      <x:c r="E9" s="16" t="str">
        <x:v>P1</x:v>
      </x:c>
      <x:c r="F9" s="9" t="str">
        <x:v>Production originale des éléments fixes de la carte liée.</x:v>
      </x:c>
      <x:c r="G9" s="9" t="str">
        <x:v>Volumes propres et interfaces multilingues ; signalétique originale. Construire trois profondeurs de décor avec variantes intacte et perturbée si utiles.</x:v>
      </x:c>
      <x:c r="H9" s="9" t="str">
        <x:v>Le décor signale la règle : Un contrôle d’autorisation remplace un verrou de combat.</x:v>
      </x:c>
      <x:c r="I9" s="9" t="str">
        <x:v>Volumes sans microdétails illisibles ; surfaces dangereuses reconnues également en niveaux de gris.</x:v>
      </x:c>
      <x:c r="J9" s="9" t="str">
        <x:v>Animer seulement les repères actifs ; ne pas déplacer un obstacle statique après le calcul du chemin.</x:v>
      </x:c>
      <x:c r="K9" s="9" t="str">
        <x:v>Boucles très courtes évitées ; matériaux sonores propres aux interactions de cette zone.</x:v>
      </x:c>
      <x:c r="L9" s="9" t="str">
        <x:v>assets/rev/sets/citadel/ ; collider séparé du mesh et des ornements.</x:v>
      </x:c>
      <x:c r="M9" s="9" t="str">
        <x:v>Accès au bureau après enregistrement du dossier.</x:v>
      </x:c>
      <x:c r="N9" s="9" t="str">
        <x:v>Aucun détail décoratif ne ressemble à tort à une porte ; vue complète vérifiée en petite résolution.</x:v>
      </x:c>
      <x:c r="O9" s="9" t="str">
        <x:v>REV-MAP-CITADEL</x:v>
      </x:c>
      <x:c r="P9" s="9" t="str"/>
      <x:c r="Q9" s="9" t="str"/>
      <x:c r="R9" s="9" t="str"/>
      <x:c r="S9" s="9" t="str"/>
    </x:row>
    <x:row r="10" ht="54" customHeight="1">
      <x:c r="A10" s="19" t="str">
        <x:v>REV-SET-ELYSIUM</x:v>
      </x:c>
      <x:c r="B10" s="7" t="str">
        <x:v>Abords du refuge — kit de décor</x:v>
      </x:c>
      <x:c r="C10" s="15" t="str">
        <x:v>Défini</x:v>
      </x:c>
      <x:c r="D10" s="17" t="str">
        <x:v>Extrapolation</x:v>
      </x:c>
      <x:c r="E10" s="17" t="str">
        <x:v>P1</x:v>
      </x:c>
      <x:c r="F10" s="7" t="str">
        <x:v>Production originale des éléments fixes de la carte liée.</x:v>
      </x:c>
      <x:c r="G10" s="7" t="str">
        <x:v>Végétation domestique, mobilier habité, clôtures basses. Construire trois profondeurs de décor avec variantes intacte et perturbée si utiles.</x:v>
      </x:c>
      <x:c r="H10" s="7" t="str">
        <x:v>Le décor signale la règle : L’escorte doit éviter une ligne de tir annoncée.</x:v>
      </x:c>
      <x:c r="I10" s="7" t="str">
        <x:v>Volumes sans microdétails illisibles ; surfaces dangereuses reconnues également en niveaux de gris.</x:v>
      </x:c>
      <x:c r="J10" s="7" t="str">
        <x:v>Animer seulement les repères actifs ; ne pas déplacer un obstacle statique après le calcul du chemin.</x:v>
      </x:c>
      <x:c r="K10" s="7" t="str">
        <x:v>Boucles très courtes évitées ; matériaux sonores propres aux interactions de cette zone.</x:v>
      </x:c>
      <x:c r="L10" s="7" t="str">
        <x:v>assets/rev/sets/elysium/ ; collider séparé du mesh et des ornements.</x:v>
      </x:c>
      <x:c r="M10" s="7" t="str">
        <x:v>Préserver les personnes requises par la continuité.</x:v>
      </x:c>
      <x:c r="N10" s="7" t="str">
        <x:v>Aucun détail décoratif ne ressemble à tort à une porte ; vue complète vérifiée en petite résolution.</x:v>
      </x:c>
      <x:c r="O10" s="7" t="str">
        <x:v>REV-MAP-ELYSIUM</x:v>
      </x:c>
      <x:c r="P10" s="7" t="str"/>
      <x:c r="Q10" s="7" t="str"/>
      <x:c r="R10" s="7" t="str"/>
      <x:c r="S10" s="7" t="str"/>
    </x:row>
    <x:row r="11" ht="54" customHeight="1">
      <x:c r="A11" s="18" t="str">
        <x:v>REV-SET-CAMALA</x:v>
      </x:c>
      <x:c r="B11" s="9" t="str">
        <x:v>Débarcadère industriel — kit de décor</x:v>
      </x:c>
      <x:c r="C11" s="15" t="str">
        <x:v>Défini</x:v>
      </x:c>
      <x:c r="D11" s="16" t="str">
        <x:v>Extrapolation</x:v>
      </x:c>
      <x:c r="E11" s="16" t="str">
        <x:v>P1</x:v>
      </x:c>
      <x:c r="F11" s="9" t="str">
        <x:v>Production originale des éléments fixes de la carte liée.</x:v>
      </x:c>
      <x:c r="G11" s="9" t="str">
        <x:v>Atmosphère de travail, palettes, panneaux de manutention. Construire trois profondeurs de décor avec variantes intacte et perturbée si utiles.</x:v>
      </x:c>
      <x:c r="H11" s="9" t="str">
        <x:v>Le décor signale la règle : Portes de service alternant selon l’état des équipements.</x:v>
      </x:c>
      <x:c r="I11" s="9" t="str">
        <x:v>Volumes sans microdétails illisibles ; surfaces dangereuses reconnues également en niveaux de gris.</x:v>
      </x:c>
      <x:c r="J11" s="9" t="str">
        <x:v>Animer seulement les repères actifs ; ne pas déplacer un obstacle statique après le calcul du chemin.</x:v>
      </x:c>
      <x:c r="K11" s="9" t="str">
        <x:v>Boucles très courtes évitées ; matériaux sonores propres aux interactions de cette zone.</x:v>
      </x:c>
      <x:c r="L11" s="9" t="str">
        <x:v>assets/rev/sets/camala/ ; collider séparé du mesh et des ornements.</x:v>
      </x:c>
      <x:c r="M11" s="9" t="str">
        <x:v>Départ conditionné par un accès industriel acquis.</x:v>
      </x:c>
      <x:c r="N11" s="9" t="str">
        <x:v>Aucun détail décoratif ne ressemble à tort à une porte ; vue complète vérifiée en petite résolution.</x:v>
      </x:c>
      <x:c r="O11" s="9" t="str">
        <x:v>REV-MAP-CAMALA</x:v>
      </x:c>
      <x:c r="P11" s="9" t="str"/>
      <x:c r="Q11" s="9" t="str"/>
      <x:c r="R11" s="9" t="str"/>
      <x:c r="S11" s="9" t="str"/>
    </x:row>
    <x:row r="12" ht="54" customHeight="1">
      <x:c r="A12" s="19" t="str">
        <x:v>REV-SET-DAHTAN</x:v>
      </x:c>
      <x:c r="B12" s="7" t="str">
        <x:v>Annexe de Dah’tan — kit de décor</x:v>
      </x:c>
      <x:c r="C12" s="15" t="str">
        <x:v>Défini</x:v>
      </x:c>
      <x:c r="D12" s="17" t="str">
        <x:v>Extrapolation</x:v>
      </x:c>
      <x:c r="E12" s="17" t="str">
        <x:v>P1</x:v>
      </x:c>
      <x:c r="F12" s="7" t="str">
        <x:v>Production originale des éléments fixes de la carte liée.</x:v>
      </x:c>
      <x:c r="G12" s="7" t="str">
        <x:v>Machines interrompues, verrières ternies, conduits lourds. Construire trois profondeurs de décor avec variantes intacte et perturbée si utiles.</x:v>
      </x:c>
      <x:c r="H12" s="7" t="str">
        <x:v>Le décor signale la règle : Comparer l’indice de sécurité au journal local avant activation.</x:v>
      </x:c>
      <x:c r="I12" s="7" t="str">
        <x:v>Volumes sans microdétails illisibles ; surfaces dangereuses reconnues également en niveaux de gris.</x:v>
      </x:c>
      <x:c r="J12" s="7" t="str">
        <x:v>Animer seulement les repères actifs ; ne pas déplacer un obstacle statique après le calcul du chemin.</x:v>
      </x:c>
      <x:c r="K12" s="7" t="str">
        <x:v>Boucles très courtes évitées ; matériaux sonores propres aux interactions de cette zone.</x:v>
      </x:c>
      <x:c r="L12" s="7" t="str">
        <x:v>assets/rev/sets/dahtan/ ; collider séparé du mesh et des ornements.</x:v>
      </x:c>
      <x:c r="M12" s="7" t="str">
        <x:v>La carte est une extension originale, sans plan canonique prétendu.</x:v>
      </x:c>
      <x:c r="N12" s="7" t="str">
        <x:v>Aucun détail décoratif ne ressemble à tort à une porte ; vue complète vérifiée en petite résolution.</x:v>
      </x:c>
      <x:c r="O12" s="7" t="str">
        <x:v>REV-MAP-DAHTAN</x:v>
      </x:c>
      <x:c r="P12" s="7" t="str"/>
      <x:c r="Q12" s="7" t="str"/>
      <x:c r="R12" s="7" t="str"/>
      <x:c r="S12" s="7" t="str"/>
    </x:row>
    <x:row r="13" ht="54" customHeight="1">
      <x:c r="A13" s="18" t="str">
        <x:v>REV-SET-CONVOY</x:v>
      </x:c>
      <x:c r="B13" s="9" t="str">
        <x:v>Couloir de transfert — kit de décor</x:v>
      </x:c>
      <x:c r="C13" s="15" t="str">
        <x:v>Défini</x:v>
      </x:c>
      <x:c r="D13" s="16" t="str">
        <x:v>Extrapolation</x:v>
      </x:c>
      <x:c r="E13" s="16" t="str">
        <x:v>P1</x:v>
      </x:c>
      <x:c r="F13" s="9" t="str">
        <x:v>Production originale des éléments fixes de la carte liée.</x:v>
      </x:c>
      <x:c r="G13" s="9" t="str">
        <x:v>Rover de transport stylisé, relief sec, signalétique de convoi. Construire trois profondeurs de décor avec variantes intacte et perturbée si utiles.</x:v>
      </x:c>
      <x:c r="H13" s="9" t="str">
        <x:v>Le décor signale la règle : Fenêtres de traversée sous pression ennemie proposée.</x:v>
      </x:c>
      <x:c r="I13" s="9" t="str">
        <x:v>Volumes sans microdétails illisibles ; surfaces dangereuses reconnues également en niveaux de gris.</x:v>
      </x:c>
      <x:c r="J13" s="9" t="str">
        <x:v>Animer seulement les repères actifs ; ne pas déplacer un obstacle statique après le calcul du chemin.</x:v>
      </x:c>
      <x:c r="K13" s="9" t="str">
        <x:v>Boucles très courtes évitées ; matériaux sonores propres aux interactions de cette zone.</x:v>
      </x:c>
      <x:c r="L13" s="9" t="str">
        <x:v>assets/rev/sets/convoy/ ; collider séparé du mesh et des ornements.</x:v>
      </x:c>
      <x:c r="M13" s="9" t="str">
        <x:v>Le convoi ne devient pas une route d’évasion alternative canonique.</x:v>
      </x:c>
      <x:c r="N13" s="9" t="str">
        <x:v>Aucun détail décoratif ne ressemble à tort à une porte ; vue complète vérifiée en petite résolution.</x:v>
      </x:c>
      <x:c r="O13" s="9" t="str">
        <x:v>REV-MAP-CONVOY</x:v>
      </x:c>
      <x:c r="P13" s="9" t="str"/>
      <x:c r="Q13" s="9" t="str"/>
      <x:c r="R13" s="9" t="str"/>
      <x:c r="S13" s="9" t="str"/>
    </x:row>
    <x:row r="14" ht="54" customHeight="1">
      <x:c r="A14" s="19" t="str">
        <x:v>REV-SET-REFINERY</x:v>
      </x:c>
      <x:c r="B14" s="7" t="str">
        <x:v>Secteur de raffinerie — kit de décor</x:v>
      </x:c>
      <x:c r="C14" s="15" t="str">
        <x:v>Défini</x:v>
      </x:c>
      <x:c r="D14" s="17" t="str">
        <x:v>Extrapolation</x:v>
      </x:c>
      <x:c r="E14" s="17" t="str">
        <x:v>P1</x:v>
      </x:c>
      <x:c r="F14" s="7" t="str">
        <x:v>Production originale des éléments fixes de la carte liée.</x:v>
      </x:c>
      <x:c r="G14" s="7" t="str">
        <x:v>Cuves, vapeur contrôlée, grandes poutres et bassins masqués. Construire trois profondeurs de décor avec variantes intacte et perturbée si utiles.</x:v>
      </x:c>
      <x:c r="H14" s="7" t="str">
        <x:v>Le décor signale la règle : Énergie des pompes à redistribuer pour ouvrir l’extraction.</x:v>
      </x:c>
      <x:c r="I14" s="7" t="str">
        <x:v>Volumes sans microdétails illisibles ; surfaces dangereuses reconnues également en niveaux de gris.</x:v>
      </x:c>
      <x:c r="J14" s="7" t="str">
        <x:v>Animer seulement les repères actifs ; ne pas déplacer un obstacle statique après le calcul du chemin.</x:v>
      </x:c>
      <x:c r="K14" s="7" t="str">
        <x:v>Boucles très courtes évitées ; matériaux sonores propres aux interactions de cette zone.</x:v>
      </x:c>
      <x:c r="L14" s="7" t="str">
        <x:v>assets/rev/sets/refinery/ ; collider séparé du mesh et des ornements.</x:v>
      </x:c>
      <x:c r="M14" s="7" t="str">
        <x:v>La résolution rejoint la continuité du roman.</x:v>
      </x:c>
      <x:c r="N14" s="7" t="str">
        <x:v>Aucun détail décoratif ne ressemble à tort à une porte ; vue complète vérifiée en petite résolution.</x:v>
      </x:c>
      <x:c r="O14" s="7" t="str">
        <x:v>REV-MAP-REFINERY</x:v>
      </x:c>
      <x:c r="P14" s="7" t="str"/>
      <x:c r="Q14" s="7" t="str"/>
      <x:c r="R14" s="7" t="str"/>
      <x:c r="S14" s="7" t="str"/>
    </x:row>
  </x:sheetData>
  <x:conditionalFormatting sqref="D7:D14">
    <x:cfRule type="cellIs" dxfId="24" priority="1" operator="equal">
      <x:formula>"À vérifier"</x:formula>
    </x:cfRule>
    <x:cfRule type="cellIs" dxfId="25" priority="2" operator="equal">
      <x:formula>"Extrapolation"</x:formula>
    </x:cfRule>
  </x:conditionalFormatting>
  <x:conditionalFormatting sqref="C7:C14">
    <x:cfRule type="cellIs" dxfId="26" priority="3" operator="equal">
      <x:formula>"Validé"</x:formula>
    </x:cfRule>
  </x:conditionalFormatting>
  <x:conditionalFormatting sqref="E7:E14">
    <x:cfRule type="cellIs" dxfId="2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039c4e154c564b59"/>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Revelation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REV-REF-EEZO</x:v>
      </x:c>
      <x:c r="B7" s="9" t="str">
        <x:v>Raffinerie d’élément zéro</x:v>
      </x:c>
      <x:c r="C7" s="15" t="str">
        <x:v>Défini</x:v>
      </x:c>
      <x:c r="D7" s="16" t="str">
        <x:v>Établi</x:v>
      </x:c>
      <x:c r="E7" s="16" t="str">
        <x:v>P1</x:v>
      </x:c>
      <x:c r="F7" s="9" t="str">
        <x:v>Had’dah utilise une raffinerie comme refuge.</x:v>
      </x:c>
      <x:c r="G7" s="9" t="str">
        <x:v>Ancrage documentaire du module ; aucune statistique officielle inférée.</x:v>
      </x:c>
      <x:c r="H7" s="9" t="str"/>
      <x:c r="I7" s="9" t="str"/>
      <x:c r="J7" s="9" t="str"/>
      <x:c r="K7" s="9" t="str"/>
      <x:c r="L7" s="9" t="str">
        <x:v>Codex ref.rev.eezo ; affichage bref avec source.</x:v>
      </x:c>
      <x:c r="M7" s="9" t="str">
        <x:v>Conserver la trajectoire menant à Mass Effect : Anderson ne devient pas Spectre dans ce module et les intentions de Saren ne deviennent pas un savoir public anticipé.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REV-SRC-SKARR</x:v>
      </x:c>
      <x:c r="R7" s="9" t="str">
        <x:v>https://masseffect.fandom.com/wiki/Skarr</x:v>
      </x:c>
      <x:c r="S7" s="9" t="str">
        <x:v>Ce relevé n’est ni un inventaire exhaustif ni un résumé scène par scène.</x:v>
      </x:c>
    </x:row>
  </x:sheetData>
  <x:conditionalFormatting sqref="D7:D7">
    <x:cfRule type="cellIs" dxfId="28" priority="1" operator="equal">
      <x:formula>"À vérifier"</x:formula>
    </x:cfRule>
    <x:cfRule type="cellIs" dxfId="29" priority="2" operator="equal">
      <x:formula>"Extrapolation"</x:formula>
    </x:cfRule>
  </x:conditionalFormatting>
  <x:conditionalFormatting sqref="C7:C7">
    <x:cfRule type="cellIs" dxfId="30" priority="3" operator="equal">
      <x:formula>"Validé"</x:formula>
    </x:cfRule>
  </x:conditionalFormatting>
  <x:conditionalFormatting sqref="E7:E7">
    <x:cfRule type="cellIs" dxfId="3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d21c9d2f8a85469d"/>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Revelation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REV-ENC-SUNPATROL</x:v>
      </x:c>
      <x:c r="B7" s="9" t="str">
        <x:v>Patrouille mercenaire proposée</x:v>
      </x:c>
      <x:c r="C7" s="15" t="str">
        <x:v>Défini</x:v>
      </x:c>
      <x:c r="D7" s="16" t="str">
        <x:v>Extrapolation</x:v>
      </x:c>
      <x:c r="E7" s="16" t="str">
        <x:v>P1</x:v>
      </x:c>
      <x:c r="F7" s="9" t="str">
        <x:v>Rencontre originale proposée : Rencontre de Soleils Bleus dans une annexe originale.</x:v>
      </x:c>
      <x:c r="G7" s="9" t="str">
        <x:v>Opposition ou crise scénarisée pour le groupe ; ne pas attribuer au roman une barre de vie ou un rang de boss.</x:v>
      </x:c>
      <x:c r="H7" s="9" t="str">
        <x:v>Balayage en éventail puis déplacement vers un couvert. Réponse du joueur : Contourner par le passage latéral ou interrompre l’observateur.</x:v>
      </x:c>
      <x:c r="I7" s="9" t="str">
        <x:v>Visée au sol et redressement d’un tireur de silhouette distincte.</x:v>
      </x:c>
      <x:c r="J7" s="9" t="str">
        <x:v>Anticipation identifiable, action, récupération exploitable ; variante de sortie non létale lorsque pertinente.</x:v>
      </x:c>
      <x:c r="K7" s="9" t="str">
        <x:v>Motif de danger spécifique, sous-titre bref et avertissement visuel.</x:v>
      </x:c>
      <x:c r="L7" s="9" t="str">
        <x:v>encounters/rev/sunpatrol.json ; activer seulement dans les zones prévues.</x:v>
      </x:c>
      <x:c r="M7" s="9" t="str">
        <x:v>Conserver la trajectoire menant à Mass Effect : Anderson ne devient pas Spectre dans ce module et les intentions de Saren ne deviennent pas un savoir public anticipé.</x:v>
      </x:c>
      <x:c r="N7" s="9" t="str">
        <x:v>Un joueur découvre la contre-mesure par le télégraphe ; la résolution ne modifie aucun destin établi.</x:v>
      </x:c>
      <x:c r="O7" s="9" t="str"/>
      <x:c r="P7" s="9" t="str"/>
      <x:c r="Q7" s="9" t="str"/>
      <x:c r="R7" s="9" t="str"/>
      <x:c r="S7" s="9" t="str">
        <x:v>Tous comportements et réglages de combat sont du design original.</x:v>
      </x:c>
    </x:row>
    <x:row r="8" ht="68" customHeight="1">
      <x:c r="A8" s="19" t="str">
        <x:v>REV-ENC-SKARRPRESS</x:v>
      </x:c>
      <x:c r="B8" s="7" t="str">
        <x:v>Pression de Skarr — segment de boss proposé</x:v>
      </x:c>
      <x:c r="C8" s="15" t="str">
        <x:v>Défini</x:v>
      </x:c>
      <x:c r="D8" s="17" t="str">
        <x:v>Extrapolation</x:v>
      </x:c>
      <x:c r="E8" s="17" t="str">
        <x:v>P1</x:v>
      </x:c>
      <x:c r="F8" s="7" t="str">
        <x:v>Rencontre originale proposée : Épreuve d’escorte inspirée de l’adversaire, sans nouvelle issue.</x:v>
      </x:c>
      <x:c r="G8" s="7" t="str">
        <x:v>Opposition ou crise scénarisée pour le groupe ; ne pas attribuer au roman une barre de vie ou un rang de boss.</x:v>
      </x:c>
      <x:c r="H8" s="7" t="str">
        <x:v>Menace une zone d’abri puis laisse un créneau de déplacement. Réponse du joueur : Quitter l’axe annoncé et protéger la personne escortée.</x:v>
      </x:c>
      <x:c r="I8" s="7" t="str">
        <x:v>Impulsion biotique concentrée et objet qui tremble avant projection.</x:v>
      </x:c>
      <x:c r="J8" s="7" t="str">
        <x:v>Anticipation identifiable, action, récupération exploitable ; variante de sortie non létale lorsque pertinente.</x:v>
      </x:c>
      <x:c r="K8" s="7" t="str">
        <x:v>Motif de danger spécifique, sous-titre bref et avertissement visuel.</x:v>
      </x:c>
      <x:c r="L8" s="7" t="str">
        <x:v>encounters/rev/skarrpress.json ; activer seulement dans les zones prévues.</x:v>
      </x:c>
      <x:c r="M8" s="7" t="str">
        <x:v>Conserver la trajectoire menant à Mass Effect : Anderson ne devient pas Spectre dans ce module et les intentions de Saren ne deviennent pas un savoir public anticipé.</x:v>
      </x:c>
      <x:c r="N8" s="7" t="str">
        <x:v>Un joueur découvre la contre-mesure par le télégraphe ; la résolution ne modifie aucun destin établi.</x:v>
      </x:c>
      <x:c r="O8" s="7" t="str"/>
      <x:c r="P8" s="7" t="str"/>
      <x:c r="Q8" s="7" t="str"/>
      <x:c r="R8" s="7" t="str"/>
      <x:c r="S8" s="7" t="str">
        <x:v>Tous comportements et réglages de combat sont du design original.</x:v>
      </x:c>
    </x:row>
    <x:row r="9" ht="68" customHeight="1">
      <x:c r="A9" s="18" t="str">
        <x:v>REV-ENC-GUARD</x:v>
      </x:c>
      <x:c r="B9" s="9" t="str">
        <x:v>Garde de registre proposée</x:v>
      </x:c>
      <x:c r="C9" s="15" t="str">
        <x:v>Défini</x:v>
      </x:c>
      <x:c r="D9" s="16" t="str">
        <x:v>Extrapolation</x:v>
      </x:c>
      <x:c r="E9" s="16" t="str">
        <x:v>P1</x:v>
      </x:c>
      <x:c r="F9" s="9" t="str">
        <x:v>Rencontre originale proposée : Obstacle local ajouté au complexe industriel.</x:v>
      </x:c>
      <x:c r="G9" s="9" t="str">
        <x:v>Opposition ou crise scénarisée pour le groupe ; ne pas attribuer au roman une barre de vie ou un rang de boss.</x:v>
      </x:c>
      <x:c r="H9" s="9" t="str">
        <x:v>Alterne surveillance du terminal et appel de renfort simulé. Réponse du joueur : Couper la communication ou agir pendant son retournement.</x:v>
      </x:c>
      <x:c r="I9" s="9" t="str">
        <x:v>Voyant de communication et changement visible d’orientation.</x:v>
      </x:c>
      <x:c r="J9" s="9" t="str">
        <x:v>Anticipation identifiable, action, récupération exploitable ; variante de sortie non létale lorsque pertinente.</x:v>
      </x:c>
      <x:c r="K9" s="9" t="str">
        <x:v>Motif de danger spécifique, sous-titre bref et avertissement visuel.</x:v>
      </x:c>
      <x:c r="L9" s="9" t="str">
        <x:v>encounters/rev/guard.json ; activer seulement dans les zones prévues.</x:v>
      </x:c>
      <x:c r="M9" s="9" t="str">
        <x:v>Conserver la trajectoire menant à Mass Effect : Anderson ne devient pas Spectre dans ce module et les intentions de Saren ne deviennent pas un savoir public anticipé.</x:v>
      </x:c>
      <x:c r="N9" s="9" t="str">
        <x:v>Un joueur découvre la contre-mesure par le télégraphe ; la résolution ne modifie aucun destin établi.</x:v>
      </x:c>
      <x:c r="O9" s="9" t="str"/>
      <x:c r="P9" s="9" t="str"/>
      <x:c r="Q9" s="9" t="str"/>
      <x:c r="R9" s="9" t="str"/>
      <x:c r="S9" s="9" t="str">
        <x:v>Tous comportements et réglages de combat sont du design original.</x:v>
      </x:c>
    </x:row>
    <x:row r="10" ht="68" customHeight="1">
      <x:c r="A10" s="19" t="str">
        <x:v>REV-ENC-PUMP</x:v>
      </x:c>
      <x:c r="B10" s="7" t="str">
        <x:v>Crise des pompes</x:v>
      </x:c>
      <x:c r="C10" s="15" t="str">
        <x:v>Défini</x:v>
      </x:c>
      <x:c r="D10" s="17" t="str">
        <x:v>Extrapolation</x:v>
      </x:c>
      <x:c r="E10" s="17" t="str">
        <x:v>P1</x:v>
      </x:c>
      <x:c r="F10" s="7" t="str">
        <x:v>Rencontre originale proposée : Boss environnemental original de raffinerie.</x:v>
      </x:c>
      <x:c r="G10" s="7" t="str">
        <x:v>Opposition ou crise scénarisée pour le groupe ; ne pas attribuer au roman une barre de vie ou un rang de boss.</x:v>
      </x:c>
      <x:c r="H10" s="7" t="str">
        <x:v>Une conduite obstrue un passage tant que la dérivation n’est pas activée. Réponse du joueur : Isoler le circuit depuis le poste secondaire.</x:v>
      </x:c>
      <x:c r="I10" s="7" t="str">
        <x:v>Givre, sifflement et hachures sur la portion fermée.</x:v>
      </x:c>
      <x:c r="J10" s="7" t="str">
        <x:v>Anticipation identifiable, action, récupération exploitable ; variante de sortie non létale lorsque pertinente.</x:v>
      </x:c>
      <x:c r="K10" s="7" t="str">
        <x:v>Motif de danger spécifique, sous-titre bref et avertissement visuel.</x:v>
      </x:c>
      <x:c r="L10" s="7" t="str">
        <x:v>encounters/rev/pump.json ; activer seulement dans les zones prévues.</x:v>
      </x:c>
      <x:c r="M10" s="7" t="str">
        <x:v>Conserver la trajectoire menant à Mass Effect : Anderson ne devient pas Spectre dans ce module et les intentions de Saren ne deviennent pas un savoir public anticipé.</x:v>
      </x:c>
      <x:c r="N10" s="7" t="str">
        <x:v>Un joueur découvre la contre-mesure par le télégraphe ; la résolution ne modifie aucun destin établi.</x:v>
      </x:c>
      <x:c r="O10" s="7" t="str"/>
      <x:c r="P10" s="7" t="str"/>
      <x:c r="Q10" s="7" t="str"/>
      <x:c r="R10" s="7" t="str"/>
      <x:c r="S10" s="7" t="str">
        <x:v>Tous comportements et réglages de combat sont du design original.</x:v>
      </x:c>
    </x:row>
  </x:sheetData>
  <x:conditionalFormatting sqref="D7:D10">
    <x:cfRule type="cellIs" dxfId="32" priority="1" operator="equal">
      <x:formula>"À vérifier"</x:formula>
    </x:cfRule>
    <x:cfRule type="cellIs" dxfId="33" priority="2" operator="equal">
      <x:formula>"Extrapolation"</x:formula>
    </x:cfRule>
  </x:conditionalFormatting>
  <x:conditionalFormatting sqref="C7:C10">
    <x:cfRule type="cellIs" dxfId="34" priority="3" operator="equal">
      <x:formula>"Validé"</x:formula>
    </x:cfRule>
  </x:conditionalFormatting>
  <x:conditionalFormatting sqref="E7:E10">
    <x:cfRule type="cellIs" dxfId="3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22dfc1a385e249b2"/>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Revelation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REV-MIS-TRACE</x:v>
      </x:c>
      <x:c r="B7" s="9" t="str">
        <x:v>Tracer les dernières activités</x:v>
      </x:c>
      <x:c r="C7" s="15" t="str">
        <x:v>Défini</x:v>
      </x:c>
      <x:c r="D7" s="16" t="str">
        <x:v>Extrapolation</x:v>
      </x:c>
      <x:c r="E7" s="16" t="str">
        <x:v>P0</x:v>
      </x:c>
      <x:c r="F7" s="9" t="str">
        <x:v>Mission originale d’adaptation, inspirée d’un enjeu général de l’œuvre.</x:v>
      </x:c>
      <x:c r="G7" s="9" t="str">
        <x:v>Reconstituer un court itinéraire technique dans une annexe de Sidon.</x:v>
      </x:c>
      <x:c r="H7" s="9" t="str">
        <x:v>Observer trois classes de trace proposées ; croiser horodatage, accès et déplacement avant de conclure.</x:v>
      </x:c>
      <x:c r="I7" s="9" t="str">
        <x:v>Objectif spatial associé à Périmètre de Sidon ; états non commencé/en cours/résolu distingués.</x:v>
      </x:c>
      <x:c r="J7" s="9" t="str">
        <x:v>Entrée contrôlée, actions de groupe et fin interruptible avant sauvegarde ; aucune animation ne décide seule du résultat.</x:v>
      </x:c>
      <x:c r="K7" s="9" t="str">
        <x:v>Briefing original concis ; changement de musique à la résolution d’objectif, pas après un délai arbitraire.</x:v>
      </x:c>
      <x:c r="L7" s="9" t="str">
        <x:v>quests/rev/trace.json ; états offered/active/resolved ; clés de progression propres au module.</x:v>
      </x:c>
      <x:c r="M7" s="9" t="str">
        <x:v>Ne pas donner au groupe une connaissance des Moissonneurs qu’il n’a pas.</x:v>
      </x:c>
      <x:c r="N7" s="9" t="str">
        <x:v>Le joueur peut accomplir « Reconstituer un court itinéraire technique dans une annexe de Sidon. » et la sortie confirme le résultat ; Ne pas donner au groupe une connaissance des Moissonneurs qu’il n’a pas.</x:v>
      </x:c>
      <x:c r="O7" s="9" t="str">
        <x:v>REV-MAP-SIDON</x:v>
      </x:c>
      <x:c r="P7" s="9" t="str"/>
      <x:c r="Q7" s="9" t="str"/>
      <x:c r="R7" s="9" t="str"/>
      <x:c r="S7" s="9" t="str"/>
    </x:row>
    <x:row r="8" ht="68" customHeight="1">
      <x:c r="A8" s="19" t="str">
        <x:v>REV-MIS-WITNESS</x:v>
      </x:c>
      <x:c r="B8" s="7" t="str">
        <x:v>Préparer la protection du témoin</x:v>
      </x:c>
      <x:c r="C8" s="15" t="str">
        <x:v>Défini</x:v>
      </x:c>
      <x:c r="D8" s="17" t="str">
        <x:v>Extrapolation</x:v>
      </x:c>
      <x:c r="E8" s="17" t="str">
        <x:v>P0</x:v>
      </x:c>
      <x:c r="F8" s="7" t="str">
        <x:v>Mission originale d’adaptation, inspirée d’un enjeu général de l’œuvre.</x:v>
      </x:c>
      <x:c r="G8" s="7" t="str">
        <x:v>Organiser le matériel et la disponibilité de l’équipe avant transit.</x:v>
      </x:c>
      <x:c r="H8" s="7" t="str">
        <x:v>Affecter soutien, surveillance et analyse à des postes de préparation distincts.</x:v>
      </x:c>
      <x:c r="I8" s="7" t="str">
        <x:v>Objectif spatial associé à Espace de débrief du Hastings ; états non commencé/en cours/résolu distingués.</x:v>
      </x:c>
      <x:c r="J8" s="7" t="str">
        <x:v>Entrée contrôlée, actions de groupe et fin interruptible avant sauvegarde ; aucune animation ne décide seule du résultat.</x:v>
      </x:c>
      <x:c r="K8" s="7" t="str">
        <x:v>Briefing original concis ; changement de musique à la résolution d’objectif, pas après un délai arbitraire.</x:v>
      </x:c>
      <x:c r="L8" s="7" t="str">
        <x:v>quests/rev/witness.json ; états offered/active/resolved ; clés de progression propres au module.</x:v>
      </x:c>
      <x:c r="M8" s="7" t="str">
        <x:v>Aucun personnage n’est remplacé par Shepard.</x:v>
      </x:c>
      <x:c r="N8" s="7" t="str">
        <x:v>Le joueur peut accomplir « Organiser le matériel et la disponibilité de l’équipe avant transit. » et la sortie confirme le résultat ; Aucun personnage n’est remplacé par Shepard.</x:v>
      </x:c>
      <x:c r="O8" s="7" t="str">
        <x:v>REV-MAP-HASTINGS</x:v>
      </x:c>
      <x:c r="P8" s="7" t="str"/>
      <x:c r="Q8" s="7" t="str"/>
      <x:c r="R8" s="7" t="str"/>
      <x:c r="S8" s="7" t="str"/>
    </x:row>
    <x:row r="9" ht="68" customHeight="1">
      <x:c r="A9" s="18" t="str">
        <x:v>REV-MIS-ACCESS</x:v>
      </x:c>
      <x:c r="B9" s="9" t="str">
        <x:v>Obtenir l’accès aux registres</x:v>
      </x:c>
      <x:c r="C9" s="15" t="str">
        <x:v>Défini</x:v>
      </x:c>
      <x:c r="D9" s="16" t="str">
        <x:v>Extrapolation</x:v>
      </x:c>
      <x:c r="E9" s="16" t="str">
        <x:v>P0</x:v>
      </x:c>
      <x:c r="F9" s="9" t="str">
        <x:v>Mission originale d’adaptation, inspirée d’un enjeu général de l’œuvre.</x:v>
      </x:c>
      <x:c r="G9" s="9" t="str">
        <x:v>Faire reconnaître le besoin d’enquête dans un espace administratif proposé.</x:v>
      </x:c>
      <x:c r="H9" s="9" t="str">
        <x:v>Présenter un indice déjà acquis, répondre à une réserve puis obtenir un créneau d’accès.</x:v>
      </x:c>
      <x:c r="I9" s="9" t="str">
        <x:v>Objectif spatial associé à Accueil concilien proposé ; états non commencé/en cours/résolu distingués.</x:v>
      </x:c>
      <x:c r="J9" s="9" t="str">
        <x:v>Entrée contrôlée, actions de groupe et fin interruptible avant sauvegarde ; aucune animation ne décide seule du résultat.</x:v>
      </x:c>
      <x:c r="K9" s="9" t="str">
        <x:v>Briefing original concis ; changement de musique à la résolution d’objectif, pas après un délai arbitraire.</x:v>
      </x:c>
      <x:c r="L9" s="9" t="str">
        <x:v>quests/rev/access.json ; états offered/active/resolved ; clés de progression propres au module.</x:v>
      </x:c>
      <x:c r="M9" s="9" t="str">
        <x:v>Le statut de Spectre n’est pas attribué à Anderson.</x:v>
      </x:c>
      <x:c r="N9" s="9" t="str">
        <x:v>Le joueur peut accomplir « Faire reconnaître le besoin d’enquête dans un espace administratif proposé. » et la sortie confirme le résultat ; Le statut de Spectre n’est pas attribué à Anderson.</x:v>
      </x:c>
      <x:c r="O9" s="9" t="str">
        <x:v>REV-MAP-CITADEL</x:v>
      </x:c>
      <x:c r="P9" s="9" t="str"/>
      <x:c r="Q9" s="9" t="str"/>
      <x:c r="R9" s="9" t="str"/>
      <x:c r="S9" s="9" t="str"/>
    </x:row>
    <x:row r="10" ht="68" customHeight="1">
      <x:c r="A10" s="19" t="str">
        <x:v>REV-MIS-REFUGE</x:v>
      </x:c>
      <x:c r="B10" s="7" t="str">
        <x:v>Sécuriser une évacuation locale</x:v>
      </x:c>
      <x:c r="C10" s="15" t="str">
        <x:v>Défini</x:v>
      </x:c>
      <x:c r="D10" s="17" t="str">
        <x:v>Extrapolation</x:v>
      </x:c>
      <x:c r="E10" s="17" t="str">
        <x:v>P0</x:v>
      </x:c>
      <x:c r="F10" s="7" t="str">
        <x:v>Mission originale d’adaptation, inspirée d’un enjeu général de l’œuvre.</x:v>
      </x:c>
      <x:c r="G10" s="7" t="str">
        <x:v>Aménager un itinéraire protecteur autour du refuge.</x:v>
      </x:c>
      <x:c r="H10" s="7" t="str">
        <x:v>Positionner le groupe, interrompre une ligne de pression et déplacer le témoin entre deux couverts.</x:v>
      </x:c>
      <x:c r="I10" s="7" t="str">
        <x:v>Objectif spatial associé à Abords du refuge ; états non commencé/en cours/résolu distingués.</x:v>
      </x:c>
      <x:c r="J10" s="7" t="str">
        <x:v>Entrée contrôlée, actions de groupe et fin interruptible avant sauvegarde ; aucune animation ne décide seule du résultat.</x:v>
      </x:c>
      <x:c r="K10" s="7" t="str">
        <x:v>Briefing original concis ; changement de musique à la résolution d’objectif, pas après un délai arbitraire.</x:v>
      </x:c>
      <x:c r="L10" s="7" t="str">
        <x:v>quests/rev/refuge.json ; états offered/active/resolved ; clés de progression propres au module.</x:v>
      </x:c>
      <x:c r="M10" s="7" t="str">
        <x:v>Pas de victoire libre sur Saren ni changement du rôle de Skarr.</x:v>
      </x:c>
      <x:c r="N10" s="7" t="str">
        <x:v>Le joueur peut accomplir « Aménager un itinéraire protecteur autour du refuge. » et la sortie confirme le résultat ; Pas de victoire libre sur Saren ni changement du rôle de Skarr.</x:v>
      </x:c>
      <x:c r="O10" s="7" t="str">
        <x:v>REV-MAP-ELYSIUM</x:v>
      </x:c>
      <x:c r="P10" s="7" t="str"/>
      <x:c r="Q10" s="7" t="str"/>
      <x:c r="R10" s="7" t="str"/>
      <x:c r="S10" s="7" t="str"/>
    </x:row>
    <x:row r="11" ht="68" customHeight="1">
      <x:c r="A11" s="18" t="str">
        <x:v>REV-MIS-MANIFEST</x:v>
      </x:c>
      <x:c r="B11" s="9" t="str">
        <x:v>Suivre un lot industriel</x:v>
      </x:c>
      <x:c r="C11" s="15" t="str">
        <x:v>Défini</x:v>
      </x:c>
      <x:c r="D11" s="16" t="str">
        <x:v>Extrapolation</x:v>
      </x:c>
      <x:c r="E11" s="16" t="str">
        <x:v>P0</x:v>
      </x:c>
      <x:c r="F11" s="9" t="str">
        <x:v>Mission originale d’adaptation, inspirée d’un enjeu général de l’œuvre.</x:v>
      </x:c>
      <x:c r="G11" s="9" t="str">
        <x:v>Comparer une livraison à sa destination dans le débarcadère de Camala.</x:v>
      </x:c>
      <x:c r="H11" s="9" t="str">
        <x:v>Scanner un manifeste fictif, vérifier un sceau et demander une confirmation au quai.</x:v>
      </x:c>
      <x:c r="I11" s="9" t="str">
        <x:v>Objectif spatial associé à Débarcadère industriel ; états non commencé/en cours/résolu distingués.</x:v>
      </x:c>
      <x:c r="J11" s="9" t="str">
        <x:v>Entrée contrôlée, actions de groupe et fin interruptible avant sauvegarde ; aucune animation ne décide seule du résultat.</x:v>
      </x:c>
      <x:c r="K11" s="9" t="str">
        <x:v>Briefing original concis ; changement de musique à la résolution d’objectif, pas après un délai arbitraire.</x:v>
      </x:c>
      <x:c r="L11" s="9" t="str">
        <x:v>quests/rev/manifest.json ; états offered/active/resolved ; clés de progression propres au module.</x:v>
      </x:c>
      <x:c r="M11" s="9" t="str">
        <x:v>Les noms de sociétés ajoutés restent des placeholders, pas du canon.</x:v>
      </x:c>
      <x:c r="N11" s="9" t="str">
        <x:v>Le joueur peut accomplir « Comparer une livraison à sa destination dans le débarcadère de Camala. » et la sortie confirme le résultat ; Les noms de sociétés ajoutés restent des placeholders, pas du canon.</x:v>
      </x:c>
      <x:c r="O11" s="9" t="str">
        <x:v>REV-MAP-CAMALA</x:v>
      </x:c>
      <x:c r="P11" s="9" t="str"/>
      <x:c r="Q11" s="9" t="str"/>
      <x:c r="R11" s="9" t="str"/>
      <x:c r="S11" s="9" t="str"/>
    </x:row>
    <x:row r="12" ht="68" customHeight="1">
      <x:c r="A12" s="19" t="str">
        <x:v>REV-MIS-ACCOUNT</x:v>
      </x:c>
      <x:c r="B12" s="7" t="str">
        <x:v>Protéger une déposition</x:v>
      </x:c>
      <x:c r="C12" s="15" t="str">
        <x:v>Défini</x:v>
      </x:c>
      <x:c r="D12" s="17" t="str">
        <x:v>Extrapolation</x:v>
      </x:c>
      <x:c r="E12" s="17" t="str">
        <x:v>P0</x:v>
      </x:c>
      <x:c r="F12" s="7" t="str">
        <x:v>Mission originale d’adaptation, inspirée d’un enjeu général de l’œuvre.</x:v>
      </x:c>
      <x:c r="G12" s="7" t="str">
        <x:v>Conserver un témoignage et ses pièces jointes pendant une coupure locale.</x:v>
      </x:c>
      <x:c r="H12" s="7" t="str">
        <x:v>Garder un terminal en ligne avec deux postes de maintenance ; couvrir l’opérateur.</x:v>
      </x:c>
      <x:c r="I12" s="7" t="str">
        <x:v>Objectif spatial associé à Annexe de Dah’tan ; états non commencé/en cours/résolu distingués.</x:v>
      </x:c>
      <x:c r="J12" s="7" t="str">
        <x:v>Entrée contrôlée, actions de groupe et fin interruptible avant sauvegarde ; aucune animation ne décide seule du résultat.</x:v>
      </x:c>
      <x:c r="K12" s="7" t="str">
        <x:v>Briefing original concis ; changement de musique à la résolution d’objectif, pas après un délai arbitraire.</x:v>
      </x:c>
      <x:c r="L12" s="7" t="str">
        <x:v>quests/rev/account.json ; états offered/active/resolved ; clés de progression propres au module.</x:v>
      </x:c>
      <x:c r="M12" s="7" t="str">
        <x:v>Aucun long aveu du roman n’est transcrit.</x:v>
      </x:c>
      <x:c r="N12" s="7" t="str">
        <x:v>Le joueur peut accomplir « Conserver un témoignage et ses pièces jointes pendant une coupure locale. » et la sortie confirme le résultat ; Aucun long aveu du roman n’est transcrit.</x:v>
      </x:c>
      <x:c r="O12" s="7" t="str">
        <x:v>REV-MAP-DAHTAN</x:v>
      </x:c>
      <x:c r="P12" s="7" t="str"/>
      <x:c r="Q12" s="7" t="str"/>
      <x:c r="R12" s="7" t="str"/>
      <x:c r="S12" s="7" t="str"/>
    </x:row>
    <x:row r="13" ht="68" customHeight="1">
      <x:c r="A13" s="18" t="str">
        <x:v>REV-MIS-PASSAGE</x:v>
      </x:c>
      <x:c r="B13" s="9" t="str">
        <x:v>Franchir le passage du convoi</x:v>
      </x:c>
      <x:c r="C13" s="15" t="str">
        <x:v>Défini</x:v>
      </x:c>
      <x:c r="D13" s="16" t="str">
        <x:v>Extrapolation</x:v>
      </x:c>
      <x:c r="E13" s="16" t="str">
        <x:v>P0</x:v>
      </x:c>
      <x:c r="F13" s="9" t="str">
        <x:v>Mission originale d’adaptation, inspirée d’un enjeu général de l’œuvre.</x:v>
      </x:c>
      <x:c r="G13" s="9" t="str">
        <x:v>Maintenir une escorte cohérente dans un engagement court.</x:v>
      </x:c>
      <x:c r="H13" s="9" t="str">
        <x:v>Le groupe ouvre un créneau de passage par couverture, analyse de trajet et interruption de menace.</x:v>
      </x:c>
      <x:c r="I13" s="9" t="str">
        <x:v>Objectif spatial associé à Couloir de transfert ; états non commencé/en cours/résolu distingués.</x:v>
      </x:c>
      <x:c r="J13" s="9" t="str">
        <x:v>Entrée contrôlée, actions de groupe et fin interruptible avant sauvegarde ; aucune animation ne décide seule du résultat.</x:v>
      </x:c>
      <x:c r="K13" s="9" t="str">
        <x:v>Briefing original concis ; changement de musique à la résolution d’objectif, pas après un délai arbitraire.</x:v>
      </x:c>
      <x:c r="L13" s="9" t="str">
        <x:v>quests/rev/passage.json ; états offered/active/resolved ; clés de progression propres au module.</x:v>
      </x:c>
      <x:c r="M13" s="9" t="str">
        <x:v>Ne pas permettre de sauver l’Iwo Jima via un choix présenté comme canon.</x:v>
      </x:c>
      <x:c r="N13" s="9" t="str">
        <x:v>Le joueur peut accomplir « Maintenir une escorte cohérente dans un engagement court. » et la sortie confirme le résultat ; Ne pas permettre de sauver l’Iwo Jima via un choix présenté comme canon.</x:v>
      </x:c>
      <x:c r="O13" s="9" t="str">
        <x:v>REV-MAP-CONVOY</x:v>
      </x:c>
      <x:c r="P13" s="9" t="str"/>
      <x:c r="Q13" s="9" t="str"/>
      <x:c r="R13" s="9" t="str"/>
      <x:c r="S13" s="9" t="str"/>
    </x:row>
    <x:row r="14" ht="68" customHeight="1">
      <x:c r="A14" s="19" t="str">
        <x:v>REV-MIS-EXTRACT</x:v>
      </x:c>
      <x:c r="B14" s="7" t="str">
        <x:v>Ouvrir l’extraction de raffinerie</x:v>
      </x:c>
      <x:c r="C14" s="15" t="str">
        <x:v>Défini</x:v>
      </x:c>
      <x:c r="D14" s="17" t="str">
        <x:v>Extrapolation</x:v>
      </x:c>
      <x:c r="E14" s="17" t="str">
        <x:v>P0</x:v>
      </x:c>
      <x:c r="F14" s="7" t="str">
        <x:v>Mission originale d’adaptation, inspirée d’un enjeu général de l’œuvre.</x:v>
      </x:c>
      <x:c r="G14" s="7" t="str">
        <x:v>Acheminer les personnes autorisées vers la sortie de service.</x:v>
      </x:c>
      <x:c r="H14" s="7" t="str">
        <x:v>Couper une alimentation dangereuse, lever un verrou puis tenir l’accès durant l’extraction.</x:v>
      </x:c>
      <x:c r="I14" s="7" t="str">
        <x:v>Objectif spatial associé à Secteur de raffinerie ; états non commencé/en cours/résolu distingués.</x:v>
      </x:c>
      <x:c r="J14" s="7" t="str">
        <x:v>Entrée contrôlée, actions de groupe et fin interruptible avant sauvegarde ; aucune animation ne décide seule du résultat.</x:v>
      </x:c>
      <x:c r="K14" s="7" t="str">
        <x:v>Briefing original concis ; changement de musique à la résolution d’objectif, pas après un délai arbitraire.</x:v>
      </x:c>
      <x:c r="L14" s="7" t="str">
        <x:v>quests/rev/extract.json ; états offered/active/resolved ; clés de progression propres au module.</x:v>
      </x:c>
      <x:c r="M14" s="7" t="str">
        <x:v>Préserver l’échec de la candidature Spectre d’Anderson.</x:v>
      </x:c>
      <x:c r="N14" s="7" t="str">
        <x:v>Le joueur peut accomplir « Acheminer les personnes autorisées vers la sortie de service. » et la sortie confirme le résultat ; Préserver l’échec de la candidature Spectre d’Anderson.</x:v>
      </x:c>
      <x:c r="O14" s="7" t="str">
        <x:v>REV-MAP-REFINERY</x:v>
      </x:c>
      <x:c r="P14" s="7" t="str"/>
      <x:c r="Q14" s="7" t="str"/>
      <x:c r="R14" s="7" t="str"/>
      <x:c r="S14" s="7" t="str"/>
    </x:row>
  </x:sheetData>
  <x:conditionalFormatting sqref="D7:D14">
    <x:cfRule type="cellIs" dxfId="36" priority="1" operator="equal">
      <x:formula>"À vérifier"</x:formula>
    </x:cfRule>
    <x:cfRule type="cellIs" dxfId="37" priority="2" operator="equal">
      <x:formula>"Extrapolation"</x:formula>
    </x:cfRule>
  </x:conditionalFormatting>
  <x:conditionalFormatting sqref="C7:C14">
    <x:cfRule type="cellIs" dxfId="38" priority="3" operator="equal">
      <x:formula>"Validé"</x:formula>
    </x:cfRule>
  </x:conditionalFormatting>
  <x:conditionalFormatting sqref="E7:E14">
    <x:cfRule type="cellIs" dxfId="3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84ef90daef3847b1"/>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Revelation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REV-OPT-TRACE</x:v>
      </x:c>
      <x:c r="B7" s="9" t="str">
        <x:v>Tracer les dernières activités — tâche annexe</x:v>
      </x:c>
      <x:c r="C7" s="15" t="str">
        <x:v>Défini</x:v>
      </x:c>
      <x:c r="D7" s="16" t="str">
        <x:v>Extrapolation</x:v>
      </x:c>
      <x:c r="E7" s="16" t="str">
        <x:v>P1</x:v>
      </x:c>
      <x:c r="F7" s="9" t="str">
        <x:v>Objectif annexe créé pour l’adaptation.</x:v>
      </x:c>
      <x:c r="G7" s="9" t="str">
        <x:v>Retrouver un boîtier de secours pour ouvrir un abri de soin local.</x:v>
      </x:c>
      <x:c r="H7" s="9" t="str">
        <x:v>Récompense proposée : renseignement de terrain, raccourci ou consommable local. Ne débloque aucun savoir anticipé sur la saga.</x:v>
      </x:c>
      <x:c r="I7" s="9" t="str">
        <x:v>Marqueur secondaire distinct du chemin critique et objet d’intérêt cadré lisiblement.</x:v>
      </x:c>
      <x:c r="J7" s="9" t="str">
        <x:v>Interaction brève réutilisant les poses du métier concerné, avec interruption possible.</x:v>
      </x:c>
      <x:c r="K7" s="9" t="str">
        <x:v>Petit signal de découverte ; résultat textuel consultable sans audio.</x:v>
      </x:c>
      <x:c r="L7" s="9" t="str">
        <x:v>optional.rev.trace ; persister done/skipped, récompenser une seule fois.</x:v>
      </x:c>
      <x:c r="M7" s="9" t="str">
        <x:v>Facultatif ; peut être ignoré sans bloquer la mission. Ne pas donner au groupe une connaissance des Moissonneurs qu’il n’a pas.</x:v>
      </x:c>
      <x:c r="N7" s="9" t="str">
        <x:v>Ignorer puis terminer la mission fonctionne ; compléter ne verse la récompense qu’une fois.</x:v>
      </x:c>
      <x:c r="O7" s="9" t="str">
        <x:v>REV-MIS-TRACE</x:v>
      </x:c>
      <x:c r="P7" s="9" t="str"/>
      <x:c r="Q7" s="9" t="str"/>
      <x:c r="R7" s="9" t="str"/>
      <x:c r="S7" s="9" t="str"/>
    </x:row>
    <x:row r="8" ht="54" customHeight="1">
      <x:c r="A8" s="19" t="str">
        <x:v>REV-OPT-WITNESS</x:v>
      </x:c>
      <x:c r="B8" s="7" t="str">
        <x:v>Préparer la protection du témoin — tâche annexe</x:v>
      </x:c>
      <x:c r="C8" s="15" t="str">
        <x:v>Défini</x:v>
      </x:c>
      <x:c r="D8" s="17" t="str">
        <x:v>Extrapolation</x:v>
      </x:c>
      <x:c r="E8" s="17" t="str">
        <x:v>P1</x:v>
      </x:c>
      <x:c r="F8" s="7" t="str">
        <x:v>Objectif annexe créé pour l’adaptation.</x:v>
      </x:c>
      <x:c r="G8" s="7" t="str">
        <x:v>Classer un message anonyme selon son degré de confiance.</x:v>
      </x:c>
      <x:c r="H8" s="7" t="str">
        <x:v>Récompense proposée : renseignement de terrain, raccourci ou consommable local. Ne débloque aucun savoir anticipé sur la saga.</x:v>
      </x:c>
      <x:c r="I8" s="7" t="str">
        <x:v>Marqueur secondaire distinct du chemin critique et objet d’intérêt cadré lisiblement.</x:v>
      </x:c>
      <x:c r="J8" s="7" t="str">
        <x:v>Interaction brève réutilisant les poses du métier concerné, avec interruption possible.</x:v>
      </x:c>
      <x:c r="K8" s="7" t="str">
        <x:v>Petit signal de découverte ; résultat textuel consultable sans audio.</x:v>
      </x:c>
      <x:c r="L8" s="7" t="str">
        <x:v>optional.rev.witness ; persister done/skipped, récompenser une seule fois.</x:v>
      </x:c>
      <x:c r="M8" s="7" t="str">
        <x:v>Facultatif ; peut être ignoré sans bloquer la mission. Aucun personnage n’est remplacé par Shepard.</x:v>
      </x:c>
      <x:c r="N8" s="7" t="str">
        <x:v>Ignorer puis terminer la mission fonctionne ; compléter ne verse la récompense qu’une fois.</x:v>
      </x:c>
      <x:c r="O8" s="7" t="str">
        <x:v>REV-MIS-WITNESS</x:v>
      </x:c>
      <x:c r="P8" s="7" t="str"/>
      <x:c r="Q8" s="7" t="str"/>
      <x:c r="R8" s="7" t="str"/>
      <x:c r="S8" s="7" t="str"/>
    </x:row>
    <x:row r="9" ht="54" customHeight="1">
      <x:c r="A9" s="18" t="str">
        <x:v>REV-OPT-ACCESS</x:v>
      </x:c>
      <x:c r="B9" s="9" t="str">
        <x:v>Obtenir l’accès aux registres — tâche annexe</x:v>
      </x:c>
      <x:c r="C9" s="15" t="str">
        <x:v>Défini</x:v>
      </x:c>
      <x:c r="D9" s="16" t="str">
        <x:v>Extrapolation</x:v>
      </x:c>
      <x:c r="E9" s="16" t="str">
        <x:v>P1</x:v>
      </x:c>
      <x:c r="F9" s="9" t="str">
        <x:v>Objectif annexe créé pour l’adaptation.</x:v>
      </x:c>
      <x:c r="G9" s="9" t="str">
        <x:v>Aider un technicien à retrouver une caisse mal indexée pour connaître un raccourci.</x:v>
      </x:c>
      <x:c r="H9" s="9" t="str">
        <x:v>Récompense proposée : renseignement de terrain, raccourci ou consommable local. Ne débloque aucun savoir anticipé sur la saga.</x:v>
      </x:c>
      <x:c r="I9" s="9" t="str">
        <x:v>Marqueur secondaire distinct du chemin critique et objet d’intérêt cadré lisiblement.</x:v>
      </x:c>
      <x:c r="J9" s="9" t="str">
        <x:v>Interaction brève réutilisant les poses du métier concerné, avec interruption possible.</x:v>
      </x:c>
      <x:c r="K9" s="9" t="str">
        <x:v>Petit signal de découverte ; résultat textuel consultable sans audio.</x:v>
      </x:c>
      <x:c r="L9" s="9" t="str">
        <x:v>optional.rev.access ; persister done/skipped, récompenser une seule fois.</x:v>
      </x:c>
      <x:c r="M9" s="9" t="str">
        <x:v>Facultatif ; peut être ignoré sans bloquer la mission. Le statut de Spectre n’est pas attribué à Anderson.</x:v>
      </x:c>
      <x:c r="N9" s="9" t="str">
        <x:v>Ignorer puis terminer la mission fonctionne ; compléter ne verse la récompense qu’une fois.</x:v>
      </x:c>
      <x:c r="O9" s="9" t="str">
        <x:v>REV-MIS-ACCESS</x:v>
      </x:c>
      <x:c r="P9" s="9" t="str"/>
      <x:c r="Q9" s="9" t="str"/>
      <x:c r="R9" s="9" t="str"/>
      <x:c r="S9" s="9" t="str"/>
    </x:row>
    <x:row r="10" ht="54" customHeight="1">
      <x:c r="A10" s="19" t="str">
        <x:v>REV-OPT-REFUGE</x:v>
      </x:c>
      <x:c r="B10" s="7" t="str">
        <x:v>Sécuriser une évacuation locale — tâche annexe</x:v>
      </x:c>
      <x:c r="C10" s="15" t="str">
        <x:v>Défini</x:v>
      </x:c>
      <x:c r="D10" s="17" t="str">
        <x:v>Extrapolation</x:v>
      </x:c>
      <x:c r="E10" s="17" t="str">
        <x:v>P1</x:v>
      </x:c>
      <x:c r="F10" s="7" t="str">
        <x:v>Objectif annexe créé pour l’adaptation.</x:v>
      </x:c>
      <x:c r="G10" s="7" t="str">
        <x:v>Rassembler les affaires urgentes du refuge comme interaction civile.</x:v>
      </x:c>
      <x:c r="H10" s="7" t="str">
        <x:v>Récompense proposée : renseignement de terrain, raccourci ou consommable local. Ne débloque aucun savoir anticipé sur la saga.</x:v>
      </x:c>
      <x:c r="I10" s="7" t="str">
        <x:v>Marqueur secondaire distinct du chemin critique et objet d’intérêt cadré lisiblement.</x:v>
      </x:c>
      <x:c r="J10" s="7" t="str">
        <x:v>Interaction brève réutilisant les poses du métier concerné, avec interruption possible.</x:v>
      </x:c>
      <x:c r="K10" s="7" t="str">
        <x:v>Petit signal de découverte ; résultat textuel consultable sans audio.</x:v>
      </x:c>
      <x:c r="L10" s="7" t="str">
        <x:v>optional.rev.refuge ; persister done/skipped, récompenser une seule fois.</x:v>
      </x:c>
      <x:c r="M10" s="7" t="str">
        <x:v>Facultatif ; peut être ignoré sans bloquer la mission. Pas de victoire libre sur Saren ni changement du rôle de Skarr.</x:v>
      </x:c>
      <x:c r="N10" s="7" t="str">
        <x:v>Ignorer puis terminer la mission fonctionne ; compléter ne verse la récompense qu’une fois.</x:v>
      </x:c>
      <x:c r="O10" s="7" t="str">
        <x:v>REV-MIS-REFUGE</x:v>
      </x:c>
      <x:c r="P10" s="7" t="str"/>
      <x:c r="Q10" s="7" t="str"/>
      <x:c r="R10" s="7" t="str"/>
      <x:c r="S10" s="7" t="str"/>
    </x:row>
    <x:row r="11" ht="54" customHeight="1">
      <x:c r="A11" s="18" t="str">
        <x:v>REV-OPT-MANIFEST</x:v>
      </x:c>
      <x:c r="B11" s="9" t="str">
        <x:v>Suivre un lot industriel — tâche annexe</x:v>
      </x:c>
      <x:c r="C11" s="15" t="str">
        <x:v>Défini</x:v>
      </x:c>
      <x:c r="D11" s="16" t="str">
        <x:v>Extrapolation</x:v>
      </x:c>
      <x:c r="E11" s="16" t="str">
        <x:v>P1</x:v>
      </x:c>
      <x:c r="F11" s="9" t="str">
        <x:v>Objectif annexe créé pour l’adaptation.</x:v>
      </x:c>
      <x:c r="G11" s="9" t="str">
        <x:v>Réparer un chariot pour dégager une voie de secours.</x:v>
      </x:c>
      <x:c r="H11" s="9" t="str">
        <x:v>Récompense proposée : renseignement de terrain, raccourci ou consommable local. Ne débloque aucun savoir anticipé sur la saga.</x:v>
      </x:c>
      <x:c r="I11" s="9" t="str">
        <x:v>Marqueur secondaire distinct du chemin critique et objet d’intérêt cadré lisiblement.</x:v>
      </x:c>
      <x:c r="J11" s="9" t="str">
        <x:v>Interaction brève réutilisant les poses du métier concerné, avec interruption possible.</x:v>
      </x:c>
      <x:c r="K11" s="9" t="str">
        <x:v>Petit signal de découverte ; résultat textuel consultable sans audio.</x:v>
      </x:c>
      <x:c r="L11" s="9" t="str">
        <x:v>optional.rev.manifest ; persister done/skipped, récompenser une seule fois.</x:v>
      </x:c>
      <x:c r="M11" s="9" t="str">
        <x:v>Facultatif ; peut être ignoré sans bloquer la mission. Les noms de sociétés ajoutés restent des placeholders, pas du canon.</x:v>
      </x:c>
      <x:c r="N11" s="9" t="str">
        <x:v>Ignorer puis terminer la mission fonctionne ; compléter ne verse la récompense qu’une fois.</x:v>
      </x:c>
      <x:c r="O11" s="9" t="str">
        <x:v>REV-MIS-MANIFEST</x:v>
      </x:c>
      <x:c r="P11" s="9" t="str"/>
      <x:c r="Q11" s="9" t="str"/>
      <x:c r="R11" s="9" t="str"/>
      <x:c r="S11" s="9" t="str"/>
    </x:row>
    <x:row r="12" ht="54" customHeight="1">
      <x:c r="A12" s="19" t="str">
        <x:v>REV-OPT-ACCOUNT</x:v>
      </x:c>
      <x:c r="B12" s="7" t="str">
        <x:v>Protéger une déposition — tâche annexe</x:v>
      </x:c>
      <x:c r="C12" s="15" t="str">
        <x:v>Défini</x:v>
      </x:c>
      <x:c r="D12" s="17" t="str">
        <x:v>Extrapolation</x:v>
      </x:c>
      <x:c r="E12" s="17" t="str">
        <x:v>P1</x:v>
      </x:c>
      <x:c r="F12" s="7" t="str">
        <x:v>Objectif annexe créé pour l’adaptation.</x:v>
      </x:c>
      <x:c r="G12" s="7" t="str">
        <x:v>Retrouver le second exemplaire d’un identifiant de service original.</x:v>
      </x:c>
      <x:c r="H12" s="7" t="str">
        <x:v>Récompense proposée : renseignement de terrain, raccourci ou consommable local. Ne débloque aucun savoir anticipé sur la saga.</x:v>
      </x:c>
      <x:c r="I12" s="7" t="str">
        <x:v>Marqueur secondaire distinct du chemin critique et objet d’intérêt cadré lisiblement.</x:v>
      </x:c>
      <x:c r="J12" s="7" t="str">
        <x:v>Interaction brève réutilisant les poses du métier concerné, avec interruption possible.</x:v>
      </x:c>
      <x:c r="K12" s="7" t="str">
        <x:v>Petit signal de découverte ; résultat textuel consultable sans audio.</x:v>
      </x:c>
      <x:c r="L12" s="7" t="str">
        <x:v>optional.rev.account ; persister done/skipped, récompenser une seule fois.</x:v>
      </x:c>
      <x:c r="M12" s="7" t="str">
        <x:v>Facultatif ; peut être ignoré sans bloquer la mission. Aucun long aveu du roman n’est transcrit.</x:v>
      </x:c>
      <x:c r="N12" s="7" t="str">
        <x:v>Ignorer puis terminer la mission fonctionne ; compléter ne verse la récompense qu’une fois.</x:v>
      </x:c>
      <x:c r="O12" s="7" t="str">
        <x:v>REV-MIS-ACCOUNT</x:v>
      </x:c>
      <x:c r="P12" s="7" t="str"/>
      <x:c r="Q12" s="7" t="str"/>
      <x:c r="R12" s="7" t="str"/>
      <x:c r="S12" s="7" t="str"/>
    </x:row>
    <x:row r="13" ht="54" customHeight="1">
      <x:c r="A13" s="18" t="str">
        <x:v>REV-OPT-PASSAGE</x:v>
      </x:c>
      <x:c r="B13" s="9" t="str">
        <x:v>Franchir le passage du convoi — tâche annexe</x:v>
      </x:c>
      <x:c r="C13" s="15" t="str">
        <x:v>Défini</x:v>
      </x:c>
      <x:c r="D13" s="16" t="str">
        <x:v>Extrapolation</x:v>
      </x:c>
      <x:c r="E13" s="16" t="str">
        <x:v>P1</x:v>
      </x:c>
      <x:c r="F13" s="9" t="str">
        <x:v>Objectif annexe créé pour l’adaptation.</x:v>
      </x:c>
      <x:c r="G13" s="9" t="str">
        <x:v>Récupérer une trousse dans un rover endommagé sans obligation de risque.</x:v>
      </x:c>
      <x:c r="H13" s="9" t="str">
        <x:v>Récompense proposée : renseignement de terrain, raccourci ou consommable local. Ne débloque aucun savoir anticipé sur la saga.</x:v>
      </x:c>
      <x:c r="I13" s="9" t="str">
        <x:v>Marqueur secondaire distinct du chemin critique et objet d’intérêt cadré lisiblement.</x:v>
      </x:c>
      <x:c r="J13" s="9" t="str">
        <x:v>Interaction brève réutilisant les poses du métier concerné, avec interruption possible.</x:v>
      </x:c>
      <x:c r="K13" s="9" t="str">
        <x:v>Petit signal de découverte ; résultat textuel consultable sans audio.</x:v>
      </x:c>
      <x:c r="L13" s="9" t="str">
        <x:v>optional.rev.passage ; persister done/skipped, récompenser une seule fois.</x:v>
      </x:c>
      <x:c r="M13" s="9" t="str">
        <x:v>Facultatif ; peut être ignoré sans bloquer la mission. Ne pas permettre de sauver l’Iwo Jima via un choix présenté comme canon.</x:v>
      </x:c>
      <x:c r="N13" s="9" t="str">
        <x:v>Ignorer puis terminer la mission fonctionne ; compléter ne verse la récompense qu’une fois.</x:v>
      </x:c>
      <x:c r="O13" s="9" t="str">
        <x:v>REV-MIS-PASSAGE</x:v>
      </x:c>
      <x:c r="P13" s="9" t="str"/>
      <x:c r="Q13" s="9" t="str"/>
      <x:c r="R13" s="9" t="str"/>
      <x:c r="S13" s="9" t="str"/>
    </x:row>
    <x:row r="14" ht="54" customHeight="1">
      <x:c r="A14" s="19" t="str">
        <x:v>REV-OPT-EXTRACT</x:v>
      </x:c>
      <x:c r="B14" s="7" t="str">
        <x:v>Ouvrir l’extraction de raffinerie — tâche annexe</x:v>
      </x:c>
      <x:c r="C14" s="15" t="str">
        <x:v>Défini</x:v>
      </x:c>
      <x:c r="D14" s="17" t="str">
        <x:v>Extrapolation</x:v>
      </x:c>
      <x:c r="E14" s="17" t="str">
        <x:v>P1</x:v>
      </x:c>
      <x:c r="F14" s="7" t="str">
        <x:v>Objectif annexe créé pour l’adaptation.</x:v>
      </x:c>
      <x:c r="G14" s="7" t="str">
        <x:v>Sécuriser une zone de travail secondaire pour réduire les dangers du retour.</x:v>
      </x:c>
      <x:c r="H14" s="7" t="str">
        <x:v>Récompense proposée : renseignement de terrain, raccourci ou consommable local. Ne débloque aucun savoir anticipé sur la saga.</x:v>
      </x:c>
      <x:c r="I14" s="7" t="str">
        <x:v>Marqueur secondaire distinct du chemin critique et objet d’intérêt cadré lisiblement.</x:v>
      </x:c>
      <x:c r="J14" s="7" t="str">
        <x:v>Interaction brève réutilisant les poses du métier concerné, avec interruption possible.</x:v>
      </x:c>
      <x:c r="K14" s="7" t="str">
        <x:v>Petit signal de découverte ; résultat textuel consultable sans audio.</x:v>
      </x:c>
      <x:c r="L14" s="7" t="str">
        <x:v>optional.rev.extract ; persister done/skipped, récompenser une seule fois.</x:v>
      </x:c>
      <x:c r="M14" s="7" t="str">
        <x:v>Facultatif ; peut être ignoré sans bloquer la mission. Préserver l’échec de la candidature Spectre d’Anderson.</x:v>
      </x:c>
      <x:c r="N14" s="7" t="str">
        <x:v>Ignorer puis terminer la mission fonctionne ; compléter ne verse la récompense qu’une fois.</x:v>
      </x:c>
      <x:c r="O14" s="7" t="str">
        <x:v>REV-MIS-EXTRACT</x:v>
      </x:c>
      <x:c r="P14" s="7" t="str"/>
      <x:c r="Q14" s="7" t="str"/>
      <x:c r="R14" s="7" t="str"/>
      <x:c r="S14" s="7" t="str"/>
    </x:row>
  </x:sheetData>
  <x:conditionalFormatting sqref="D7:D14">
    <x:cfRule type="cellIs" dxfId="40" priority="1" operator="equal">
      <x:formula>"À vérifier"</x:formula>
    </x:cfRule>
    <x:cfRule type="cellIs" dxfId="41" priority="2" operator="equal">
      <x:formula>"Extrapolation"</x:formula>
    </x:cfRule>
  </x:conditionalFormatting>
  <x:conditionalFormatting sqref="C7:C14">
    <x:cfRule type="cellIs" dxfId="42" priority="3" operator="equal">
      <x:formula>"Validé"</x:formula>
    </x:cfRule>
  </x:conditionalFormatting>
  <x:conditionalFormatting sqref="E7:E14">
    <x:cfRule type="cellIs" dxfId="4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9d923c4831ac47fd"/>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Revelation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REV-CHO-TRACE</x:v>
      </x:c>
      <x:c r="B7" s="9" t="str">
        <x:v>Tracer les dernières activités — méthode optionnelle</x:v>
      </x:c>
      <x:c r="C7" s="15" t="str">
        <x:v>Défini</x:v>
      </x:c>
      <x:c r="D7" s="16" t="str">
        <x:v>Extrapolation</x:v>
      </x:c>
      <x:c r="E7" s="16" t="str">
        <x:v>P1</x:v>
      </x:c>
      <x:c r="F7" s="9" t="str">
        <x:v>Bifurcation locale originale ; elle ne crée pas une autre fin officielle.</x:v>
      </x:c>
      <x:c r="G7" s="9" t="str">
        <x:v>Privilégier les registres numériques ou une inspection physique ; même piste, coût de temps différent.</x:v>
      </x:c>
      <x:c r="H7" s="9" t="str">
        <x:v>Afficher coût, bénéfice local et condition de retour avant validation ; deux méthodes rejoignent le même verrou de continuité.</x:v>
      </x:c>
      <x:c r="I7" s="9" t="str">
        <x:v>Libellés d’action concrets ; symbole d’effet local ; aucune option désactivée sans motif.</x:v>
      </x:c>
      <x:c r="J7" s="9" t="str">
        <x:v>Réaction courte du groupe ; reprise immédiate des contrôles après résultat.</x:v>
      </x:c>
      <x:c r="K7" s="9" t="str">
        <x:v>Confirmation discrète ; lecture du résultat disponible dans le journal.</x:v>
      </x:c>
      <x:c r="L7" s="9" t="str">
        <x:v>choice.rev.trace ; stocker la méthode et le coût, jamais une réécriture d’événement source.</x:v>
      </x:c>
      <x:c r="M7" s="9" t="str">
        <x:v>Ne pas donner au groupe une connaissance des Moissonneurs qu’il n’a pas.</x:v>
      </x:c>
      <x:c r="N7" s="9" t="str">
        <x:v>Les deux branches sont atteignables ; l’état canonique final du module est identique.</x:v>
      </x:c>
      <x:c r="O7" s="9" t="str">
        <x:v>REV-MIS-TRACE</x:v>
      </x:c>
      <x:c r="P7" s="9" t="str"/>
      <x:c r="Q7" s="9" t="str"/>
      <x:c r="R7" s="9" t="str"/>
      <x:c r="S7" s="9" t="str"/>
    </x:row>
    <x:row r="8" ht="54" customHeight="1">
      <x:c r="A8" s="19" t="str">
        <x:v>REV-CHO-WITNESS</x:v>
      </x:c>
      <x:c r="B8" s="7" t="str">
        <x:v>Préparer la protection du témoin — méthode optionnelle</x:v>
      </x:c>
      <x:c r="C8" s="15" t="str">
        <x:v>Défini</x:v>
      </x:c>
      <x:c r="D8" s="17" t="str">
        <x:v>Extrapolation</x:v>
      </x:c>
      <x:c r="E8" s="17" t="str">
        <x:v>P1</x:v>
      </x:c>
      <x:c r="F8" s="7" t="str">
        <x:v>Bifurcation locale originale ; elle ne crée pas une autre fin officielle.</x:v>
      </x:c>
      <x:c r="G8" s="7" t="str">
        <x:v>Emporter matériel de soin ou batterie de scanner ; les deux restent viables.</x:v>
      </x:c>
      <x:c r="H8" s="7" t="str">
        <x:v>Afficher coût, bénéfice local et condition de retour avant validation ; deux méthodes rejoignent le même verrou de continuité.</x:v>
      </x:c>
      <x:c r="I8" s="7" t="str">
        <x:v>Libellés d’action concrets ; symbole d’effet local ; aucune option désactivée sans motif.</x:v>
      </x:c>
      <x:c r="J8" s="7" t="str">
        <x:v>Réaction courte du groupe ; reprise immédiate des contrôles après résultat.</x:v>
      </x:c>
      <x:c r="K8" s="7" t="str">
        <x:v>Confirmation discrète ; lecture du résultat disponible dans le journal.</x:v>
      </x:c>
      <x:c r="L8" s="7" t="str">
        <x:v>choice.rev.witness ; stocker la méthode et le coût, jamais une réécriture d’événement source.</x:v>
      </x:c>
      <x:c r="M8" s="7" t="str">
        <x:v>Aucun personnage n’est remplacé par Shepard.</x:v>
      </x:c>
      <x:c r="N8" s="7" t="str">
        <x:v>Les deux branches sont atteignables ; l’état canonique final du module est identique.</x:v>
      </x:c>
      <x:c r="O8" s="7" t="str">
        <x:v>REV-MIS-WITNESS</x:v>
      </x:c>
      <x:c r="P8" s="7" t="str"/>
      <x:c r="Q8" s="7" t="str"/>
      <x:c r="R8" s="7" t="str"/>
      <x:c r="S8" s="7" t="str"/>
    </x:row>
    <x:row r="9" ht="54" customHeight="1">
      <x:c r="A9" s="18" t="str">
        <x:v>REV-CHO-ACCESS</x:v>
      </x:c>
      <x:c r="B9" s="9" t="str">
        <x:v>Obtenir l’accès aux registres — méthode optionnelle</x:v>
      </x:c>
      <x:c r="C9" s="15" t="str">
        <x:v>Défini</x:v>
      </x:c>
      <x:c r="D9" s="16" t="str">
        <x:v>Extrapolation</x:v>
      </x:c>
      <x:c r="E9" s="16" t="str">
        <x:v>P1</x:v>
      </x:c>
      <x:c r="F9" s="9" t="str">
        <x:v>Bifurcation locale originale ; elle ne crée pas une autre fin officielle.</x:v>
      </x:c>
      <x:c r="G9" s="9" t="str">
        <x:v>Attendre une validation ou solliciter un entretien ; variation de rythme seulement.</x:v>
      </x:c>
      <x:c r="H9" s="9" t="str">
        <x:v>Afficher coût, bénéfice local et condition de retour avant validation ; deux méthodes rejoignent le même verrou de continuité.</x:v>
      </x:c>
      <x:c r="I9" s="9" t="str">
        <x:v>Libellés d’action concrets ; symbole d’effet local ; aucune option désactivée sans motif.</x:v>
      </x:c>
      <x:c r="J9" s="9" t="str">
        <x:v>Réaction courte du groupe ; reprise immédiate des contrôles après résultat.</x:v>
      </x:c>
      <x:c r="K9" s="9" t="str">
        <x:v>Confirmation discrète ; lecture du résultat disponible dans le journal.</x:v>
      </x:c>
      <x:c r="L9" s="9" t="str">
        <x:v>choice.rev.access ; stocker la méthode et le coût, jamais une réécriture d’événement source.</x:v>
      </x:c>
      <x:c r="M9" s="9" t="str">
        <x:v>Le statut de Spectre n’est pas attribué à Anderson.</x:v>
      </x:c>
      <x:c r="N9" s="9" t="str">
        <x:v>Les deux branches sont atteignables ; l’état canonique final du module est identique.</x:v>
      </x:c>
      <x:c r="O9" s="9" t="str">
        <x:v>REV-MIS-ACCESS</x:v>
      </x:c>
      <x:c r="P9" s="9" t="str"/>
      <x:c r="Q9" s="9" t="str"/>
      <x:c r="R9" s="9" t="str"/>
      <x:c r="S9" s="9" t="str"/>
    </x:row>
    <x:row r="10" ht="54" customHeight="1">
      <x:c r="A10" s="19" t="str">
        <x:v>REV-CHO-REFUGE</x:v>
      </x:c>
      <x:c r="B10" s="7" t="str">
        <x:v>Sécuriser une évacuation locale — méthode optionnelle</x:v>
      </x:c>
      <x:c r="C10" s="15" t="str">
        <x:v>Défini</x:v>
      </x:c>
      <x:c r="D10" s="17" t="str">
        <x:v>Extrapolation</x:v>
      </x:c>
      <x:c r="E10" s="17" t="str">
        <x:v>P1</x:v>
      </x:c>
      <x:c r="F10" s="7" t="str">
        <x:v>Bifurcation locale originale ; elle ne crée pas une autre fin officielle.</x:v>
      </x:c>
      <x:c r="G10" s="7" t="str">
        <x:v>Ouvrir le passage latéral ou renforcer l’abri central ; dépense différente.</x:v>
      </x:c>
      <x:c r="H10" s="7" t="str">
        <x:v>Afficher coût, bénéfice local et condition de retour avant validation ; deux méthodes rejoignent le même verrou de continuité.</x:v>
      </x:c>
      <x:c r="I10" s="7" t="str">
        <x:v>Libellés d’action concrets ; symbole d’effet local ; aucune option désactivée sans motif.</x:v>
      </x:c>
      <x:c r="J10" s="7" t="str">
        <x:v>Réaction courte du groupe ; reprise immédiate des contrôles après résultat.</x:v>
      </x:c>
      <x:c r="K10" s="7" t="str">
        <x:v>Confirmation discrète ; lecture du résultat disponible dans le journal.</x:v>
      </x:c>
      <x:c r="L10" s="7" t="str">
        <x:v>choice.rev.refuge ; stocker la méthode et le coût, jamais une réécriture d’événement source.</x:v>
      </x:c>
      <x:c r="M10" s="7" t="str">
        <x:v>Pas de victoire libre sur Saren ni changement du rôle de Skarr.</x:v>
      </x:c>
      <x:c r="N10" s="7" t="str">
        <x:v>Les deux branches sont atteignables ; l’état canonique final du module est identique.</x:v>
      </x:c>
      <x:c r="O10" s="7" t="str">
        <x:v>REV-MIS-REFUGE</x:v>
      </x:c>
      <x:c r="P10" s="7" t="str"/>
      <x:c r="Q10" s="7" t="str"/>
      <x:c r="R10" s="7" t="str"/>
      <x:c r="S10" s="7" t="str"/>
    </x:row>
    <x:row r="11" ht="54" customHeight="1">
      <x:c r="A11" s="18" t="str">
        <x:v>REV-CHO-MANIFEST</x:v>
      </x:c>
      <x:c r="B11" s="9" t="str">
        <x:v>Suivre un lot industriel — méthode optionnelle</x:v>
      </x:c>
      <x:c r="C11" s="15" t="str">
        <x:v>Défini</x:v>
      </x:c>
      <x:c r="D11" s="16" t="str">
        <x:v>Extrapolation</x:v>
      </x:c>
      <x:c r="E11" s="16" t="str">
        <x:v>P1</x:v>
      </x:c>
      <x:c r="F11" s="9" t="str">
        <x:v>Bifurcation locale originale ; elle ne crée pas une autre fin officielle.</x:v>
      </x:c>
      <x:c r="G11" s="9" t="str">
        <x:v>Approche officielle ou observation discrète ; informations identiques à la clôture.</x:v>
      </x:c>
      <x:c r="H11" s="9" t="str">
        <x:v>Afficher coût, bénéfice local et condition de retour avant validation ; deux méthodes rejoignent le même verrou de continuité.</x:v>
      </x:c>
      <x:c r="I11" s="9" t="str">
        <x:v>Libellés d’action concrets ; symbole d’effet local ; aucune option désactivée sans motif.</x:v>
      </x:c>
      <x:c r="J11" s="9" t="str">
        <x:v>Réaction courte du groupe ; reprise immédiate des contrôles après résultat.</x:v>
      </x:c>
      <x:c r="K11" s="9" t="str">
        <x:v>Confirmation discrète ; lecture du résultat disponible dans le journal.</x:v>
      </x:c>
      <x:c r="L11" s="9" t="str">
        <x:v>choice.rev.manifest ; stocker la méthode et le coût, jamais une réécriture d’événement source.</x:v>
      </x:c>
      <x:c r="M11" s="9" t="str">
        <x:v>Les noms de sociétés ajoutés restent des placeholders, pas du canon.</x:v>
      </x:c>
      <x:c r="N11" s="9" t="str">
        <x:v>Les deux branches sont atteignables ; l’état canonique final du module est identique.</x:v>
      </x:c>
      <x:c r="O11" s="9" t="str">
        <x:v>REV-MIS-MANIFEST</x:v>
      </x:c>
      <x:c r="P11" s="9" t="str"/>
      <x:c r="Q11" s="9" t="str"/>
      <x:c r="R11" s="9" t="str"/>
      <x:c r="S11" s="9" t="str"/>
    </x:row>
    <x:row r="12" ht="54" customHeight="1">
      <x:c r="A12" s="19" t="str">
        <x:v>REV-CHO-ACCOUNT</x:v>
      </x:c>
      <x:c r="B12" s="7" t="str">
        <x:v>Protéger une déposition — méthode optionnelle</x:v>
      </x:c>
      <x:c r="C12" s="15" t="str">
        <x:v>Défini</x:v>
      </x:c>
      <x:c r="D12" s="17" t="str">
        <x:v>Extrapolation</x:v>
      </x:c>
      <x:c r="E12" s="17" t="str">
        <x:v>P1</x:v>
      </x:c>
      <x:c r="F12" s="7" t="str">
        <x:v>Bifurcation locale originale ; elle ne crée pas une autre fin officielle.</x:v>
      </x:c>
      <x:c r="G12" s="7" t="str">
        <x:v>Stockage portable ou relais filaire ; l’un coûte une batterie, l’autre du positionnement.</x:v>
      </x:c>
      <x:c r="H12" s="7" t="str">
        <x:v>Afficher coût, bénéfice local et condition de retour avant validation ; deux méthodes rejoignent le même verrou de continuité.</x:v>
      </x:c>
      <x:c r="I12" s="7" t="str">
        <x:v>Libellés d’action concrets ; symbole d’effet local ; aucune option désactivée sans motif.</x:v>
      </x:c>
      <x:c r="J12" s="7" t="str">
        <x:v>Réaction courte du groupe ; reprise immédiate des contrôles après résultat.</x:v>
      </x:c>
      <x:c r="K12" s="7" t="str">
        <x:v>Confirmation discrète ; lecture du résultat disponible dans le journal.</x:v>
      </x:c>
      <x:c r="L12" s="7" t="str">
        <x:v>choice.rev.account ; stocker la méthode et le coût, jamais une réécriture d’événement source.</x:v>
      </x:c>
      <x:c r="M12" s="7" t="str">
        <x:v>Aucun long aveu du roman n’est transcrit.</x:v>
      </x:c>
      <x:c r="N12" s="7" t="str">
        <x:v>Les deux branches sont atteignables ; l’état canonique final du module est identique.</x:v>
      </x:c>
      <x:c r="O12" s="7" t="str">
        <x:v>REV-MIS-ACCOUNT</x:v>
      </x:c>
      <x:c r="P12" s="7" t="str"/>
      <x:c r="Q12" s="7" t="str"/>
      <x:c r="R12" s="7" t="str"/>
      <x:c r="S12" s="7" t="str"/>
    </x:row>
    <x:row r="13" ht="54" customHeight="1">
      <x:c r="A13" s="18" t="str">
        <x:v>REV-CHO-PASSAGE</x:v>
      </x:c>
      <x:c r="B13" s="9" t="str">
        <x:v>Franchir le passage du convoi — méthode optionnelle</x:v>
      </x:c>
      <x:c r="C13" s="15" t="str">
        <x:v>Défini</x:v>
      </x:c>
      <x:c r="D13" s="16" t="str">
        <x:v>Extrapolation</x:v>
      </x:c>
      <x:c r="E13" s="16" t="str">
        <x:v>P1</x:v>
      </x:c>
      <x:c r="F13" s="9" t="str">
        <x:v>Bifurcation locale originale ; elle ne crée pas une autre fin officielle.</x:v>
      </x:c>
      <x:c r="G13" s="9" t="str">
        <x:v>Passage rapide exposé ou détour protégé ; retour au même état narratif.</x:v>
      </x:c>
      <x:c r="H13" s="9" t="str">
        <x:v>Afficher coût, bénéfice local et condition de retour avant validation ; deux méthodes rejoignent le même verrou de continuité.</x:v>
      </x:c>
      <x:c r="I13" s="9" t="str">
        <x:v>Libellés d’action concrets ; symbole d’effet local ; aucune option désactivée sans motif.</x:v>
      </x:c>
      <x:c r="J13" s="9" t="str">
        <x:v>Réaction courte du groupe ; reprise immédiate des contrôles après résultat.</x:v>
      </x:c>
      <x:c r="K13" s="9" t="str">
        <x:v>Confirmation discrète ; lecture du résultat disponible dans le journal.</x:v>
      </x:c>
      <x:c r="L13" s="9" t="str">
        <x:v>choice.rev.passage ; stocker la méthode et le coût, jamais une réécriture d’événement source.</x:v>
      </x:c>
      <x:c r="M13" s="9" t="str">
        <x:v>Ne pas permettre de sauver l’Iwo Jima via un choix présenté comme canon.</x:v>
      </x:c>
      <x:c r="N13" s="9" t="str">
        <x:v>Les deux branches sont atteignables ; l’état canonique final du module est identique.</x:v>
      </x:c>
      <x:c r="O13" s="9" t="str">
        <x:v>REV-MIS-PASSAGE</x:v>
      </x:c>
      <x:c r="P13" s="9" t="str"/>
      <x:c r="Q13" s="9" t="str"/>
      <x:c r="R13" s="9" t="str"/>
      <x:c r="S13" s="9" t="str"/>
    </x:row>
    <x:row r="14" ht="54" customHeight="1">
      <x:c r="A14" s="19" t="str">
        <x:v>REV-CHO-EXTRACT</x:v>
      </x:c>
      <x:c r="B14" s="7" t="str">
        <x:v>Ouvrir l’extraction de raffinerie — méthode optionnelle</x:v>
      </x:c>
      <x:c r="C14" s="15" t="str">
        <x:v>Défini</x:v>
      </x:c>
      <x:c r="D14" s="17" t="str">
        <x:v>Extrapolation</x:v>
      </x:c>
      <x:c r="E14" s="17" t="str">
        <x:v>P1</x:v>
      </x:c>
      <x:c r="F14" s="7" t="str">
        <x:v>Bifurcation locale originale ; elle ne crée pas une autre fin officielle.</x:v>
      </x:c>
      <x:c r="G14" s="7" t="str">
        <x:v>Dérivation technique ou couverture prolongée ; les deux demandent coordination.</x:v>
      </x:c>
      <x:c r="H14" s="7" t="str">
        <x:v>Afficher coût, bénéfice local et condition de retour avant validation ; deux méthodes rejoignent le même verrou de continuité.</x:v>
      </x:c>
      <x:c r="I14" s="7" t="str">
        <x:v>Libellés d’action concrets ; symbole d’effet local ; aucune option désactivée sans motif.</x:v>
      </x:c>
      <x:c r="J14" s="7" t="str">
        <x:v>Réaction courte du groupe ; reprise immédiate des contrôles après résultat.</x:v>
      </x:c>
      <x:c r="K14" s="7" t="str">
        <x:v>Confirmation discrète ; lecture du résultat disponible dans le journal.</x:v>
      </x:c>
      <x:c r="L14" s="7" t="str">
        <x:v>choice.rev.extract ; stocker la méthode et le coût, jamais une réécriture d’événement source.</x:v>
      </x:c>
      <x:c r="M14" s="7" t="str">
        <x:v>Préserver l’échec de la candidature Spectre d’Anderson.</x:v>
      </x:c>
      <x:c r="N14" s="7" t="str">
        <x:v>Les deux branches sont atteignables ; l’état canonique final du module est identique.</x:v>
      </x:c>
      <x:c r="O14" s="7" t="str">
        <x:v>REV-MIS-EXTRACT</x:v>
      </x:c>
      <x:c r="P14" s="7" t="str"/>
      <x:c r="Q14" s="7" t="str"/>
      <x:c r="R14" s="7" t="str"/>
      <x:c r="S14" s="7" t="str"/>
    </x:row>
  </x:sheetData>
  <x:conditionalFormatting sqref="D7:D14">
    <x:cfRule type="cellIs" dxfId="44" priority="1" operator="equal">
      <x:formula>"À vérifier"</x:formula>
    </x:cfRule>
    <x:cfRule type="cellIs" dxfId="45" priority="2" operator="equal">
      <x:formula>"Extrapolation"</x:formula>
    </x:cfRule>
  </x:conditionalFormatting>
  <x:conditionalFormatting sqref="C7:C14">
    <x:cfRule type="cellIs" dxfId="46" priority="3" operator="equal">
      <x:formula>"Validé"</x:formula>
    </x:cfRule>
  </x:conditionalFormatting>
  <x:conditionalFormatting sqref="E7:E14">
    <x:cfRule type="cellIs" dxfId="4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89e8875c685a4be4"/>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Revelation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REV-DIA-ANDERSON</x:v>
      </x:c>
      <x:c r="B7" s="9" t="str">
        <x:v>David Anderson — échange : devoir militaire et protection du témoin</x:v>
      </x:c>
      <x:c r="C7" s="15" t="str">
        <x:v>Défini</x:v>
      </x:c>
      <x:c r="D7" s="16" t="str">
        <x:v>Extrapolation</x:v>
      </x:c>
      <x:c r="E7" s="16" t="str">
        <x:v>P1</x:v>
      </x:c>
      <x:c r="F7" s="9" t="str">
        <x:v>Dialogue original à écrire, sans reproduire les répliques de la publication.</x:v>
      </x:c>
      <x:c r="G7" s="9" t="str">
        <x:v>Intentions : aborder devoir militaire et protection du témoin, poser une question de clarification, puis revenir à l’objectif local.</x:v>
      </x:c>
      <x:c r="H7" s="9" t="str">
        <x:v>Trois intentions proposées : demander un fait, exprimer une réserve, clore. Débloquer un indice local sans imposer une opinion au joueur.</x:v>
      </x:c>
      <x:c r="I7" s="9" t="str">
        <x:v>Portrait David Anderson, interlocuteur actif et indication de la personne qui connaît le fait.</x:v>
      </x:c>
      <x:c r="J7" s="9" t="str">
        <x:v>Pose d’écoute puis réaction sobre ; ne pas boucler une émotion pendant une pause de lecture.</x:v>
      </x:c>
      <x:c r="K7" s="9" t="str">
        <x:v>Texte intégral affiché ; éventuelle voix originale avec débit réglable, sans imitation du casting.</x:v>
      </x:c>
      <x:c r="L7" s="9" t="str">
        <x:v>Dialogue graph rev.anderson.devoir-militaire-et-protection-du-temoin ; drapeaux de connaissance locaux.</x:v>
      </x:c>
      <x:c r="M7" s="9" t="str">
        <x:v>Conserver la trajectoire menant à Mass Effect : Anderson ne devient pas Spectre dans ce module et les intentions de Saren ne deviennent pas un savoir public anticipé.</x:v>
      </x:c>
      <x:c r="N7" s="9" t="str">
        <x:v>Aucune option ne révèle un savoir futur ; quitter puis reprendre conserve les sujets déjà abordés.</x:v>
      </x:c>
      <x:c r="O7" s="9" t="str">
        <x:v>REV-CHR-ANDERSON</x:v>
      </x:c>
      <x:c r="P7" s="9" t="str"/>
      <x:c r="Q7" s="9" t="str"/>
      <x:c r="R7" s="9" t="str"/>
      <x:c r="S7" s="9" t="str">
        <x:v>Sujet et intentions sont du design original, pas une transcription.</x:v>
      </x:c>
    </x:row>
    <x:row r="8" ht="68" customHeight="1">
      <x:c r="A8" s="19" t="str">
        <x:v>REV-DIA-KAHLEE</x:v>
      </x:c>
      <x:c r="B8" s="7" t="str">
        <x:v>Kahlee Sanders — échange : confiance accordée à l’enquêteur</x:v>
      </x:c>
      <x:c r="C8" s="15" t="str">
        <x:v>Défini</x:v>
      </x:c>
      <x:c r="D8" s="17" t="str">
        <x:v>Extrapolation</x:v>
      </x:c>
      <x:c r="E8" s="17" t="str">
        <x:v>P1</x:v>
      </x:c>
      <x:c r="F8" s="7" t="str">
        <x:v>Dialogue original à écrire, sans reproduire les répliques de la publication.</x:v>
      </x:c>
      <x:c r="G8" s="7" t="str">
        <x:v>Intentions : aborder confiance accordée à l’enquêteur, poser une question de clarification, puis revenir à l’objectif local.</x:v>
      </x:c>
      <x:c r="H8" s="7" t="str">
        <x:v>Trois intentions proposées : demander un fait, exprimer une réserve, clore. Débloquer un indice local sans imposer une opinion au joueur.</x:v>
      </x:c>
      <x:c r="I8" s="7" t="str">
        <x:v>Portrait Kahlee Sanders, interlocuteur actif et indication de la personne qui connaît le fait.</x:v>
      </x:c>
      <x:c r="J8" s="7" t="str">
        <x:v>Pose d’écoute puis réaction sobre ; ne pas boucler une émotion pendant une pause de lecture.</x:v>
      </x:c>
      <x:c r="K8" s="7" t="str">
        <x:v>Texte intégral affiché ; éventuelle voix originale avec débit réglable, sans imitation du casting.</x:v>
      </x:c>
      <x:c r="L8" s="7" t="str">
        <x:v>Dialogue graph rev.kahlee.confiance-accordee-a-lenqueteur ; drapeaux de connaissance locaux.</x:v>
      </x:c>
      <x:c r="M8" s="7" t="str">
        <x:v>Conserver la trajectoire menant à Mass Effect : Anderson ne devient pas Spectre dans ce module et les intentions de Saren ne deviennent pas un savoir public anticipé.</x:v>
      </x:c>
      <x:c r="N8" s="7" t="str">
        <x:v>Aucune option ne révèle un savoir futur ; quitter puis reprendre conserve les sujets déjà abordés.</x:v>
      </x:c>
      <x:c r="O8" s="7" t="str">
        <x:v>REV-CHR-KAHLEE</x:v>
      </x:c>
      <x:c r="P8" s="7" t="str"/>
      <x:c r="Q8" s="7" t="str"/>
      <x:c r="R8" s="7" t="str"/>
      <x:c r="S8" s="7" t="str">
        <x:v>Sujet et intentions sont du design original, pas une transcription.</x:v>
      </x:c>
    </x:row>
    <x:row r="9" ht="68" customHeight="1">
      <x:c r="A9" s="18" t="str">
        <x:v>REV-DIA-SAREN</x:v>
      </x:c>
      <x:c r="B9" s="9" t="str">
        <x:v>Saren Arterius — échange : autorité du Spectre et valeur des preuves</x:v>
      </x:c>
      <x:c r="C9" s="15" t="str">
        <x:v>Défini</x:v>
      </x:c>
      <x:c r="D9" s="16" t="str">
        <x:v>Extrapolation</x:v>
      </x:c>
      <x:c r="E9" s="16" t="str">
        <x:v>P1</x:v>
      </x:c>
      <x:c r="F9" s="9" t="str">
        <x:v>Dialogue original à écrire, sans reproduire les répliques de la publication.</x:v>
      </x:c>
      <x:c r="G9" s="9" t="str">
        <x:v>Intentions : aborder autorité du Spectre et valeur des preuves, poser une question de clarification, puis revenir à l’objectif local.</x:v>
      </x:c>
      <x:c r="H9" s="9" t="str">
        <x:v>Trois intentions proposées : demander un fait, exprimer une réserve, clore. Débloquer un indice local sans imposer une opinion au joueur.</x:v>
      </x:c>
      <x:c r="I9" s="9" t="str">
        <x:v>Portrait Saren Arterius, interlocuteur actif et indication de la personne qui connaît le fait.</x:v>
      </x:c>
      <x:c r="J9" s="9" t="str">
        <x:v>Pose d’écoute puis réaction sobre ; ne pas boucler une émotion pendant une pause de lecture.</x:v>
      </x:c>
      <x:c r="K9" s="9" t="str">
        <x:v>Texte intégral affiché ; éventuelle voix originale avec débit réglable, sans imitation du casting.</x:v>
      </x:c>
      <x:c r="L9" s="9" t="str">
        <x:v>Dialogue graph rev.saren.autorite-du-spectre-et-valeur-des-preuves ; drapeaux de connaissance locaux.</x:v>
      </x:c>
      <x:c r="M9" s="9" t="str">
        <x:v>Conserver la trajectoire menant à Mass Effect : Anderson ne devient pas Spectre dans ce module et les intentions de Saren ne deviennent pas un savoir public anticipé.</x:v>
      </x:c>
      <x:c r="N9" s="9" t="str">
        <x:v>Aucune option ne révèle un savoir futur ; quitter puis reprendre conserve les sujets déjà abordés.</x:v>
      </x:c>
      <x:c r="O9" s="9" t="str">
        <x:v>REV-CHR-SAREN</x:v>
      </x:c>
      <x:c r="P9" s="9" t="str"/>
      <x:c r="Q9" s="9" t="str"/>
      <x:c r="R9" s="9" t="str"/>
      <x:c r="S9" s="9" t="str">
        <x:v>Sujet et intentions sont du design original, pas une transcription.</x:v>
      </x:c>
    </x:row>
    <x:row r="10" ht="68" customHeight="1">
      <x:c r="A10" s="19" t="str">
        <x:v>REV-DIA-SKARR</x:v>
      </x:c>
      <x:c r="B10" s="7" t="str">
        <x:v>Skarr — échange : menace exercée sur le groupe</x:v>
      </x:c>
      <x:c r="C10" s="15" t="str">
        <x:v>Défini</x:v>
      </x:c>
      <x:c r="D10" s="17" t="str">
        <x:v>Extrapolation</x:v>
      </x:c>
      <x:c r="E10" s="17" t="str">
        <x:v>P1</x:v>
      </x:c>
      <x:c r="F10" s="7" t="str">
        <x:v>Dialogue original à écrire, sans reproduire les répliques de la publication.</x:v>
      </x:c>
      <x:c r="G10" s="7" t="str">
        <x:v>Intentions : aborder menace exercée sur le groupe, poser une question de clarification, puis revenir à l’objectif local.</x:v>
      </x:c>
      <x:c r="H10" s="7" t="str">
        <x:v>Trois intentions proposées : demander un fait, exprimer une réserve, clore. Débloquer un indice local sans imposer une opinion au joueur.</x:v>
      </x:c>
      <x:c r="I10" s="7" t="str">
        <x:v>Portrait Skarr, interlocuteur actif et indication de la personne qui connaît le fait.</x:v>
      </x:c>
      <x:c r="J10" s="7" t="str">
        <x:v>Pose d’écoute puis réaction sobre ; ne pas boucler une émotion pendant une pause de lecture.</x:v>
      </x:c>
      <x:c r="K10" s="7" t="str">
        <x:v>Texte intégral affiché ; éventuelle voix originale avec débit réglable, sans imitation du casting.</x:v>
      </x:c>
      <x:c r="L10" s="7" t="str">
        <x:v>Dialogue graph rev.skarr.menace-exercee-sur-le-groupe ; drapeaux de connaissance locaux.</x:v>
      </x:c>
      <x:c r="M10" s="7" t="str">
        <x:v>Conserver la trajectoire menant à Mass Effect : Anderson ne devient pas Spectre dans ce module et les intentions de Saren ne deviennent pas un savoir public anticipé.</x:v>
      </x:c>
      <x:c r="N10" s="7" t="str">
        <x:v>Aucune option ne révèle un savoir futur ; quitter puis reprendre conserve les sujets déjà abordés.</x:v>
      </x:c>
      <x:c r="O10" s="7" t="str">
        <x:v>REV-CHR-SKARR</x:v>
      </x:c>
      <x:c r="P10" s="7" t="str"/>
      <x:c r="Q10" s="7" t="str"/>
      <x:c r="R10" s="7" t="str"/>
      <x:c r="S10" s="7" t="str">
        <x:v>Sujet et intentions sont du design original, pas une transcription.</x:v>
      </x:c>
    </x:row>
    <x:row r="11" ht="68" customHeight="1">
      <x:c r="A11" s="18" t="str">
        <x:v>REV-DIA-EDAN</x:v>
      </x:c>
      <x:c r="B11" s="9" t="str">
        <x:v>Edan Had’dah — échange : responsabilité du commanditaire</x:v>
      </x:c>
      <x:c r="C11" s="15" t="str">
        <x:v>Défini</x:v>
      </x:c>
      <x:c r="D11" s="16" t="str">
        <x:v>Extrapolation</x:v>
      </x:c>
      <x:c r="E11" s="16" t="str">
        <x:v>P1</x:v>
      </x:c>
      <x:c r="F11" s="9" t="str">
        <x:v>Dialogue original à écrire, sans reproduire les répliques de la publication.</x:v>
      </x:c>
      <x:c r="G11" s="9" t="str">
        <x:v>Intentions : aborder responsabilité du commanditaire, poser une question de clarification, puis revenir à l’objectif local.</x:v>
      </x:c>
      <x:c r="H11" s="9" t="str">
        <x:v>Trois intentions proposées : demander un fait, exprimer une réserve, clore. Débloquer un indice local sans imposer une opinion au joueur.</x:v>
      </x:c>
      <x:c r="I11" s="9" t="str">
        <x:v>Portrait Edan Had’dah, interlocuteur actif et indication de la personne qui connaît le fait.</x:v>
      </x:c>
      <x:c r="J11" s="9" t="str">
        <x:v>Pose d’écoute puis réaction sobre ; ne pas boucler une émotion pendant une pause de lecture.</x:v>
      </x:c>
      <x:c r="K11" s="9" t="str">
        <x:v>Texte intégral affiché ; éventuelle voix originale avec débit réglable, sans imitation du casting.</x:v>
      </x:c>
      <x:c r="L11" s="9" t="str">
        <x:v>Dialogue graph rev.edan.responsabilite-du-commanditaire ; drapeaux de connaissance locaux.</x:v>
      </x:c>
      <x:c r="M11" s="9" t="str">
        <x:v>Conserver la trajectoire menant à Mass Effect : Anderson ne devient pas Spectre dans ce module et les intentions de Saren ne deviennent pas un savoir public anticipé.</x:v>
      </x:c>
      <x:c r="N11" s="9" t="str">
        <x:v>Aucune option ne révèle un savoir futur ; quitter puis reprendre conserve les sujets déjà abordés.</x:v>
      </x:c>
      <x:c r="O11" s="9" t="str">
        <x:v>REV-CHR-EDAN</x:v>
      </x:c>
      <x:c r="P11" s="9" t="str"/>
      <x:c r="Q11" s="9" t="str"/>
      <x:c r="R11" s="9" t="str"/>
      <x:c r="S11" s="9" t="str">
        <x:v>Sujet et intentions sont du design original, pas une transcription.</x:v>
      </x:c>
    </x:row>
    <x:row r="12" ht="68" customHeight="1">
      <x:c r="A12" s="19" t="str">
        <x:v>REV-DIA-JILL</x:v>
      </x:c>
      <x:c r="B12" s="7" t="str">
        <x:v>Jill Dah — échange : solidarité pendant une extraction</x:v>
      </x:c>
      <x:c r="C12" s="15" t="str">
        <x:v>Défini</x:v>
      </x:c>
      <x:c r="D12" s="17" t="str">
        <x:v>Extrapolation</x:v>
      </x:c>
      <x:c r="E12" s="17" t="str">
        <x:v>P1</x:v>
      </x:c>
      <x:c r="F12" s="7" t="str">
        <x:v>Dialogue original à écrire, sans reproduire les répliques de la publication.</x:v>
      </x:c>
      <x:c r="G12" s="7" t="str">
        <x:v>Intentions : aborder solidarité pendant une extraction, poser une question de clarification, puis revenir à l’objectif local.</x:v>
      </x:c>
      <x:c r="H12" s="7" t="str">
        <x:v>Trois intentions proposées : demander un fait, exprimer une réserve, clore. Débloquer un indice local sans imposer une opinion au joueur.</x:v>
      </x:c>
      <x:c r="I12" s="7" t="str">
        <x:v>Portrait Jill Dah, interlocuteur actif et indication de la personne qui connaît le fait.</x:v>
      </x:c>
      <x:c r="J12" s="7" t="str">
        <x:v>Pose d’écoute puis réaction sobre ; ne pas boucler une émotion pendant une pause de lecture.</x:v>
      </x:c>
      <x:c r="K12" s="7" t="str">
        <x:v>Texte intégral affiché ; éventuelle voix originale avec débit réglable, sans imitation du casting.</x:v>
      </x:c>
      <x:c r="L12" s="7" t="str">
        <x:v>Dialogue graph rev.jill.solidarite-pendant-une-extraction ; drapeaux de connaissance locaux.</x:v>
      </x:c>
      <x:c r="M12" s="7" t="str">
        <x:v>Conserver la trajectoire menant à Mass Effect : Anderson ne devient pas Spectre dans ce module et les intentions de Saren ne deviennent pas un savoir public anticipé.</x:v>
      </x:c>
      <x:c r="N12" s="7" t="str">
        <x:v>Aucune option ne révèle un savoir futur ; quitter puis reprendre conserve les sujets déjà abordés.</x:v>
      </x:c>
      <x:c r="O12" s="7" t="str">
        <x:v>REV-CHR-JILL</x:v>
      </x:c>
      <x:c r="P12" s="7" t="str"/>
      <x:c r="Q12" s="7" t="str"/>
      <x:c r="R12" s="7" t="str"/>
      <x:c r="S12" s="7" t="str">
        <x:v>Sujet et intentions sont du design original, pas une transcription.</x:v>
      </x:c>
    </x:row>
    <x:row r="13" ht="68" customHeight="1">
      <x:c r="A13" s="18" t="str">
        <x:v>REV-DIA-GRISSOM</x:v>
      </x:c>
      <x:c r="B13" s="9" t="str">
        <x:v>Jon Grissom — échange : limites de l’hospitalité sous pression</x:v>
      </x:c>
      <x:c r="C13" s="15" t="str">
        <x:v>Défini</x:v>
      </x:c>
      <x:c r="D13" s="16" t="str">
        <x:v>Extrapolation</x:v>
      </x:c>
      <x:c r="E13" s="16" t="str">
        <x:v>P1</x:v>
      </x:c>
      <x:c r="F13" s="9" t="str">
        <x:v>Dialogue original à écrire, sans reproduire les répliques de la publication.</x:v>
      </x:c>
      <x:c r="G13" s="9" t="str">
        <x:v>Intentions : aborder limites de l’hospitalité sous pression, poser une question de clarification, puis revenir à l’objectif local.</x:v>
      </x:c>
      <x:c r="H13" s="9" t="str">
        <x:v>Trois intentions proposées : demander un fait, exprimer une réserve, clore. Débloquer un indice local sans imposer une opinion au joueur.</x:v>
      </x:c>
      <x:c r="I13" s="9" t="str">
        <x:v>Portrait Jon Grissom, interlocuteur actif et indication de la personne qui connaît le fait.</x:v>
      </x:c>
      <x:c r="J13" s="9" t="str">
        <x:v>Pose d’écoute puis réaction sobre ; ne pas boucler une émotion pendant une pause de lecture.</x:v>
      </x:c>
      <x:c r="K13" s="9" t="str">
        <x:v>Texte intégral affiché ; éventuelle voix originale avec débit réglable, sans imitation du casting.</x:v>
      </x:c>
      <x:c r="L13" s="9" t="str">
        <x:v>Dialogue graph rev.grissom.limites-de-lhospitalite-sous-pression ; drapeaux de connaissance locaux.</x:v>
      </x:c>
      <x:c r="M13" s="9" t="str">
        <x:v>Conserver la trajectoire menant à Mass Effect : Anderson ne devient pas Spectre dans ce module et les intentions de Saren ne deviennent pas un savoir public anticipé.</x:v>
      </x:c>
      <x:c r="N13" s="9" t="str">
        <x:v>Aucune option ne révèle un savoir futur ; quitter puis reprendre conserve les sujets déjà abordés.</x:v>
      </x:c>
      <x:c r="O13" s="9" t="str">
        <x:v>REV-CHR-GRISSOM</x:v>
      </x:c>
      <x:c r="P13" s="9" t="str"/>
      <x:c r="Q13" s="9" t="str"/>
      <x:c r="R13" s="9" t="str"/>
      <x:c r="S13" s="9" t="str">
        <x:v>Sujet et intentions sont du design original, pas une transcription.</x:v>
      </x:c>
    </x:row>
    <x:row r="14" ht="68" customHeight="1">
      <x:c r="A14" s="19" t="str">
        <x:v>REV-DIA-JELLA</x:v>
      </x:c>
      <x:c r="B14" s="7" t="str">
        <x:v>Jella — échange : témoignage et compromission</x:v>
      </x:c>
      <x:c r="C14" s="15" t="str">
        <x:v>Défini</x:v>
      </x:c>
      <x:c r="D14" s="17" t="str">
        <x:v>Extrapolation</x:v>
      </x:c>
      <x:c r="E14" s="17" t="str">
        <x:v>P1</x:v>
      </x:c>
      <x:c r="F14" s="7" t="str">
        <x:v>Dialogue original à écrire, sans reproduire les répliques de la publication.</x:v>
      </x:c>
      <x:c r="G14" s="7" t="str">
        <x:v>Intentions : aborder témoignage et compromission, poser une question de clarification, puis revenir à l’objectif local.</x:v>
      </x:c>
      <x:c r="H14" s="7" t="str">
        <x:v>Trois intentions proposées : demander un fait, exprimer une réserve, clore. Débloquer un indice local sans imposer une opinion au joueur.</x:v>
      </x:c>
      <x:c r="I14" s="7" t="str">
        <x:v>Portrait Jella, interlocuteur actif et indication de la personne qui connaît le fait.</x:v>
      </x:c>
      <x:c r="J14" s="7" t="str">
        <x:v>Pose d’écoute puis réaction sobre ; ne pas boucler une émotion pendant une pause de lecture.</x:v>
      </x:c>
      <x:c r="K14" s="7" t="str">
        <x:v>Texte intégral affiché ; éventuelle voix originale avec débit réglable, sans imitation du casting.</x:v>
      </x:c>
      <x:c r="L14" s="7" t="str">
        <x:v>Dialogue graph rev.jella.temoignage-et-compromission ; drapeaux de connaissance locaux.</x:v>
      </x:c>
      <x:c r="M14" s="7" t="str">
        <x:v>Conserver la trajectoire menant à Mass Effect : Anderson ne devient pas Spectre dans ce module et les intentions de Saren ne deviennent pas un savoir public anticipé.</x:v>
      </x:c>
      <x:c r="N14" s="7" t="str">
        <x:v>Aucune option ne révèle un savoir futur ; quitter puis reprendre conserve les sujets déjà abordés.</x:v>
      </x:c>
      <x:c r="O14" s="7" t="str">
        <x:v>REV-CHR-JELLA</x:v>
      </x:c>
      <x:c r="P14" s="7" t="str"/>
      <x:c r="Q14" s="7" t="str"/>
      <x:c r="R14" s="7" t="str"/>
      <x:c r="S14" s="7" t="str">
        <x:v>Sujet et intentions sont du design original, pas une transcription.</x:v>
      </x:c>
    </x:row>
    <x:row r="15" ht="68" customHeight="1">
      <x:c r="A15" s="18" t="str">
        <x:v>REV-DIA-QIAN</x:v>
      </x:c>
      <x:c r="B15" s="9" t="str">
        <x:v>Shu Qian — échange : responsabilité scientifique</x:v>
      </x:c>
      <x:c r="C15" s="15" t="str">
        <x:v>Défini</x:v>
      </x:c>
      <x:c r="D15" s="16" t="str">
        <x:v>Extrapolation</x:v>
      </x:c>
      <x:c r="E15" s="16" t="str">
        <x:v>P1</x:v>
      </x:c>
      <x:c r="F15" s="9" t="str">
        <x:v>Dialogue original à écrire, sans reproduire les répliques de la publication.</x:v>
      </x:c>
      <x:c r="G15" s="9" t="str">
        <x:v>Intentions : aborder responsabilité scientifique, poser une question de clarification, puis revenir à l’objectif local.</x:v>
      </x:c>
      <x:c r="H15" s="9" t="str">
        <x:v>Trois intentions proposées : demander un fait, exprimer une réserve, clore. Débloquer un indice local sans imposer une opinion au joueur.</x:v>
      </x:c>
      <x:c r="I15" s="9" t="str">
        <x:v>Portrait Shu Qian, interlocuteur actif et indication de la personne qui connaît le fait.</x:v>
      </x:c>
      <x:c r="J15" s="9" t="str">
        <x:v>Pose d’écoute puis réaction sobre ; ne pas boucler une émotion pendant une pause de lecture.</x:v>
      </x:c>
      <x:c r="K15" s="9" t="str">
        <x:v>Texte intégral affiché ; éventuelle voix originale avec débit réglable, sans imitation du casting.</x:v>
      </x:c>
      <x:c r="L15" s="9" t="str">
        <x:v>Dialogue graph rev.qian.responsabilite-scientifique ; drapeaux de connaissance locaux.</x:v>
      </x:c>
      <x:c r="M15" s="9" t="str">
        <x:v>Conserver la trajectoire menant à Mass Effect : Anderson ne devient pas Spectre dans ce module et les intentions de Saren ne deviennent pas un savoir public anticipé.</x:v>
      </x:c>
      <x:c r="N15" s="9" t="str">
        <x:v>Aucune option ne révèle un savoir futur ; quitter puis reprendre conserve les sujets déjà abordés.</x:v>
      </x:c>
      <x:c r="O15" s="9" t="str">
        <x:v>REV-CHR-QIAN</x:v>
      </x:c>
      <x:c r="P15" s="9" t="str"/>
      <x:c r="Q15" s="9" t="str"/>
      <x:c r="R15" s="9" t="str"/>
      <x:c r="S15" s="9" t="str">
        <x:v>Sujet et intentions sont du design original, pas une transcription.</x:v>
      </x:c>
    </x:row>
    <x:row r="16" ht="68" customHeight="1">
      <x:c r="A16" s="19" t="str">
        <x:v>REV-DIA-GROTO</x:v>
      </x:c>
      <x:c r="B16" s="7" t="str">
        <x:v>Groto Ib-ba — échange : fiabilité d’une source indirecte</x:v>
      </x:c>
      <x:c r="C16" s="15" t="str">
        <x:v>Défini</x:v>
      </x:c>
      <x:c r="D16" s="17" t="str">
        <x:v>Extrapolation</x:v>
      </x:c>
      <x:c r="E16" s="17" t="str">
        <x:v>P1</x:v>
      </x:c>
      <x:c r="F16" s="7" t="str">
        <x:v>Dialogue original à écrire, sans reproduire les répliques de la publication.</x:v>
      </x:c>
      <x:c r="G16" s="7" t="str">
        <x:v>Intentions : aborder fiabilité d’une source indirecte, poser une question de clarification, puis revenir à l’objectif local.</x:v>
      </x:c>
      <x:c r="H16" s="7" t="str">
        <x:v>Trois intentions proposées : demander un fait, exprimer une réserve, clore. Débloquer un indice local sans imposer une opinion au joueur.</x:v>
      </x:c>
      <x:c r="I16" s="7" t="str">
        <x:v>Portrait Groto Ib-ba, interlocuteur actif et indication de la personne qui connaît le fait.</x:v>
      </x:c>
      <x:c r="J16" s="7" t="str">
        <x:v>Pose d’écoute puis réaction sobre ; ne pas boucler une émotion pendant une pause de lecture.</x:v>
      </x:c>
      <x:c r="K16" s="7" t="str">
        <x:v>Texte intégral affiché ; éventuelle voix originale avec débit réglable, sans imitation du casting.</x:v>
      </x:c>
      <x:c r="L16" s="7" t="str">
        <x:v>Dialogue graph rev.groto.fiabilite-dune-source-indirecte ; drapeaux de connaissance locaux.</x:v>
      </x:c>
      <x:c r="M16" s="7" t="str">
        <x:v>Conserver la trajectoire menant à Mass Effect : Anderson ne devient pas Spectre dans ce module et les intentions de Saren ne deviennent pas un savoir public anticipé.</x:v>
      </x:c>
      <x:c r="N16" s="7" t="str">
        <x:v>Aucune option ne révèle un savoir futur ; quitter puis reprendre conserve les sujets déjà abordés.</x:v>
      </x:c>
      <x:c r="O16" s="7" t="str">
        <x:v>REV-CHR-GROTO</x:v>
      </x:c>
      <x:c r="P16" s="7" t="str"/>
      <x:c r="Q16" s="7" t="str"/>
      <x:c r="R16" s="7" t="str"/>
      <x:c r="S16" s="7" t="str">
        <x:v>Sujet et intentions sont du design original, pas une transcription.</x:v>
      </x:c>
    </x:row>
  </x:sheetData>
  <x:conditionalFormatting sqref="D7:D16">
    <x:cfRule type="cellIs" dxfId="48" priority="1" operator="equal">
      <x:formula>"À vérifier"</x:formula>
    </x:cfRule>
    <x:cfRule type="cellIs" dxfId="49" priority="2" operator="equal">
      <x:formula>"Extrapolation"</x:formula>
    </x:cfRule>
  </x:conditionalFormatting>
  <x:conditionalFormatting sqref="C7:C16">
    <x:cfRule type="cellIs" dxfId="50" priority="3" operator="equal">
      <x:formula>"Validé"</x:formula>
    </x:cfRule>
  </x:conditionalFormatting>
  <x:conditionalFormatting sqref="E7:E16">
    <x:cfRule type="cellIs" dxfId="5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c7b606a215cb4e49"/>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Revelation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REV-CIN-TRACE</x:v>
      </x:c>
      <x:c r="B7" s="9" t="str">
        <x:v>Tracer les dernières activités — transition narrative</x:v>
      </x:c>
      <x:c r="C7" s="15" t="str">
        <x:v>Défini</x:v>
      </x:c>
      <x:c r="D7" s="16" t="str">
        <x:v>Extrapolation</x:v>
      </x:c>
      <x:c r="E7" s="16" t="str">
        <x:v>P1</x:v>
      </x:c>
      <x:c r="F7" s="9" t="str">
        <x:v>Mise en scène originale compacte, sans reconstituer les dialogues de l’œuvre.</x:v>
      </x:c>
      <x:c r="G7" s="9" t="str">
        <x:v>Plan fixe sur le rapport encore incomplet, puis retour au groupe.</x:v>
      </x:c>
      <x:c r="H7" s="9" t="str">
        <x:v>Caméra et texte uniquement ; aucune commande de combat pendant la transition ; reprise au même état en cas de saut.</x:v>
      </x:c>
      <x:c r="I7" s="9" t="str">
        <x:v>Composition 3D sobre, silhouettes 2D au premier plan ; contrôler l’échelle des personnages.</x:v>
      </x:c>
      <x:c r="J7" s="9" t="str">
        <x:v>Deux ou trois plans courts proposés ; sortie anticipée applique les mêmes drapeaux que lecture complète.</x:v>
      </x:c>
      <x:c r="K7" s="9" t="str">
        <x:v>Musique originale sous les sous-titres ; aucun extrait de bande sonore officielle.</x:v>
      </x:c>
      <x:c r="L7" s="9" t="str">
        <x:v>cinematics/rev/trace.timeline ; événements idempotents.</x:v>
      </x:c>
      <x:c r="M7" s="9" t="str">
        <x:v>Ne pas donner au groupe une connaissance des Moissonneurs qu’il n’a pas.</x:v>
      </x:c>
      <x:c r="N7" s="9" t="str">
        <x:v>Version regardée et version sautée donnent les mêmes inventaire, équipe, carte et objectifs.</x:v>
      </x:c>
      <x:c r="O7" s="9" t="str">
        <x:v>REV-MIS-TRACE</x:v>
      </x:c>
      <x:c r="P7" s="9" t="str"/>
      <x:c r="Q7" s="9" t="str"/>
      <x:c r="R7" s="9" t="str"/>
      <x:c r="S7" s="9" t="str"/>
    </x:row>
    <x:row r="8" ht="54" customHeight="1">
      <x:c r="A8" s="19" t="str">
        <x:v>REV-CIN-WITNESS</x:v>
      </x:c>
      <x:c r="B8" s="7" t="str">
        <x:v>Préparer la protection du témoin — transition narrative</x:v>
      </x:c>
      <x:c r="C8" s="15" t="str">
        <x:v>Défini</x:v>
      </x:c>
      <x:c r="D8" s="17" t="str">
        <x:v>Extrapolation</x:v>
      </x:c>
      <x:c r="E8" s="17" t="str">
        <x:v>P1</x:v>
      </x:c>
      <x:c r="F8" s="7" t="str">
        <x:v>Mise en scène originale compacte, sans reconstituer les dialogues de l’œuvre.</x:v>
      </x:c>
      <x:c r="G8" s="7" t="str">
        <x:v>Courte réunion originale centrée sur le devoir de protection.</x:v>
      </x:c>
      <x:c r="H8" s="7" t="str">
        <x:v>Caméra et texte uniquement ; aucune commande de combat pendant la transition ; reprise au même état en cas de saut.</x:v>
      </x:c>
      <x:c r="I8" s="7" t="str">
        <x:v>Composition 3D sobre, silhouettes 2D au premier plan ; contrôler l’échelle des personnages.</x:v>
      </x:c>
      <x:c r="J8" s="7" t="str">
        <x:v>Deux ou trois plans courts proposés ; sortie anticipée applique les mêmes drapeaux que lecture complète.</x:v>
      </x:c>
      <x:c r="K8" s="7" t="str">
        <x:v>Musique originale sous les sous-titres ; aucun extrait de bande sonore officielle.</x:v>
      </x:c>
      <x:c r="L8" s="7" t="str">
        <x:v>cinematics/rev/witness.timeline ; événements idempotents.</x:v>
      </x:c>
      <x:c r="M8" s="7" t="str">
        <x:v>Aucun personnage n’est remplacé par Shepard.</x:v>
      </x:c>
      <x:c r="N8" s="7" t="str">
        <x:v>Version regardée et version sautée donnent les mêmes inventaire, équipe, carte et objectifs.</x:v>
      </x:c>
      <x:c r="O8" s="7" t="str">
        <x:v>REV-MIS-WITNESS</x:v>
      </x:c>
      <x:c r="P8" s="7" t="str"/>
      <x:c r="Q8" s="7" t="str"/>
      <x:c r="R8" s="7" t="str"/>
      <x:c r="S8" s="7" t="str"/>
    </x:row>
    <x:row r="9" ht="54" customHeight="1">
      <x:c r="A9" s="18" t="str">
        <x:v>REV-CIN-ACCESS</x:v>
      </x:c>
      <x:c r="B9" s="9" t="str">
        <x:v>Obtenir l’accès aux registres — transition narrative</x:v>
      </x:c>
      <x:c r="C9" s="15" t="str">
        <x:v>Défini</x:v>
      </x:c>
      <x:c r="D9" s="16" t="str">
        <x:v>Extrapolation</x:v>
      </x:c>
      <x:c r="E9" s="16" t="str">
        <x:v>P1</x:v>
      </x:c>
      <x:c r="F9" s="9" t="str">
        <x:v>Mise en scène originale compacte, sans reconstituer les dialogues de l’œuvre.</x:v>
      </x:c>
      <x:c r="G9" s="9" t="str">
        <x:v>La porte administrative s’ouvre sur un dossier lacunaire.</x:v>
      </x:c>
      <x:c r="H9" s="9" t="str">
        <x:v>Caméra et texte uniquement ; aucune commande de combat pendant la transition ; reprise au même état en cas de saut.</x:v>
      </x:c>
      <x:c r="I9" s="9" t="str">
        <x:v>Composition 3D sobre, silhouettes 2D au premier plan ; contrôler l’échelle des personnages.</x:v>
      </x:c>
      <x:c r="J9" s="9" t="str">
        <x:v>Deux ou trois plans courts proposés ; sortie anticipée applique les mêmes drapeaux que lecture complète.</x:v>
      </x:c>
      <x:c r="K9" s="9" t="str">
        <x:v>Musique originale sous les sous-titres ; aucun extrait de bande sonore officielle.</x:v>
      </x:c>
      <x:c r="L9" s="9" t="str">
        <x:v>cinematics/rev/access.timeline ; événements idempotents.</x:v>
      </x:c>
      <x:c r="M9" s="9" t="str">
        <x:v>Le statut de Spectre n’est pas attribué à Anderson.</x:v>
      </x:c>
      <x:c r="N9" s="9" t="str">
        <x:v>Version regardée et version sautée donnent les mêmes inventaire, équipe, carte et objectifs.</x:v>
      </x:c>
      <x:c r="O9" s="9" t="str">
        <x:v>REV-MIS-ACCESS</x:v>
      </x:c>
      <x:c r="P9" s="9" t="str"/>
      <x:c r="Q9" s="9" t="str"/>
      <x:c r="R9" s="9" t="str"/>
      <x:c r="S9" s="9" t="str"/>
    </x:row>
    <x:row r="10" ht="54" customHeight="1">
      <x:c r="A10" s="19" t="str">
        <x:v>REV-CIN-REFUGE</x:v>
      </x:c>
      <x:c r="B10" s="7" t="str">
        <x:v>Sécuriser une évacuation locale — transition narrative</x:v>
      </x:c>
      <x:c r="C10" s="15" t="str">
        <x:v>Défini</x:v>
      </x:c>
      <x:c r="D10" s="17" t="str">
        <x:v>Extrapolation</x:v>
      </x:c>
      <x:c r="E10" s="17" t="str">
        <x:v>P1</x:v>
      </x:c>
      <x:c r="F10" s="7" t="str">
        <x:v>Mise en scène originale compacte, sans reconstituer les dialogues de l’œuvre.</x:v>
      </x:c>
      <x:c r="G10" s="7" t="str">
        <x:v>Plan sur une pièce quittée et la lumière de la sortie.</x:v>
      </x:c>
      <x:c r="H10" s="7" t="str">
        <x:v>Caméra et texte uniquement ; aucune commande de combat pendant la transition ; reprise au même état en cas de saut.</x:v>
      </x:c>
      <x:c r="I10" s="7" t="str">
        <x:v>Composition 3D sobre, silhouettes 2D au premier plan ; contrôler l’échelle des personnages.</x:v>
      </x:c>
      <x:c r="J10" s="7" t="str">
        <x:v>Deux ou trois plans courts proposés ; sortie anticipée applique les mêmes drapeaux que lecture complète.</x:v>
      </x:c>
      <x:c r="K10" s="7" t="str">
        <x:v>Musique originale sous les sous-titres ; aucun extrait de bande sonore officielle.</x:v>
      </x:c>
      <x:c r="L10" s="7" t="str">
        <x:v>cinematics/rev/refuge.timeline ; événements idempotents.</x:v>
      </x:c>
      <x:c r="M10" s="7" t="str">
        <x:v>Pas de victoire libre sur Saren ni changement du rôle de Skarr.</x:v>
      </x:c>
      <x:c r="N10" s="7" t="str">
        <x:v>Version regardée et version sautée donnent les mêmes inventaire, équipe, carte et objectifs.</x:v>
      </x:c>
      <x:c r="O10" s="7" t="str">
        <x:v>REV-MIS-REFUGE</x:v>
      </x:c>
      <x:c r="P10" s="7" t="str"/>
      <x:c r="Q10" s="7" t="str"/>
      <x:c r="R10" s="7" t="str"/>
      <x:c r="S10" s="7" t="str"/>
    </x:row>
    <x:row r="11" ht="54" customHeight="1">
      <x:c r="A11" s="18" t="str">
        <x:v>REV-CIN-MANIFEST</x:v>
      </x:c>
      <x:c r="B11" s="9" t="str">
        <x:v>Suivre un lot industriel — transition narrative</x:v>
      </x:c>
      <x:c r="C11" s="15" t="str">
        <x:v>Défini</x:v>
      </x:c>
      <x:c r="D11" s="16" t="str">
        <x:v>Extrapolation</x:v>
      </x:c>
      <x:c r="E11" s="16" t="str">
        <x:v>P1</x:v>
      </x:c>
      <x:c r="F11" s="9" t="str">
        <x:v>Mise en scène originale compacte, sans reconstituer les dialogues de l’œuvre.</x:v>
      </x:c>
      <x:c r="G11" s="9" t="str">
        <x:v>Mouvement bref vers les ateliers au-delà du quai.</x:v>
      </x:c>
      <x:c r="H11" s="9" t="str">
        <x:v>Caméra et texte uniquement ; aucune commande de combat pendant la transition ; reprise au même état en cas de saut.</x:v>
      </x:c>
      <x:c r="I11" s="9" t="str">
        <x:v>Composition 3D sobre, silhouettes 2D au premier plan ; contrôler l’échelle des personnages.</x:v>
      </x:c>
      <x:c r="J11" s="9" t="str">
        <x:v>Deux ou trois plans courts proposés ; sortie anticipée applique les mêmes drapeaux que lecture complète.</x:v>
      </x:c>
      <x:c r="K11" s="9" t="str">
        <x:v>Musique originale sous les sous-titres ; aucun extrait de bande sonore officielle.</x:v>
      </x:c>
      <x:c r="L11" s="9" t="str">
        <x:v>cinematics/rev/manifest.timeline ; événements idempotents.</x:v>
      </x:c>
      <x:c r="M11" s="9" t="str">
        <x:v>Les noms de sociétés ajoutés restent des placeholders, pas du canon.</x:v>
      </x:c>
      <x:c r="N11" s="9" t="str">
        <x:v>Version regardée et version sautée donnent les mêmes inventaire, équipe, carte et objectifs.</x:v>
      </x:c>
      <x:c r="O11" s="9" t="str">
        <x:v>REV-MIS-MANIFEST</x:v>
      </x:c>
      <x:c r="P11" s="9" t="str"/>
      <x:c r="Q11" s="9" t="str"/>
      <x:c r="R11" s="9" t="str"/>
      <x:c r="S11" s="9" t="str"/>
    </x:row>
    <x:row r="12" ht="54" customHeight="1">
      <x:c r="A12" s="19" t="str">
        <x:v>REV-CIN-ACCOUNT</x:v>
      </x:c>
      <x:c r="B12" s="7" t="str">
        <x:v>Protéger une déposition — transition narrative</x:v>
      </x:c>
      <x:c r="C12" s="15" t="str">
        <x:v>Défini</x:v>
      </x:c>
      <x:c r="D12" s="17" t="str">
        <x:v>Extrapolation</x:v>
      </x:c>
      <x:c r="E12" s="17" t="str">
        <x:v>P1</x:v>
      </x:c>
      <x:c r="F12" s="7" t="str">
        <x:v>Mise en scène originale compacte, sans reconstituer les dialogues de l’œuvre.</x:v>
      </x:c>
      <x:c r="G12" s="7" t="str">
        <x:v>Un signal d’enregistrement confirme seulement les faits déjà recueillis.</x:v>
      </x:c>
      <x:c r="H12" s="7" t="str">
        <x:v>Caméra et texte uniquement ; aucune commande de combat pendant la transition ; reprise au même état en cas de saut.</x:v>
      </x:c>
      <x:c r="I12" s="7" t="str">
        <x:v>Composition 3D sobre, silhouettes 2D au premier plan ; contrôler l’échelle des personnages.</x:v>
      </x:c>
      <x:c r="J12" s="7" t="str">
        <x:v>Deux ou trois plans courts proposés ; sortie anticipée applique les mêmes drapeaux que lecture complète.</x:v>
      </x:c>
      <x:c r="K12" s="7" t="str">
        <x:v>Musique originale sous les sous-titres ; aucun extrait de bande sonore officielle.</x:v>
      </x:c>
      <x:c r="L12" s="7" t="str">
        <x:v>cinematics/rev/account.timeline ; événements idempotents.</x:v>
      </x:c>
      <x:c r="M12" s="7" t="str">
        <x:v>Aucun long aveu du roman n’est transcrit.</x:v>
      </x:c>
      <x:c r="N12" s="7" t="str">
        <x:v>Version regardée et version sautée donnent les mêmes inventaire, équipe, carte et objectifs.</x:v>
      </x:c>
      <x:c r="O12" s="7" t="str">
        <x:v>REV-MIS-ACCOUNT</x:v>
      </x:c>
      <x:c r="P12" s="7" t="str"/>
      <x:c r="Q12" s="7" t="str"/>
      <x:c r="R12" s="7" t="str"/>
      <x:c r="S12" s="7" t="str"/>
    </x:row>
    <x:row r="13" ht="54" customHeight="1">
      <x:c r="A13" s="18" t="str">
        <x:v>REV-CIN-PASSAGE</x:v>
      </x:c>
      <x:c r="B13" s="9" t="str">
        <x:v>Franchir le passage du convoi — transition narrative</x:v>
      </x:c>
      <x:c r="C13" s="15" t="str">
        <x:v>Défini</x:v>
      </x:c>
      <x:c r="D13" s="16" t="str">
        <x:v>Extrapolation</x:v>
      </x:c>
      <x:c r="E13" s="16" t="str">
        <x:v>P1</x:v>
      </x:c>
      <x:c r="F13" s="9" t="str">
        <x:v>Mise en scène originale compacte, sans reconstituer les dialogues de l’œuvre.</x:v>
      </x:c>
      <x:c r="G13" s="9" t="str">
        <x:v>Le groupe disparaît derrière une cloison pendant le transit.</x:v>
      </x:c>
      <x:c r="H13" s="9" t="str">
        <x:v>Caméra et texte uniquement ; aucune commande de combat pendant la transition ; reprise au même état en cas de saut.</x:v>
      </x:c>
      <x:c r="I13" s="9" t="str">
        <x:v>Composition 3D sobre, silhouettes 2D au premier plan ; contrôler l’échelle des personnages.</x:v>
      </x:c>
      <x:c r="J13" s="9" t="str">
        <x:v>Deux ou trois plans courts proposés ; sortie anticipée applique les mêmes drapeaux que lecture complète.</x:v>
      </x:c>
      <x:c r="K13" s="9" t="str">
        <x:v>Musique originale sous les sous-titres ; aucun extrait de bande sonore officielle.</x:v>
      </x:c>
      <x:c r="L13" s="9" t="str">
        <x:v>cinematics/rev/passage.timeline ; événements idempotents.</x:v>
      </x:c>
      <x:c r="M13" s="9" t="str">
        <x:v>Ne pas permettre de sauver l’Iwo Jima via un choix présenté comme canon.</x:v>
      </x:c>
      <x:c r="N13" s="9" t="str">
        <x:v>Version regardée et version sautée donnent les mêmes inventaire, équipe, carte et objectifs.</x:v>
      </x:c>
      <x:c r="O13" s="9" t="str">
        <x:v>REV-MIS-PASSAGE</x:v>
      </x:c>
      <x:c r="P13" s="9" t="str"/>
      <x:c r="Q13" s="9" t="str"/>
      <x:c r="R13" s="9" t="str"/>
      <x:c r="S13" s="9" t="str"/>
    </x:row>
    <x:row r="14" ht="54" customHeight="1">
      <x:c r="A14" s="19" t="str">
        <x:v>REV-CIN-EXTRACT</x:v>
      </x:c>
      <x:c r="B14" s="7" t="str">
        <x:v>Ouvrir l’extraction de raffinerie — transition narrative</x:v>
      </x:c>
      <x:c r="C14" s="15" t="str">
        <x:v>Défini</x:v>
      </x:c>
      <x:c r="D14" s="17" t="str">
        <x:v>Extrapolation</x:v>
      </x:c>
      <x:c r="E14" s="17" t="str">
        <x:v>P1</x:v>
      </x:c>
      <x:c r="F14" s="7" t="str">
        <x:v>Mise en scène originale compacte, sans reconstituer les dialogues de l’œuvre.</x:v>
      </x:c>
      <x:c r="G14" s="7" t="str">
        <x:v>Plan sur les silhouettes sortant, dossier clos sans triomphe politique.</x:v>
      </x:c>
      <x:c r="H14" s="7" t="str">
        <x:v>Caméra et texte uniquement ; aucune commande de combat pendant la transition ; reprise au même état en cas de saut.</x:v>
      </x:c>
      <x:c r="I14" s="7" t="str">
        <x:v>Composition 3D sobre, silhouettes 2D au premier plan ; contrôler l’échelle des personnages.</x:v>
      </x:c>
      <x:c r="J14" s="7" t="str">
        <x:v>Deux ou trois plans courts proposés ; sortie anticipée applique les mêmes drapeaux que lecture complète.</x:v>
      </x:c>
      <x:c r="K14" s="7" t="str">
        <x:v>Musique originale sous les sous-titres ; aucun extrait de bande sonore officielle.</x:v>
      </x:c>
      <x:c r="L14" s="7" t="str">
        <x:v>cinematics/rev/extract.timeline ; événements idempotents.</x:v>
      </x:c>
      <x:c r="M14" s="7" t="str">
        <x:v>Préserver l’échec de la candidature Spectre d’Anderson.</x:v>
      </x:c>
      <x:c r="N14" s="7" t="str">
        <x:v>Version regardée et version sautée donnent les mêmes inventaire, équipe, carte et objectifs.</x:v>
      </x:c>
      <x:c r="O14" s="7" t="str">
        <x:v>REV-MIS-EXTRACT</x:v>
      </x:c>
      <x:c r="P14" s="7" t="str"/>
      <x:c r="Q14" s="7" t="str"/>
      <x:c r="R14" s="7" t="str"/>
      <x:c r="S14" s="7" t="str"/>
    </x:row>
  </x:sheetData>
  <x:conditionalFormatting sqref="D7:D14">
    <x:cfRule type="cellIs" dxfId="52" priority="1" operator="equal">
      <x:formula>"À vérifier"</x:formula>
    </x:cfRule>
    <x:cfRule type="cellIs" dxfId="53" priority="2" operator="equal">
      <x:formula>"Extrapolation"</x:formula>
    </x:cfRule>
  </x:conditionalFormatting>
  <x:conditionalFormatting sqref="C7:C14">
    <x:cfRule type="cellIs" dxfId="54" priority="3" operator="equal">
      <x:formula>"Validé"</x:formula>
    </x:cfRule>
  </x:conditionalFormatting>
  <x:conditionalFormatting sqref="E7:E14">
    <x:cfRule type="cellIs" dxfId="5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da66e97cfc8640b7"/>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Revelation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REV-REF-CANNON</x:v>
      </x:c>
      <x:c r="B7" s="9" t="str">
        <x:v>Canon accélérateur portatif</x:v>
      </x:c>
      <x:c r="C7" s="15" t="str">
        <x:v>Défini</x:v>
      </x:c>
      <x:c r="D7" s="16" t="str">
        <x:v>Établi</x:v>
      </x:c>
      <x:c r="E7" s="16" t="str">
        <x:v>P1</x:v>
      </x:c>
      <x:c r="F7" s="9" t="str">
        <x:v>Skarr emploie un canon contre l’Iwo Jima.</x:v>
      </x:c>
      <x:c r="G7" s="9" t="str">
        <x:v>Ancrage documentaire du module ; aucune statistique officielle inférée.</x:v>
      </x:c>
      <x:c r="H7" s="9" t="str"/>
      <x:c r="I7" s="9" t="str"/>
      <x:c r="J7" s="9" t="str"/>
      <x:c r="K7" s="9" t="str"/>
      <x:c r="L7" s="9" t="str">
        <x:v>Codex ref.rev.cannon ; affichage bref avec source.</x:v>
      </x:c>
      <x:c r="M7" s="9" t="str">
        <x:v>Conserver la trajectoire menant à Mass Effect : Anderson ne devient pas Spectre dans ce module et les intentions de Saren ne deviennent pas un savoir public anticipé.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REV-SRC-IWO</x:v>
      </x:c>
      <x:c r="R7" s="9" t="str">
        <x:v>https://masseffect.fandom.com/wiki/SSV_Iwo_Jima</x:v>
      </x:c>
      <x:c r="S7" s="9" t="str">
        <x:v>Ce relevé n’est ni un inventaire exhaustif ni un résumé scène par scène.</x:v>
      </x:c>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c40fc871c2643a0"/>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Revelation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REV-REF-HASTINGS</x:v>
      </x:c>
      <x:c r="B7" s="9" t="str">
        <x:v>SSV Hastings</x:v>
      </x:c>
      <x:c r="C7" s="15" t="str">
        <x:v>Défini</x:v>
      </x:c>
      <x:c r="D7" s="16" t="str">
        <x:v>Établi</x:v>
      </x:c>
      <x:c r="E7" s="16" t="str">
        <x:v>P1</x:v>
      </x:c>
      <x:c r="F7" s="9" t="str">
        <x:v>Jill Dah et Anderson servent sur cette frégate.</x:v>
      </x:c>
      <x:c r="G7" s="9" t="str">
        <x:v>Ancrage documentaire du module ; aucune statistique officielle inférée.</x:v>
      </x:c>
      <x:c r="H7" s="9" t="str"/>
      <x:c r="I7" s="9" t="str"/>
      <x:c r="J7" s="9" t="str"/>
      <x:c r="K7" s="9" t="str"/>
      <x:c r="L7" s="9" t="str">
        <x:v>Codex ref.rev.hastings ; affichage bref avec source.</x:v>
      </x:c>
      <x:c r="M7" s="9" t="str">
        <x:v>Conserver la trajectoire menant à Mass Effect : Anderson ne devient pas Spectre dans ce module et les intentions de Saren ne deviennent pas un savoir public anticipé.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REV-SRC-DAH</x:v>
      </x:c>
      <x:c r="R7" s="9" t="str">
        <x:v>https://masseffect.fandom.com/wiki/Jill_Dah</x:v>
      </x:c>
      <x:c r="S7" s="9" t="str">
        <x:v>Ce relevé n’est ni un inventaire exhaustif ni un résumé scène par scène.</x:v>
      </x:c>
    </x:row>
    <x:row r="8" ht="68" customHeight="1">
      <x:c r="A8" s="19" t="str">
        <x:v>REV-REF-IWO</x:v>
      </x:c>
      <x:c r="B8" s="7" t="str">
        <x:v>SSV Iwo Jima</x:v>
      </x:c>
      <x:c r="C8" s="15" t="str">
        <x:v>Défini</x:v>
      </x:c>
      <x:c r="D8" s="17" t="str">
        <x:v>Établi</x:v>
      </x:c>
      <x:c r="E8" s="17" t="str">
        <x:v>P1</x:v>
      </x:c>
      <x:c r="F8" s="7" t="str">
        <x:v>Cette frégate intervient dans le transfert de Kahlee.</x:v>
      </x:c>
      <x:c r="G8" s="7" t="str">
        <x:v>Ancrage documentaire du module ; aucune statistique officielle inférée.</x:v>
      </x:c>
      <x:c r="H8" s="7" t="str"/>
      <x:c r="I8" s="7" t="str"/>
      <x:c r="J8" s="7" t="str"/>
      <x:c r="K8" s="7" t="str"/>
      <x:c r="L8" s="7" t="str">
        <x:v>Codex ref.rev.iwo ; affichage bref avec source.</x:v>
      </x:c>
      <x:c r="M8" s="7" t="str">
        <x:v>Conserver la trajectoire menant à Mass Effect : Anderson ne devient pas Spectre dans ce module et les intentions de Saren ne deviennent pas un savoir public anticipé.</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REV-SRC-IWO</x:v>
      </x:c>
      <x:c r="R8" s="7" t="str">
        <x:v>https://masseffect.fandom.com/wiki/SSV_Iwo_Jima</x:v>
      </x:c>
      <x:c r="S8" s="7" t="str">
        <x:v>Ce relevé n’est ni un inventaire exhaustif ni un résumé scène par scène.</x:v>
      </x:c>
    </x:row>
  </x:sheetData>
  <x:conditionalFormatting sqref="D7:D8">
    <x:cfRule type="cellIs" dxfId="60" priority="1" operator="equal">
      <x:formula>"À vérifier"</x:formula>
    </x:cfRule>
    <x:cfRule type="cellIs" dxfId="61" priority="2" operator="equal">
      <x:formula>"Extrapolation"</x:formula>
    </x:cfRule>
  </x:conditionalFormatting>
  <x:conditionalFormatting sqref="C7:C8">
    <x:cfRule type="cellIs" dxfId="62" priority="3" operator="equal">
      <x:formula>"Validé"</x:formula>
    </x:cfRule>
  </x:conditionalFormatting>
  <x:conditionalFormatting sqref="E7:E8">
    <x:cfRule type="cellIs" dxfId="6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e44edd345cd64b1b"/>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Revelation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REV-REF-BIOTIC</x:v>
      </x:c>
      <x:c r="B7" s="9" t="str">
        <x:v>Biotique de Skarr</x:v>
      </x:c>
      <x:c r="C7" s="15" t="str">
        <x:v>Défini</x:v>
      </x:c>
      <x:c r="D7" s="16" t="str">
        <x:v>Établi</x:v>
      </x:c>
      <x:c r="E7" s="16" t="str">
        <x:v>P1</x:v>
      </x:c>
      <x:c r="F7" s="9" t="str">
        <x:v>Skarr dispose de capacités biotiques importantes.</x:v>
      </x:c>
      <x:c r="G7" s="9" t="str">
        <x:v>Ancrage documentaire du module ; aucune statistique officielle inférée.</x:v>
      </x:c>
      <x:c r="H7" s="9" t="str"/>
      <x:c r="I7" s="9" t="str"/>
      <x:c r="J7" s="9" t="str"/>
      <x:c r="K7" s="9" t="str"/>
      <x:c r="L7" s="9" t="str">
        <x:v>Codex ref.rev.biotic ; affichage bref avec source.</x:v>
      </x:c>
      <x:c r="M7" s="9" t="str">
        <x:v>Conserver la trajectoire menant à Mass Effect : Anderson ne devient pas Spectre dans ce module et les intentions de Saren ne deviennent pas un savoir public anticipé.</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REV-SRC-SKARR</x:v>
      </x:c>
      <x:c r="R7" s="9" t="str">
        <x:v>https://masseffect.fandom.com/wiki/Skarr</x:v>
      </x:c>
      <x:c r="S7" s="9" t="str">
        <x:v>Ce relevé n’est ni un inventaire exhaustif ni un résumé scène par scène.</x:v>
      </x:c>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c829d1c49f96434b"/>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Revelation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REV-MOV-COVER</x:v>
      </x:c>
      <x:c r="B7" s="9" t="str">
        <x:v>Couverture méthodique</x:v>
      </x:c>
      <x:c r="C7" s="15" t="str">
        <x:v>Défini</x:v>
      </x:c>
      <x:c r="D7" s="16" t="str">
        <x:v>Extrapolation</x:v>
      </x:c>
      <x:c r="E7" s="16" t="str">
        <x:v>P1</x:v>
      </x:c>
      <x:c r="F7" s="9" t="str">
        <x:v>Action de groupe originale ; elle n’est pas une compétence officielle de cette œuvre.</x:v>
      </x:c>
      <x:c r="G7" s="9" t="str">
        <x:v>Anderson : Protéger un allié en interaction ; protection cesse dès déplacement du protecteur.</x:v>
      </x:c>
      <x:c r="H7" s="9" t="str">
        <x:v>Protéger un allié en interaction ; protection cesse dès déplacement du protecteur. Coût initial proposé : une action ATB ; coût et délai restent des paramètres de prototype.</x:v>
      </x:c>
      <x:c r="I7" s="9" t="str">
        <x:v>Ligne courte entre protecteur et poste couvert.</x:v>
      </x:c>
      <x:c r="J7" s="9" t="str">
        <x:v>Préparation, validation de cible, engagement et récupération ; prévoir animation de refus avec motif.</x:v>
      </x:c>
      <x:c r="K7" s="9" t="str">
        <x:v>Confirmation et refus distingués ; texte d’état accessible au clavier.</x:v>
      </x:c>
      <x:c r="L7" s="9" t="str">
        <x:v>actions/rev/cover.json ; commande, cibles autorisées, coût, effets, nettoyage.</x:v>
      </x:c>
      <x:c r="M7" s="9" t="str">
        <x:v>Conserver la trajectoire menant à Mass Effect : Anderson ne devient pas Spectre dans ce module et les intentions de Saren ne deviennent pas un savoir public anticipé.</x:v>
      </x:c>
      <x:c r="N7" s="9" t="str">
        <x:v>Une cible incompatible ne consomme rien ; l’effet est réversible au rechargement du point de contrôle.</x:v>
      </x:c>
      <x:c r="O7" s="9" t="str"/>
      <x:c r="P7" s="9" t="str"/>
      <x:c r="Q7" s="9" t="str"/>
      <x:c r="R7" s="9" t="str"/>
      <x:c r="S7" s="9" t="str"/>
    </x:row>
    <x:row r="8" ht="68" customHeight="1">
      <x:c r="A8" s="19" t="str">
        <x:v>REV-MOV-COMPARE</x:v>
      </x:c>
      <x:c r="B8" s="7" t="str">
        <x:v>Comparaison de traces</x:v>
      </x:c>
      <x:c r="C8" s="15" t="str">
        <x:v>Défini</x:v>
      </x:c>
      <x:c r="D8" s="17" t="str">
        <x:v>Extrapolation</x:v>
      </x:c>
      <x:c r="E8" s="17" t="str">
        <x:v>P1</x:v>
      </x:c>
      <x:c r="F8" s="7" t="str">
        <x:v>Action de groupe originale ; elle n’est pas une compétence officielle de cette œuvre.</x:v>
      </x:c>
      <x:c r="G8" s="7" t="str">
        <x:v>Kahlee : Associer deux indices pour révéler une incohérence locale ; ne crée pas de fait narratif nouveau.</x:v>
      </x:c>
      <x:c r="H8" s="7" t="str">
        <x:v>Associer deux indices pour révéler une incohérence locale ; ne crée pas de fait narratif nouveau. Coût initial proposé : une action ATB ; coût et délai restent des paramètres de prototype.</x:v>
      </x:c>
      <x:c r="I8" s="7" t="str">
        <x:v>Deux cartes de preuve se rapprochent puis affichent le lien.</x:v>
      </x:c>
      <x:c r="J8" s="7" t="str">
        <x:v>Préparation, validation de cible, engagement et récupération ; prévoir animation de refus avec motif.</x:v>
      </x:c>
      <x:c r="K8" s="7" t="str">
        <x:v>Confirmation et refus distingués ; texte d’état accessible au clavier.</x:v>
      </x:c>
      <x:c r="L8" s="7" t="str">
        <x:v>actions/rev/compare.json ; commande, cibles autorisées, coût, effets, nettoyage.</x:v>
      </x:c>
      <x:c r="M8" s="7" t="str">
        <x:v>Conserver la trajectoire menant à Mass Effect : Anderson ne devient pas Spectre dans ce module et les intentions de Saren ne deviennent pas un savoir public anticipé.</x:v>
      </x:c>
      <x:c r="N8" s="7" t="str">
        <x:v>Une cible incompatible ne consomme rien ; l’effet est réversible au rechargement du point de contrôle.</x:v>
      </x:c>
      <x:c r="O8" s="7" t="str"/>
      <x:c r="P8" s="7" t="str"/>
      <x:c r="Q8" s="7" t="str"/>
      <x:c r="R8" s="7" t="str"/>
      <x:c r="S8" s="7" t="str"/>
    </x:row>
    <x:row r="9" ht="68" customHeight="1">
      <x:c r="A9" s="18" t="str">
        <x:v>REV-MOV-POINT</x:v>
      </x:c>
      <x:c r="B9" s="9" t="str">
        <x:v>Ouverture de couloir</x:v>
      </x:c>
      <x:c r="C9" s="15" t="str">
        <x:v>Défini</x:v>
      </x:c>
      <x:c r="D9" s="16" t="str">
        <x:v>Extrapolation</x:v>
      </x:c>
      <x:c r="E9" s="16" t="str">
        <x:v>P1</x:v>
      </x:c>
      <x:c r="F9" s="9" t="str">
        <x:v>Action de groupe originale ; elle n’est pas une compétence officielle de cette œuvre.</x:v>
      </x:c>
      <x:c r="G9" s="9" t="str">
        <x:v>Jill : Marquer un trajet dégagé pour une seule traversée de l’escorte.</x:v>
      </x:c>
      <x:c r="H9" s="9" t="str">
        <x:v>Marquer un trajet dégagé pour une seule traversée de l’escorte. Coût initial proposé : une action ATB ; coût et délai restent des paramètres de prototype.</x:v>
      </x:c>
      <x:c r="I9" s="9" t="str">
        <x:v>Chevrons discrets sur le sol.</x:v>
      </x:c>
      <x:c r="J9" s="9" t="str">
        <x:v>Préparation, validation de cible, engagement et récupération ; prévoir animation de refus avec motif.</x:v>
      </x:c>
      <x:c r="K9" s="9" t="str">
        <x:v>Confirmation et refus distingués ; texte d’état accessible au clavier.</x:v>
      </x:c>
      <x:c r="L9" s="9" t="str">
        <x:v>actions/rev/point.json ; commande, cibles autorisées, coût, effets, nettoyage.</x:v>
      </x:c>
      <x:c r="M9" s="9" t="str">
        <x:v>Conserver la trajectoire menant à Mass Effect : Anderson ne devient pas Spectre dans ce module et les intentions de Saren ne deviennent pas un savoir public anticipé.</x:v>
      </x:c>
      <x:c r="N9" s="9" t="str">
        <x:v>Une cible incompatible ne consomme rien ; l’effet est réversible au rechargement du point de contrôle.</x:v>
      </x:c>
      <x:c r="O9" s="9" t="str"/>
      <x:c r="P9" s="9" t="str"/>
      <x:c r="Q9" s="9" t="str"/>
      <x:c r="R9" s="9" t="str"/>
      <x:c r="S9" s="9" t="str"/>
    </x:row>
    <x:row r="10" ht="68" customHeight="1">
      <x:c r="A10" s="19" t="str">
        <x:v>REV-MOV-SEAL</x:v>
      </x:c>
      <x:c r="B10" s="7" t="str">
        <x:v>Isolation de circuit</x:v>
      </x:c>
      <x:c r="C10" s="15" t="str">
        <x:v>Défini</x:v>
      </x:c>
      <x:c r="D10" s="17" t="str">
        <x:v>Extrapolation</x:v>
      </x:c>
      <x:c r="E10" s="17" t="str">
        <x:v>P1</x:v>
      </x:c>
      <x:c r="F10" s="7" t="str">
        <x:v>Action de groupe originale ; elle n’est pas une compétence officielle de cette œuvre.</x:v>
      </x:c>
      <x:c r="G10" s="7" t="str">
        <x:v>Technicien de soutien proposé : Désactiver temporairement le danger d’une conduite au prix d’immobiliser un acteur.</x:v>
      </x:c>
      <x:c r="H10" s="7" t="str">
        <x:v>Désactiver temporairement le danger d’une conduite au prix d’immobiliser un acteur. Coût initial proposé : une action ATB ; coût et délai restent des paramètres de prototype.</x:v>
      </x:c>
      <x:c r="I10" s="7" t="str">
        <x:v>Éclair orange confiné au panneau de contrôle.</x:v>
      </x:c>
      <x:c r="J10" s="7" t="str">
        <x:v>Préparation, validation de cible, engagement et récupération ; prévoir animation de refus avec motif.</x:v>
      </x:c>
      <x:c r="K10" s="7" t="str">
        <x:v>Confirmation et refus distingués ; texte d’état accessible au clavier.</x:v>
      </x:c>
      <x:c r="L10" s="7" t="str">
        <x:v>actions/rev/seal.json ; commande, cibles autorisées, coût, effets, nettoyage.</x:v>
      </x:c>
      <x:c r="M10" s="7" t="str">
        <x:v>Conserver la trajectoire menant à Mass Effect : Anderson ne devient pas Spectre dans ce module et les intentions de Saren ne deviennent pas un savoir public anticipé.</x:v>
      </x:c>
      <x:c r="N10" s="7" t="str">
        <x:v>Une cible incompatible ne consomme rien ; l’effet est réversible au rechargement du point de contrôle.</x:v>
      </x:c>
      <x:c r="O10" s="7" t="str"/>
      <x:c r="P10" s="7" t="str"/>
      <x:c r="Q10" s="7" t="str"/>
      <x:c r="R10" s="7" t="str"/>
      <x:c r="S10" s="7" t="str"/>
    </x:row>
    <x:row r="11" ht="68" customHeight="1">
      <x:c r="A11" s="18" t="str">
        <x:v>REV-MOV-DISTRACT</x:v>
      </x:c>
      <x:c r="B11" s="9" t="str">
        <x:v>Diversion coordonnée</x:v>
      </x:c>
      <x:c r="C11" s="15" t="str">
        <x:v>Défini</x:v>
      </x:c>
      <x:c r="D11" s="16" t="str">
        <x:v>Extrapolation</x:v>
      </x:c>
      <x:c r="E11" s="16" t="str">
        <x:v>P1</x:v>
      </x:c>
      <x:c r="F11" s="9" t="str">
        <x:v>Action de groupe originale ; elle n’est pas une compétence officielle de cette œuvre.</x:v>
      </x:c>
      <x:c r="G11" s="9" t="str">
        <x:v>Groupe : Attirer une patrouille vers un couvert déjà repéré ; aucun pouvoir mental implicite.</x:v>
      </x:c>
      <x:c r="H11" s="9" t="str">
        <x:v>Attirer une patrouille vers un couvert déjà repéré ; aucun pouvoir mental implicite. Coût initial proposé : une action ATB ; coût et délai restent des paramètres de prototype.</x:v>
      </x:c>
      <x:c r="I11" s="9" t="str">
        <x:v>Signal de diversion visible dans la zone de destination.</x:v>
      </x:c>
      <x:c r="J11" s="9" t="str">
        <x:v>Préparation, validation de cible, engagement et récupération ; prévoir animation de refus avec motif.</x:v>
      </x:c>
      <x:c r="K11" s="9" t="str">
        <x:v>Confirmation et refus distingués ; texte d’état accessible au clavier.</x:v>
      </x:c>
      <x:c r="L11" s="9" t="str">
        <x:v>actions/rev/distract.json ; commande, cibles autorisées, coût, effets, nettoyage.</x:v>
      </x:c>
      <x:c r="M11" s="9" t="str">
        <x:v>Conserver la trajectoire menant à Mass Effect : Anderson ne devient pas Spectre dans ce module et les intentions de Saren ne deviennent pas un savoir public anticipé.</x:v>
      </x:c>
      <x:c r="N11" s="9" t="str">
        <x:v>Une cible incompatible ne consomme rien ; l’effet est réversible au rechargement du point de contrôle.</x:v>
      </x:c>
      <x:c r="O11" s="9" t="str"/>
      <x:c r="P11" s="9" t="str"/>
      <x:c r="Q11" s="9" t="str"/>
      <x:c r="R11" s="9" t="str"/>
      <x:c r="S11" s="9" t="str"/>
    </x:row>
    <x:row r="12" ht="68" customHeight="1">
      <x:c r="A12" s="19" t="str">
        <x:v>REV-MOV-EXTRACT</x:v>
      </x:c>
      <x:c r="B12" s="7" t="str">
        <x:v>Portage assisté</x:v>
      </x:c>
      <x:c r="C12" s="15" t="str">
        <x:v>Défini</x:v>
      </x:c>
      <x:c r="D12" s="17" t="str">
        <x:v>Extrapolation</x:v>
      </x:c>
      <x:c r="E12" s="17" t="str">
        <x:v>P1</x:v>
      </x:c>
      <x:c r="F12" s="7" t="str">
        <x:v>Action de groupe originale ; elle n’est pas une compétence officielle de cette œuvre.</x:v>
      </x:c>
      <x:c r="G12" s="7" t="str">
        <x:v>Groupe : Deux acteurs déplacent un blessé à vitesse réduite, l’un ne pouvant plus attaquer.</x:v>
      </x:c>
      <x:c r="H12" s="7" t="str">
        <x:v>Deux acteurs déplacent un blessé à vitesse réduite, l’un ne pouvant plus attaquer. Coût initial proposé : une action ATB ; coût et délai restent des paramètres de prototype.</x:v>
      </x:c>
      <x:c r="I12" s="7" t="str">
        <x:v>Pose portée avec pivot partagé et chemin élargi.</x:v>
      </x:c>
      <x:c r="J12" s="7" t="str">
        <x:v>Préparation, validation de cible, engagement et récupération ; prévoir animation de refus avec motif.</x:v>
      </x:c>
      <x:c r="K12" s="7" t="str">
        <x:v>Confirmation et refus distingués ; texte d’état accessible au clavier.</x:v>
      </x:c>
      <x:c r="L12" s="7" t="str">
        <x:v>actions/rev/extract.json ; commande, cibles autorisées, coût, effets, nettoyage.</x:v>
      </x:c>
      <x:c r="M12" s="7" t="str">
        <x:v>Conserver la trajectoire menant à Mass Effect : Anderson ne devient pas Spectre dans ce module et les intentions de Saren ne deviennent pas un savoir public anticipé.</x:v>
      </x:c>
      <x:c r="N12" s="7" t="str">
        <x:v>Une cible incompatible ne consomme rien ; l’effet est réversible au rechargement du point de contrôle.</x:v>
      </x:c>
      <x:c r="O12" s="7" t="str"/>
      <x:c r="P12" s="7" t="str"/>
      <x:c r="Q12" s="7" t="str"/>
      <x:c r="R12" s="7" t="str"/>
      <x:c r="S12" s="7" t="str"/>
    </x:row>
  </x:sheetData>
  <x:conditionalFormatting sqref="D7:D12">
    <x:cfRule type="cellIs" dxfId="68" priority="1" operator="equal">
      <x:formula>"À vérifier"</x:formula>
    </x:cfRule>
    <x:cfRule type="cellIs" dxfId="69" priority="2" operator="equal">
      <x:formula>"Extrapolation"</x:formula>
    </x:cfRule>
  </x:conditionalFormatting>
  <x:conditionalFormatting sqref="C7:C12">
    <x:cfRule type="cellIs" dxfId="70" priority="3" operator="equal">
      <x:formula>"Validé"</x:formula>
    </x:cfRule>
  </x:conditionalFormatting>
  <x:conditionalFormatting sqref="E7:E12">
    <x:cfRule type="cellIs" dxfId="7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c033240389084e15"/>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Revelation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REV-EMV-SUNPATROL</x:v>
      </x:c>
      <x:c r="B7" s="9" t="str">
        <x:v>Patrouille mercenaire proposée — comportement principal</x:v>
      </x:c>
      <x:c r="C7" s="15" t="str">
        <x:v>Défini</x:v>
      </x:c>
      <x:c r="D7" s="16" t="str">
        <x:v>Extrapolation</x:v>
      </x:c>
      <x:c r="E7" s="16" t="str">
        <x:v>P1</x:v>
      </x:c>
      <x:c r="F7" s="9" t="str">
        <x:v>Comportement proposé pour la rencontre liée.</x:v>
      </x:c>
      <x:c r="G7" s="9" t="str">
        <x:v>Balayage en éventail puis déplacement vers un couvert.</x:v>
      </x:c>
      <x:c r="H7" s="9" t="str">
        <x:v>Télégraphe : Visée au sol et redressement d’un tireur de silhouette distincte. Contre-mesure : Contourner par le passage latéral ou interrompre l’observateur. Consommer une action ATB à l’engagement ; équilibrage à mesurer au prototype.</x:v>
      </x:c>
      <x:c r="I7" s="9" t="str">
        <x:v>Rendre l’aire touchée lisible au sol et sur le HUD ; ne jamais dépendre seulement de la couleur.</x:v>
      </x:c>
      <x:c r="J7" s="9" t="str">
        <x:v>Bloquer la cible au début de l’engagement ; annuler proprement si les préconditions disparaissent.</x:v>
      </x:c>
      <x:c r="K7" s="9" t="str">
        <x:v>Signal préalable distinct du son d’impact ; option pour réduire les sons agressifs.</x:v>
      </x:c>
      <x:c r="L7" s="9" t="str">
        <x:v>behaviors/rev/sunpatrol : prepare/commit/recover ; paramètres séparés du code.</x:v>
      </x:c>
      <x:c r="M7" s="9" t="str">
        <x:v>Uniquement quand la rencontre correspondante est active.</x:v>
      </x:c>
      <x:c r="N7" s="9" t="str">
        <x:v>L’indicateur apparaît avant la conséquence ; la contre-mesure fonctionne en pause et à vitesse normale.</x:v>
      </x:c>
      <x:c r="O7" s="9" t="str">
        <x:v>REV-ENC-SUNPATROL</x:v>
      </x:c>
      <x:c r="P7" s="9" t="str"/>
      <x:c r="Q7" s="9" t="str"/>
      <x:c r="R7" s="9" t="str"/>
      <x:c r="S7" s="9" t="str"/>
    </x:row>
    <x:row r="8" ht="82" customHeight="1">
      <x:c r="A8" s="19" t="str">
        <x:v>REV-EMV-SKARRPRESS</x:v>
      </x:c>
      <x:c r="B8" s="7" t="str">
        <x:v>Pression de Skarr — segment de boss proposé — comportement principal</x:v>
      </x:c>
      <x:c r="C8" s="15" t="str">
        <x:v>Défini</x:v>
      </x:c>
      <x:c r="D8" s="17" t="str">
        <x:v>Extrapolation</x:v>
      </x:c>
      <x:c r="E8" s="17" t="str">
        <x:v>P1</x:v>
      </x:c>
      <x:c r="F8" s="7" t="str">
        <x:v>Comportement proposé pour la rencontre liée.</x:v>
      </x:c>
      <x:c r="G8" s="7" t="str">
        <x:v>Menace une zone d’abri puis laisse un créneau de déplacement.</x:v>
      </x:c>
      <x:c r="H8" s="7" t="str">
        <x:v>Télégraphe : Impulsion biotique concentrée et objet qui tremble avant projection. Contre-mesure : Quitter l’axe annoncé et protéger la personne escortée. Consommer une action ATB à l’engagement ; équilibrage à mesurer au prototype.</x:v>
      </x:c>
      <x:c r="I8" s="7" t="str">
        <x:v>Rendre l’aire touchée lisible au sol et sur le HUD ; ne jamais dépendre seulement de la couleur.</x:v>
      </x:c>
      <x:c r="J8" s="7" t="str">
        <x:v>Bloquer la cible au début de l’engagement ; annuler proprement si les préconditions disparaissent.</x:v>
      </x:c>
      <x:c r="K8" s="7" t="str">
        <x:v>Signal préalable distinct du son d’impact ; option pour réduire les sons agressifs.</x:v>
      </x:c>
      <x:c r="L8" s="7" t="str">
        <x:v>behaviors/rev/skarrpress : prepare/commit/recover ; paramètres séparés du code.</x:v>
      </x:c>
      <x:c r="M8" s="7" t="str">
        <x:v>Uniquement quand la rencontre correspondante est active.</x:v>
      </x:c>
      <x:c r="N8" s="7" t="str">
        <x:v>L’indicateur apparaît avant la conséquence ; la contre-mesure fonctionne en pause et à vitesse normale.</x:v>
      </x:c>
      <x:c r="O8" s="7" t="str">
        <x:v>REV-ENC-SKARRPRESS</x:v>
      </x:c>
      <x:c r="P8" s="7" t="str"/>
      <x:c r="Q8" s="7" t="str"/>
      <x:c r="R8" s="7" t="str"/>
      <x:c r="S8" s="7" t="str"/>
    </x:row>
    <x:row r="9" ht="82" customHeight="1">
      <x:c r="A9" s="18" t="str">
        <x:v>REV-EMV-GUARD</x:v>
      </x:c>
      <x:c r="B9" s="9" t="str">
        <x:v>Garde de registre proposée — comportement principal</x:v>
      </x:c>
      <x:c r="C9" s="15" t="str">
        <x:v>Défini</x:v>
      </x:c>
      <x:c r="D9" s="16" t="str">
        <x:v>Extrapolation</x:v>
      </x:c>
      <x:c r="E9" s="16" t="str">
        <x:v>P1</x:v>
      </x:c>
      <x:c r="F9" s="9" t="str">
        <x:v>Comportement proposé pour la rencontre liée.</x:v>
      </x:c>
      <x:c r="G9" s="9" t="str">
        <x:v>Alterne surveillance du terminal et appel de renfort simulé.</x:v>
      </x:c>
      <x:c r="H9" s="9" t="str">
        <x:v>Télégraphe : Voyant de communication et changement visible d’orientation. Contre-mesure : Couper la communication ou agir pendant son retournement. Consommer une action ATB à l’engagement ; équilibrage à mesurer au prototype.</x:v>
      </x:c>
      <x:c r="I9" s="9" t="str">
        <x:v>Rendre l’aire touchée lisible au sol et sur le HUD ; ne jamais dépendre seulement de la couleur.</x:v>
      </x:c>
      <x:c r="J9" s="9" t="str">
        <x:v>Bloquer la cible au début de l’engagement ; annuler proprement si les préconditions disparaissent.</x:v>
      </x:c>
      <x:c r="K9" s="9" t="str">
        <x:v>Signal préalable distinct du son d’impact ; option pour réduire les sons agressifs.</x:v>
      </x:c>
      <x:c r="L9" s="9" t="str">
        <x:v>behaviors/rev/guard : prepare/commit/recover ; paramètres séparés du code.</x:v>
      </x:c>
      <x:c r="M9" s="9" t="str">
        <x:v>Uniquement quand la rencontre correspondante est active.</x:v>
      </x:c>
      <x:c r="N9" s="9" t="str">
        <x:v>L’indicateur apparaît avant la conséquence ; la contre-mesure fonctionne en pause et à vitesse normale.</x:v>
      </x:c>
      <x:c r="O9" s="9" t="str">
        <x:v>REV-ENC-GUARD</x:v>
      </x:c>
      <x:c r="P9" s="9" t="str"/>
      <x:c r="Q9" s="9" t="str"/>
      <x:c r="R9" s="9" t="str"/>
      <x:c r="S9" s="9" t="str"/>
    </x:row>
    <x:row r="10" ht="68" customHeight="1">
      <x:c r="A10" s="19" t="str">
        <x:v>REV-EMV-PUMP</x:v>
      </x:c>
      <x:c r="B10" s="7" t="str">
        <x:v>Crise des pompes — comportement principal</x:v>
      </x:c>
      <x:c r="C10" s="15" t="str">
        <x:v>Défini</x:v>
      </x:c>
      <x:c r="D10" s="17" t="str">
        <x:v>Extrapolation</x:v>
      </x:c>
      <x:c r="E10" s="17" t="str">
        <x:v>P1</x:v>
      </x:c>
      <x:c r="F10" s="7" t="str">
        <x:v>Comportement proposé pour la rencontre liée.</x:v>
      </x:c>
      <x:c r="G10" s="7" t="str">
        <x:v>Une conduite obstrue un passage tant que la dérivation n’est pas activée.</x:v>
      </x:c>
      <x:c r="H10" s="7" t="str">
        <x:v>Télégraphe : Givre, sifflement et hachures sur la portion fermée. Contre-mesure : Isoler le circuit depuis le poste secondaire. Consommer une action ATB à l’engagement ; équilibrage à mesurer au prototype.</x:v>
      </x:c>
      <x:c r="I10" s="7" t="str">
        <x:v>Rendre l’aire touchée lisible au sol et sur le HUD ; ne jamais dépendre seulement de la couleur.</x:v>
      </x:c>
      <x:c r="J10" s="7" t="str">
        <x:v>Bloquer la cible au début de l’engagement ; annuler proprement si les préconditions disparaissent.</x:v>
      </x:c>
      <x:c r="K10" s="7" t="str">
        <x:v>Signal préalable distinct du son d’impact ; option pour réduire les sons agressifs.</x:v>
      </x:c>
      <x:c r="L10" s="7" t="str">
        <x:v>behaviors/rev/pump : prepare/commit/recover ; paramètres séparés du code.</x:v>
      </x:c>
      <x:c r="M10" s="7" t="str">
        <x:v>Uniquement quand la rencontre correspondante est active.</x:v>
      </x:c>
      <x:c r="N10" s="7" t="str">
        <x:v>L’indicateur apparaît avant la conséquence ; la contre-mesure fonctionne en pause et à vitesse normale.</x:v>
      </x:c>
      <x:c r="O10" s="7" t="str">
        <x:v>REV-ENC-PUMP</x:v>
      </x:c>
      <x:c r="P10" s="7" t="str"/>
      <x:c r="Q10" s="7" t="str"/>
      <x:c r="R10" s="7" t="str"/>
      <x:c r="S10" s="7" t="str"/>
    </x:row>
  </x:sheetData>
  <x:conditionalFormatting sqref="D7:D10">
    <x:cfRule type="cellIs" dxfId="72" priority="1" operator="equal">
      <x:formula>"À vérifier"</x:formula>
    </x:cfRule>
    <x:cfRule type="cellIs" dxfId="73" priority="2" operator="equal">
      <x:formula>"Extrapolation"</x:formula>
    </x:cfRule>
  </x:conditionalFormatting>
  <x:conditionalFormatting sqref="C7:C10">
    <x:cfRule type="cellIs" dxfId="74" priority="3" operator="equal">
      <x:formula>"Validé"</x:formula>
    </x:cfRule>
  </x:conditionalFormatting>
  <x:conditionalFormatting sqref="E7:E10">
    <x:cfRule type="cellIs" dxfId="7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3cbd2f37d2334ba3"/>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Revelation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REV-ANI-ANDERSON</x:v>
      </x:c>
      <x:c r="B7" s="9" t="str">
        <x:v>David Anderson — jeu de poses contextuelles</x:v>
      </x:c>
      <x:c r="C7" s="15" t="str">
        <x:v>Défini</x:v>
      </x:c>
      <x:c r="D7" s="16" t="str">
        <x:v>Extrapolation</x:v>
      </x:c>
      <x:c r="E7" s="16" t="str">
        <x:v>P1</x:v>
      </x:c>
      <x:c r="F7" s="9" t="str">
        <x:v>Création proposée : poses nécessaires à l’interaction « Coordonner une couverture pendant la collecte de preuves. ».</x:v>
      </x:c>
      <x:c r="G7" s="9" t="str">
        <x:v>Blocage animé de David Anderson : anticipation, action, récupération, retour au repos ; prévoir une interruption propre.</x:v>
      </x:c>
      <x:c r="H7" s="9" t="str">
        <x:v>Coordonner une couverture pendant la collecte de preuves. L’effet logique ne dépend jamais de la cadence du rendu.</x:v>
      </x:c>
      <x:c r="I7" s="9" t="str">
        <x:v>Conserver les repères de silhouette : Armure humaine sobre, épaules carrées, visage encore distinct de son âge dans ME3.</x:v>
      </x:c>
      <x:c r="J7" s="9" t="str">
        <x:v>Repos, déplacement, interaction et réaction ; nombre d’images ajusté après essai sur écran ; ne pas ajouter une attaque aux personnages civils.</x:v>
      </x:c>
      <x:c r="K7" s="9" t="str">
        <x:v>Marqueurs animation distincts du fichier audio ; sous-titre court si l’action porte une information.</x:v>
      </x:c>
      <x:c r="L7" s="9" t="str">
        <x:v>Animator actor.rev.anderson ; événements start/commit/recover ; annulation avant commit sans effet.</x:v>
      </x:c>
      <x:c r="M7" s="9" t="str">
        <x:v>Animation de blessure ou de décès uniquement si le contexte la justifie ; pas de mort libre d’un personnage établi.</x:v>
      </x:c>
      <x:c r="N7" s="9" t="str">
        <x:v>Une interruption avant commit ne dépense pas la ressource ; aucune pose résiduelle après changement de carte.</x:v>
      </x:c>
      <x:c r="O7" s="9" t="str">
        <x:v>REV-SPR-ANDERSON</x:v>
      </x:c>
      <x:c r="P7" s="9" t="str"/>
      <x:c r="Q7" s="9" t="str"/>
      <x:c r="R7" s="9" t="str"/>
      <x:c r="S7" s="9" t="str"/>
    </x:row>
    <x:row r="8" ht="54" customHeight="1">
      <x:c r="A8" s="19" t="str">
        <x:v>REV-ANI-KAHLEE</x:v>
      </x:c>
      <x:c r="B8" s="7" t="str">
        <x:v>Kahlee Sanders — jeu de poses contextuelles</x:v>
      </x:c>
      <x:c r="C8" s="15" t="str">
        <x:v>Défini</x:v>
      </x:c>
      <x:c r="D8" s="17" t="str">
        <x:v>Extrapolation</x:v>
      </x:c>
      <x:c r="E8" s="17" t="str">
        <x:v>P1</x:v>
      </x:c>
      <x:c r="F8" s="7" t="str">
        <x:v>Création proposée : poses nécessaires à l’interaction « Comparer deux traces techniques avant de déverrouiller une piste. ».</x:v>
      </x:c>
      <x:c r="G8" s="7" t="str">
        <x:v>Blocage animé de Kahlee Sanders : anticipation, action, récupération, retour au repos ; prévoir une interruption propre.</x:v>
      </x:c>
      <x:c r="H8" s="7" t="str">
        <x:v>Comparer deux traces techniques avant de déverrouiller une piste. L’effet logique ne dépend jamais de la cadence du rendu.</x:v>
      </x:c>
      <x:c r="I8" s="7" t="str">
        <x:v>Conserver les repères de silhouette : Tenue civile de travail, sac technique compact, posture attentive.</x:v>
      </x:c>
      <x:c r="J8" s="7" t="str">
        <x:v>Repos, déplacement, interaction et réaction ; nombre d’images ajusté après essai sur écran ; ne pas ajouter une attaque aux personnages civils.</x:v>
      </x:c>
      <x:c r="K8" s="7" t="str">
        <x:v>Marqueurs animation distincts du fichier audio ; sous-titre court si l’action porte une information.</x:v>
      </x:c>
      <x:c r="L8" s="7" t="str">
        <x:v>Animator actor.rev.kahlee ; événements start/commit/recover ; annulation avant commit sans effet.</x:v>
      </x:c>
      <x:c r="M8" s="7" t="str">
        <x:v>Animation de blessure ou de décès uniquement si le contexte la justifie ; pas de mort libre d’un personnage établi.</x:v>
      </x:c>
      <x:c r="N8" s="7" t="str">
        <x:v>Une interruption avant commit ne dépense pas la ressource ; aucune pose résiduelle après changement de carte.</x:v>
      </x:c>
      <x:c r="O8" s="7" t="str">
        <x:v>REV-SPR-KAHLEE</x:v>
      </x:c>
      <x:c r="P8" s="7" t="str"/>
      <x:c r="Q8" s="7" t="str"/>
      <x:c r="R8" s="7" t="str"/>
      <x:c r="S8" s="7" t="str"/>
    </x:row>
    <x:row r="9" ht="54" customHeight="1">
      <x:c r="A9" s="18" t="str">
        <x:v>REV-ANI-SAREN</x:v>
      </x:c>
      <x:c r="B9" s="9" t="str">
        <x:v>Saren Arterius — jeu de poses contextuelles</x:v>
      </x:c>
      <x:c r="C9" s="15" t="str">
        <x:v>Défini</x:v>
      </x:c>
      <x:c r="D9" s="16" t="str">
        <x:v>Extrapolation</x:v>
      </x:c>
      <x:c r="E9" s="16" t="str">
        <x:v>P1</x:v>
      </x:c>
      <x:c r="F9" s="9" t="str">
        <x:v>Création proposée : poses nécessaires à l’interaction « Contester une procédure et imposer un point de contrôle narratif. ».</x:v>
      </x:c>
      <x:c r="G9" s="9" t="str">
        <x:v>Blocage animé de Saren Arterius : anticipation, action, récupération, retour au repos ; prévoir une interruption propre.</x:v>
      </x:c>
      <x:c r="H9" s="9" t="str">
        <x:v>Contester une procédure et imposer un point de contrôle narratif. L’effet logique ne dépend jamais de la cadence du rendu.</x:v>
      </x:c>
      <x:c r="I9" s="9" t="str">
        <x:v>Conserver les repères de silhouette : Silhouette turienne et équipement de mission ; éviter de copier ses modifications tardives.</x:v>
      </x:c>
      <x:c r="J9" s="9" t="str">
        <x:v>Repos, déplacement, interaction et réaction ; nombre d’images ajusté après essai sur écran ; ne pas ajouter une attaque aux personnages civils.</x:v>
      </x:c>
      <x:c r="K9" s="9" t="str">
        <x:v>Marqueurs animation distincts du fichier audio ; sous-titre court si l’action porte une information.</x:v>
      </x:c>
      <x:c r="L9" s="9" t="str">
        <x:v>Animator actor.rev.saren ; événements start/commit/recover ; annulation avant commit sans effet.</x:v>
      </x:c>
      <x:c r="M9" s="9" t="str">
        <x:v>Animation de blessure ou de décès uniquement si le contexte la justifie ; pas de mort libre d’un personnage établi.</x:v>
      </x:c>
      <x:c r="N9" s="9" t="str">
        <x:v>Une interruption avant commit ne dépense pas la ressource ; aucune pose résiduelle après changement de carte.</x:v>
      </x:c>
      <x:c r="O9" s="9" t="str">
        <x:v>REV-SPR-SAREN</x:v>
      </x:c>
      <x:c r="P9" s="9" t="str"/>
      <x:c r="Q9" s="9" t="str"/>
      <x:c r="R9" s="9" t="str"/>
      <x:c r="S9" s="9" t="str"/>
    </x:row>
    <x:row r="10" ht="54" customHeight="1">
      <x:c r="A10" s="19" t="str">
        <x:v>REV-ANI-SKARR</x:v>
      </x:c>
      <x:c r="B10" s="7" t="str">
        <x:v>Skarr — jeu de poses contextuelles</x:v>
      </x:c>
      <x:c r="C10" s="15" t="str">
        <x:v>Défini</x:v>
      </x:c>
      <x:c r="D10" s="17" t="str">
        <x:v>Extrapolation</x:v>
      </x:c>
      <x:c r="E10" s="17" t="str">
        <x:v>P1</x:v>
      </x:c>
      <x:c r="F10" s="7" t="str">
        <x:v>Création proposée : poses nécessaires à l’interaction « Opposer une pression de terrain qui oblige à protéger l’escorte. ».</x:v>
      </x:c>
      <x:c r="G10" s="7" t="str">
        <x:v>Blocage animé de Skarr : anticipation, action, récupération, retour au repos ; prévoir une interruption propre.</x:v>
      </x:c>
      <x:c r="H10" s="7" t="str">
        <x:v>Opposer une pression de terrain qui oblige à protéger l’escorte. L’effet logique ne dépend jamais de la cadence du rendu.</x:v>
      </x:c>
      <x:c r="I10" s="7" t="str">
        <x:v>Conserver les repères de silhouette : Masse compacte, armure épaisse, silhouette offensive ; détails à contrôler.</x:v>
      </x:c>
      <x:c r="J10" s="7" t="str">
        <x:v>Repos, déplacement, interaction et réaction ; nombre d’images ajusté après essai sur écran ; ne pas ajouter une attaque aux personnages civils.</x:v>
      </x:c>
      <x:c r="K10" s="7" t="str">
        <x:v>Marqueurs animation distincts du fichier audio ; sous-titre court si l’action porte une information.</x:v>
      </x:c>
      <x:c r="L10" s="7" t="str">
        <x:v>Animator actor.rev.skarr ; événements start/commit/recover ; annulation avant commit sans effet.</x:v>
      </x:c>
      <x:c r="M10" s="7" t="str">
        <x:v>Animation de blessure ou de décès uniquement si le contexte la justifie ; pas de mort libre d’un personnage établi.</x:v>
      </x:c>
      <x:c r="N10" s="7" t="str">
        <x:v>Une interruption avant commit ne dépense pas la ressource ; aucune pose résiduelle après changement de carte.</x:v>
      </x:c>
      <x:c r="O10" s="7" t="str">
        <x:v>REV-SPR-SKARR</x:v>
      </x:c>
      <x:c r="P10" s="7" t="str"/>
      <x:c r="Q10" s="7" t="str"/>
      <x:c r="R10" s="7" t="str"/>
      <x:c r="S10" s="7" t="str"/>
    </x:row>
    <x:row r="11" ht="54" customHeight="1">
      <x:c r="A11" s="18" t="str">
        <x:v>REV-ANI-EDAN</x:v>
      </x:c>
      <x:c r="B11" s="9" t="str">
        <x:v>Edan Had’dah — jeu de poses contextuelles</x:v>
      </x:c>
      <x:c r="C11" s="15" t="str">
        <x:v>Défini</x:v>
      </x:c>
      <x:c r="D11" s="16" t="str">
        <x:v>Extrapolation</x:v>
      </x:c>
      <x:c r="E11" s="16" t="str">
        <x:v>P1</x:v>
      </x:c>
      <x:c r="F11" s="9" t="str">
        <x:v>Création proposée : poses nécessaires à l’interaction « Négocier une information sans en faire un vendeur de quête banal. ».</x:v>
      </x:c>
      <x:c r="G11" s="9" t="str">
        <x:v>Blocage animé de Edan Had’dah : anticipation, action, récupération, retour au repos ; prévoir une interruption propre.</x:v>
      </x:c>
      <x:c r="H11" s="9" t="str">
        <x:v>Négocier une information sans en faire un vendeur de quête banal. L’effet logique ne dépend jamais de la cadence du rendu.</x:v>
      </x:c>
      <x:c r="I11" s="9" t="str">
        <x:v>Conserver les repères de silhouette : Tenue de notable butarien proposée, quatre yeux lisibles en portrait.</x:v>
      </x:c>
      <x:c r="J11" s="9" t="str">
        <x:v>Repos, déplacement, interaction et réaction ; nombre d’images ajusté après essai sur écran ; ne pas ajouter une attaque aux personnages civils.</x:v>
      </x:c>
      <x:c r="K11" s="9" t="str">
        <x:v>Marqueurs animation distincts du fichier audio ; sous-titre court si l’action porte une information.</x:v>
      </x:c>
      <x:c r="L11" s="9" t="str">
        <x:v>Animator actor.rev.edan ; événements start/commit/recover ; annulation avant commit sans effet.</x:v>
      </x:c>
      <x:c r="M11" s="9" t="str">
        <x:v>Animation de blessure ou de décès uniquement si le contexte la justifie ; pas de mort libre d’un personnage établi.</x:v>
      </x:c>
      <x:c r="N11" s="9" t="str">
        <x:v>Une interruption avant commit ne dépense pas la ressource ; aucune pose résiduelle après changement de carte.</x:v>
      </x:c>
      <x:c r="O11" s="9" t="str">
        <x:v>REV-SPR-EDAN</x:v>
      </x:c>
      <x:c r="P11" s="9" t="str"/>
      <x:c r="Q11" s="9" t="str"/>
      <x:c r="R11" s="9" t="str"/>
      <x:c r="S11" s="9" t="str"/>
    </x:row>
    <x:row r="12" ht="54" customHeight="1">
      <x:c r="A12" s="19" t="str">
        <x:v>REV-ANI-JILL</x:v>
      </x:c>
      <x:c r="B12" s="7" t="str">
        <x:v>Jill Dah — jeu de poses contextuelles</x:v>
      </x:c>
      <x:c r="C12" s="15" t="str">
        <x:v>Défini</x:v>
      </x:c>
      <x:c r="D12" s="17" t="str">
        <x:v>Extrapolation</x:v>
      </x:c>
      <x:c r="E12" s="17" t="str">
        <x:v>P1</x:v>
      </x:c>
      <x:c r="F12" s="7" t="str">
        <x:v>Création proposée : poses nécessaires à l’interaction « Tenir un couloir puis être aidée à franchir un obstacle. ».</x:v>
      </x:c>
      <x:c r="G12" s="7" t="str">
        <x:v>Blocage animé de Jill Dah : anticipation, action, récupération, retour au repos ; prévoir une interruption propre.</x:v>
      </x:c>
      <x:c r="H12" s="7" t="str">
        <x:v>Tenir un couloir puis être aidée à franchir un obstacle. L’effet logique ne dépend jamais de la cadence du rendu.</x:v>
      </x:c>
      <x:c r="I12" s="7" t="str">
        <x:v>Conserver les repères de silhouette : Grande silhouette, armure militaire, variante de blessure temporaire à la jambe.</x:v>
      </x:c>
      <x:c r="J12" s="7" t="str">
        <x:v>Repos, déplacement, interaction et réaction ; nombre d’images ajusté après essai sur écran ; ne pas ajouter une attaque aux personnages civils.</x:v>
      </x:c>
      <x:c r="K12" s="7" t="str">
        <x:v>Marqueurs animation distincts du fichier audio ; sous-titre court si l’action porte une information.</x:v>
      </x:c>
      <x:c r="L12" s="7" t="str">
        <x:v>Animator actor.rev.jill ; événements start/commit/recover ; annulation avant commit sans effet.</x:v>
      </x:c>
      <x:c r="M12" s="7" t="str">
        <x:v>Animation de blessure ou de décès uniquement si le contexte la justifie ; pas de mort libre d’un personnage établi.</x:v>
      </x:c>
      <x:c r="N12" s="7" t="str">
        <x:v>Une interruption avant commit ne dépense pas la ressource ; aucune pose résiduelle après changement de carte.</x:v>
      </x:c>
      <x:c r="O12" s="7" t="str">
        <x:v>REV-SPR-JILL</x:v>
      </x:c>
      <x:c r="P12" s="7" t="str"/>
      <x:c r="Q12" s="7" t="str"/>
      <x:c r="R12" s="7" t="str"/>
      <x:c r="S12" s="7" t="str"/>
    </x:row>
    <x:row r="13" ht="54" customHeight="1">
      <x:c r="A13" s="18" t="str">
        <x:v>REV-ANI-GRISSOM</x:v>
      </x:c>
      <x:c r="B13" s="9" t="str">
        <x:v>Jon Grissom — jeu de poses contextuelles</x:v>
      </x:c>
      <x:c r="C13" s="15" t="str">
        <x:v>Défini</x:v>
      </x:c>
      <x:c r="D13" s="16" t="str">
        <x:v>Extrapolation</x:v>
      </x:c>
      <x:c r="E13" s="16" t="str">
        <x:v>P1</x:v>
      </x:c>
      <x:c r="F13" s="9" t="str">
        <x:v>Création proposée : poses nécessaires à l’interaction « Orienter une discussion de refuge avant le départ de l’équipe. ».</x:v>
      </x:c>
      <x:c r="G13" s="9" t="str">
        <x:v>Blocage animé de Jon Grissom : anticipation, action, récupération, retour au repos ; prévoir une interruption propre.</x:v>
      </x:c>
      <x:c r="H13" s="9" t="str">
        <x:v>Orienter une discussion de refuge avant le départ de l’équipe. L’effet logique ne dépend jamais de la cadence du rendu.</x:v>
      </x:c>
      <x:c r="I13" s="9" t="str">
        <x:v>Conserver les repères de silhouette : Civil âgé, intérieur habité, aucun uniforme d’époque inventé comme officiel.</x:v>
      </x:c>
      <x:c r="J13" s="9" t="str">
        <x:v>Repos, déplacement, interaction et réaction ; nombre d’images ajusté après essai sur écran ; ne pas ajouter une attaque aux personnages civils.</x:v>
      </x:c>
      <x:c r="K13" s="9" t="str">
        <x:v>Marqueurs animation distincts du fichier audio ; sous-titre court si l’action porte une information.</x:v>
      </x:c>
      <x:c r="L13" s="9" t="str">
        <x:v>Animator actor.rev.grissom ; événements start/commit/recover ; annulation avant commit sans effet.</x:v>
      </x:c>
      <x:c r="M13" s="9" t="str">
        <x:v>Animation de blessure ou de décès uniquement si le contexte la justifie ; pas de mort libre d’un personnage établi.</x:v>
      </x:c>
      <x:c r="N13" s="9" t="str">
        <x:v>Une interruption avant commit ne dépense pas la ressource ; aucune pose résiduelle après changement de carte.</x:v>
      </x:c>
      <x:c r="O13" s="9" t="str">
        <x:v>REV-SPR-GRISSOM</x:v>
      </x:c>
      <x:c r="P13" s="9" t="str"/>
      <x:c r="Q13" s="9" t="str"/>
      <x:c r="R13" s="9" t="str"/>
      <x:c r="S13" s="9" t="str"/>
    </x:row>
    <x:row r="14" ht="54" customHeight="1">
      <x:c r="A14" s="19" t="str">
        <x:v>REV-ANI-JELLA</x:v>
      </x:c>
      <x:c r="B14" s="7" t="str">
        <x:v>Jella — jeu de poses contextuelles</x:v>
      </x:c>
      <x:c r="C14" s="15" t="str">
        <x:v>Défini</x:v>
      </x:c>
      <x:c r="D14" s="17" t="str">
        <x:v>Extrapolation</x:v>
      </x:c>
      <x:c r="E14" s="17" t="str">
        <x:v>P1</x:v>
      </x:c>
      <x:c r="F14" s="7" t="str">
        <x:v>Création proposée : poses nécessaires à l’interaction « Fournir un fragment d’accès après vérification de confiance. ».</x:v>
      </x:c>
      <x:c r="G14" s="7" t="str">
        <x:v>Blocage animé de Jella : anticipation, action, récupération, retour au repos ; prévoir une interruption propre.</x:v>
      </x:c>
      <x:c r="H14" s="7" t="str">
        <x:v>Fournir un fragment d’accès après vérification de confiance. L’effet logique ne dépend jamais de la cadence du rendu.</x:v>
      </x:c>
      <x:c r="I14" s="7" t="str">
        <x:v>Conserver les repères de silhouette : Tenue de personnel technique proposée, badge et outil de maintenance.</x:v>
      </x:c>
      <x:c r="J14" s="7" t="str">
        <x:v>Repos, déplacement, interaction et réaction ; nombre d’images ajusté après essai sur écran ; ne pas ajouter une attaque aux personnages civils.</x:v>
      </x:c>
      <x:c r="K14" s="7" t="str">
        <x:v>Marqueurs animation distincts du fichier audio ; sous-titre court si l’action porte une information.</x:v>
      </x:c>
      <x:c r="L14" s="7" t="str">
        <x:v>Animator actor.rev.jella ; événements start/commit/recover ; annulation avant commit sans effet.</x:v>
      </x:c>
      <x:c r="M14" s="7" t="str">
        <x:v>Animation de blessure ou de décès uniquement si le contexte la justifie ; pas de mort libre d’un personnage établi.</x:v>
      </x:c>
      <x:c r="N14" s="7" t="str">
        <x:v>Une interruption avant commit ne dépense pas la ressource ; aucune pose résiduelle après changement de carte.</x:v>
      </x:c>
      <x:c r="O14" s="7" t="str">
        <x:v>REV-SPR-JELLA</x:v>
      </x:c>
      <x:c r="P14" s="7" t="str"/>
      <x:c r="Q14" s="7" t="str"/>
      <x:c r="R14" s="7" t="str"/>
      <x:c r="S14" s="7" t="str"/>
    </x:row>
    <x:row r="15" ht="68" customHeight="1">
      <x:c r="A15" s="18" t="str">
        <x:v>REV-ANI-QIAN</x:v>
      </x:c>
      <x:c r="B15" s="9" t="str">
        <x:v>Shu Qian — jeu de poses contextuelles</x:v>
      </x:c>
      <x:c r="C15" s="15" t="str">
        <x:v>Défini</x:v>
      </x:c>
      <x:c r="D15" s="16" t="str">
        <x:v>Extrapolation</x:v>
      </x:c>
      <x:c r="E15" s="16" t="str">
        <x:v>P1</x:v>
      </x:c>
      <x:c r="F15" s="9" t="str">
        <x:v>Création proposée : poses nécessaires à l’interaction « Servir d’ancrage au dossier scientifique sans livrer un monologue explicatif. ».</x:v>
      </x:c>
      <x:c r="G15" s="9" t="str">
        <x:v>Blocage animé de Shu Qian : anticipation, action, récupération, retour au repos ; prévoir une interruption propre.</x:v>
      </x:c>
      <x:c r="H15" s="9" t="str">
        <x:v>Servir d’ancrage au dossier scientifique sans livrer un monologue explicatif. L’effet logique ne dépend jamais de la cadence du rendu.</x:v>
      </x:c>
      <x:c r="I15" s="9" t="str">
        <x:v>Conserver les repères de silhouette : Blouse ou tenue scientifique à confirmer, terminal personnel comme repère.</x:v>
      </x:c>
      <x:c r="J15" s="9" t="str">
        <x:v>Repos, déplacement, interaction et réaction ; nombre d’images ajusté après essai sur écran ; ne pas ajouter une attaque aux personnages civils.</x:v>
      </x:c>
      <x:c r="K15" s="9" t="str">
        <x:v>Marqueurs animation distincts du fichier audio ; sous-titre court si l’action porte une information.</x:v>
      </x:c>
      <x:c r="L15" s="9" t="str">
        <x:v>Animator actor.rev.qian ; événements start/commit/recover ; annulation avant commit sans effet.</x:v>
      </x:c>
      <x:c r="M15" s="9" t="str">
        <x:v>Animation de blessure ou de décès uniquement si le contexte la justifie ; pas de mort libre d’un personnage établi.</x:v>
      </x:c>
      <x:c r="N15" s="9" t="str">
        <x:v>Une interruption avant commit ne dépense pas la ressource ; aucune pose résiduelle après changement de carte.</x:v>
      </x:c>
      <x:c r="O15" s="9" t="str">
        <x:v>REV-SPR-QIAN</x:v>
      </x:c>
      <x:c r="P15" s="9" t="str"/>
      <x:c r="Q15" s="9" t="str"/>
      <x:c r="R15" s="9" t="str"/>
      <x:c r="S15" s="9" t="str"/>
    </x:row>
    <x:row r="16" ht="68" customHeight="1">
      <x:c r="A16" s="19" t="str">
        <x:v>REV-ANI-GROTO</x:v>
      </x:c>
      <x:c r="B16" s="7" t="str">
        <x:v>Groto Ib-ba — jeu de poses contextuelles</x:v>
      </x:c>
      <x:c r="C16" s="15" t="str">
        <x:v>Défini</x:v>
      </x:c>
      <x:c r="D16" s="17" t="str">
        <x:v>Extrapolation</x:v>
      </x:c>
      <x:c r="E16" s="17" t="str">
        <x:v>P1</x:v>
      </x:c>
      <x:c r="F16" s="7" t="str">
        <x:v>Création proposée : poses nécessaires à l’interaction « Être évoqué dans une chaîne de renseignements, sans interrogation jouable copiée. ».</x:v>
      </x:c>
      <x:c r="G16" s="7" t="str">
        <x:v>Blocage animé de Groto Ib-ba : anticipation, action, récupération, retour au repos ; prévoir une interruption propre.</x:v>
      </x:c>
      <x:c r="H16" s="7" t="str">
        <x:v>Être évoqué dans une chaîne de renseignements, sans interrogation jouable copiée. L’effet logique ne dépend jamais de la cadence du rendu.</x:v>
      </x:c>
      <x:c r="I16" s="7" t="str">
        <x:v>Conserver les repères de silhouette : Silhouette de civil distincte des combattants ; espèce et tenue à vérifier visuellement.</x:v>
      </x:c>
      <x:c r="J16" s="7" t="str">
        <x:v>Repos, déplacement, interaction et réaction ; nombre d’images ajusté après essai sur écran ; ne pas ajouter une attaque aux personnages civils.</x:v>
      </x:c>
      <x:c r="K16" s="7" t="str">
        <x:v>Marqueurs animation distincts du fichier audio ; sous-titre court si l’action porte une information.</x:v>
      </x:c>
      <x:c r="L16" s="7" t="str">
        <x:v>Animator actor.rev.groto ; événements start/commit/recover ; annulation avant commit sans effet.</x:v>
      </x:c>
      <x:c r="M16" s="7" t="str">
        <x:v>Animation de blessure ou de décès uniquement si le contexte la justifie ; pas de mort libre d’un personnage établi.</x:v>
      </x:c>
      <x:c r="N16" s="7" t="str">
        <x:v>Une interruption avant commit ne dépense pas la ressource ; aucune pose résiduelle après changement de carte.</x:v>
      </x:c>
      <x:c r="O16" s="7" t="str">
        <x:v>REV-SPR-GROTO</x:v>
      </x:c>
      <x:c r="P16" s="7" t="str"/>
      <x:c r="Q16" s="7" t="str"/>
      <x:c r="R16" s="7" t="str"/>
      <x:c r="S16" s="7" t="str"/>
    </x:row>
  </x:sheetData>
  <x:conditionalFormatting sqref="D7:D16">
    <x:cfRule type="cellIs" dxfId="76" priority="1" operator="equal">
      <x:formula>"À vérifier"</x:formula>
    </x:cfRule>
    <x:cfRule type="cellIs" dxfId="77" priority="2" operator="equal">
      <x:formula>"Extrapolation"</x:formula>
    </x:cfRule>
  </x:conditionalFormatting>
  <x:conditionalFormatting sqref="C7:C16">
    <x:cfRule type="cellIs" dxfId="78" priority="3" operator="equal">
      <x:formula>"Validé"</x:formula>
    </x:cfRule>
  </x:conditionalFormatting>
  <x:conditionalFormatting sqref="E7:E16">
    <x:cfRule type="cellIs" dxfId="79"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7eaab3a53f1d4231"/>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Revelation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REV-SPR-ANDERSON</x:v>
      </x:c>
      <x:c r="B7" s="9" t="str">
        <x:v>David Anderson — planche sprite</x:v>
      </x:c>
      <x:c r="C7" s="15" t="str">
        <x:v>Défini</x:v>
      </x:c>
      <x:c r="D7" s="16" t="str">
        <x:v>Extrapolation</x:v>
      </x:c>
      <x:c r="E7" s="16" t="str">
        <x:v>P1</x:v>
      </x:c>
      <x:c r="F7" s="9" t="str">
        <x:v>Création proposée : représentation 2D de David Anderson pour ce module.</x:v>
      </x:c>
      <x:c r="G7" s="9" t="str">
        <x:v>Armure humaine sobre, épaules carrées, visage encore distinct de son âge dans ME3. Préparer silhouette entière, portrait de dialogue et masque de sélection.</x:v>
      </x:c>
      <x:c r="H7" s="9" t="str">
        <x:v>La zone interactive reste stable entre les poses ; la tenue ne confère aucun bonus implicite.</x:v>
      </x:c>
      <x:c r="I7" s="9" t="str">
        <x:v>Armure humaine sobre, épaules carrées, visage encore distinct de son âge dans ME3. Palette proposée à valider ; comparaison en miniature et sur le décor le plus sombre.</x:v>
      </x:c>
      <x:c r="J7" s="9" t="str">
        <x:v>Vue de trois quarts ; pivots dans huit directions proposées ; symétrie interdite si elle inverse un accessoire identifiable.</x:v>
      </x:c>
      <x:c r="K7" s="9" t="str">
        <x:v>Aucun échantillon du jeu ou du film ; le changement de sélection utilise le son UI du module.</x:v>
      </x:c>
      <x:c r="L7" s="9" t="str">
        <x:v>Prévoir assets/rev/actors/anderson/atlas.png + atlas.json, pivot aux pieds.</x:v>
      </x:c>
      <x:c r="M7" s="9" t="str">
        <x:v>Visible uniquement quand David Anderson est autorisé par l’état narratif.</x:v>
      </x:c>
      <x:c r="N7" s="9" t="str">
        <x:v>Silhouette reconnue sans nom ; pieds sans glissement ; portrait et sprite cohérents à échelle réelle.</x:v>
      </x:c>
      <x:c r="O7" s="9" t="str">
        <x:v>REV-CHR-ANDERSON</x:v>
      </x:c>
      <x:c r="P7" s="9" t="str"/>
      <x:c r="Q7" s="9" t="str"/>
      <x:c r="R7" s="9" t="str"/>
      <x:c r="S7" s="9" t="str"/>
    </x:row>
    <x:row r="8" ht="68" customHeight="1">
      <x:c r="A8" s="19" t="str">
        <x:v>REV-SPR-KAHLEE</x:v>
      </x:c>
      <x:c r="B8" s="7" t="str">
        <x:v>Kahlee Sanders — planche sprite</x:v>
      </x:c>
      <x:c r="C8" s="15" t="str">
        <x:v>Défini</x:v>
      </x:c>
      <x:c r="D8" s="17" t="str">
        <x:v>Extrapolation</x:v>
      </x:c>
      <x:c r="E8" s="17" t="str">
        <x:v>P1</x:v>
      </x:c>
      <x:c r="F8" s="7" t="str">
        <x:v>Création proposée : représentation 2D de Kahlee Sanders pour ce module.</x:v>
      </x:c>
      <x:c r="G8" s="7" t="str">
        <x:v>Tenue civile de travail, sac technique compact, posture attentive. Préparer silhouette entière, portrait de dialogue et masque de sélection.</x:v>
      </x:c>
      <x:c r="H8" s="7" t="str">
        <x:v>La zone interactive reste stable entre les poses ; la tenue ne confère aucun bonus implicite.</x:v>
      </x:c>
      <x:c r="I8" s="7" t="str">
        <x:v>Tenue civile de travail, sac technique compact, posture attentive. Palette proposée à valider ; comparaison en miniature et sur le décor le plus sombre.</x:v>
      </x:c>
      <x:c r="J8" s="7" t="str">
        <x:v>Vue de trois quarts ; pivots dans huit directions proposées ; symétrie interdite si elle inverse un accessoire identifiable.</x:v>
      </x:c>
      <x:c r="K8" s="7" t="str">
        <x:v>Aucun échantillon du jeu ou du film ; le changement de sélection utilise le son UI du module.</x:v>
      </x:c>
      <x:c r="L8" s="7" t="str">
        <x:v>Prévoir assets/rev/actors/kahlee/atlas.png + atlas.json, pivot aux pieds.</x:v>
      </x:c>
      <x:c r="M8" s="7" t="str">
        <x:v>Visible uniquement quand Kahlee Sanders est autorisé par l’état narratif.</x:v>
      </x:c>
      <x:c r="N8" s="7" t="str">
        <x:v>Silhouette reconnue sans nom ; pieds sans glissement ; portrait et sprite cohérents à échelle réelle.</x:v>
      </x:c>
      <x:c r="O8" s="7" t="str">
        <x:v>REV-CHR-KAHLEE</x:v>
      </x:c>
      <x:c r="P8" s="7" t="str"/>
      <x:c r="Q8" s="7" t="str"/>
      <x:c r="R8" s="7" t="str"/>
      <x:c r="S8" s="7" t="str"/>
    </x:row>
    <x:row r="9" ht="68" customHeight="1">
      <x:c r="A9" s="18" t="str">
        <x:v>REV-SPR-SAREN</x:v>
      </x:c>
      <x:c r="B9" s="9" t="str">
        <x:v>Saren Arterius — planche sprite</x:v>
      </x:c>
      <x:c r="C9" s="15" t="str">
        <x:v>Défini</x:v>
      </x:c>
      <x:c r="D9" s="16" t="str">
        <x:v>Extrapolation</x:v>
      </x:c>
      <x:c r="E9" s="16" t="str">
        <x:v>P1</x:v>
      </x:c>
      <x:c r="F9" s="9" t="str">
        <x:v>Création proposée : représentation 2D de Saren Arterius pour ce module.</x:v>
      </x:c>
      <x:c r="G9" s="9" t="str">
        <x:v>Silhouette turienne et équipement de mission ; éviter de copier ses modifications tardives. Préparer silhouette entière, portrait de dialogue et masque de sélection.</x:v>
      </x:c>
      <x:c r="H9" s="9" t="str">
        <x:v>La zone interactive reste stable entre les poses ; la tenue ne confère aucun bonus implicite.</x:v>
      </x:c>
      <x:c r="I9" s="9" t="str">
        <x:v>Silhouette turienne et équipement de mission ; éviter de copier ses modifications tardives. Palette proposée à valider ; comparaison en miniature et sur le décor le plus sombre.</x:v>
      </x:c>
      <x:c r="J9" s="9" t="str">
        <x:v>Vue de trois quarts ; pivots dans huit directions proposées ; symétrie interdite si elle inverse un accessoire identifiable.</x:v>
      </x:c>
      <x:c r="K9" s="9" t="str">
        <x:v>Aucun échantillon du jeu ou du film ; le changement de sélection utilise le son UI du module.</x:v>
      </x:c>
      <x:c r="L9" s="9" t="str">
        <x:v>Prévoir assets/rev/actors/saren/atlas.png + atlas.json, pivot aux pieds.</x:v>
      </x:c>
      <x:c r="M9" s="9" t="str">
        <x:v>Visible uniquement quand Saren Arterius est autorisé par l’état narratif.</x:v>
      </x:c>
      <x:c r="N9" s="9" t="str">
        <x:v>Silhouette reconnue sans nom ; pieds sans glissement ; portrait et sprite cohérents à échelle réelle.</x:v>
      </x:c>
      <x:c r="O9" s="9" t="str">
        <x:v>REV-CHR-SAREN</x:v>
      </x:c>
      <x:c r="P9" s="9" t="str"/>
      <x:c r="Q9" s="9" t="str"/>
      <x:c r="R9" s="9" t="str"/>
      <x:c r="S9" s="9" t="str"/>
    </x:row>
    <x:row r="10" ht="68" customHeight="1">
      <x:c r="A10" s="19" t="str">
        <x:v>REV-SPR-SKARR</x:v>
      </x:c>
      <x:c r="B10" s="7" t="str">
        <x:v>Skarr — planche sprite</x:v>
      </x:c>
      <x:c r="C10" s="15" t="str">
        <x:v>Défini</x:v>
      </x:c>
      <x:c r="D10" s="17" t="str">
        <x:v>Extrapolation</x:v>
      </x:c>
      <x:c r="E10" s="17" t="str">
        <x:v>P1</x:v>
      </x:c>
      <x:c r="F10" s="7" t="str">
        <x:v>Création proposée : représentation 2D de Skarr pour ce module.</x:v>
      </x:c>
      <x:c r="G10" s="7" t="str">
        <x:v>Masse compacte, armure épaisse, silhouette offensive ; détails à contrôler. Préparer silhouette entière, portrait de dialogue et masque de sélection.</x:v>
      </x:c>
      <x:c r="H10" s="7" t="str">
        <x:v>La zone interactive reste stable entre les poses ; la tenue ne confère aucun bonus implicite.</x:v>
      </x:c>
      <x:c r="I10" s="7" t="str">
        <x:v>Masse compacte, armure épaisse, silhouette offensive ; détails à contrôler. Palette proposée à valider ; comparaison en miniature et sur le décor le plus sombre.</x:v>
      </x:c>
      <x:c r="J10" s="7" t="str">
        <x:v>Vue de trois quarts ; pivots dans huit directions proposées ; symétrie interdite si elle inverse un accessoire identifiable.</x:v>
      </x:c>
      <x:c r="K10" s="7" t="str">
        <x:v>Aucun échantillon du jeu ou du film ; le changement de sélection utilise le son UI du module.</x:v>
      </x:c>
      <x:c r="L10" s="7" t="str">
        <x:v>Prévoir assets/rev/actors/skarr/atlas.png + atlas.json, pivot aux pieds.</x:v>
      </x:c>
      <x:c r="M10" s="7" t="str">
        <x:v>Visible uniquement quand Skarr est autorisé par l’état narratif.</x:v>
      </x:c>
      <x:c r="N10" s="7" t="str">
        <x:v>Silhouette reconnue sans nom ; pieds sans glissement ; portrait et sprite cohérents à échelle réelle.</x:v>
      </x:c>
      <x:c r="O10" s="7" t="str">
        <x:v>REV-CHR-SKARR</x:v>
      </x:c>
      <x:c r="P10" s="7" t="str"/>
      <x:c r="Q10" s="7" t="str"/>
      <x:c r="R10" s="7" t="str"/>
      <x:c r="S10" s="7" t="str"/>
    </x:row>
    <x:row r="11" ht="68" customHeight="1">
      <x:c r="A11" s="18" t="str">
        <x:v>REV-SPR-EDAN</x:v>
      </x:c>
      <x:c r="B11" s="9" t="str">
        <x:v>Edan Had’dah — planche sprite</x:v>
      </x:c>
      <x:c r="C11" s="15" t="str">
        <x:v>Défini</x:v>
      </x:c>
      <x:c r="D11" s="16" t="str">
        <x:v>Extrapolation</x:v>
      </x:c>
      <x:c r="E11" s="16" t="str">
        <x:v>P1</x:v>
      </x:c>
      <x:c r="F11" s="9" t="str">
        <x:v>Création proposée : représentation 2D de Edan Had’dah pour ce module.</x:v>
      </x:c>
      <x:c r="G11" s="9" t="str">
        <x:v>Tenue de notable butarien proposée, quatre yeux lisibles en portrait. Préparer silhouette entière, portrait de dialogue et masque de sélection.</x:v>
      </x:c>
      <x:c r="H11" s="9" t="str">
        <x:v>La zone interactive reste stable entre les poses ; la tenue ne confère aucun bonus implicite.</x:v>
      </x:c>
      <x:c r="I11" s="9" t="str">
        <x:v>Tenue de notable butarien proposée, quatre yeux lisibles en portrait. Palette proposée à valider ; comparaison en miniature et sur le décor le plus sombre.</x:v>
      </x:c>
      <x:c r="J11" s="9" t="str">
        <x:v>Vue de trois quarts ; pivots dans huit directions proposées ; symétrie interdite si elle inverse un accessoire identifiable.</x:v>
      </x:c>
      <x:c r="K11" s="9" t="str">
        <x:v>Aucun échantillon du jeu ou du film ; le changement de sélection utilise le son UI du module.</x:v>
      </x:c>
      <x:c r="L11" s="9" t="str">
        <x:v>Prévoir assets/rev/actors/edan/atlas.png + atlas.json, pivot aux pieds.</x:v>
      </x:c>
      <x:c r="M11" s="9" t="str">
        <x:v>Visible uniquement quand Edan Had’dah est autorisé par l’état narratif.</x:v>
      </x:c>
      <x:c r="N11" s="9" t="str">
        <x:v>Silhouette reconnue sans nom ; pieds sans glissement ; portrait et sprite cohérents à échelle réelle.</x:v>
      </x:c>
      <x:c r="O11" s="9" t="str">
        <x:v>REV-CHR-EDAN</x:v>
      </x:c>
      <x:c r="P11" s="9" t="str"/>
      <x:c r="Q11" s="9" t="str"/>
      <x:c r="R11" s="9" t="str"/>
      <x:c r="S11" s="9" t="str"/>
    </x:row>
    <x:row r="12" ht="68" customHeight="1">
      <x:c r="A12" s="19" t="str">
        <x:v>REV-SPR-JILL</x:v>
      </x:c>
      <x:c r="B12" s="7" t="str">
        <x:v>Jill Dah — planche sprite</x:v>
      </x:c>
      <x:c r="C12" s="15" t="str">
        <x:v>Défini</x:v>
      </x:c>
      <x:c r="D12" s="17" t="str">
        <x:v>Extrapolation</x:v>
      </x:c>
      <x:c r="E12" s="17" t="str">
        <x:v>P1</x:v>
      </x:c>
      <x:c r="F12" s="7" t="str">
        <x:v>Création proposée : représentation 2D de Jill Dah pour ce module.</x:v>
      </x:c>
      <x:c r="G12" s="7" t="str">
        <x:v>Grande silhouette, armure militaire, variante de blessure temporaire à la jambe. Préparer silhouette entière, portrait de dialogue et masque de sélection.</x:v>
      </x:c>
      <x:c r="H12" s="7" t="str">
        <x:v>La zone interactive reste stable entre les poses ; la tenue ne confère aucun bonus implicite.</x:v>
      </x:c>
      <x:c r="I12" s="7" t="str">
        <x:v>Grande silhouette, armure militaire, variante de blessure temporaire à la jambe. Palette proposée à valider ; comparaison en miniature et sur le décor le plus sombre.</x:v>
      </x:c>
      <x:c r="J12" s="7" t="str">
        <x:v>Vue de trois quarts ; pivots dans huit directions proposées ; symétrie interdite si elle inverse un accessoire identifiable.</x:v>
      </x:c>
      <x:c r="K12" s="7" t="str">
        <x:v>Aucun échantillon du jeu ou du film ; le changement de sélection utilise le son UI du module.</x:v>
      </x:c>
      <x:c r="L12" s="7" t="str">
        <x:v>Prévoir assets/rev/actors/jill/atlas.png + atlas.json, pivot aux pieds.</x:v>
      </x:c>
      <x:c r="M12" s="7" t="str">
        <x:v>Visible uniquement quand Jill Dah est autorisé par l’état narratif.</x:v>
      </x:c>
      <x:c r="N12" s="7" t="str">
        <x:v>Silhouette reconnue sans nom ; pieds sans glissement ; portrait et sprite cohérents à échelle réelle.</x:v>
      </x:c>
      <x:c r="O12" s="7" t="str">
        <x:v>REV-CHR-JILL</x:v>
      </x:c>
      <x:c r="P12" s="7" t="str"/>
      <x:c r="Q12" s="7" t="str"/>
      <x:c r="R12" s="7" t="str"/>
      <x:c r="S12" s="7" t="str"/>
    </x:row>
    <x:row r="13" ht="68" customHeight="1">
      <x:c r="A13" s="18" t="str">
        <x:v>REV-SPR-GRISSOM</x:v>
      </x:c>
      <x:c r="B13" s="9" t="str">
        <x:v>Jon Grissom — planche sprite</x:v>
      </x:c>
      <x:c r="C13" s="15" t="str">
        <x:v>Défini</x:v>
      </x:c>
      <x:c r="D13" s="16" t="str">
        <x:v>Extrapolation</x:v>
      </x:c>
      <x:c r="E13" s="16" t="str">
        <x:v>P1</x:v>
      </x:c>
      <x:c r="F13" s="9" t="str">
        <x:v>Création proposée : représentation 2D de Jon Grissom pour ce module.</x:v>
      </x:c>
      <x:c r="G13" s="9" t="str">
        <x:v>Civil âgé, intérieur habité, aucun uniforme d’époque inventé comme officiel. Préparer silhouette entière, portrait de dialogue et masque de sélection.</x:v>
      </x:c>
      <x:c r="H13" s="9" t="str">
        <x:v>La zone interactive reste stable entre les poses ; la tenue ne confère aucun bonus implicite.</x:v>
      </x:c>
      <x:c r="I13" s="9" t="str">
        <x:v>Civil âgé, intérieur habité, aucun uniforme d’époque inventé comme officiel. Palette proposée à valider ; comparaison en miniature et sur le décor le plus sombre.</x:v>
      </x:c>
      <x:c r="J13" s="9" t="str">
        <x:v>Vue de trois quarts ; pivots dans huit directions proposées ; symétrie interdite si elle inverse un accessoire identifiable.</x:v>
      </x:c>
      <x:c r="K13" s="9" t="str">
        <x:v>Aucun échantillon du jeu ou du film ; le changement de sélection utilise le son UI du module.</x:v>
      </x:c>
      <x:c r="L13" s="9" t="str">
        <x:v>Prévoir assets/rev/actors/grissom/atlas.png + atlas.json, pivot aux pieds.</x:v>
      </x:c>
      <x:c r="M13" s="9" t="str">
        <x:v>Visible uniquement quand Jon Grissom est autorisé par l’état narratif.</x:v>
      </x:c>
      <x:c r="N13" s="9" t="str">
        <x:v>Silhouette reconnue sans nom ; pieds sans glissement ; portrait et sprite cohérents à échelle réelle.</x:v>
      </x:c>
      <x:c r="O13" s="9" t="str">
        <x:v>REV-CHR-GRISSOM</x:v>
      </x:c>
      <x:c r="P13" s="9" t="str"/>
      <x:c r="Q13" s="9" t="str"/>
      <x:c r="R13" s="9" t="str"/>
      <x:c r="S13" s="9" t="str"/>
    </x:row>
    <x:row r="14" ht="68" customHeight="1">
      <x:c r="A14" s="19" t="str">
        <x:v>REV-SPR-JELLA</x:v>
      </x:c>
      <x:c r="B14" s="7" t="str">
        <x:v>Jella — planche sprite</x:v>
      </x:c>
      <x:c r="C14" s="15" t="str">
        <x:v>Défini</x:v>
      </x:c>
      <x:c r="D14" s="17" t="str">
        <x:v>Extrapolation</x:v>
      </x:c>
      <x:c r="E14" s="17" t="str">
        <x:v>P1</x:v>
      </x:c>
      <x:c r="F14" s="7" t="str">
        <x:v>Création proposée : représentation 2D de Jella pour ce module.</x:v>
      </x:c>
      <x:c r="G14" s="7" t="str">
        <x:v>Tenue de personnel technique proposée, badge et outil de maintenance. Préparer silhouette entière, portrait de dialogue et masque de sélection.</x:v>
      </x:c>
      <x:c r="H14" s="7" t="str">
        <x:v>La zone interactive reste stable entre les poses ; la tenue ne confère aucun bonus implicite.</x:v>
      </x:c>
      <x:c r="I14" s="7" t="str">
        <x:v>Tenue de personnel technique proposée, badge et outil de maintenance. Palette proposée à valider ; comparaison en miniature et sur le décor le plus sombre.</x:v>
      </x:c>
      <x:c r="J14" s="7" t="str">
        <x:v>Vue de trois quarts ; pivots dans huit directions proposées ; symétrie interdite si elle inverse un accessoire identifiable.</x:v>
      </x:c>
      <x:c r="K14" s="7" t="str">
        <x:v>Aucun échantillon du jeu ou du film ; le changement de sélection utilise le son UI du module.</x:v>
      </x:c>
      <x:c r="L14" s="7" t="str">
        <x:v>Prévoir assets/rev/actors/jella/atlas.png + atlas.json, pivot aux pieds.</x:v>
      </x:c>
      <x:c r="M14" s="7" t="str">
        <x:v>Visible uniquement quand Jella est autorisé par l’état narratif.</x:v>
      </x:c>
      <x:c r="N14" s="7" t="str">
        <x:v>Silhouette reconnue sans nom ; pieds sans glissement ; portrait et sprite cohérents à échelle réelle.</x:v>
      </x:c>
      <x:c r="O14" s="7" t="str">
        <x:v>REV-CHR-JELLA</x:v>
      </x:c>
      <x:c r="P14" s="7" t="str"/>
      <x:c r="Q14" s="7" t="str"/>
      <x:c r="R14" s="7" t="str"/>
      <x:c r="S14" s="7" t="str"/>
    </x:row>
    <x:row r="15" ht="68" customHeight="1">
      <x:c r="A15" s="18" t="str">
        <x:v>REV-SPR-QIAN</x:v>
      </x:c>
      <x:c r="B15" s="9" t="str">
        <x:v>Shu Qian — planche sprite</x:v>
      </x:c>
      <x:c r="C15" s="15" t="str">
        <x:v>Défini</x:v>
      </x:c>
      <x:c r="D15" s="16" t="str">
        <x:v>Extrapolation</x:v>
      </x:c>
      <x:c r="E15" s="16" t="str">
        <x:v>P1</x:v>
      </x:c>
      <x:c r="F15" s="9" t="str">
        <x:v>Création proposée : représentation 2D de Shu Qian pour ce module.</x:v>
      </x:c>
      <x:c r="G15" s="9" t="str">
        <x:v>Blouse ou tenue scientifique à confirmer, terminal personnel comme repère. Préparer silhouette entière, portrait de dialogue et masque de sélection.</x:v>
      </x:c>
      <x:c r="H15" s="9" t="str">
        <x:v>La zone interactive reste stable entre les poses ; la tenue ne confère aucun bonus implicite.</x:v>
      </x:c>
      <x:c r="I15" s="9" t="str">
        <x:v>Blouse ou tenue scientifique à confirmer, terminal personnel comme repère. Palette proposée à valider ; comparaison en miniature et sur le décor le plus sombre.</x:v>
      </x:c>
      <x:c r="J15" s="9" t="str">
        <x:v>Vue de trois quarts ; pivots dans huit directions proposées ; symétrie interdite si elle inverse un accessoire identifiable.</x:v>
      </x:c>
      <x:c r="K15" s="9" t="str">
        <x:v>Aucun échantillon du jeu ou du film ; le changement de sélection utilise le son UI du module.</x:v>
      </x:c>
      <x:c r="L15" s="9" t="str">
        <x:v>Prévoir assets/rev/actors/qian/atlas.png + atlas.json, pivot aux pieds.</x:v>
      </x:c>
      <x:c r="M15" s="9" t="str">
        <x:v>Visible uniquement quand Shu Qian est autorisé par l’état narratif.</x:v>
      </x:c>
      <x:c r="N15" s="9" t="str">
        <x:v>Silhouette reconnue sans nom ; pieds sans glissement ; portrait et sprite cohérents à échelle réelle.</x:v>
      </x:c>
      <x:c r="O15" s="9" t="str">
        <x:v>REV-CHR-QIAN</x:v>
      </x:c>
      <x:c r="P15" s="9" t="str"/>
      <x:c r="Q15" s="9" t="str"/>
      <x:c r="R15" s="9" t="str"/>
      <x:c r="S15" s="9" t="str"/>
    </x:row>
    <x:row r="16" ht="68" customHeight="1">
      <x:c r="A16" s="19" t="str">
        <x:v>REV-SPR-GROTO</x:v>
      </x:c>
      <x:c r="B16" s="7" t="str">
        <x:v>Groto Ib-ba — planche sprite</x:v>
      </x:c>
      <x:c r="C16" s="15" t="str">
        <x:v>Défini</x:v>
      </x:c>
      <x:c r="D16" s="17" t="str">
        <x:v>Extrapolation</x:v>
      </x:c>
      <x:c r="E16" s="17" t="str">
        <x:v>P1</x:v>
      </x:c>
      <x:c r="F16" s="7" t="str">
        <x:v>Création proposée : représentation 2D de Groto Ib-ba pour ce module.</x:v>
      </x:c>
      <x:c r="G16" s="7" t="str">
        <x:v>Silhouette de civil distincte des combattants ; espèce et tenue à vérifier visuellement. Préparer silhouette entière, portrait de dialogue et masque de sélection.</x:v>
      </x:c>
      <x:c r="H16" s="7" t="str">
        <x:v>La zone interactive reste stable entre les poses ; la tenue ne confère aucun bonus implicite.</x:v>
      </x:c>
      <x:c r="I16" s="7" t="str">
        <x:v>Silhouette de civil distincte des combattants ; espèce et tenue à vérifier visuellement. Palette proposée à valider ; comparaison en miniature et sur le décor le plus sombre.</x:v>
      </x:c>
      <x:c r="J16" s="7" t="str">
        <x:v>Vue de trois quarts ; pivots dans huit directions proposées ; symétrie interdite si elle inverse un accessoire identifiable.</x:v>
      </x:c>
      <x:c r="K16" s="7" t="str">
        <x:v>Aucun échantillon du jeu ou du film ; le changement de sélection utilise le son UI du module.</x:v>
      </x:c>
      <x:c r="L16" s="7" t="str">
        <x:v>Prévoir assets/rev/actors/groto/atlas.png + atlas.json, pivot aux pieds.</x:v>
      </x:c>
      <x:c r="M16" s="7" t="str">
        <x:v>Visible uniquement quand Groto Ib-ba est autorisé par l’état narratif.</x:v>
      </x:c>
      <x:c r="N16" s="7" t="str">
        <x:v>Silhouette reconnue sans nom ; pieds sans glissement ; portrait et sprite cohérents à échelle réelle.</x:v>
      </x:c>
      <x:c r="O16" s="7" t="str">
        <x:v>REV-CHR-GROTO</x:v>
      </x:c>
      <x:c r="P16" s="7" t="str"/>
      <x:c r="Q16" s="7" t="str"/>
      <x:c r="R16" s="7" t="str"/>
      <x:c r="S16" s="7" t="str"/>
    </x:row>
  </x:sheetData>
  <x:conditionalFormatting sqref="D7:D16">
    <x:cfRule type="cellIs" dxfId="80" priority="1" operator="equal">
      <x:formula>"À vérifier"</x:formula>
    </x:cfRule>
    <x:cfRule type="cellIs" dxfId="81" priority="2" operator="equal">
      <x:formula>"Extrapolation"</x:formula>
    </x:cfRule>
  </x:conditionalFormatting>
  <x:conditionalFormatting sqref="C7:C16">
    <x:cfRule type="cellIs" dxfId="82" priority="3" operator="equal">
      <x:formula>"Validé"</x:formula>
    </x:cfRule>
  </x:conditionalFormatting>
  <x:conditionalFormatting sqref="E7:E16">
    <x:cfRule type="cellIs" dxfId="83"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3e90ef9a875d4777"/>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Revelation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REV-VFX-SUNPATROL</x:v>
      </x:c>
      <x:c r="B7" s="9" t="str">
        <x:v>Patrouille mercenaire proposée — effet lisible</x:v>
      </x:c>
      <x:c r="C7" s="15" t="str">
        <x:v>Défini</x:v>
      </x:c>
      <x:c r="D7" s="16" t="str">
        <x:v>Extrapolation</x:v>
      </x:c>
      <x:c r="E7" s="16" t="str">
        <x:v>P1</x:v>
      </x:c>
      <x:c r="F7" s="9" t="str">
        <x:v>Effet original de prévision et de résultat pour la rencontre.</x:v>
      </x:c>
      <x:c r="G7" s="9" t="str">
        <x:v>Visée au sol et redressement d’un tireur de silhouette distincte.</x:v>
      </x:c>
      <x:c r="H7" s="9" t="str">
        <x:v>Aire de prévision égale à l’aire logique ; masque de cible conservé en daltonisme.</x:v>
      </x:c>
      <x:c r="I7" s="9" t="str">
        <x:v>Visée au sol et redressement d’un tireur de silhouette distincte. Limiter les flashes ; option intensité réduite conservant contours et pictogrammes.</x:v>
      </x:c>
      <x:c r="J7" s="9" t="str">
        <x:v>Apparition, maintien, résolution et extinction distinctes ; pas de particule persistante après sortie de carte.</x:v>
      </x:c>
      <x:c r="K7" s="9" t="str">
        <x:v>Un son par engagement ; pas d’empilement de boucles sur recharge de sauvegarde.</x:v>
      </x:c>
      <x:c r="L7" s="9" t="str">
        <x:v>fx/rev/sunpatrol ; pool local nettoyé au changement de scène.</x:v>
      </x:c>
      <x:c r="M7" s="9" t="str">
        <x:v>Effet lié au comportement, jamais déclenché par une animation décorative.</x:v>
      </x:c>
      <x:c r="N7" s="9" t="str">
        <x:v>Aucune cible hors aire n’est affectée ; mode réduit conserve la compréhension.</x:v>
      </x:c>
      <x:c r="O7" s="9" t="str">
        <x:v>REV-EMV-SUNPATROL</x:v>
      </x:c>
      <x:c r="P7" s="9" t="str"/>
      <x:c r="Q7" s="9" t="str"/>
      <x:c r="R7" s="9" t="str"/>
      <x:c r="S7" s="9" t="str"/>
    </x:row>
    <x:row r="8" ht="68" customHeight="1">
      <x:c r="A8" s="19" t="str">
        <x:v>REV-VFX-SKARRPRESS</x:v>
      </x:c>
      <x:c r="B8" s="7" t="str">
        <x:v>Pression de Skarr — segment de boss proposé — effet lisible</x:v>
      </x:c>
      <x:c r="C8" s="15" t="str">
        <x:v>Défini</x:v>
      </x:c>
      <x:c r="D8" s="17" t="str">
        <x:v>Extrapolation</x:v>
      </x:c>
      <x:c r="E8" s="17" t="str">
        <x:v>P1</x:v>
      </x:c>
      <x:c r="F8" s="7" t="str">
        <x:v>Effet original de prévision et de résultat pour la rencontre.</x:v>
      </x:c>
      <x:c r="G8" s="7" t="str">
        <x:v>Impulsion biotique concentrée et objet qui tremble avant projection.</x:v>
      </x:c>
      <x:c r="H8" s="7" t="str">
        <x:v>Aire de prévision égale à l’aire logique ; masque de cible conservé en daltonisme.</x:v>
      </x:c>
      <x:c r="I8" s="7" t="str">
        <x:v>Impulsion biotique concentrée et objet qui tremble avant projection. Limiter les flashes ; option intensité réduite conservant contours et pictogrammes.</x:v>
      </x:c>
      <x:c r="J8" s="7" t="str">
        <x:v>Apparition, maintien, résolution et extinction distinctes ; pas de particule persistante après sortie de carte.</x:v>
      </x:c>
      <x:c r="K8" s="7" t="str">
        <x:v>Un son par engagement ; pas d’empilement de boucles sur recharge de sauvegarde.</x:v>
      </x:c>
      <x:c r="L8" s="7" t="str">
        <x:v>fx/rev/skarrpress ; pool local nettoyé au changement de scène.</x:v>
      </x:c>
      <x:c r="M8" s="7" t="str">
        <x:v>Effet lié au comportement, jamais déclenché par une animation décorative.</x:v>
      </x:c>
      <x:c r="N8" s="7" t="str">
        <x:v>Aucune cible hors aire n’est affectée ; mode réduit conserve la compréhension.</x:v>
      </x:c>
      <x:c r="O8" s="7" t="str">
        <x:v>REV-EMV-SKARRPRESS</x:v>
      </x:c>
      <x:c r="P8" s="7" t="str"/>
      <x:c r="Q8" s="7" t="str"/>
      <x:c r="R8" s="7" t="str"/>
      <x:c r="S8" s="7" t="str"/>
    </x:row>
    <x:row r="9" ht="54" customHeight="1">
      <x:c r="A9" s="18" t="str">
        <x:v>REV-VFX-GUARD</x:v>
      </x:c>
      <x:c r="B9" s="9" t="str">
        <x:v>Garde de registre proposée — effet lisible</x:v>
      </x:c>
      <x:c r="C9" s="15" t="str">
        <x:v>Défini</x:v>
      </x:c>
      <x:c r="D9" s="16" t="str">
        <x:v>Extrapolation</x:v>
      </x:c>
      <x:c r="E9" s="16" t="str">
        <x:v>P1</x:v>
      </x:c>
      <x:c r="F9" s="9" t="str">
        <x:v>Effet original de prévision et de résultat pour la rencontre.</x:v>
      </x:c>
      <x:c r="G9" s="9" t="str">
        <x:v>Voyant de communication et changement visible d’orientation.</x:v>
      </x:c>
      <x:c r="H9" s="9" t="str">
        <x:v>Aire de prévision égale à l’aire logique ; masque de cible conservé en daltonisme.</x:v>
      </x:c>
      <x:c r="I9" s="9" t="str">
        <x:v>Voyant de communication et changement visible d’orientation. Limiter les flashes ; option intensité réduite conservant contours et pictogrammes.</x:v>
      </x:c>
      <x:c r="J9" s="9" t="str">
        <x:v>Apparition, maintien, résolution et extinction distinctes ; pas de particule persistante après sortie de carte.</x:v>
      </x:c>
      <x:c r="K9" s="9" t="str">
        <x:v>Un son par engagement ; pas d’empilement de boucles sur recharge de sauvegarde.</x:v>
      </x:c>
      <x:c r="L9" s="9" t="str">
        <x:v>fx/rev/guard ; pool local nettoyé au changement de scène.</x:v>
      </x:c>
      <x:c r="M9" s="9" t="str">
        <x:v>Effet lié au comportement, jamais déclenché par une animation décorative.</x:v>
      </x:c>
      <x:c r="N9" s="9" t="str">
        <x:v>Aucune cible hors aire n’est affectée ; mode réduit conserve la compréhension.</x:v>
      </x:c>
      <x:c r="O9" s="9" t="str">
        <x:v>REV-EMV-GUARD</x:v>
      </x:c>
      <x:c r="P9" s="9" t="str"/>
      <x:c r="Q9" s="9" t="str"/>
      <x:c r="R9" s="9" t="str"/>
      <x:c r="S9" s="9" t="str"/>
    </x:row>
    <x:row r="10" ht="54" customHeight="1">
      <x:c r="A10" s="19" t="str">
        <x:v>REV-VFX-PUMP</x:v>
      </x:c>
      <x:c r="B10" s="7" t="str">
        <x:v>Crise des pompes — effet lisible</x:v>
      </x:c>
      <x:c r="C10" s="15" t="str">
        <x:v>Défini</x:v>
      </x:c>
      <x:c r="D10" s="17" t="str">
        <x:v>Extrapolation</x:v>
      </x:c>
      <x:c r="E10" s="17" t="str">
        <x:v>P1</x:v>
      </x:c>
      <x:c r="F10" s="7" t="str">
        <x:v>Effet original de prévision et de résultat pour la rencontre.</x:v>
      </x:c>
      <x:c r="G10" s="7" t="str">
        <x:v>Givre, sifflement et hachures sur la portion fermée.</x:v>
      </x:c>
      <x:c r="H10" s="7" t="str">
        <x:v>Aire de prévision égale à l’aire logique ; masque de cible conservé en daltonisme.</x:v>
      </x:c>
      <x:c r="I10" s="7" t="str">
        <x:v>Givre, sifflement et hachures sur la portion fermée. Limiter les flashes ; option intensité réduite conservant contours et pictogrammes.</x:v>
      </x:c>
      <x:c r="J10" s="7" t="str">
        <x:v>Apparition, maintien, résolution et extinction distinctes ; pas de particule persistante après sortie de carte.</x:v>
      </x:c>
      <x:c r="K10" s="7" t="str">
        <x:v>Un son par engagement ; pas d’empilement de boucles sur recharge de sauvegarde.</x:v>
      </x:c>
      <x:c r="L10" s="7" t="str">
        <x:v>fx/rev/pump ; pool local nettoyé au changement de scène.</x:v>
      </x:c>
      <x:c r="M10" s="7" t="str">
        <x:v>Effet lié au comportement, jamais déclenché par une animation décorative.</x:v>
      </x:c>
      <x:c r="N10" s="7" t="str">
        <x:v>Aucune cible hors aire n’est affectée ; mode réduit conserve la compréhension.</x:v>
      </x:c>
      <x:c r="O10" s="7" t="str">
        <x:v>REV-EMV-PUMP</x:v>
      </x:c>
      <x:c r="P10" s="7" t="str"/>
      <x:c r="Q10" s="7" t="str"/>
      <x:c r="R10" s="7" t="str"/>
      <x:c r="S10" s="7" t="str"/>
    </x:row>
  </x:sheetData>
  <x:conditionalFormatting sqref="D7:D10">
    <x:cfRule type="cellIs" dxfId="84" priority="1" operator="equal">
      <x:formula>"À vérifier"</x:formula>
    </x:cfRule>
    <x:cfRule type="cellIs" dxfId="85" priority="2" operator="equal">
      <x:formula>"Extrapolation"</x:formula>
    </x:cfRule>
  </x:conditionalFormatting>
  <x:conditionalFormatting sqref="C7:C10">
    <x:cfRule type="cellIs" dxfId="86" priority="3" operator="equal">
      <x:formula>"Validé"</x:formula>
    </x:cfRule>
  </x:conditionalFormatting>
  <x:conditionalFormatting sqref="E7:E10">
    <x:cfRule type="cellIs" dxfId="8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07cc04de190c473a"/>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Revelation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REV-AUD-01</x:v>
      </x:c>
      <x:c r="B7" s="9" t="str">
        <x:v>Sidon silencieux</x:v>
      </x:c>
      <x:c r="C7" s="15" t="str">
        <x:v>Défini</x:v>
      </x:c>
      <x:c r="D7" s="16" t="str">
        <x:v>Extrapolation</x:v>
      </x:c>
      <x:c r="E7" s="16" t="str">
        <x:v>P1</x:v>
      </x:c>
      <x:c r="F7" s="9" t="str">
        <x:v>Création sonore originale pour le fan game.</x:v>
      </x:c>
      <x:c r="G7" s="9" t="str">
        <x:v>Souffles de ventilation coupée, métal résonnant et pulsation espacée pour l’inspection.</x:v>
      </x:c>
      <x:c r="H7" s="9" t="str">
        <x:v>Déclenchement à l’événement logique ; priorité à la compréhension des commandes du groupe.</x:v>
      </x:c>
      <x:c r="I7" s="9" t="str">
        <x:v>Sous-titre d’ambiance facultatif ; pictogramme si le son fournit une alerte.</x:v>
      </x:c>
      <x:c r="J7" s="9" t="str">
        <x:v>Points de synchro notés dans la fiche animation concernée ; aucune dépendance à la vitesse de lecture.</x:v>
      </x:c>
      <x:c r="K7" s="9" t="str">
        <x:v>Souffles de ventilation coupée, métal résonnant et pulsation espacée pour l’inspection. Musique, bruitages et éventuelles voix à produire sans extraire les enregistrements officiels.</x:v>
      </x:c>
      <x:c r="L7" s="9" t="str">
        <x:v>audio/rev/sidon-silencieux.ogg ; bus ambiance/musique/interface séparés.</x:v>
      </x:c>
      <x:c r="M7" s="9" t="str">
        <x:v>La source narrative inspire l’intention, pas une mélodie ou un enregistrement à copier.</x:v>
      </x:c>
      <x:c r="N7" s="9" t="str">
        <x:v>Boucle sans clic ; transitions propres ; information compréhensible volume coupé.</x:v>
      </x:c>
      <x:c r="O7" s="9" t="str"/>
      <x:c r="P7" s="9" t="str"/>
      <x:c r="Q7" s="9" t="str"/>
      <x:c r="R7" s="9" t="str"/>
      <x:c r="S7" s="9" t="str"/>
    </x:row>
    <x:row r="8" ht="82" customHeight="1">
      <x:c r="A8" s="19" t="str">
        <x:v>REV-AUD-02</x:v>
      </x:c>
      <x:c r="B8" s="7" t="str">
        <x:v>Refuge habité</x:v>
      </x:c>
      <x:c r="C8" s="15" t="str">
        <x:v>Défini</x:v>
      </x:c>
      <x:c r="D8" s="17" t="str">
        <x:v>Extrapolation</x:v>
      </x:c>
      <x:c r="E8" s="17" t="str">
        <x:v>P1</x:v>
      </x:c>
      <x:c r="F8" s="7" t="str">
        <x:v>Création sonore originale pour le fan game.</x:v>
      </x:c>
      <x:c r="G8" s="7" t="str">
        <x:v>Ambiance domestique calme avec alerte extérieure progressive ; pas de musique mélodramatique permanente.</x:v>
      </x:c>
      <x:c r="H8" s="7" t="str">
        <x:v>Déclenchement à l’événement logique ; priorité à la compréhension des commandes du groupe.</x:v>
      </x:c>
      <x:c r="I8" s="7" t="str">
        <x:v>Sous-titre d’ambiance facultatif ; pictogramme si le son fournit une alerte.</x:v>
      </x:c>
      <x:c r="J8" s="7" t="str">
        <x:v>Points de synchro notés dans la fiche animation concernée ; aucune dépendance à la vitesse de lecture.</x:v>
      </x:c>
      <x:c r="K8" s="7" t="str">
        <x:v>Ambiance domestique calme avec alerte extérieure progressive ; pas de musique mélodramatique permanente. Musique, bruitages et éventuelles voix à produire sans extraire les enregistrements officiels.</x:v>
      </x:c>
      <x:c r="L8" s="7" t="str">
        <x:v>audio/rev/refuge-habite.ogg ; bus ambiance/musique/interface séparés.</x:v>
      </x:c>
      <x:c r="M8" s="7" t="str">
        <x:v>La source narrative inspire l’intention, pas une mélodie ou un enregistrement à copier.</x:v>
      </x:c>
      <x:c r="N8" s="7" t="str">
        <x:v>Boucle sans clic ; transitions propres ; information compréhensible volume coupé.</x:v>
      </x:c>
      <x:c r="O8" s="7" t="str"/>
      <x:c r="P8" s="7" t="str"/>
      <x:c r="Q8" s="7" t="str"/>
      <x:c r="R8" s="7" t="str"/>
      <x:c r="S8" s="7" t="str"/>
    </x:row>
    <x:row r="9" ht="68" customHeight="1">
      <x:c r="A9" s="18" t="str">
        <x:v>REV-AUD-03</x:v>
      </x:c>
      <x:c r="B9" s="9" t="str">
        <x:v>Cadence industrielle</x:v>
      </x:c>
      <x:c r="C9" s="15" t="str">
        <x:v>Défini</x:v>
      </x:c>
      <x:c r="D9" s="16" t="str">
        <x:v>Extrapolation</x:v>
      </x:c>
      <x:c r="E9" s="16" t="str">
        <x:v>P1</x:v>
      </x:c>
      <x:c r="F9" s="9" t="str">
        <x:v>Création sonore originale pour le fan game.</x:v>
      </x:c>
      <x:c r="G9" s="9" t="str">
        <x:v>Pompes et structures métalliques différenciées pour localiser les passages dangereux.</x:v>
      </x:c>
      <x:c r="H9" s="9" t="str">
        <x:v>Déclenchement à l’événement logique ; priorité à la compréhension des commandes du groupe.</x:v>
      </x:c>
      <x:c r="I9" s="9" t="str">
        <x:v>Sous-titre d’ambiance facultatif ; pictogramme si le son fournit une alerte.</x:v>
      </x:c>
      <x:c r="J9" s="9" t="str">
        <x:v>Points de synchro notés dans la fiche animation concernée ; aucune dépendance à la vitesse de lecture.</x:v>
      </x:c>
      <x:c r="K9" s="9" t="str">
        <x:v>Pompes et structures métalliques différenciées pour localiser les passages dangereux. Musique, bruitages et éventuelles voix à produire sans extraire les enregistrements officiels.</x:v>
      </x:c>
      <x:c r="L9" s="9" t="str">
        <x:v>audio/rev/cadence-industrielle.ogg ; bus ambiance/musique/interface séparés.</x:v>
      </x:c>
      <x:c r="M9" s="9" t="str">
        <x:v>La source narrative inspire l’intention, pas une mélodie ou un enregistrement à copier.</x:v>
      </x:c>
      <x:c r="N9" s="9" t="str">
        <x:v>Boucle sans clic ; transitions propres ; information compréhensible volume coupé.</x:v>
      </x:c>
      <x:c r="O9" s="9" t="str"/>
      <x:c r="P9" s="9" t="str"/>
      <x:c r="Q9" s="9" t="str"/>
      <x:c r="R9" s="9" t="str"/>
      <x:c r="S9" s="9" t="str"/>
    </x:row>
    <x:row r="10" ht="68" customHeight="1">
      <x:c r="A10" s="19" t="str">
        <x:v>REV-AUD-04</x:v>
      </x:c>
      <x:c r="B10" s="7" t="str">
        <x:v>Bureau concilien</x:v>
      </x:c>
      <x:c r="C10" s="15" t="str">
        <x:v>Défini</x:v>
      </x:c>
      <x:c r="D10" s="17" t="str">
        <x:v>Extrapolation</x:v>
      </x:c>
      <x:c r="E10" s="17" t="str">
        <x:v>P1</x:v>
      </x:c>
      <x:c r="F10" s="7" t="str">
        <x:v>Création sonore originale pour le fan game.</x:v>
      </x:c>
      <x:c r="G10" s="7" t="str">
        <x:v>Espace feutré, annonces indéchiffrables originales et sons UI nets.</x:v>
      </x:c>
      <x:c r="H10" s="7" t="str">
        <x:v>Déclenchement à l’événement logique ; priorité à la compréhension des commandes du groupe.</x:v>
      </x:c>
      <x:c r="I10" s="7" t="str">
        <x:v>Sous-titre d’ambiance facultatif ; pictogramme si le son fournit une alerte.</x:v>
      </x:c>
      <x:c r="J10" s="7" t="str">
        <x:v>Points de synchro notés dans la fiche animation concernée ; aucune dépendance à la vitesse de lecture.</x:v>
      </x:c>
      <x:c r="K10" s="7" t="str">
        <x:v>Espace feutré, annonces indéchiffrables originales et sons UI nets. Musique, bruitages et éventuelles voix à produire sans extraire les enregistrements officiels.</x:v>
      </x:c>
      <x:c r="L10" s="7" t="str">
        <x:v>audio/rev/bureau-concilien.ogg ; bus ambiance/musique/interface séparés.</x:v>
      </x:c>
      <x:c r="M10" s="7" t="str">
        <x:v>La source narrative inspire l’intention, pas une mélodie ou un enregistrement à copier.</x:v>
      </x:c>
      <x:c r="N10" s="7" t="str">
        <x:v>Boucle sans clic ; transitions propres ; information compréhensible volume coupé.</x:v>
      </x:c>
      <x:c r="O10" s="7" t="str"/>
      <x:c r="P10" s="7" t="str"/>
      <x:c r="Q10" s="7" t="str"/>
      <x:c r="R10" s="7" t="str"/>
      <x:c r="S10" s="7" t="str"/>
    </x:row>
    <x:row r="11" ht="68" customHeight="1">
      <x:c r="A11" s="18" t="str">
        <x:v>REV-AUD-05</x:v>
      </x:c>
      <x:c r="B11" s="9" t="str">
        <x:v>Tension de protection</x:v>
      </x:c>
      <x:c r="C11" s="15" t="str">
        <x:v>Défini</x:v>
      </x:c>
      <x:c r="D11" s="16" t="str">
        <x:v>Extrapolation</x:v>
      </x:c>
      <x:c r="E11" s="16" t="str">
        <x:v>P1</x:v>
      </x:c>
      <x:c r="F11" s="9" t="str">
        <x:v>Création sonore originale pour le fan game.</x:v>
      </x:c>
      <x:c r="G11" s="9" t="str">
        <x:v>Musique originale à couches qui augmente avec l’exposition de l’escorte.</x:v>
      </x:c>
      <x:c r="H11" s="9" t="str">
        <x:v>Déclenchement à l’événement logique ; priorité à la compréhension des commandes du groupe.</x:v>
      </x:c>
      <x:c r="I11" s="9" t="str">
        <x:v>Sous-titre d’ambiance facultatif ; pictogramme si le son fournit une alerte.</x:v>
      </x:c>
      <x:c r="J11" s="9" t="str">
        <x:v>Points de synchro notés dans la fiche animation concernée ; aucune dépendance à la vitesse de lecture.</x:v>
      </x:c>
      <x:c r="K11" s="9" t="str">
        <x:v>Musique originale à couches qui augmente avec l’exposition de l’escorte. Musique, bruitages et éventuelles voix à produire sans extraire les enregistrements officiels.</x:v>
      </x:c>
      <x:c r="L11" s="9" t="str">
        <x:v>audio/rev/tension-de-protection.ogg ; bus ambiance/musique/interface séparés.</x:v>
      </x:c>
      <x:c r="M11" s="9" t="str">
        <x:v>La source narrative inspire l’intention, pas une mélodie ou un enregistrement à copier.</x:v>
      </x:c>
      <x:c r="N11" s="9" t="str">
        <x:v>Boucle sans clic ; transitions propres ; information compréhensible volume coupé.</x:v>
      </x:c>
      <x:c r="O11" s="9" t="str"/>
      <x:c r="P11" s="9" t="str"/>
      <x:c r="Q11" s="9" t="str"/>
      <x:c r="R11" s="9" t="str"/>
      <x:c r="S11" s="9" t="str"/>
    </x:row>
  </x:sheetData>
  <x:conditionalFormatting sqref="D7:D11">
    <x:cfRule type="cellIs" dxfId="88" priority="1" operator="equal">
      <x:formula>"À vérifier"</x:formula>
    </x:cfRule>
    <x:cfRule type="cellIs" dxfId="89" priority="2" operator="equal">
      <x:formula>"Extrapolation"</x:formula>
    </x:cfRule>
  </x:conditionalFormatting>
  <x:conditionalFormatting sqref="C7:C11">
    <x:cfRule type="cellIs" dxfId="90" priority="3" operator="equal">
      <x:formula>"Validé"</x:formula>
    </x:cfRule>
  </x:conditionalFormatting>
  <x:conditionalFormatting sqref="E7:E11">
    <x:cfRule type="cellIs" dxfId="91"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22b9f3df85db45ec"/>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Revelation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REV-SYS-01</x:v>
      </x:c>
      <x:c r="B7" s="9" t="str">
        <x:v>Tableau de preuves de Sidon</x:v>
      </x:c>
      <x:c r="C7" s="15" t="str">
        <x:v>Défini</x:v>
      </x:c>
      <x:c r="D7" s="16" t="str">
        <x:v>Extrapolation</x:v>
      </x:c>
      <x:c r="E7" s="16" t="str">
        <x:v>P0</x:v>
      </x:c>
      <x:c r="F7" s="9" t="str">
        <x:v>Système original de production propre au module.</x:v>
      </x:c>
      <x:c r="G7" s="9" t="str">
        <x:v>Conserver source, date locale et degré de confiance de chaque indice ; une supposition reste distincte du fait.</x:v>
      </x:c>
      <x:c r="H7" s="9" t="str">
        <x:v>Conserver source, date locale et degré de confiance de chaque indice ; une supposition reste distincte du fait.</x:v>
      </x:c>
      <x:c r="I7" s="9" t="str">
        <x:v>État visible dans le HUD et le journal ; libellés complets, icônes non exclusives.</x:v>
      </x:c>
      <x:c r="J7" s="9" t="str">
        <x:v>Transitions rapides et possibilité de réduire les mouvements UI.</x:v>
      </x:c>
      <x:c r="K7" s="9" t="str">
        <x:v>Chaque changement critique possède un équivalent textuel ; pas de message sonore seul.</x:v>
      </x:c>
      <x:c r="L7" s="9" t="str">
        <x:v>systems/rev/tableau-de-preuves-de-sidon.ts prévu ; sauvegarde versionnée avec valeurs par défaut.</x:v>
      </x:c>
      <x:c r="M7" s="9" t="str">
        <x:v>Activé seulement dans ce module ; ne modifie pas les sauvegardes des jeux officiels.</x:v>
      </x:c>
      <x:c r="N7" s="9" t="str">
        <x:v>Chargement et reprise conservent l’état ; clavier et pointeur donnent le même résultat.</x:v>
      </x:c>
      <x:c r="O7" s="9" t="str"/>
      <x:c r="P7" s="9" t="str"/>
      <x:c r="Q7" s="9" t="str"/>
      <x:c r="R7" s="9" t="str"/>
      <x:c r="S7" s="9" t="str"/>
    </x:row>
    <x:row r="8" ht="54" customHeight="1">
      <x:c r="A8" s="19" t="str">
        <x:v>REV-SYS-02</x:v>
      </x:c>
      <x:c r="B8" s="7" t="str">
        <x:v>Protection de témoin</x:v>
      </x:c>
      <x:c r="C8" s="15" t="str">
        <x:v>Défini</x:v>
      </x:c>
      <x:c r="D8" s="17" t="str">
        <x:v>Extrapolation</x:v>
      </x:c>
      <x:c r="E8" s="17" t="str">
        <x:v>P0</x:v>
      </x:c>
      <x:c r="F8" s="7" t="str">
        <x:v>Système original de production propre au module.</x:v>
      </x:c>
      <x:c r="G8" s="7" t="str">
        <x:v>Afficher distance et exposition du témoin ; la perte d’une escorte provoque reprise locale, pas une fin canonique improvisée.</x:v>
      </x:c>
      <x:c r="H8" s="7" t="str">
        <x:v>Afficher distance et exposition du témoin ; la perte d’une escorte provoque reprise locale, pas une fin canonique improvisée.</x:v>
      </x:c>
      <x:c r="I8" s="7" t="str">
        <x:v>État visible dans le HUD et le journal ; libellés complets, icônes non exclusives.</x:v>
      </x:c>
      <x:c r="J8" s="7" t="str">
        <x:v>Transitions rapides et possibilité de réduire les mouvements UI.</x:v>
      </x:c>
      <x:c r="K8" s="7" t="str">
        <x:v>Chaque changement critique possède un équivalent textuel ; pas de message sonore seul.</x:v>
      </x:c>
      <x:c r="L8" s="7" t="str">
        <x:v>systems/rev/protection-de-temoin.ts prévu ; sauvegarde versionnée avec valeurs par défaut.</x:v>
      </x:c>
      <x:c r="M8" s="7" t="str">
        <x:v>Activé seulement dans ce module ; ne modifie pas les sauvegardes des jeux officiels.</x:v>
      </x:c>
      <x:c r="N8" s="7" t="str">
        <x:v>Chargement et reprise conservent l’état ; clavier et pointeur donnent le même résultat.</x:v>
      </x:c>
      <x:c r="O8" s="7" t="str"/>
      <x:c r="P8" s="7" t="str"/>
      <x:c r="Q8" s="7" t="str"/>
      <x:c r="R8" s="7" t="str"/>
      <x:c r="S8" s="7" t="str"/>
    </x:row>
    <x:row r="9" ht="44" customHeight="1">
      <x:c r="A9" s="18" t="str">
        <x:v>REV-SYS-03</x:v>
      </x:c>
      <x:c r="B9" s="9" t="str">
        <x:v>Autorité et accès</x:v>
      </x:c>
      <x:c r="C9" s="15" t="str">
        <x:v>Défini</x:v>
      </x:c>
      <x:c r="D9" s="16" t="str">
        <x:v>Extrapolation</x:v>
      </x:c>
      <x:c r="E9" s="16" t="str">
        <x:v>P1</x:v>
      </x:c>
      <x:c r="F9" s="9" t="str">
        <x:v>Système original de production propre au module.</x:v>
      </x:c>
      <x:c r="G9" s="9" t="str">
        <x:v>Distinguer autorisation militaire, autorité Spectre et accès civil ; aucun score moral global ajouté.</x:v>
      </x:c>
      <x:c r="H9" s="9" t="str">
        <x:v>Distinguer autorisation militaire, autorité Spectre et accès civil ; aucun score moral global ajouté.</x:v>
      </x:c>
      <x:c r="I9" s="9" t="str">
        <x:v>État visible dans le HUD et le journal ; libellés complets, icônes non exclusives.</x:v>
      </x:c>
      <x:c r="J9" s="9" t="str">
        <x:v>Transitions rapides et possibilité de réduire les mouvements UI.</x:v>
      </x:c>
      <x:c r="K9" s="9" t="str">
        <x:v>Chaque changement critique possède un équivalent textuel ; pas de message sonore seul.</x:v>
      </x:c>
      <x:c r="L9" s="9" t="str">
        <x:v>systems/rev/autorite-et-acces.ts prévu ; sauvegarde versionnée avec valeurs par défaut.</x:v>
      </x:c>
      <x:c r="M9" s="9" t="str">
        <x:v>Activé seulement dans ce module ; ne modifie pas les sauvegardes des jeux officiels.</x:v>
      </x:c>
      <x:c r="N9" s="9" t="str">
        <x:v>Chargement et reprise conservent l’état ; clavier et pointeur donnent le même résultat.</x:v>
      </x:c>
      <x:c r="O9" s="9" t="str"/>
      <x:c r="P9" s="9" t="str"/>
      <x:c r="Q9" s="9" t="str"/>
      <x:c r="R9" s="9" t="str"/>
      <x:c r="S9" s="9" t="str"/>
    </x:row>
    <x:row r="10" ht="44" customHeight="1">
      <x:c r="A10" s="19" t="str">
        <x:v>REV-SYS-04</x:v>
      </x:c>
      <x:c r="B10" s="7" t="str">
        <x:v>Savoir limité</x:v>
      </x:c>
      <x:c r="C10" s="15" t="str">
        <x:v>Défini</x:v>
      </x:c>
      <x:c r="D10" s="17" t="str">
        <x:v>Extrapolation</x:v>
      </x:c>
      <x:c r="E10" s="17" t="str">
        <x:v>P1</x:v>
      </x:c>
      <x:c r="F10" s="7" t="str">
        <x:v>Système original de production propre au module.</x:v>
      </x:c>
      <x:c r="G10" s="7" t="str">
        <x:v>Filtrer les entrées codex selon ce que le groupe peut savoir à ce stade pré-ME1.</x:v>
      </x:c>
      <x:c r="H10" s="7" t="str">
        <x:v>Filtrer les entrées codex selon ce que le groupe peut savoir à ce stade pré-ME1.</x:v>
      </x:c>
      <x:c r="I10" s="7" t="str">
        <x:v>État visible dans le HUD et le journal ; libellés complets, icônes non exclusives.</x:v>
      </x:c>
      <x:c r="J10" s="7" t="str">
        <x:v>Transitions rapides et possibilité de réduire les mouvements UI.</x:v>
      </x:c>
      <x:c r="K10" s="7" t="str">
        <x:v>Chaque changement critique possède un équivalent textuel ; pas de message sonore seul.</x:v>
      </x:c>
      <x:c r="L10" s="7" t="str">
        <x:v>systems/rev/savoir-limite.ts prévu ; sauvegarde versionnée avec valeurs par défaut.</x:v>
      </x:c>
      <x:c r="M10" s="7" t="str">
        <x:v>Activé seulement dans ce module ; ne modifie pas les sauvegardes des jeux officiels.</x:v>
      </x:c>
      <x:c r="N10" s="7" t="str">
        <x:v>Chargement et reprise conservent l’état ; clavier et pointeur donnent le même résultat.</x:v>
      </x:c>
      <x:c r="O10" s="7" t="str"/>
      <x:c r="P10" s="7" t="str"/>
      <x:c r="Q10" s="7" t="str"/>
      <x:c r="R10" s="7" t="str"/>
      <x:c r="S10" s="7" t="str"/>
    </x:row>
    <x:row r="11" ht="54" customHeight="1">
      <x:c r="A11" s="18" t="str">
        <x:v>REV-SYS-05</x:v>
      </x:c>
      <x:c r="B11" s="9" t="str">
        <x:v>Préparation sur le Hastings</x:v>
      </x:c>
      <x:c r="C11" s="15" t="str">
        <x:v>Défini</x:v>
      </x:c>
      <x:c r="D11" s="16" t="str">
        <x:v>Extrapolation</x:v>
      </x:c>
      <x:c r="E11" s="16" t="str">
        <x:v>P1</x:v>
      </x:c>
      <x:c r="F11" s="9" t="str">
        <x:v>Système original de production propre au module.</x:v>
      </x:c>
      <x:c r="G11" s="9" t="str">
        <x:v>Changer l’équipement local au hub ; le budget proposé se réinitialise en répétition de chapitre de production.</x:v>
      </x:c>
      <x:c r="H11" s="9" t="str">
        <x:v>Changer l’équipement local au hub ; le budget proposé se réinitialise en répétition de chapitre de production.</x:v>
      </x:c>
      <x:c r="I11" s="9" t="str">
        <x:v>État visible dans le HUD et le journal ; libellés complets, icônes non exclusives.</x:v>
      </x:c>
      <x:c r="J11" s="9" t="str">
        <x:v>Transitions rapides et possibilité de réduire les mouvements UI.</x:v>
      </x:c>
      <x:c r="K11" s="9" t="str">
        <x:v>Chaque changement critique possède un équivalent textuel ; pas de message sonore seul.</x:v>
      </x:c>
      <x:c r="L11" s="9" t="str">
        <x:v>systems/rev/preparation-sur-le-hastings.ts prévu ; sauvegarde versionnée avec valeurs par défaut.</x:v>
      </x:c>
      <x:c r="M11" s="9" t="str">
        <x:v>Activé seulement dans ce module ; ne modifie pas les sauvegardes des jeux officiels.</x:v>
      </x:c>
      <x:c r="N11" s="9" t="str">
        <x:v>Chargement et reprise conservent l’état ; clavier et pointeur donnent le même résultat.</x:v>
      </x:c>
      <x:c r="O11" s="9" t="str"/>
      <x:c r="P11" s="9" t="str"/>
      <x:c r="Q11" s="9" t="str"/>
      <x:c r="R11" s="9" t="str"/>
      <x:c r="S11" s="9" t="str"/>
    </x:row>
    <x:row r="12" ht="44" customHeight="1">
      <x:c r="A12" s="19" t="str">
        <x:v>REV-SYS-06</x:v>
      </x:c>
      <x:c r="B12" s="7" t="str">
        <x:v>Journal d’enquête</x:v>
      </x:c>
      <x:c r="C12" s="15" t="str">
        <x:v>Défini</x:v>
      </x:c>
      <x:c r="D12" s="17" t="str">
        <x:v>Extrapolation</x:v>
      </x:c>
      <x:c r="E12" s="17" t="str">
        <x:v>P1</x:v>
      </x:c>
      <x:c r="F12" s="7" t="str">
        <x:v>Système original de production propre au module.</x:v>
      </x:c>
      <x:c r="G12" s="7" t="str">
        <x:v>Permettre de revoir une hypothèse rejetée sans la traiter comme une découverte valide.</x:v>
      </x:c>
      <x:c r="H12" s="7" t="str">
        <x:v>Permettre de revoir une hypothèse rejetée sans la traiter comme une découverte valide.</x:v>
      </x:c>
      <x:c r="I12" s="7" t="str">
        <x:v>État visible dans le HUD et le journal ; libellés complets, icônes non exclusives.</x:v>
      </x:c>
      <x:c r="J12" s="7" t="str">
        <x:v>Transitions rapides et possibilité de réduire les mouvements UI.</x:v>
      </x:c>
      <x:c r="K12" s="7" t="str">
        <x:v>Chaque changement critique possède un équivalent textuel ; pas de message sonore seul.</x:v>
      </x:c>
      <x:c r="L12" s="7" t="str">
        <x:v>systems/rev/journal-denquete.ts prévu ; sauvegarde versionnée avec valeurs par défaut.</x:v>
      </x:c>
      <x:c r="M12" s="7" t="str">
        <x:v>Activé seulement dans ce module ; ne modifie pas les sauvegardes des jeux officiels.</x:v>
      </x:c>
      <x:c r="N12" s="7" t="str">
        <x:v>Chargement et reprise conservent l’état ; clavier et pointeur donnent le même résultat.</x:v>
      </x:c>
      <x:c r="O12" s="7" t="str"/>
      <x:c r="P12" s="7" t="str"/>
      <x:c r="Q12" s="7" t="str"/>
      <x:c r="R12" s="7" t="str"/>
      <x:c r="S12" s="7" t="str"/>
    </x:row>
    <x:row r="13" ht="44" customHeight="1">
      <x:c r="A13" s="18" t="str">
        <x:v>REV-SYS-07</x:v>
      </x:c>
      <x:c r="B13" s="9" t="str">
        <x:v>ATB d’escorte</x:v>
      </x:c>
      <x:c r="C13" s="15" t="str">
        <x:v>Défini</x:v>
      </x:c>
      <x:c r="D13" s="16" t="str">
        <x:v>Extrapolation</x:v>
      </x:c>
      <x:c r="E13" s="16" t="str">
        <x:v>P1</x:v>
      </x:c>
      <x:c r="F13" s="9" t="str">
        <x:v>Système original de production propre au module.</x:v>
      </x:c>
      <x:c r="G13" s="9" t="str">
        <x:v>Suspendre les menaces pendant lecture et inspection ; engagement d’action distinct du déplacement.</x:v>
      </x:c>
      <x:c r="H13" s="9" t="str">
        <x:v>Suspendre les menaces pendant lecture et inspection ; engagement d’action distinct du déplacement.</x:v>
      </x:c>
      <x:c r="I13" s="9" t="str">
        <x:v>État visible dans le HUD et le journal ; libellés complets, icônes non exclusives.</x:v>
      </x:c>
      <x:c r="J13" s="9" t="str">
        <x:v>Transitions rapides et possibilité de réduire les mouvements UI.</x:v>
      </x:c>
      <x:c r="K13" s="9" t="str">
        <x:v>Chaque changement critique possède un équivalent textuel ; pas de message sonore seul.</x:v>
      </x:c>
      <x:c r="L13" s="9" t="str">
        <x:v>systems/rev/atb-descorte.ts prévu ; sauvegarde versionnée avec valeurs par défaut.</x:v>
      </x:c>
      <x:c r="M13" s="9" t="str">
        <x:v>Activé seulement dans ce module ; ne modifie pas les sauvegardes des jeux officiels.</x:v>
      </x:c>
      <x:c r="N13" s="9" t="str">
        <x:v>Chargement et reprise conservent l’état ; clavier et pointeur donnent le même résultat.</x:v>
      </x:c>
      <x:c r="O13" s="9" t="str"/>
      <x:c r="P13" s="9" t="str"/>
      <x:c r="Q13" s="9" t="str"/>
      <x:c r="R13" s="9" t="str"/>
      <x:c r="S13" s="9" t="str"/>
    </x:row>
    <x:row r="14" ht="44" customHeight="1">
      <x:c r="A14" s="19" t="str">
        <x:v>REV-SYS-08</x:v>
      </x:c>
      <x:c r="B14" s="7" t="str">
        <x:v>Différences d’époque</x:v>
      </x:c>
      <x:c r="C14" s="15" t="str">
        <x:v>Défini</x:v>
      </x:c>
      <x:c r="D14" s="17" t="str">
        <x:v>Extrapolation</x:v>
      </x:c>
      <x:c r="E14" s="17" t="str">
        <x:v>P1</x:v>
      </x:c>
      <x:c r="F14" s="7" t="str">
        <x:v>Système original de production propre au module.</x:v>
      </x:c>
      <x:c r="G14" s="7" t="str">
        <x:v>Bloquer les armes et costumes tardifs non attestés ; les modèles provisoires restent étiquetés.</x:v>
      </x:c>
      <x:c r="H14" s="7" t="str">
        <x:v>Bloquer les armes et costumes tardifs non attestés ; les modèles provisoires restent étiquetés.</x:v>
      </x:c>
      <x:c r="I14" s="7" t="str">
        <x:v>État visible dans le HUD et le journal ; libellés complets, icônes non exclusives.</x:v>
      </x:c>
      <x:c r="J14" s="7" t="str">
        <x:v>Transitions rapides et possibilité de réduire les mouvements UI.</x:v>
      </x:c>
      <x:c r="K14" s="7" t="str">
        <x:v>Chaque changement critique possède un équivalent textuel ; pas de message sonore seul.</x:v>
      </x:c>
      <x:c r="L14" s="7" t="str">
        <x:v>systems/rev/differences-depoque.ts prévu ; sauvegarde versionnée avec valeurs par défaut.</x:v>
      </x:c>
      <x:c r="M14" s="7" t="str">
        <x:v>Activé seulement dans ce module ; ne modifie pas les sauvegardes des jeux officiels.</x:v>
      </x:c>
      <x:c r="N14" s="7" t="str">
        <x:v>Chargement et reprise conservent l’état ; clavier et pointeur donnent le même résultat.</x:v>
      </x:c>
      <x:c r="O14" s="7" t="str"/>
      <x:c r="P14" s="7" t="str"/>
      <x:c r="Q14" s="7" t="str"/>
      <x:c r="R14" s="7" t="str"/>
      <x:c r="S14" s="7" t="str"/>
    </x:row>
  </x:sheetData>
  <x:conditionalFormatting sqref="D7:D14">
    <x:cfRule type="cellIs" dxfId="92" priority="1" operator="equal">
      <x:formula>"À vérifier"</x:formula>
    </x:cfRule>
    <x:cfRule type="cellIs" dxfId="93" priority="2" operator="equal">
      <x:formula>"Extrapolation"</x:formula>
    </x:cfRule>
  </x:conditionalFormatting>
  <x:conditionalFormatting sqref="C7:C14">
    <x:cfRule type="cellIs" dxfId="94" priority="3" operator="equal">
      <x:formula>"Validé"</x:formula>
    </x:cfRule>
  </x:conditionalFormatting>
  <x:conditionalFormatting sqref="E7:E14">
    <x:cfRule type="cellIs" dxfId="9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460bb4d0fc564cba"/>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Revelation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REV-TST-TRACE</x:v>
      </x:c>
      <x:c r="B7" s="9" t="str">
        <x:v>Tracer les dernières activités — scénario d’acceptation</x:v>
      </x:c>
      <x:c r="C7" s="15" t="str">
        <x:v>Défini</x:v>
      </x:c>
      <x:c r="D7" s="16" t="str">
        <x:v>Extrapolation</x:v>
      </x:c>
      <x:c r="E7" s="16" t="str">
        <x:v>P1</x:v>
      </x:c>
      <x:c r="F7" s="9" t="str">
        <x:v>Test de comportement spécifique à la mission proposée.</x:v>
      </x:c>
      <x:c r="G7" s="9" t="str">
        <x:v>Exécuter Tracer les dernières activités avec la méthode la plus lente puis avec la méthode alternative.</x:v>
      </x:c>
      <x:c r="H7" s="9" t="str">
        <x:v>Contrôler les transitions de la règle suivante : Observer trois classes de trace proposées ; croiser horodatage, accès et déplacement avant de conclure.</x:v>
      </x:c>
      <x:c r="I7" s="9" t="str">
        <x:v>Capturer le moment où la sortie devient valide et celui où le choix devient indisponible.</x:v>
      </x:c>
      <x:c r="J7" s="9" t="str">
        <x:v>Interrompre une action à son anticipation et une autre après son engagement.</x:v>
      </x:c>
      <x:c r="K7" s="9" t="str">
        <x:v>Rejouer sans son pour vérifier les informations essentielles.</x:v>
      </x:c>
      <x:c r="L7" s="9" t="str">
        <x:v>qa/rev/trace.md : état initial, actions, attendu, résultat, capture.</x:v>
      </x:c>
      <x:c r="M7" s="9" t="str">
        <x:v>Ne pas donner au groupe une connaissance des Moissonneurs qu’il n’a pas.</x:v>
      </x:c>
      <x:c r="N7" s="9" t="str">
        <x:v>Aucun blocage, récompense multiple, information future ou divergence entre pause ATB et temps normal.</x:v>
      </x:c>
      <x:c r="O7" s="9" t="str">
        <x:v>REV-MIS-TRACE, REV-CHO-TRACE, REV-OPT-TRACE</x:v>
      </x:c>
      <x:c r="P7" s="9" t="str"/>
      <x:c r="Q7" s="9" t="str"/>
      <x:c r="R7" s="9" t="str"/>
      <x:c r="S7" s="9" t="str"/>
    </x:row>
    <x:row r="8" ht="54" customHeight="1">
      <x:c r="A8" s="19" t="str">
        <x:v>REV-TST-WITNESS</x:v>
      </x:c>
      <x:c r="B8" s="7" t="str">
        <x:v>Préparer la protection du témoin — scénario d’acceptation</x:v>
      </x:c>
      <x:c r="C8" s="15" t="str">
        <x:v>Défini</x:v>
      </x:c>
      <x:c r="D8" s="17" t="str">
        <x:v>Extrapolation</x:v>
      </x:c>
      <x:c r="E8" s="17" t="str">
        <x:v>P1</x:v>
      </x:c>
      <x:c r="F8" s="7" t="str">
        <x:v>Test de comportement spécifique à la mission proposée.</x:v>
      </x:c>
      <x:c r="G8" s="7" t="str">
        <x:v>Exécuter Préparer la protection du témoin avec la méthode la plus lente puis avec la méthode alternative.</x:v>
      </x:c>
      <x:c r="H8" s="7" t="str">
        <x:v>Contrôler les transitions de la règle suivante : Affecter soutien, surveillance et analyse à des postes de préparation distincts.</x:v>
      </x:c>
      <x:c r="I8" s="7" t="str">
        <x:v>Capturer le moment où la sortie devient valide et celui où le choix devient indisponible.</x:v>
      </x:c>
      <x:c r="J8" s="7" t="str">
        <x:v>Interrompre une action à son anticipation et une autre après son engagement.</x:v>
      </x:c>
      <x:c r="K8" s="7" t="str">
        <x:v>Rejouer sans son pour vérifier les informations essentielles.</x:v>
      </x:c>
      <x:c r="L8" s="7" t="str">
        <x:v>qa/rev/witness.md : état initial, actions, attendu, résultat, capture.</x:v>
      </x:c>
      <x:c r="M8" s="7" t="str">
        <x:v>Aucun personnage n’est remplacé par Shepard.</x:v>
      </x:c>
      <x:c r="N8" s="7" t="str">
        <x:v>Aucun blocage, récompense multiple, information future ou divergence entre pause ATB et temps normal.</x:v>
      </x:c>
      <x:c r="O8" s="7" t="str">
        <x:v>REV-MIS-WITNESS, REV-CHO-WITNESS, REV-OPT-WITNESS</x:v>
      </x:c>
      <x:c r="P8" s="7" t="str"/>
      <x:c r="Q8" s="7" t="str"/>
      <x:c r="R8" s="7" t="str"/>
      <x:c r="S8" s="7" t="str"/>
    </x:row>
    <x:row r="9" ht="54" customHeight="1">
      <x:c r="A9" s="18" t="str">
        <x:v>REV-TST-ACCESS</x:v>
      </x:c>
      <x:c r="B9" s="9" t="str">
        <x:v>Obtenir l’accès aux registres — scénario d’acceptation</x:v>
      </x:c>
      <x:c r="C9" s="15" t="str">
        <x:v>Défini</x:v>
      </x:c>
      <x:c r="D9" s="16" t="str">
        <x:v>Extrapolation</x:v>
      </x:c>
      <x:c r="E9" s="16" t="str">
        <x:v>P1</x:v>
      </x:c>
      <x:c r="F9" s="9" t="str">
        <x:v>Test de comportement spécifique à la mission proposée.</x:v>
      </x:c>
      <x:c r="G9" s="9" t="str">
        <x:v>Exécuter Obtenir l’accès aux registres avec la méthode la plus lente puis avec la méthode alternative.</x:v>
      </x:c>
      <x:c r="H9" s="9" t="str">
        <x:v>Contrôler les transitions de la règle suivante : Présenter un indice déjà acquis, répondre à une réserve puis obtenir un créneau d’accès.</x:v>
      </x:c>
      <x:c r="I9" s="9" t="str">
        <x:v>Capturer le moment où la sortie devient valide et celui où le choix devient indisponible.</x:v>
      </x:c>
      <x:c r="J9" s="9" t="str">
        <x:v>Interrompre une action à son anticipation et une autre après son engagement.</x:v>
      </x:c>
      <x:c r="K9" s="9" t="str">
        <x:v>Rejouer sans son pour vérifier les informations essentielles.</x:v>
      </x:c>
      <x:c r="L9" s="9" t="str">
        <x:v>qa/rev/access.md : état initial, actions, attendu, résultat, capture.</x:v>
      </x:c>
      <x:c r="M9" s="9" t="str">
        <x:v>Le statut de Spectre n’est pas attribué à Anderson.</x:v>
      </x:c>
      <x:c r="N9" s="9" t="str">
        <x:v>Aucun blocage, récompense multiple, information future ou divergence entre pause ATB et temps normal.</x:v>
      </x:c>
      <x:c r="O9" s="9" t="str">
        <x:v>REV-MIS-ACCESS, REV-CHO-ACCESS, REV-OPT-ACCESS</x:v>
      </x:c>
      <x:c r="P9" s="9" t="str"/>
      <x:c r="Q9" s="9" t="str"/>
      <x:c r="R9" s="9" t="str"/>
      <x:c r="S9" s="9" t="str"/>
    </x:row>
    <x:row r="10" ht="54" customHeight="1">
      <x:c r="A10" s="19" t="str">
        <x:v>REV-TST-REFUGE</x:v>
      </x:c>
      <x:c r="B10" s="7" t="str">
        <x:v>Sécuriser une évacuation locale — scénario d’acceptation</x:v>
      </x:c>
      <x:c r="C10" s="15" t="str">
        <x:v>Défini</x:v>
      </x:c>
      <x:c r="D10" s="17" t="str">
        <x:v>Extrapolation</x:v>
      </x:c>
      <x:c r="E10" s="17" t="str">
        <x:v>P1</x:v>
      </x:c>
      <x:c r="F10" s="7" t="str">
        <x:v>Test de comportement spécifique à la mission proposée.</x:v>
      </x:c>
      <x:c r="G10" s="7" t="str">
        <x:v>Exécuter Sécuriser une évacuation locale avec la méthode la plus lente puis avec la méthode alternative.</x:v>
      </x:c>
      <x:c r="H10" s="7" t="str">
        <x:v>Contrôler les transitions de la règle suivante : Positionner le groupe, interrompre une ligne de pression et déplacer le témoin entre deux couverts.</x:v>
      </x:c>
      <x:c r="I10" s="7" t="str">
        <x:v>Capturer le moment où la sortie devient valide et celui où le choix devient indisponible.</x:v>
      </x:c>
      <x:c r="J10" s="7" t="str">
        <x:v>Interrompre une action à son anticipation et une autre après son engagement.</x:v>
      </x:c>
      <x:c r="K10" s="7" t="str">
        <x:v>Rejouer sans son pour vérifier les informations essentielles.</x:v>
      </x:c>
      <x:c r="L10" s="7" t="str">
        <x:v>qa/rev/refuge.md : état initial, actions, attendu, résultat, capture.</x:v>
      </x:c>
      <x:c r="M10" s="7" t="str">
        <x:v>Pas de victoire libre sur Saren ni changement du rôle de Skarr.</x:v>
      </x:c>
      <x:c r="N10" s="7" t="str">
        <x:v>Aucun blocage, récompense multiple, information future ou divergence entre pause ATB et temps normal.</x:v>
      </x:c>
      <x:c r="O10" s="7" t="str">
        <x:v>REV-MIS-REFUGE, REV-CHO-REFUGE, REV-OPT-REFUGE</x:v>
      </x:c>
      <x:c r="P10" s="7" t="str"/>
      <x:c r="Q10" s="7" t="str"/>
      <x:c r="R10" s="7" t="str"/>
      <x:c r="S10" s="7" t="str"/>
    </x:row>
    <x:row r="11" ht="54" customHeight="1">
      <x:c r="A11" s="18" t="str">
        <x:v>REV-TST-MANIFEST</x:v>
      </x:c>
      <x:c r="B11" s="9" t="str">
        <x:v>Suivre un lot industriel — scénario d’acceptation</x:v>
      </x:c>
      <x:c r="C11" s="15" t="str">
        <x:v>Défini</x:v>
      </x:c>
      <x:c r="D11" s="16" t="str">
        <x:v>Extrapolation</x:v>
      </x:c>
      <x:c r="E11" s="16" t="str">
        <x:v>P1</x:v>
      </x:c>
      <x:c r="F11" s="9" t="str">
        <x:v>Test de comportement spécifique à la mission proposée.</x:v>
      </x:c>
      <x:c r="G11" s="9" t="str">
        <x:v>Exécuter Suivre un lot industriel avec la méthode la plus lente puis avec la méthode alternative.</x:v>
      </x:c>
      <x:c r="H11" s="9" t="str">
        <x:v>Contrôler les transitions de la règle suivante : Scanner un manifeste fictif, vérifier un sceau et demander une confirmation au quai.</x:v>
      </x:c>
      <x:c r="I11" s="9" t="str">
        <x:v>Capturer le moment où la sortie devient valide et celui où le choix devient indisponible.</x:v>
      </x:c>
      <x:c r="J11" s="9" t="str">
        <x:v>Interrompre une action à son anticipation et une autre après son engagement.</x:v>
      </x:c>
      <x:c r="K11" s="9" t="str">
        <x:v>Rejouer sans son pour vérifier les informations essentielles.</x:v>
      </x:c>
      <x:c r="L11" s="9" t="str">
        <x:v>qa/rev/manifest.md : état initial, actions, attendu, résultat, capture.</x:v>
      </x:c>
      <x:c r="M11" s="9" t="str">
        <x:v>Les noms de sociétés ajoutés restent des placeholders, pas du canon.</x:v>
      </x:c>
      <x:c r="N11" s="9" t="str">
        <x:v>Aucun blocage, récompense multiple, information future ou divergence entre pause ATB et temps normal.</x:v>
      </x:c>
      <x:c r="O11" s="9" t="str">
        <x:v>REV-MIS-MANIFEST, REV-CHO-MANIFEST, REV-OPT-MANIFEST</x:v>
      </x:c>
      <x:c r="P11" s="9" t="str"/>
      <x:c r="Q11" s="9" t="str"/>
      <x:c r="R11" s="9" t="str"/>
      <x:c r="S11" s="9" t="str"/>
    </x:row>
    <x:row r="12" ht="54" customHeight="1">
      <x:c r="A12" s="19" t="str">
        <x:v>REV-TST-ACCOUNT</x:v>
      </x:c>
      <x:c r="B12" s="7" t="str">
        <x:v>Protéger une déposition — scénario d’acceptation</x:v>
      </x:c>
      <x:c r="C12" s="15" t="str">
        <x:v>Défini</x:v>
      </x:c>
      <x:c r="D12" s="17" t="str">
        <x:v>Extrapolation</x:v>
      </x:c>
      <x:c r="E12" s="17" t="str">
        <x:v>P1</x:v>
      </x:c>
      <x:c r="F12" s="7" t="str">
        <x:v>Test de comportement spécifique à la mission proposée.</x:v>
      </x:c>
      <x:c r="G12" s="7" t="str">
        <x:v>Exécuter Protéger une déposition avec la méthode la plus lente puis avec la méthode alternative.</x:v>
      </x:c>
      <x:c r="H12" s="7" t="str">
        <x:v>Contrôler les transitions de la règle suivante : Garder un terminal en ligne avec deux postes de maintenance ; couvrir l’opérateur.</x:v>
      </x:c>
      <x:c r="I12" s="7" t="str">
        <x:v>Capturer le moment où la sortie devient valide et celui où le choix devient indisponible.</x:v>
      </x:c>
      <x:c r="J12" s="7" t="str">
        <x:v>Interrompre une action à son anticipation et une autre après son engagement.</x:v>
      </x:c>
      <x:c r="K12" s="7" t="str">
        <x:v>Rejouer sans son pour vérifier les informations essentielles.</x:v>
      </x:c>
      <x:c r="L12" s="7" t="str">
        <x:v>qa/rev/account.md : état initial, actions, attendu, résultat, capture.</x:v>
      </x:c>
      <x:c r="M12" s="7" t="str">
        <x:v>Aucun long aveu du roman n’est transcrit.</x:v>
      </x:c>
      <x:c r="N12" s="7" t="str">
        <x:v>Aucun blocage, récompense multiple, information future ou divergence entre pause ATB et temps normal.</x:v>
      </x:c>
      <x:c r="O12" s="7" t="str">
        <x:v>REV-MIS-ACCOUNT, REV-CHO-ACCOUNT, REV-OPT-ACCOUNT</x:v>
      </x:c>
      <x:c r="P12" s="7" t="str"/>
      <x:c r="Q12" s="7" t="str"/>
      <x:c r="R12" s="7" t="str"/>
      <x:c r="S12" s="7" t="str"/>
    </x:row>
    <x:row r="13" ht="54" customHeight="1">
      <x:c r="A13" s="18" t="str">
        <x:v>REV-TST-PASSAGE</x:v>
      </x:c>
      <x:c r="B13" s="9" t="str">
        <x:v>Franchir le passage du convoi — scénario d’acceptation</x:v>
      </x:c>
      <x:c r="C13" s="15" t="str">
        <x:v>Défini</x:v>
      </x:c>
      <x:c r="D13" s="16" t="str">
        <x:v>Extrapolation</x:v>
      </x:c>
      <x:c r="E13" s="16" t="str">
        <x:v>P1</x:v>
      </x:c>
      <x:c r="F13" s="9" t="str">
        <x:v>Test de comportement spécifique à la mission proposée.</x:v>
      </x:c>
      <x:c r="G13" s="9" t="str">
        <x:v>Exécuter Franchir le passage du convoi avec la méthode la plus lente puis avec la méthode alternative.</x:v>
      </x:c>
      <x:c r="H13" s="9" t="str">
        <x:v>Contrôler les transitions de la règle suivante : Le groupe ouvre un créneau de passage par couverture, analyse de trajet et interruption de menace.</x:v>
      </x:c>
      <x:c r="I13" s="9" t="str">
        <x:v>Capturer le moment où la sortie devient valide et celui où le choix devient indisponible.</x:v>
      </x:c>
      <x:c r="J13" s="9" t="str">
        <x:v>Interrompre une action à son anticipation et une autre après son engagement.</x:v>
      </x:c>
      <x:c r="K13" s="9" t="str">
        <x:v>Rejouer sans son pour vérifier les informations essentielles.</x:v>
      </x:c>
      <x:c r="L13" s="9" t="str">
        <x:v>qa/rev/passage.md : état initial, actions, attendu, résultat, capture.</x:v>
      </x:c>
      <x:c r="M13" s="9" t="str">
        <x:v>Ne pas permettre de sauver l’Iwo Jima via un choix présenté comme canon.</x:v>
      </x:c>
      <x:c r="N13" s="9" t="str">
        <x:v>Aucun blocage, récompense multiple, information future ou divergence entre pause ATB et temps normal.</x:v>
      </x:c>
      <x:c r="O13" s="9" t="str">
        <x:v>REV-MIS-PASSAGE, REV-CHO-PASSAGE, REV-OPT-PASSAGE</x:v>
      </x:c>
      <x:c r="P13" s="9" t="str"/>
      <x:c r="Q13" s="9" t="str"/>
      <x:c r="R13" s="9" t="str"/>
      <x:c r="S13" s="9" t="str"/>
    </x:row>
    <x:row r="14" ht="54" customHeight="1">
      <x:c r="A14" s="19" t="str">
        <x:v>REV-TST-EXTRACT</x:v>
      </x:c>
      <x:c r="B14" s="7" t="str">
        <x:v>Ouvrir l’extraction de raffinerie — scénario d’acceptation</x:v>
      </x:c>
      <x:c r="C14" s="15" t="str">
        <x:v>Défini</x:v>
      </x:c>
      <x:c r="D14" s="17" t="str">
        <x:v>Extrapolation</x:v>
      </x:c>
      <x:c r="E14" s="17" t="str">
        <x:v>P1</x:v>
      </x:c>
      <x:c r="F14" s="7" t="str">
        <x:v>Test de comportement spécifique à la mission proposée.</x:v>
      </x:c>
      <x:c r="G14" s="7" t="str">
        <x:v>Exécuter Ouvrir l’extraction de raffinerie avec la méthode la plus lente puis avec la méthode alternative.</x:v>
      </x:c>
      <x:c r="H14" s="7" t="str">
        <x:v>Contrôler les transitions de la règle suivante : Couper une alimentation dangereuse, lever un verrou puis tenir l’accès durant l’extraction.</x:v>
      </x:c>
      <x:c r="I14" s="7" t="str">
        <x:v>Capturer le moment où la sortie devient valide et celui où le choix devient indisponible.</x:v>
      </x:c>
      <x:c r="J14" s="7" t="str">
        <x:v>Interrompre une action à son anticipation et une autre après son engagement.</x:v>
      </x:c>
      <x:c r="K14" s="7" t="str">
        <x:v>Rejouer sans son pour vérifier les informations essentielles.</x:v>
      </x:c>
      <x:c r="L14" s="7" t="str">
        <x:v>qa/rev/extract.md : état initial, actions, attendu, résultat, capture.</x:v>
      </x:c>
      <x:c r="M14" s="7" t="str">
        <x:v>Préserver l’échec de la candidature Spectre d’Anderson.</x:v>
      </x:c>
      <x:c r="N14" s="7" t="str">
        <x:v>Aucun blocage, récompense multiple, information future ou divergence entre pause ATB et temps normal.</x:v>
      </x:c>
      <x:c r="O14" s="7" t="str">
        <x:v>REV-MIS-EXTRACT, REV-CHO-EXTRACT, REV-OPT-EXTRACT</x:v>
      </x:c>
      <x:c r="P14" s="7" t="str"/>
      <x:c r="Q14" s="7" t="str"/>
      <x:c r="R14" s="7" t="str"/>
      <x:c r="S14" s="7" t="str"/>
    </x:row>
    <x:row r="15" ht="68" customHeight="1">
      <x:c r="A15" s="18" t="str">
        <x:v>REV-QA-SOURCES</x:v>
      </x:c>
      <x:c r="B15" s="9" t="str">
        <x:v>Provenance et non-substitution</x:v>
      </x:c>
      <x:c r="C15" s="15" t="str">
        <x:v>Défini</x:v>
      </x:c>
      <x:c r="D15" s="16" t="str">
        <x:v>Extrapolation</x:v>
      </x:c>
      <x:c r="E15" s="16" t="str">
        <x:v>P0</x:v>
      </x:c>
      <x:c r="F15" s="9" t="str">
        <x:v>Contrôle éditorial du catalogue de production.</x:v>
      </x:c>
      <x:c r="G15" s="9" t="str">
        <x:v>Comparer les seuls faits de référence avec les pages citées ; conserver toutes les mécaniques ajoutées comme Extrapolation.</x:v>
      </x:c>
      <x:c r="H15" s="9" t="str">
        <x:v>Vérifier qu’aucune fiche ne présente une statistique ATB comme une valeur du roman ou du film.</x:v>
      </x:c>
      <x:c r="I15" s="9" t="str"/>
      <x:c r="J15" s="9" t="str"/>
      <x:c r="K15" s="9" t="str"/>
      <x:c r="L15" s="9" t="str">
        <x:v>Filtrer REV par nature puis sourceIds ; revue ciblée des éléments sans source.</x:v>
      </x:c>
      <x:c r="M15" s="9" t="str">
        <x:v>Conserver la trajectoire menant à Mass Effect : Anderson ne devient pas Spectre dans ce module et les intentions de Saren ne deviennent pas un savoir public anticipé.</x:v>
      </x:c>
      <x:c r="N15" s="9" t="str">
        <x:v>Sources accessibles ou limites tracées ; aucun long extrait, dialogue reproduit ou résumé continu substitutif.</x:v>
      </x:c>
      <x:c r="O15" s="9" t="str"/>
      <x:c r="P15" s="9" t="str"/>
      <x:c r="Q15" s="9" t="str"/>
      <x:c r="R15" s="9" t="str"/>
      <x:c r="S15" s="9" t="str"/>
    </x:row>
    <x:row r="16" ht="68" customHeight="1">
      <x:c r="A16" s="19" t="str">
        <x:v>REV-QA-SAVE</x:v>
      </x:c>
      <x:c r="B16" s="7" t="str">
        <x:v>Reprise des états et du groupe</x:v>
      </x:c>
      <x:c r="C16" s="15" t="str">
        <x:v>Défini</x:v>
      </x:c>
      <x:c r="D16" s="17" t="str">
        <x:v>Extrapolation</x:v>
      </x:c>
      <x:c r="E16" s="17" t="str">
        <x:v>P0</x:v>
      </x:c>
      <x:c r="F16" s="7" t="str">
        <x:v>Contrôle de sauvegarde du module proposé.</x:v>
      </x:c>
      <x:c r="G16" s="7" t="str">
        <x:v>Sauver avant une transition, une option et une crise ; charger puis comparer les états de progression et de présence.</x:v>
      </x:c>
      <x:c r="H16" s="7" t="str">
        <x:v>Le coût d’action est appliqué exactement une fois ; les acteurs absents ne réapparaissent pas au chargement.</x:v>
      </x:c>
      <x:c r="I16" s="7" t="str"/>
      <x:c r="J16" s="7" t="str"/>
      <x:c r="K16" s="7" t="str"/>
      <x:c r="L16" s="7" t="str">
        <x:v>qa/rev/save-reload.md avec capture avant/après.</x:v>
      </x:c>
      <x:c r="M16" s="7" t="str">
        <x:v>Conserver la trajectoire menant à Mass Effect : Anderson ne devient pas Spectre dans ce module et les intentions de Saren ne deviennent pas un savoir public anticipé.</x:v>
      </x:c>
      <x:c r="N16" s="7" t="str">
        <x:v>Inventaire, acteurs disponibles, indices et limites de continuité restent identiques.</x:v>
      </x:c>
      <x:c r="O16" s="7" t="str"/>
      <x:c r="P16" s="7" t="str"/>
      <x:c r="Q16" s="7" t="str"/>
      <x:c r="R16" s="7" t="str"/>
      <x:c r="S16" s="7" t="str"/>
    </x:row>
    <x:row r="17" ht="54" customHeight="1">
      <x:c r="A17" s="18" t="str">
        <x:v>REV-QA-VISUAL</x:v>
      </x:c>
      <x:c r="B17" s="9" t="str">
        <x:v>Lisibilité sprites 2D sur volumes 3D</x:v>
      </x:c>
      <x:c r="C17" s="15" t="str">
        <x:v>Défini</x:v>
      </x:c>
      <x:c r="D17" s="16" t="str">
        <x:v>Extrapolation</x:v>
      </x:c>
      <x:c r="E17" s="16" t="str">
        <x:v>P0</x:v>
      </x:c>
      <x:c r="F17" s="9" t="str">
        <x:v>Contrôle visuel de production du module.</x:v>
      </x:c>
      <x:c r="G17" s="9" t="str">
        <x:v>Photographier chaque carrefour et engagement avec effets actifs, puis répéter à petite résolution et sans couleur.</x:v>
      </x:c>
      <x:c r="H17" s="9" t="str">
        <x:v>La zone cliquable correspond aux pieds des sprites, jamais au sommet d’un décor.</x:v>
      </x:c>
      <x:c r="I17" s="9" t="str"/>
      <x:c r="J17" s="9" t="str"/>
      <x:c r="K17" s="9" t="str"/>
      <x:c r="L17" s="9" t="str">
        <x:v>qa/rev/readability/ : captures scènes et grille de comparaison.</x:v>
      </x:c>
      <x:c r="M17" s="9" t="str">
        <x:v>Validation sur les cartes de ce catalogue uniquement.</x:v>
      </x:c>
      <x:c r="N17" s="9" t="str">
        <x:v>Aucune occlusion totale du personnage actif ; les sorties et télégraphes restent compréhensibles.</x:v>
      </x:c>
      <x:c r="O17" s="9" t="str"/>
      <x:c r="P17" s="9" t="str"/>
      <x:c r="Q17" s="9" t="str"/>
      <x:c r="R17" s="9" t="str"/>
      <x:c r="S17" s="9" t="str"/>
    </x:row>
    <x:row r="18" ht="54" customHeight="1">
      <x:c r="A18" s="19" t="str">
        <x:v>REV-QA-ACCESS</x:v>
      </x:c>
      <x:c r="B18" s="7" t="str">
        <x:v>Commandes, texte et effets accessibles</x:v>
      </x:c>
      <x:c r="C18" s="15" t="str">
        <x:v>Défini</x:v>
      </x:c>
      <x:c r="D18" s="17" t="str">
        <x:v>Extrapolation</x:v>
      </x:c>
      <x:c r="E18" s="17" t="str">
        <x:v>P1</x:v>
      </x:c>
      <x:c r="F18" s="7" t="str">
        <x:v>Contrôle fonctionnel des options proposées.</x:v>
      </x:c>
      <x:c r="G18" s="7" t="str">
        <x:v>Parcourir le module au clavier, avec sous-titres et effets réduits ; désactiver l’audio et tester les avertissements.</x:v>
      </x:c>
      <x:c r="H18" s="7" t="str">
        <x:v>La pause ATB permet de lire un choix ou un indice sans pénalité de temps.</x:v>
      </x:c>
      <x:c r="I18" s="7" t="str"/>
      <x:c r="J18" s="7" t="str"/>
      <x:c r="K18" s="7" t="str"/>
      <x:c r="L18" s="7" t="str">
        <x:v>qa/rev/accessibility.md ; cas de navigation, focus, contraste et interruption.</x:v>
      </x:c>
      <x:c r="M18" s="7" t="str">
        <x:v>Conserver les règles de présence narrative pendant tous les essais.</x:v>
      </x:c>
      <x:c r="N18" s="7" t="str">
        <x:v>Toute action essentielle est réalisable ; aucune information indispensable ne dépend du son ou de la seule couleur.</x:v>
      </x:c>
      <x:c r="O18" s="7" t="str"/>
      <x:c r="P18" s="7" t="str"/>
      <x:c r="Q18" s="7" t="str"/>
      <x:c r="R18" s="7" t="str"/>
      <x:c r="S18" s="7" t="str"/>
    </x:row>
  </x:sheetData>
  <x:conditionalFormatting sqref="D7:D18">
    <x:cfRule type="cellIs" dxfId="96" priority="1" operator="equal">
      <x:formula>"À vérifier"</x:formula>
    </x:cfRule>
    <x:cfRule type="cellIs" dxfId="97" priority="2" operator="equal">
      <x:formula>"Extrapolation"</x:formula>
    </x:cfRule>
  </x:conditionalFormatting>
  <x:conditionalFormatting sqref="C7:C18">
    <x:cfRule type="cellIs" dxfId="98" priority="3" operator="equal">
      <x:formula>"Validé"</x:formula>
    </x:cfRule>
  </x:conditionalFormatting>
  <x:conditionalFormatting sqref="E7:E18">
    <x:cfRule type="cellIs" dxfId="99"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4cfc1bc2df9a4d5e"/>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Revelation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REV-CON-01</x:v>
      </x:c>
      <x:c r="B7" s="9" t="str">
        <x:v>Période de l’enquête</x:v>
      </x:c>
      <x:c r="C7" s="15" t="str">
        <x:v>Défini</x:v>
      </x:c>
      <x:c r="D7" s="16" t="str">
        <x:v>Établi</x:v>
      </x:c>
      <x:c r="E7" s="16" t="str">
        <x:v>P0</x:v>
      </x:c>
      <x:c r="F7" s="9" t="str">
        <x:v>L’affaire Sidon se situe en 2165 ; vérifier les âges et les tenues par rapport à cette période.</x:v>
      </x:c>
      <x:c r="G7" s="9" t="str">
        <x:v>Contrainte éditoriale : verrouiller les dépendances avant intégration du module.</x:v>
      </x:c>
      <x:c r="H7" s="9" t="str"/>
      <x:c r="I7" s="9" t="str"/>
      <x:c r="J7" s="9" t="str"/>
      <x:c r="K7" s="9" t="str"/>
      <x:c r="L7" s="9" t="str">
        <x:v>continuity/rev.json ; règle documentée et décision de validation datée.</x:v>
      </x:c>
      <x:c r="M7" s="9" t="str">
        <x:v>Conserver la trajectoire menant à Mass Effect : Anderson ne devient pas Spectre dans ce module et les intentions de Saren ne deviennent pas un savoir public anticipé.</x:v>
      </x:c>
      <x:c r="N7" s="9" t="str">
        <x:v>La règle est contrôlée dans les textes, cartes, choix et sauvegardes ; incertitude résolue ou affichée.</x:v>
      </x:c>
      <x:c r="O7" s="9" t="str"/>
      <x:c r="P7" s="9" t="str">
        <x:v>Limite de continuité / contrôle transversal</x:v>
      </x:c>
      <x:c r="Q7" s="9" t="str">
        <x:v>REV-SRC-SKARR</x:v>
      </x:c>
      <x:c r="R7" s="9" t="str">
        <x:v>https://masseffect.fandom.com/wiki/Skarr</x:v>
      </x:c>
      <x:c r="S7" s="9" t="str">
        <x:v>Aucun numéro de chapitre ou de page n’est attribué sans exemplaire vérifié.</x:v>
      </x:c>
    </x:row>
    <x:row r="8" ht="68" customHeight="1">
      <x:c r="A8" s="19" t="str">
        <x:v>REV-CON-02</x:v>
      </x:c>
      <x:c r="B8" s="7" t="str">
        <x:v>Sidon et Shanxi</x:v>
      </x:c>
      <x:c r="C8" s="15" t="str">
        <x:v>Défini</x:v>
      </x:c>
      <x:c r="D8" s="17" t="str">
        <x:v>Établi</x:v>
      </x:c>
      <x:c r="E8" s="17" t="str">
        <x:v>P0</x:v>
      </x:c>
      <x:c r="F8" s="7" t="str">
        <x:v>Ne pas reprendre la confusion Sidon/Shanxi signalée pour la description d’un souvenir dans ME2.</x:v>
      </x:c>
      <x:c r="G8" s="7" t="str">
        <x:v>Contrainte éditoriale : verrouiller les dépendances avant intégration du module.</x:v>
      </x:c>
      <x:c r="H8" s="7" t="str"/>
      <x:c r="I8" s="7" t="str"/>
      <x:c r="J8" s="7" t="str"/>
      <x:c r="K8" s="7" t="str"/>
      <x:c r="L8" s="7" t="str">
        <x:v>continuity/rev.json ; règle documentée et décision de validation datée.</x:v>
      </x:c>
      <x:c r="M8" s="7" t="str">
        <x:v>Conserver la trajectoire menant à Mass Effect : Anderson ne devient pas Spectre dans ce module et les intentions de Saren ne deviennent pas un savoir public anticipé.</x:v>
      </x:c>
      <x:c r="N8" s="7" t="str">
        <x:v>La règle est contrôlée dans les textes, cartes, choix et sauvegardes ; incertitude résolue ou affichée.</x:v>
      </x:c>
      <x:c r="O8" s="7" t="str"/>
      <x:c r="P8" s="7" t="str">
        <x:v>Limite de continuité / contrôle transversal</x:v>
      </x:c>
      <x:c r="Q8" s="7" t="str">
        <x:v>REV-SRC-WIKI</x:v>
      </x:c>
      <x:c r="R8" s="7" t="str">
        <x:v>https://masseffect.fandom.com/wiki/Mass_Effect:_Revelation</x:v>
      </x:c>
      <x:c r="S8" s="7" t="str">
        <x:v>Aucun numéro de chapitre ou de page n’est attribué sans exemplaire vérifié.</x:v>
      </x:c>
    </x:row>
    <x:row r="9" ht="68" customHeight="1">
      <x:c r="A9" s="18" t="str">
        <x:v>REV-CON-03</x:v>
      </x:c>
      <x:c r="B9" s="9" t="str">
        <x:v>Pas de Shepard jouable</x:v>
      </x:c>
      <x:c r="C9" s="15" t="str">
        <x:v>Défini</x:v>
      </x:c>
      <x:c r="D9" s="16" t="str">
        <x:v>Extrapolation</x:v>
      </x:c>
      <x:c r="E9" s="16" t="str">
        <x:v>P0</x:v>
      </x:c>
      <x:c r="F9" s="9" t="str">
        <x:v>Le module proposé suit son propre groupe ; ne pas greffer Shepard au rôle d’Anderson.</x:v>
      </x:c>
      <x:c r="G9" s="9" t="str">
        <x:v>Contrainte éditoriale : verrouiller les dépendances avant intégration du module.</x:v>
      </x:c>
      <x:c r="H9" s="9" t="str"/>
      <x:c r="I9" s="9" t="str"/>
      <x:c r="J9" s="9" t="str"/>
      <x:c r="K9" s="9" t="str"/>
      <x:c r="L9" s="9" t="str">
        <x:v>continuity/rev.json ; règle documentée et décision de validation datée.</x:v>
      </x:c>
      <x:c r="M9" s="9" t="str">
        <x:v>Conserver la trajectoire menant à Mass Effect : Anderson ne devient pas Spectre dans ce module et les intentions de Saren ne deviennent pas un savoir public anticipé.</x:v>
      </x:c>
      <x:c r="N9" s="9" t="str">
        <x:v>La règle est contrôlée dans les textes, cartes, choix et sauvegardes ; incertitude résolue ou affichée.</x:v>
      </x:c>
      <x:c r="O9" s="9" t="str"/>
      <x:c r="P9" s="9" t="str">
        <x:v>Limite de continuité / contrôle transversal</x:v>
      </x:c>
      <x:c r="Q9" s="9" t="str"/>
      <x:c r="R9" s="9" t="str"/>
      <x:c r="S9" s="9" t="str">
        <x:v>Aucun numéro de chapitre ou de page n’est attribué sans exemplaire vérifié.</x:v>
      </x:c>
    </x:row>
    <x:row r="10" ht="68" customHeight="1">
      <x:c r="A10" s="19" t="str">
        <x:v>REV-CON-04</x:v>
      </x:c>
      <x:c r="B10" s="7" t="str">
        <x:v>Information sur Saren</x:v>
      </x:c>
      <x:c r="C10" s="15" t="str">
        <x:v>Défini</x:v>
      </x:c>
      <x:c r="D10" s="17" t="str">
        <x:v>Extrapolation</x:v>
      </x:c>
      <x:c r="E10" s="17" t="str">
        <x:v>P0</x:v>
      </x:c>
      <x:c r="F10" s="7" t="str">
        <x:v>Conserver une différence entre les renseignements du joueur et les connaissances des protagonistes.</x:v>
      </x:c>
      <x:c r="G10" s="7" t="str">
        <x:v>Contrainte éditoriale : verrouiller les dépendances avant intégration du module.</x:v>
      </x:c>
      <x:c r="H10" s="7" t="str"/>
      <x:c r="I10" s="7" t="str"/>
      <x:c r="J10" s="7" t="str"/>
      <x:c r="K10" s="7" t="str"/>
      <x:c r="L10" s="7" t="str">
        <x:v>continuity/rev.json ; règle documentée et décision de validation datée.</x:v>
      </x:c>
      <x:c r="M10" s="7" t="str">
        <x:v>Conserver la trajectoire menant à Mass Effect : Anderson ne devient pas Spectre dans ce module et les intentions de Saren ne deviennent pas un savoir public anticipé.</x:v>
      </x:c>
      <x:c r="N10" s="7" t="str">
        <x:v>La règle est contrôlée dans les textes, cartes, choix et sauvegardes ; incertitude résolue ou affichée.</x:v>
      </x:c>
      <x:c r="O10" s="7" t="str"/>
      <x:c r="P10" s="7" t="str">
        <x:v>Limite de continuité / contrôle transversal</x:v>
      </x:c>
      <x:c r="Q10" s="7" t="str"/>
      <x:c r="R10" s="7" t="str"/>
      <x:c r="S10" s="7" t="str">
        <x:v>Aucun numéro de chapitre ou de page n’est attribué sans exemplaire vérifié.</x:v>
      </x:c>
    </x:row>
    <x:row r="11" ht="68" customHeight="1">
      <x:c r="A11" s="18" t="str">
        <x:v>REV-CON-05</x:v>
      </x:c>
      <x:c r="B11" s="9" t="str">
        <x:v>Identité des objets</x:v>
      </x:c>
      <x:c r="C11" s="15" t="str">
        <x:v>Défini</x:v>
      </x:c>
      <x:c r="D11" s="16" t="str">
        <x:v>Établi</x:v>
      </x:c>
      <x:c r="E11" s="16" t="str">
        <x:v>P0</x:v>
      </x:c>
      <x:c r="F11" s="9" t="str">
        <x:v>Le canon portatif de Skarr est attesté ; son modèle commercial et ses dégâts ne le sont pas.</x:v>
      </x:c>
      <x:c r="G11" s="9" t="str">
        <x:v>Contrainte éditoriale : verrouiller les dépendances avant intégration du module.</x:v>
      </x:c>
      <x:c r="H11" s="9" t="str"/>
      <x:c r="I11" s="9" t="str"/>
      <x:c r="J11" s="9" t="str"/>
      <x:c r="K11" s="9" t="str"/>
      <x:c r="L11" s="9" t="str">
        <x:v>continuity/rev.json ; règle documentée et décision de validation datée.</x:v>
      </x:c>
      <x:c r="M11" s="9" t="str">
        <x:v>Conserver la trajectoire menant à Mass Effect : Anderson ne devient pas Spectre dans ce module et les intentions de Saren ne deviennent pas un savoir public anticipé.</x:v>
      </x:c>
      <x:c r="N11" s="9" t="str">
        <x:v>La règle est contrôlée dans les textes, cartes, choix et sauvegardes ; incertitude résolue ou affichée.</x:v>
      </x:c>
      <x:c r="O11" s="9" t="str"/>
      <x:c r="P11" s="9" t="str">
        <x:v>Limite de continuité / contrôle transversal</x:v>
      </x:c>
      <x:c r="Q11" s="9" t="str">
        <x:v>REV-SRC-IWO</x:v>
      </x:c>
      <x:c r="R11" s="9" t="str">
        <x:v>https://masseffect.fandom.com/wiki/SSV_Iwo_Jima</x:v>
      </x:c>
      <x:c r="S11" s="9" t="str">
        <x:v>Aucun numéro de chapitre ou de page n’est attribué sans exemplaire vérifié.</x:v>
      </x:c>
    </x:row>
    <x:row r="12" ht="68" customHeight="1">
      <x:c r="A12" s="19" t="str">
        <x:v>REV-CON-06</x:v>
      </x:c>
      <x:c r="B12" s="7" t="str">
        <x:v>Plans non officiels</x:v>
      </x:c>
      <x:c r="C12" s="15" t="str">
        <x:v>Défini</x:v>
      </x:c>
      <x:c r="D12" s="17" t="str">
        <x:v>Extrapolation</x:v>
      </x:c>
      <x:c r="E12" s="17" t="str">
        <x:v>P0</x:v>
      </x:c>
      <x:c r="F12" s="7" t="str">
        <x:v>Tous les plans de salles et connexions détaillées de ce catalogue sont des créations de production.</x:v>
      </x:c>
      <x:c r="G12" s="7" t="str">
        <x:v>Contrainte éditoriale : verrouiller les dépendances avant intégration du module.</x:v>
      </x:c>
      <x:c r="H12" s="7" t="str"/>
      <x:c r="I12" s="7" t="str"/>
      <x:c r="J12" s="7" t="str"/>
      <x:c r="K12" s="7" t="str"/>
      <x:c r="L12" s="7" t="str">
        <x:v>continuity/rev.json ; règle documentée et décision de validation datée.</x:v>
      </x:c>
      <x:c r="M12" s="7" t="str">
        <x:v>Conserver la trajectoire menant à Mass Effect : Anderson ne devient pas Spectre dans ce module et les intentions de Saren ne deviennent pas un savoir public anticipé.</x:v>
      </x:c>
      <x:c r="N12" s="7" t="str">
        <x:v>La règle est contrôlée dans les textes, cartes, choix et sauvegardes ; incertitude résolue ou affichée.</x:v>
      </x:c>
      <x:c r="O12" s="7" t="str"/>
      <x:c r="P12" s="7" t="str">
        <x:v>Limite de continuité / contrôle transversal</x:v>
      </x:c>
      <x:c r="Q12" s="7" t="str"/>
      <x:c r="R12" s="7" t="str"/>
      <x:c r="S12" s="7" t="str">
        <x:v>Aucun numéro de chapitre ou de page n’est attribué sans exemplaire vérifié.</x:v>
      </x:c>
    </x:row>
    <x:row r="13" ht="68" customHeight="1">
      <x:c r="A13" s="18" t="str">
        <x:v>REV-CON-07</x:v>
      </x:c>
      <x:c r="B13" s="9" t="str">
        <x:v>Validation de la fin</x:v>
      </x:c>
      <x:c r="C13" s="15" t="str">
        <x:v>Défini</x:v>
      </x:c>
      <x:c r="D13" s="16" t="str">
        <x:v>À vérifier</x:v>
      </x:c>
      <x:c r="E13" s="16" t="str">
        <x:v>P0</x:v>
      </x:c>
      <x:c r="F13" s="9" t="str">
        <x:v>Contrôler dans l’exemplaire du roman l’enchaînement final avant d’écrire les scènes correspondantes.</x:v>
      </x:c>
      <x:c r="G13" s="9" t="str">
        <x:v>Contrainte éditoriale : verrouiller les dépendances avant intégration du module.</x:v>
      </x:c>
      <x:c r="H13" s="9" t="str"/>
      <x:c r="I13" s="9" t="str"/>
      <x:c r="J13" s="9" t="str"/>
      <x:c r="K13" s="9" t="str"/>
      <x:c r="L13" s="9" t="str">
        <x:v>continuity/rev.json ; règle documentée et décision de validation datée.</x:v>
      </x:c>
      <x:c r="M13" s="9" t="str">
        <x:v>Conserver la trajectoire menant à Mass Effect : Anderson ne devient pas Spectre dans ce module et les intentions de Saren ne deviennent pas un savoir public anticipé.</x:v>
      </x:c>
      <x:c r="N13" s="9" t="str">
        <x:v>La règle est contrôlée dans les textes, cartes, choix et sauvegardes ; incertitude résolue ou affichée.</x:v>
      </x:c>
      <x:c r="O13" s="9" t="str"/>
      <x:c r="P13" s="9" t="str">
        <x:v>Limite de continuité / contrôle transversal</x:v>
      </x:c>
      <x:c r="Q13" s="9" t="str"/>
      <x:c r="R13" s="9" t="str"/>
      <x:c r="S13" s="9" t="str">
        <x:v>Aucun numéro de chapitre ou de page n’est attribué sans exemplaire vérifié.</x:v>
      </x:c>
    </x:row>
  </x:sheetData>
  <x:conditionalFormatting sqref="D7:D13">
    <x:cfRule type="cellIs" dxfId="100" priority="1" operator="equal">
      <x:formula>"À vérifier"</x:formula>
    </x:cfRule>
    <x:cfRule type="cellIs" dxfId="101" priority="2" operator="equal">
      <x:formula>"Extrapolation"</x:formula>
    </x:cfRule>
  </x:conditionalFormatting>
  <x:conditionalFormatting sqref="C7:C13">
    <x:cfRule type="cellIs" dxfId="102" priority="3" operator="equal">
      <x:formula>"Validé"</x:formula>
    </x:cfRule>
  </x:conditionalFormatting>
  <x:conditionalFormatting sqref="E7:E13">
    <x:cfRule type="cellIs" dxfId="103"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a6b9f2a5f0cf444a"/>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Revelation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Revelation</x:v>
      </x:c>
      <x:c r="C7" s="2"/>
      <x:c r="D7" s="2"/>
      <x:c r="E7" s="2"/>
      <x:c r="F7" s="2"/>
    </x:row>
    <x:row r="8" ht="30" customHeight="1">
      <x:c r="A8" s="7" t="str">
        <x:v>Support</x:v>
      </x:c>
      <x:c r="B8" s="7" t="str">
        <x:v>Roman</x:v>
      </x:c>
      <x:c r="C8" s="2"/>
      <x:c r="D8" s="2"/>
      <x:c r="E8" s="2"/>
      <x:c r="F8" s="2"/>
    </x:row>
    <x:row r="9" ht="40" customHeight="1">
      <x:c r="A9" s="7" t="str">
        <x:v>Périmètre</x:v>
      </x:c>
      <x:c r="B9" s="7" t="str">
        <x:v>Préquelle romanesque de Drew Karpyshyn ; références brèves et module original d’enquête, protection et infiltration.</x:v>
      </x:c>
      <x:c r="C9" s="2"/>
      <x:c r="D9" s="2"/>
      <x:c r="E9" s="2"/>
      <x:c r="F9" s="2"/>
    </x:row>
    <x:row r="10" ht="54" customHeight="1">
      <x:c r="A10" s="7" t="str">
        <x:v>Projet</x:v>
      </x:c>
      <x:c r="B10" s="7" t="str">
        <x:v>158 fiches de production ; 6 fiches au stade Prototype de portée partielle. Les autres livrables restent des spécifications ; aucun achèvement intégral 1:1 revendiqué.</x:v>
      </x:c>
      <x:c r="C10" s="2"/>
      <x:c r="D10" s="2"/>
      <x:c r="E10" s="2"/>
      <x:c r="F10" s="2"/>
    </x:row>
    <x:row r="11" ht="96" customHeight="1">
      <x:c r="A11" s="7" t="str">
        <x:v>Références et limites</x:v>
      </x:c>
      <x:c r="B11" s="7" t="str">
        <x:v>Conserver la trajectoire menant à Mass Effect : Anderson ne devient pas Spectre dans ce module et les intentions de Saren ne deviennent pas un savoir public anticipé. Les données de gameplay, plans, choix, statistiques, sprites et sons sont des créations d’adaptation ; tous les ajouts jouables sont marqués Extrapolation. Sources consultées le 22 octobre 2026.</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REV-SRC-PUB</x:v>
      </x:c>
      <x:c r="B27" s="6" t="str">
        <x:v>Penguin Random House — Revelation</x:v>
      </x:c>
      <x:c r="C27" s="6" t="str">
        <x:v>source officielle</x:v>
      </x:c>
      <x:c r="D27" s="6" t="str">
        <x:v>https://www.penguinrandomhouse.com/books/89889/mass-effect-revelation-by-drew-karpyshyn/</x:v>
      </x:c>
      <x:c r="E27" s="6" t="str">
        <x:v>Auteur, publication et prémisse</x:v>
      </x:c>
      <x:c r="F27" s="6" t="str">
        <x:v>Consulté le 22 octobre 2026. Faits courts uniquement ; la publication originale reste nécessaire pour contrôler les détails.</x:v>
      </x:c>
    </x:row>
    <x:row r="28" ht="54" customHeight="1">
      <x:c r="A28" s="6" t="str">
        <x:v>REV-SRC-WIKI</x:v>
      </x:c>
      <x:c r="B28" s="6" t="str">
        <x:v>Mass Effect Wiki — Revelation</x:v>
      </x:c>
      <x:c r="C28" s="6" t="str">
        <x:v>wiki</x:v>
      </x:c>
      <x:c r="D28" s="6" t="str">
        <x:v>https://masseffect.fandom.com/wiki/Mass_Effect:_Revelation</x:v>
      </x:c>
      <x:c r="E28" s="6" t="str">
        <x:v>Préquelle, IA, Sidon et confusion avec Shanxi</x:v>
      </x:c>
      <x:c r="F28" s="6" t="str">
        <x:v>Consulté le 22 octobre 2026. Faits courts uniquement ; la publication originale reste nécessaire pour contrôler les détails.</x:v>
      </x:c>
    </x:row>
    <x:row r="29" ht="42" customHeight="1">
      <x:c r="A29" s="6" t="str">
        <x:v>REV-SRC-SKARR</x:v>
      </x:c>
      <x:c r="B29" s="6" t="str">
        <x:v>Mass Effect Wiki — Skarr</x:v>
      </x:c>
      <x:c r="C29" s="6" t="str">
        <x:v>wiki</x:v>
      </x:c>
      <x:c r="D29" s="6" t="str">
        <x:v>https://masseffect.fandom.com/wiki/Skarr</x:v>
      </x:c>
      <x:c r="E29" s="6" t="str">
        <x:v>Krogan, biotique, Had’dah, Elysium, Camala, raffinerie</x:v>
      </x:c>
      <x:c r="F29" s="6" t="str">
        <x:v>Résultat indexé consulté ; ouverture directe refusée. Les seules informations visibles sont utilisées.</x:v>
      </x:c>
    </x:row>
    <x:row r="30" ht="54" customHeight="1">
      <x:c r="A30" s="6" t="str">
        <x:v>REV-SRC-DAH</x:v>
      </x:c>
      <x:c r="B30" s="6" t="str">
        <x:v>Mass Effect Wiki — Jill Dah</x:v>
      </x:c>
      <x:c r="C30" s="6" t="str">
        <x:v>wiki</x:v>
      </x:c>
      <x:c r="D30" s="6" t="str">
        <x:v>https://masseffect.fandom.com/wiki/Jill_Dah</x:v>
      </x:c>
      <x:c r="E30" s="6" t="str">
        <x:v>Alliance, SSV Hastings et Sidon</x:v>
      </x:c>
      <x:c r="F30" s="6" t="str">
        <x:v>Consulté le 22 octobre 2026. Faits courts uniquement ; la publication originale reste nécessaire pour contrôler les détails.</x:v>
      </x:c>
    </x:row>
    <x:row r="31" ht="54" customHeight="1">
      <x:c r="A31" s="6" t="str">
        <x:v>REV-SRC-BLUE</x:v>
      </x:c>
      <x:c r="B31" s="6" t="str">
        <x:v>Mass Effect Wiki — Blue Suns</x:v>
      </x:c>
      <x:c r="C31" s="6" t="str">
        <x:v>wiki</x:v>
      </x:c>
      <x:c r="D31" s="6" t="str">
        <x:v>https://masseffect.fandom.com/wiki/Blue_Suns</x:v>
      </x:c>
      <x:c r="E31" s="6" t="str">
        <x:v>Contrat mercenaire de 2165</x:v>
      </x:c>
      <x:c r="F31" s="6" t="str">
        <x:v>Consulté le 22 octobre 2026. Faits courts uniquement ; la publication originale reste nécessaire pour contrôler les détails.</x:v>
      </x:c>
    </x:row>
    <x:row r="32" ht="54" customHeight="1">
      <x:c r="A32" s="6" t="str">
        <x:v>REV-SRC-SAREN</x:v>
      </x:c>
      <x:c r="B32" s="6" t="str">
        <x:v>Mass Effect Wiki — Saren Arterius</x:v>
      </x:c>
      <x:c r="C32" s="6" t="str">
        <x:v>wiki</x:v>
      </x:c>
      <x:c r="D32" s="6" t="str">
        <x:v>https://masseffect.fandom.com/wiki/Saren_Arterius</x:v>
      </x:c>
      <x:c r="E32" s="6" t="str">
        <x:v>Saren, Groto Ib-ba et Kahlee ; résultat indexé consulté</x:v>
      </x:c>
      <x:c r="F32" s="6" t="str">
        <x:v>Consulté le 22 octobre 2026. Faits courts uniquement ; la publication originale reste nécessaire pour contrôler les détails.</x:v>
      </x:c>
    </x:row>
    <x:row r="33" ht="54" customHeight="1">
      <x:c r="A33" s="6" t="str">
        <x:v>REV-SRC-AND</x:v>
      </x:c>
      <x:c r="B33" s="6" t="str">
        <x:v>Mass Effect Wiki — David Anderson</x:v>
      </x:c>
      <x:c r="C33" s="6" t="str">
        <x:v>wiki</x:v>
      </x:c>
      <x:c r="D33" s="6" t="str">
        <x:v>https://masseffect.fandom.com/wiki/David_Anderson</x:v>
      </x:c>
      <x:c r="E33" s="6" t="str">
        <x:v>Enquête à Camala, Shu Qian et relation avec Saren ; résultats indexés</x:v>
      </x:c>
      <x:c r="F33" s="6" t="str">
        <x:v>Consulté le 22 octobre 2026. Faits courts uniquement ; la publication originale reste nécessaire pour contrôler les détails.</x:v>
      </x:c>
    </x:row>
    <x:row r="34" ht="54" customHeight="1">
      <x:c r="A34" s="6" t="str">
        <x:v>REV-SRC-JELLA</x:v>
      </x:c>
      <x:c r="B34" s="6" t="str">
        <x:v>Mass Effect Wiki — Jella</x:v>
      </x:c>
      <x:c r="C34" s="6" t="str">
        <x:v>wiki</x:v>
      </x:c>
      <x:c r="D34" s="6" t="str">
        <x:v>https://masseffect.fandom.com/wiki/Jella</x:v>
      </x:c>
      <x:c r="E34" s="6" t="str">
        <x:v>Contact chez Dah’tan ; résultats indexés</x:v>
      </x:c>
      <x:c r="F34" s="6" t="str">
        <x:v>Consulté le 22 octobre 2026. Faits courts uniquement ; la publication originale reste nécessaire pour contrôler les détails.</x:v>
      </x:c>
    </x:row>
    <x:row r="35" ht="54" customHeight="1">
      <x:c r="A35" s="6" t="str">
        <x:v>REV-SRC-IWO</x:v>
      </x:c>
      <x:c r="B35" s="6" t="str">
        <x:v>Mass Effect Wiki — SSV Iwo Jima</x:v>
      </x:c>
      <x:c r="C35" s="6" t="str">
        <x:v>wiki</x:v>
      </x:c>
      <x:c r="D35" s="6" t="str">
        <x:v>https://masseffect.fandom.com/wiki/SSV_Iwo_Jima</x:v>
      </x:c>
      <x:c r="E35" s="6" t="str">
        <x:v>Frégate et canon de Skarr ; résultat indexé</x:v>
      </x:c>
      <x:c r="F35" s="6" t="str">
        <x:v>Consulté le 22 octobre 2026. Faits courts uniquement ; la publication originale reste nécessaire pour contrôler les détails.</x:v>
      </x:c>
    </x:row>
    <x:row r="36" ht="22" customHeight="1">
      <x:c r="A36" s="2"/>
      <x:c r="B36" s="2"/>
      <x:c r="C36" s="2"/>
      <x:c r="D36" s="2"/>
      <x:c r="E36" s="2"/>
      <x:c r="F36" s="2"/>
    </x:row>
    <x:row r="37" ht="22" customHeight="1">
      <x:c r="A37" s="2"/>
      <x:c r="B37" s="2"/>
      <x:c r="C37" s="2"/>
      <x:c r="D37" s="2"/>
      <x:c r="E37" s="2"/>
      <x:c r="F37" s="2"/>
    </x:row>
    <x:row r="38" ht="22" customHeight="1">
      <x:c r="A38" s="2"/>
      <x:c r="B38" s="2"/>
      <x:c r="C38" s="2"/>
      <x:c r="D38" s="2"/>
      <x:c r="E38" s="2"/>
      <x:c r="F38" s="2"/>
    </x:row>
    <x:row r="39" ht="34" customHeight="1">
      <x:c r="A39" s="28" t="str">
        <x:v>Domaine</x:v>
      </x:c>
      <x:c r="B39" s="29" t="str">
        <x:v>Couverture actuelle</x:v>
      </x:c>
      <x:c r="C39" s="30" t="str">
        <x:v>Travail restant</x:v>
      </x:c>
      <x:c r="D39" s="2"/>
      <x:c r="E39" s="2"/>
      <x:c r="F39" s="2"/>
    </x:row>
    <x:row r="40" ht="68" customHeight="1">
      <x:c r="A40" s="6" t="str">
        <x:v>Références canoniques</x:v>
      </x:c>
      <x:c r="B40" s="6" t="str">
        <x:v>Anderson, Kahlee, Saren et la crise de Sidon ; relations entre Alliance, Spectres et mercenaires ; propositions de niveaux d’enquête et de sauvetage.</x:v>
      </x:c>
      <x:c r="C40" s="6" t="str">
        <x:v>Lecture intégrale non effectuée. Les micro-lieux, costumes, équipements non nommés et transitions sont à valider ; aucun chapitre ni plan exact n’est inventé.</x:v>
      </x:c>
      <x:c r="D40" s="2"/>
      <x:c r="E40" s="2"/>
      <x:c r="F40" s="2"/>
    </x:row>
    <x:row r="41" ht="68" customHeight="1">
      <x:c r="A41" s="6" t="str">
        <x:v>Personnages et direction artistique</x:v>
      </x:c>
      <x:c r="B41" s="6" t="str">
        <x:v>10 personnages/PNJ documentés, avec planches, poses et intentions de dialogues originales distinctes.</x:v>
      </x:c>
      <x:c r="C41" s="6" t="str">
        <x:v>Valider les costumes, accessoires et nuances de caractérisation avec un exemplaire légal de l’œuvre ; pour le film, établir une bible visuelle par visionnage.</x:v>
      </x:c>
      <x:c r="D41" s="2"/>
      <x:c r="E41" s="2"/>
      <x:c r="F41" s="2"/>
    </x:row>
    <x:row r="42" ht="54" customHeight="1">
      <x:c r="A42" s="6" t="str">
        <x:v>Cartes et progression</x:v>
      </x:c>
      <x:c r="B42" s="6" t="str">
        <x:v>8 cartes proposées, leurs kits et transitions ; 8 missions originales avec options, annexes, cinématiques et critères de test.</x:v>
      </x:c>
      <x:c r="C42" s="6" t="str">
        <x:v>Blockouts, distances, budgets mémoire et temps de parcours à mesurer ; aucune carte officielle n’est revendiquée.</x:v>
      </x:c>
      <x:c r="D42" s="2"/>
      <x:c r="E42" s="2"/>
      <x:c r="F42" s="2"/>
    </x:row>
    <x:row r="43" ht="68" customHeight="1">
      <x:c r="A43" s="6" t="str">
        <x:v>Combat, systèmes et médias</x:v>
      </x:c>
      <x:c r="B43" s="6" t="str">
        <x:v>4 rencontres proposées, movesets, VFX, actions alliées, interface, audio et sauvegarde.</x:v>
      </x:c>
      <x:c r="C43" s="6" t="str">
        <x:v>Prototype, équilibrage, réalisation des assets, doublage éventuel et tests encore à faire. Aucune ligne ne signifie que le fan game contient déjà cet élément.</x:v>
      </x:c>
      <x:c r="D43" s="2"/>
      <x:c r="E43" s="2"/>
      <x:c r="F43" s="2"/>
    </x:row>
    <x:row r="44" ht="68" customHeight="1">
      <x:c r="A44" s="6" t="str">
        <x:v>Accès aux pages demandées</x:v>
      </x:c>
      <x:c r="B44" s="6" t="str">
        <x:v>Page wiki demandée ouverte ; sources secondaires utilisées seulement pour les points visibles.</x:v>
      </x:c>
      <x:c r="C44" s="6" t="str">
        <x:v>Les extraits indexés ne remplacent pas une vérification de l’œuvre intégrale. Les traductions françaises des noms et titres restent à contrôler selon l’édition retenue.</x:v>
      </x:c>
      <x:c r="D44" s="2"/>
      <x:c r="E44" s="2"/>
      <x:c r="F44" s="2"/>
    </x:row>
    <x:row r="45" ht="96" customHeight="1">
      <x:c r="A45" s="6" t="str">
        <x:v>Complément pouvoirs, modules et lectures</x:v>
      </x:c>
      <x:c r="B45" s="6" t="str">
        <x:v>0 fiches de pouvoirs utilisées, 0 familles de modules préparables et 6 références consultables dans une lecture documentaire. Les chemins et preuves sont inscrits sur les seules lignes Prototype.</x:v>
      </x:c>
      <x:c r="C45" s="6" t="str">
        <x:v>Arbres et progression complets, modèles et rangs exacts, campagnes et dialogues intégraux, niveaux et ressources visuelles propres à l’œuvre restent à réaliser ou vérifier. Les références lues ne rendent pas leurs personnages jouables.</x:v>
      </x:c>
      <x:c r="D45" s="2"/>
      <x:c r="E45" s="2"/>
      <x:c r="F45" s="2"/>
    </x:row>
    <x:row r="46" ht="22" customHeight="1">
      <x:c r="A46" s="2"/>
      <x:c r="B46" s="2"/>
      <x:c r="C46" s="2"/>
      <x:c r="D46" s="2"/>
      <x:c r="E46" s="2"/>
      <x:c r="F46" s="2"/>
    </x:row>
    <x:row r="47" ht="22" customHeight="1">
      <x:c r="A47" s="2"/>
      <x:c r="B47" s="2"/>
      <x:c r="C47" s="2"/>
      <x:c r="D47" s="2"/>
      <x:c r="E47" s="2"/>
      <x:c r="F47" s="2"/>
    </x:row>
    <x:row r="48" ht="22" customHeight="1">
      <x:c r="A48" s="2"/>
      <x:c r="B48" s="2"/>
      <x:c r="C48" s="2"/>
      <x:c r="D48" s="2"/>
      <x:c r="E48" s="2"/>
      <x:c r="F48" s="2"/>
    </x:row>
    <x:row r="49" ht="22" customHeight="1">
      <x:c r="A49" s="2"/>
      <x:c r="B49" s="2"/>
      <x:c r="C49" s="2"/>
      <x:c r="D49" s="2"/>
      <x:c r="E49" s="2"/>
      <x:c r="F49" s="2"/>
    </x:row>
    <x:row r="50" ht="22" customHeight="1">
      <x:c r="A50" s="2"/>
      <x:c r="B50" s="2"/>
      <x:c r="C50" s="2"/>
      <x:c r="D50" s="2"/>
      <x:c r="E50" s="2"/>
      <x:c r="F50" s="2"/>
    </x:row>
    <x:row r="51" ht="22" customHeight="1">
      <x:c r="A51" s="2"/>
      <x:c r="B51" s="2"/>
      <x:c r="C51" s="2"/>
      <x:c r="D51" s="2"/>
      <x:c r="E51" s="2"/>
      <x:c r="F51" s="2"/>
    </x:row>
    <x:row r="52" ht="22" customHeight="1">
      <x:c r="A52" s="2"/>
      <x:c r="B52" s="2"/>
      <x:c r="C52" s="2"/>
      <x:c r="D52" s="2"/>
      <x:c r="E52" s="2"/>
      <x:c r="F52" s="2"/>
    </x:row>
    <x:row r="53" ht="22" customHeight="1">
      <x:c r="A53" s="2"/>
      <x:c r="B53" s="2"/>
      <x:c r="C53" s="2"/>
      <x:c r="D53" s="2"/>
      <x:c r="E53" s="2"/>
      <x:c r="F53" s="2"/>
    </x:row>
    <x:row r="54" ht="22" customHeight="1">
      <x:c r="A54" s="2"/>
      <x:c r="B54" s="2"/>
      <x:c r="C54" s="2"/>
      <x:c r="D54" s="2"/>
      <x:c r="E54" s="2"/>
      <x:c r="F54" s="2"/>
    </x:row>
    <x:row r="55" ht="22" customHeight="1">
      <x:c r="A55" s="2"/>
      <x:c r="B55" s="2"/>
      <x:c r="C55" s="2"/>
      <x:c r="D55" s="2"/>
      <x:c r="E55" s="2"/>
      <x:c r="F55" s="2"/>
    </x:row>
    <x:row r="56" ht="22" customHeight="1">
      <x:c r="A56" s="2"/>
      <x:c r="B56" s="2"/>
      <x:c r="C56" s="2"/>
      <x:c r="D56" s="2"/>
      <x:c r="E56" s="2"/>
      <x:c r="F56" s="2"/>
    </x:row>
    <x:row r="57" ht="22" customHeight="1">
      <x:c r="A57" s="2"/>
      <x:c r="B57" s="2"/>
      <x:c r="C57" s="2"/>
      <x:c r="D57" s="2"/>
      <x:c r="E57" s="2"/>
      <x:c r="F57" s="2"/>
    </x:row>
    <x:row r="58" ht="22" customHeight="1">
      <x:c r="A58" s="2"/>
      <x:c r="B58" s="2"/>
      <x:c r="C58" s="2"/>
      <x:c r="D58" s="2"/>
      <x:c r="E58" s="2"/>
      <x:c r="F58" s="2"/>
    </x:row>
    <x:row r="59" ht="22" customHeight="1">
      <x:c r="A59" s="2"/>
      <x:c r="B59" s="2"/>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sheetData>
  <x:pageMargins left="0.7" right="0.7" top="0.75" bottom="0.75" header="0.3" footer="0.3"/>
</x:worksheet>
</file>