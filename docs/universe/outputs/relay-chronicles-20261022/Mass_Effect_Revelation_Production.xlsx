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f6d0fa0d684f64" /></Relationships>
</file>

<file path=xl/workbook.xml><?xml version="1.0" encoding="utf-8"?>
<x:workbook xmlns:x="http://schemas.openxmlformats.org/spreadsheetml/2006/main">
  <x:sheets>
    <x:sheet xmlns:r="http://schemas.openxmlformats.org/officeDocument/2006/relationships" name="Dashboard" sheetId="1" r:id="R8f3b01f5e0bd4156"/>
    <x:sheet xmlns:r="http://schemas.openxmlformats.org/officeDocument/2006/relationships" name="Personnages" sheetId="2" r:id="R2084328145a44f5f"/>
    <x:sheet xmlns:r="http://schemas.openxmlformats.org/officeDocument/2006/relationships" name="PNJ" sheetId="3" r:id="R73393806fd074369"/>
    <x:sheet xmlns:r="http://schemas.openxmlformats.org/officeDocument/2006/relationships" name="Especes_factions" sheetId="4" r:id="R8d7ed8ded306443b"/>
    <x:sheet xmlns:r="http://schemas.openxmlformats.org/officeDocument/2006/relationships" name="Mondes" sheetId="5" r:id="R325e8a4f8a7849fa"/>
    <x:sheet xmlns:r="http://schemas.openxmlformats.org/officeDocument/2006/relationships" name="Zones" sheetId="6" r:id="R9b7a68b997904af8"/>
    <x:sheet xmlns:r="http://schemas.openxmlformats.org/officeDocument/2006/relationships" name="Liaisons" sheetId="7" r:id="Rbc8fee4ec502432f"/>
    <x:sheet xmlns:r="http://schemas.openxmlformats.org/officeDocument/2006/relationships" name="Decors" sheetId="8" r:id="Rab800434ef4a471d"/>
    <x:sheet xmlns:r="http://schemas.openxmlformats.org/officeDocument/2006/relationships" name="Props" sheetId="9" r:id="Ra13eed6a093543b6"/>
    <x:sheet xmlns:r="http://schemas.openxmlformats.org/officeDocument/2006/relationships" name="Ennemis_boss" sheetId="10" r:id="Rfc0612668fd34b13"/>
    <x:sheet xmlns:r="http://schemas.openxmlformats.org/officeDocument/2006/relationships" name="Missions" sheetId="11" r:id="R6a2b98a763da4b75"/>
    <x:sheet xmlns:r="http://schemas.openxmlformats.org/officeDocument/2006/relationships" name="Secondaires_DLC" sheetId="12" r:id="Rd19d7e9cb29a4779"/>
    <x:sheet xmlns:r="http://schemas.openxmlformats.org/officeDocument/2006/relationships" name="Choix_relations" sheetId="13" r:id="R28b9a5772f1c4d83"/>
    <x:sheet xmlns:r="http://schemas.openxmlformats.org/officeDocument/2006/relationships" name="Dialogues" sheetId="14" r:id="R58bd8289ddda41b0"/>
    <x:sheet xmlns:r="http://schemas.openxmlformats.org/officeDocument/2006/relationships" name="Cinematiques" sheetId="15" r:id="R3d6e40ed700d404e"/>
    <x:sheet xmlns:r="http://schemas.openxmlformats.org/officeDocument/2006/relationships" name="Armes" sheetId="16" r:id="R8dd829c1b16d4ec2"/>
    <x:sheet xmlns:r="http://schemas.openxmlformats.org/officeDocument/2006/relationships" name="Armures_equipement" sheetId="17" r:id="R62ed580a00a64f51"/>
    <x:sheet xmlns:r="http://schemas.openxmlformats.org/officeDocument/2006/relationships" name="Pouvoirs" sheetId="18" r:id="Rc85a6d8344924e39"/>
    <x:sheet xmlns:r="http://schemas.openxmlformats.org/officeDocument/2006/relationships" name="Movesets_allies" sheetId="19" r:id="R411e493387eb430c"/>
    <x:sheet xmlns:r="http://schemas.openxmlformats.org/officeDocument/2006/relationships" name="Movesets_ennemis" sheetId="20" r:id="R20d8fa7c7f294346"/>
    <x:sheet xmlns:r="http://schemas.openxmlformats.org/officeDocument/2006/relationships" name="Animations" sheetId="21" r:id="R66cf4c17978542f8"/>
    <x:sheet xmlns:r="http://schemas.openxmlformats.org/officeDocument/2006/relationships" name="Sprites" sheetId="22" r:id="R5b5e09b87c9a4d19"/>
    <x:sheet xmlns:r="http://schemas.openxmlformats.org/officeDocument/2006/relationships" name="VFX" sheetId="23" r:id="R310935443fdc4a2f"/>
    <x:sheet xmlns:r="http://schemas.openxmlformats.org/officeDocument/2006/relationships" name="Audio" sheetId="24" r:id="Rb0b18d0a79754204"/>
    <x:sheet xmlns:r="http://schemas.openxmlformats.org/officeDocument/2006/relationships" name="UI_systemes" sheetId="25" r:id="R4ebc55fb4c344911"/>
    <x:sheet xmlns:r="http://schemas.openxmlformats.org/officeDocument/2006/relationships" name="QA" sheetId="26" r:id="Rd281979b36dc407d"/>
    <x:sheet xmlns:r="http://schemas.openxmlformats.org/officeDocument/2006/relationships" name="Continuite" sheetId="27" r:id="R3e4545c2c5d644e3"/>
    <x:sheet xmlns:r="http://schemas.openxmlformats.org/officeDocument/2006/relationships" name="Guide" sheetId="28" r:id="R244546a7f9cb406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4b787e6457e840bb" /><Relationship Type="http://schemas.openxmlformats.org/officeDocument/2006/relationships/theme" Target="/xl/theme/theme1.xml" Id="Raef4f71a1fc244bf" /><Relationship Type="http://schemas.openxmlformats.org/officeDocument/2006/relationships/sharedStrings" Target="/xl/sharedStrings.xml" Id="Rf524affc3af340a7" /><Relationship Type="http://schemas.openxmlformats.org/officeDocument/2006/relationships/worksheet" Target="/xl/worksheets/sheet1.xml" Id="R8f3b01f5e0bd4156" /><Relationship Type="http://schemas.openxmlformats.org/officeDocument/2006/relationships/worksheet" Target="/xl/worksheets/sheet2.xml" Id="R2084328145a44f5f" /><Relationship Type="http://schemas.openxmlformats.org/officeDocument/2006/relationships/worksheet" Target="/xl/worksheets/sheet3.xml" Id="R73393806fd074369" /><Relationship Type="http://schemas.openxmlformats.org/officeDocument/2006/relationships/worksheet" Target="/xl/worksheets/sheet4.xml" Id="R8d7ed8ded306443b" /><Relationship Type="http://schemas.openxmlformats.org/officeDocument/2006/relationships/worksheet" Target="/xl/worksheets/sheet5.xml" Id="R325e8a4f8a7849fa" /><Relationship Type="http://schemas.openxmlformats.org/officeDocument/2006/relationships/worksheet" Target="/xl/worksheets/sheet6.xml" Id="R9b7a68b997904af8" /><Relationship Type="http://schemas.openxmlformats.org/officeDocument/2006/relationships/worksheet" Target="/xl/worksheets/sheet7.xml" Id="Rbc8fee4ec502432f" /><Relationship Type="http://schemas.openxmlformats.org/officeDocument/2006/relationships/worksheet" Target="/xl/worksheets/sheet8.xml" Id="Rab800434ef4a471d" /><Relationship Type="http://schemas.openxmlformats.org/officeDocument/2006/relationships/worksheet" Target="/xl/worksheets/sheet9.xml" Id="Ra13eed6a093543b6" /><Relationship Type="http://schemas.openxmlformats.org/officeDocument/2006/relationships/worksheet" Target="/xl/worksheets/sheet10.xml" Id="Rfc0612668fd34b13" /><Relationship Type="http://schemas.openxmlformats.org/officeDocument/2006/relationships/worksheet" Target="/xl/worksheets/sheet11.xml" Id="R6a2b98a763da4b75" /><Relationship Type="http://schemas.openxmlformats.org/officeDocument/2006/relationships/worksheet" Target="/xl/worksheets/sheet12.xml" Id="Rd19d7e9cb29a4779" /><Relationship Type="http://schemas.openxmlformats.org/officeDocument/2006/relationships/worksheet" Target="/xl/worksheets/sheet13.xml" Id="R28b9a5772f1c4d83" /><Relationship Type="http://schemas.openxmlformats.org/officeDocument/2006/relationships/worksheet" Target="/xl/worksheets/sheet14.xml" Id="R58bd8289ddda41b0" /><Relationship Type="http://schemas.openxmlformats.org/officeDocument/2006/relationships/worksheet" Target="/xl/worksheets/sheet15.xml" Id="R3d6e40ed700d404e" /><Relationship Type="http://schemas.openxmlformats.org/officeDocument/2006/relationships/worksheet" Target="/xl/worksheets/sheet16.xml" Id="R8dd829c1b16d4ec2" /><Relationship Type="http://schemas.openxmlformats.org/officeDocument/2006/relationships/worksheet" Target="/xl/worksheets/sheet17.xml" Id="R62ed580a00a64f51" /><Relationship Type="http://schemas.openxmlformats.org/officeDocument/2006/relationships/worksheet" Target="/xl/worksheets/sheet18.xml" Id="Rc85a6d8344924e39" /><Relationship Type="http://schemas.openxmlformats.org/officeDocument/2006/relationships/worksheet" Target="/xl/worksheets/sheet19.xml" Id="R411e493387eb430c" /><Relationship Type="http://schemas.openxmlformats.org/officeDocument/2006/relationships/worksheet" Target="/xl/worksheets/sheet20.xml" Id="R20d8fa7c7f294346" /><Relationship Type="http://schemas.openxmlformats.org/officeDocument/2006/relationships/worksheet" Target="/xl/worksheets/sheet21.xml" Id="R66cf4c17978542f8" /><Relationship Type="http://schemas.openxmlformats.org/officeDocument/2006/relationships/worksheet" Target="/xl/worksheets/sheet22.xml" Id="R5b5e09b87c9a4d19" /><Relationship Type="http://schemas.openxmlformats.org/officeDocument/2006/relationships/worksheet" Target="/xl/worksheets/sheet23.xml" Id="R310935443fdc4a2f" /><Relationship Type="http://schemas.openxmlformats.org/officeDocument/2006/relationships/worksheet" Target="/xl/worksheets/sheet24.xml" Id="Rb0b18d0a79754204" /><Relationship Type="http://schemas.openxmlformats.org/officeDocument/2006/relationships/worksheet" Target="/xl/worksheets/sheet25.xml" Id="R4ebc55fb4c344911" /><Relationship Type="http://schemas.openxmlformats.org/officeDocument/2006/relationships/worksheet" Target="/xl/worksheets/sheet26.xml" Id="Rd281979b36dc407d" /><Relationship Type="http://schemas.openxmlformats.org/officeDocument/2006/relationships/worksheet" Target="/xl/worksheets/sheet27.xml" Id="R3e4545c2c5d644e3" /><Relationship Type="http://schemas.openxmlformats.org/officeDocument/2006/relationships/worksheet" Target="/xl/worksheets/sheet28.xml" Id="R244546a7f9cb4064" /></Relationships>
</file>

<file path=xl/tables/table1.xml><?xml version="1.0" encoding="utf-8"?>
<x:table xmlns:x="http://schemas.openxmlformats.org/spreadsheetml/2006/main" id="1" name="REV_characters" displayName="REV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V_npcs" displayName="REV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V_lore" displayName="REV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V_worlds" displayName="RE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V_zones" displayName="REV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V_links" displayName="REV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V_scenery" displayName="REV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V_props" displayName="REV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V_enemies" displayName="REV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V_main_quests" displayName="REV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V_side_quests" displayName="REV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V_choices" displayName="REV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V_dialogues" displayName="REV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V_cinematics" displayName="REV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V_weapons" displayName="RE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V_equipment" displayName="RE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V_powers" displayName="RE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V_ally_moves" displayName="REV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V_enemy_moves" displayName="REV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V_animations" displayName="REV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V_sprites" displayName="REV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V_vfx" displayName="REV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V_audio" displayName="REV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V_systems" displayName="REV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V_qa" displayName="REV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V_continuity" displayName="REV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da079634196403e" /></Relationships>
</file>

<file path=xl/worksheets/_rels/sheet3.xml.rels>&#65279;<?xml version="1.0" encoding="utf-8"?><Relationships xmlns="http://schemas.openxmlformats.org/package/2006/relationships"><Relationship Type="http://schemas.openxmlformats.org/officeDocument/2006/relationships/table" Target="/xl/tables/table2.xml" Id="R01d4dcbc82d640f2" /></Relationships>
</file>

<file path=xl/worksheets/_rels/sheet4.xml.rels>&#65279;<?xml version="1.0" encoding="utf-8"?><Relationships xmlns="http://schemas.openxmlformats.org/package/2006/relationships"><Relationship Type="http://schemas.openxmlformats.org/officeDocument/2006/relationships/table" Target="/xl/tables/table3.xml" Id="Rd0c153b39e684d64" /></Relationships>
</file>

<file path=xl/worksheets/_rels/sheet5.xml.rels>&#65279;<?xml version="1.0" encoding="utf-8"?><Relationships xmlns="http://schemas.openxmlformats.org/package/2006/relationships"><Relationship Type="http://schemas.openxmlformats.org/officeDocument/2006/relationships/table" Target="/xl/tables/table4.xml" Id="Re4d2a32f1bf54eeb" /></Relationships>
</file>

<file path=xl/worksheets/_rels/sheet6.xml.rels>&#65279;<?xml version="1.0" encoding="utf-8"?><Relationships xmlns="http://schemas.openxmlformats.org/package/2006/relationships"><Relationship Type="http://schemas.openxmlformats.org/officeDocument/2006/relationships/table" Target="/xl/tables/table5.xml" Id="Rdda04e9f705f4adf" /></Relationships>
</file>

<file path=xl/worksheets/_rels/sheet7.xml.rels>&#65279;<?xml version="1.0" encoding="utf-8"?><Relationships xmlns="http://schemas.openxmlformats.org/package/2006/relationships"><Relationship Type="http://schemas.openxmlformats.org/officeDocument/2006/relationships/table" Target="/xl/tables/table6.xml" Id="R85be869c7ae14324" /></Relationships>
</file>

<file path=xl/worksheets/_rels/sheet8.xml.rels>&#65279;<?xml version="1.0" encoding="utf-8"?><Relationships xmlns="http://schemas.openxmlformats.org/package/2006/relationships"><Relationship Type="http://schemas.openxmlformats.org/officeDocument/2006/relationships/table" Target="/xl/tables/table7.xml" Id="R0de3219c22964937" /></Relationships>
</file>

<file path=xl/worksheets/_rels/sheet9.xml.rels>&#65279;<?xml version="1.0" encoding="utf-8"?><Relationships xmlns="http://schemas.openxmlformats.org/package/2006/relationships"><Relationship Type="http://schemas.openxmlformats.org/officeDocument/2006/relationships/table" Target="/xl/tables/table8.xml" Id="R86175f42d2d9452d" /></Relationships>
</file>

<file path=xl/worksheets/_rels/sheet10.xml.rels>&#65279;<?xml version="1.0" encoding="utf-8"?><Relationships xmlns="http://schemas.openxmlformats.org/package/2006/relationships"><Relationship Type="http://schemas.openxmlformats.org/officeDocument/2006/relationships/table" Target="/xl/tables/table9.xml" Id="R3083e722482e43b0" /></Relationships>
</file>

<file path=xl/worksheets/_rels/sheet11.xml.rels>&#65279;<?xml version="1.0" encoding="utf-8"?><Relationships xmlns="http://schemas.openxmlformats.org/package/2006/relationships"><Relationship Type="http://schemas.openxmlformats.org/officeDocument/2006/relationships/table" Target="/xl/tables/table10.xml" Id="R5572d3a397564dfa" /></Relationships>
</file>

<file path=xl/worksheets/_rels/sheet12.xml.rels>&#65279;<?xml version="1.0" encoding="utf-8"?><Relationships xmlns="http://schemas.openxmlformats.org/package/2006/relationships"><Relationship Type="http://schemas.openxmlformats.org/officeDocument/2006/relationships/table" Target="/xl/tables/table11.xml" Id="R76f6e451b2404fca" /></Relationships>
</file>

<file path=xl/worksheets/_rels/sheet13.xml.rels>&#65279;<?xml version="1.0" encoding="utf-8"?><Relationships xmlns="http://schemas.openxmlformats.org/package/2006/relationships"><Relationship Type="http://schemas.openxmlformats.org/officeDocument/2006/relationships/table" Target="/xl/tables/table12.xml" Id="R9ecc0e986fb6453b" /></Relationships>
</file>

<file path=xl/worksheets/_rels/sheet14.xml.rels>&#65279;<?xml version="1.0" encoding="utf-8"?><Relationships xmlns="http://schemas.openxmlformats.org/package/2006/relationships"><Relationship Type="http://schemas.openxmlformats.org/officeDocument/2006/relationships/table" Target="/xl/tables/table13.xml" Id="R950bf681db8f48c4" /></Relationships>
</file>

<file path=xl/worksheets/_rels/sheet15.xml.rels>&#65279;<?xml version="1.0" encoding="utf-8"?><Relationships xmlns="http://schemas.openxmlformats.org/package/2006/relationships"><Relationship Type="http://schemas.openxmlformats.org/officeDocument/2006/relationships/table" Target="/xl/tables/table14.xml" Id="Re25f4c566cf04453" /></Relationships>
</file>

<file path=xl/worksheets/_rels/sheet16.xml.rels>&#65279;<?xml version="1.0" encoding="utf-8"?><Relationships xmlns="http://schemas.openxmlformats.org/package/2006/relationships"><Relationship Type="http://schemas.openxmlformats.org/officeDocument/2006/relationships/table" Target="/xl/tables/table15.xml" Id="R6e8f01a1824243d6" /></Relationships>
</file>

<file path=xl/worksheets/_rels/sheet17.xml.rels>&#65279;<?xml version="1.0" encoding="utf-8"?><Relationships xmlns="http://schemas.openxmlformats.org/package/2006/relationships"><Relationship Type="http://schemas.openxmlformats.org/officeDocument/2006/relationships/table" Target="/xl/tables/table16.xml" Id="R8731980db1f44dac" /></Relationships>
</file>

<file path=xl/worksheets/_rels/sheet18.xml.rels>&#65279;<?xml version="1.0" encoding="utf-8"?><Relationships xmlns="http://schemas.openxmlformats.org/package/2006/relationships"><Relationship Type="http://schemas.openxmlformats.org/officeDocument/2006/relationships/table" Target="/xl/tables/table17.xml" Id="R05e7ac1caa70441e" /></Relationships>
</file>

<file path=xl/worksheets/_rels/sheet19.xml.rels>&#65279;<?xml version="1.0" encoding="utf-8"?><Relationships xmlns="http://schemas.openxmlformats.org/package/2006/relationships"><Relationship Type="http://schemas.openxmlformats.org/officeDocument/2006/relationships/table" Target="/xl/tables/table18.xml" Id="Rc3a93f6fee6b4df4" /></Relationships>
</file>

<file path=xl/worksheets/_rels/sheet20.xml.rels>&#65279;<?xml version="1.0" encoding="utf-8"?><Relationships xmlns="http://schemas.openxmlformats.org/package/2006/relationships"><Relationship Type="http://schemas.openxmlformats.org/officeDocument/2006/relationships/table" Target="/xl/tables/table19.xml" Id="R1d2d1bc703414dd4" /></Relationships>
</file>

<file path=xl/worksheets/_rels/sheet21.xml.rels>&#65279;<?xml version="1.0" encoding="utf-8"?><Relationships xmlns="http://schemas.openxmlformats.org/package/2006/relationships"><Relationship Type="http://schemas.openxmlformats.org/officeDocument/2006/relationships/table" Target="/xl/tables/table20.xml" Id="R5f165e2599d349bc" /></Relationships>
</file>

<file path=xl/worksheets/_rels/sheet22.xml.rels>&#65279;<?xml version="1.0" encoding="utf-8"?><Relationships xmlns="http://schemas.openxmlformats.org/package/2006/relationships"><Relationship Type="http://schemas.openxmlformats.org/officeDocument/2006/relationships/table" Target="/xl/tables/table21.xml" Id="Rb61ceb8934ad4952" /></Relationships>
</file>

<file path=xl/worksheets/_rels/sheet23.xml.rels>&#65279;<?xml version="1.0" encoding="utf-8"?><Relationships xmlns="http://schemas.openxmlformats.org/package/2006/relationships"><Relationship Type="http://schemas.openxmlformats.org/officeDocument/2006/relationships/table" Target="/xl/tables/table22.xml" Id="Rf8eccc1312ed4d11" /></Relationships>
</file>

<file path=xl/worksheets/_rels/sheet24.xml.rels>&#65279;<?xml version="1.0" encoding="utf-8"?><Relationships xmlns="http://schemas.openxmlformats.org/package/2006/relationships"><Relationship Type="http://schemas.openxmlformats.org/officeDocument/2006/relationships/table" Target="/xl/tables/table23.xml" Id="R2a4c1f5e8aa74885" /></Relationships>
</file>

<file path=xl/worksheets/_rels/sheet25.xml.rels>&#65279;<?xml version="1.0" encoding="utf-8"?><Relationships xmlns="http://schemas.openxmlformats.org/package/2006/relationships"><Relationship Type="http://schemas.openxmlformats.org/officeDocument/2006/relationships/table" Target="/xl/tables/table24.xml" Id="R4c6f713b4f764b0a" /></Relationships>
</file>

<file path=xl/worksheets/_rels/sheet26.xml.rels>&#65279;<?xml version="1.0" encoding="utf-8"?><Relationships xmlns="http://schemas.openxmlformats.org/package/2006/relationships"><Relationship Type="http://schemas.openxmlformats.org/officeDocument/2006/relationships/table" Target="/xl/tables/table25.xml" Id="Rd28587f4e90642a5" /></Relationships>
</file>

<file path=xl/worksheets/_rels/sheet27.xml.rels>&#65279;<?xml version="1.0" encoding="utf-8"?><Relationships xmlns="http://schemas.openxmlformats.org/package/2006/relationships"><Relationship Type="http://schemas.openxmlformats.org/officeDocument/2006/relationships/table" Target="/xl/tables/table26.xml" Id="Rccd43b46e786460a"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Revelation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COUNTA('Mondes'!$A$7:$A$10)</x:f>
        <x:v>4</x:v>
      </x:c>
      <x:c r="C13" s="38" t="n">
        <x:f>COUNTIFS('Mondes'!$C$7:$C$10,"Défini")</x:f>
        <x:v>1</x:v>
      </x:c>
      <x:c r="D13" s="38" t="n">
        <x:f>COUNTIFS('Mondes'!$C$7:$C$10,"Prototype")</x:f>
        <x:v>3</x:v>
      </x:c>
      <x:c r="E13" s="38" t="n">
        <x:f>COUNTIFS('Mondes'!$C$7:$C$10,"Intégré")</x:f>
        <x:v>0</x:v>
      </x:c>
      <x:c r="F13" s="38" t="n">
        <x:f>COUNTIFS('Mondes'!$C$7:$C$10,"Validé")</x:f>
        <x:v>0</x:v>
      </x:c>
      <x:c r="G13" s="38" t="n">
        <x:f>COUNTIFS('Mondes'!$D$7:$D$10,"Établi")</x:f>
        <x:v>4</x:v>
      </x:c>
      <x:c r="H13" s="38" t="n">
        <x:f>COUNTIFS('Mondes'!$D$7:$D$10,"À vérifier")</x:f>
        <x:v>0</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3</x:v>
      </x:c>
      <x:c r="H35" s="38" t="n">
        <x:f>COUNTIFS('Continuite'!$D$7:$D$13,"À vérifier")</x:f>
        <x:v>1</x:v>
      </x:c>
      <x:c r="I35" s="38" t="n">
        <x:f>COUNTIFS('Continuite'!$D$7:$D$13,"Extrapolation")</x:f>
        <x:v>3</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152</x:v>
      </x:c>
      <x:c r="D37" s="39" t="n">
        <x:f>SUM(D10:D35)</x:f>
        <x:v>6</x:v>
      </x:c>
      <x:c r="E37" s="39" t="n">
        <x:f>SUM(E10:E35)</x:f>
        <x:v>0</x:v>
      </x:c>
      <x:c r="F37" s="39" t="n">
        <x:f>SUM(F10:F35)</x:f>
        <x:v>0</x:v>
      </x:c>
      <x:c r="G37" s="39" t="n">
        <x:f>SUM(G10:G35)</x:f>
        <x:v>25</x:v>
      </x:c>
      <x:c r="H37" s="39" t="n">
        <x:f>SUM(H10:H35)</x:f>
        <x:v>1</x:v>
      </x:c>
      <x:c r="I37" s="39" t="n">
        <x:f>SUM(I10:I35)</x:f>
        <x:v>132</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Revelation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REV-CHR-ANDERSON</x:v>
      </x:c>
      <x:c r="B7" s="9" t="str">
        <x:v>David Anderson</x:v>
      </x:c>
      <x:c r="C7" s="15" t="str">
        <x:v>Défini</x:v>
      </x:c>
      <x:c r="D7" s="16" t="str">
        <x:v>Établi</x:v>
      </x:c>
      <x:c r="E7" s="16" t="str">
        <x:v>P1</x:v>
      </x:c>
      <x:c r="F7" s="9" t="str">
        <x:v>Officier de l’Alliance chargé d’enquêter sur Sidon.</x:v>
      </x:c>
      <x:c r="G7" s="9" t="str">
        <x:v>Référence narrative ; proposition visuelle et interaction dans les fiches liées.</x:v>
      </x:c>
      <x:c r="H7" s="9" t="str"/>
      <x:c r="I7" s="9" t="str"/>
      <x:c r="J7" s="9" t="str"/>
      <x:c r="K7" s="9" t="str"/>
      <x:c r="L7" s="9" t="str">
        <x:v>Réserver actor.rev.anderson ; rôle de référence : équipier.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REV-SRC-PUB</x:v>
      </x:c>
      <x:c r="R7" s="9" t="str">
        <x:v>https://www.penguinrandomhouse.com/books/89889/mass-effect-revelation-by-drew-karpyshyn/</x:v>
      </x:c>
      <x:c r="S7" s="9" t="str">
        <x:v>Le costume proposé dans les fiches de production n’est pas un modèle officiel.</x:v>
      </x:c>
    </x:row>
    <x:row r="8" ht="68" customHeight="1">
      <x:c r="A8" s="19" t="str">
        <x:v>REV-CHR-KAHLEE</x:v>
      </x:c>
      <x:c r="B8" s="7" t="str">
        <x:v>Kahlee Sanders</x:v>
      </x:c>
      <x:c r="C8" s="15" t="str">
        <x:v>Défini</x:v>
      </x:c>
      <x:c r="D8" s="17" t="str">
        <x:v>Établi</x:v>
      </x:c>
      <x:c r="E8" s="17" t="str">
        <x:v>P1</x:v>
      </x:c>
      <x:c r="F8" s="7" t="str">
        <x:v>Scientifique recherchée après la destruction du poste de recherche.</x:v>
      </x:c>
      <x:c r="G8" s="7" t="str">
        <x:v>Référence narrative ; proposition visuelle et interaction dans les fiches liées.</x:v>
      </x:c>
      <x:c r="H8" s="7" t="str"/>
      <x:c r="I8" s="7" t="str"/>
      <x:c r="J8" s="7" t="str"/>
      <x:c r="K8" s="7" t="str"/>
      <x:c r="L8" s="7" t="str">
        <x:v>Réserver actor.rev.kahlee ; rôle de référence : équipier.</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REV-SRC-PUB</x:v>
      </x:c>
      <x:c r="R8" s="7" t="str">
        <x:v>https://www.penguinrandomhouse.com/books/89889/mass-effect-revelation-by-drew-karpyshyn/</x:v>
      </x:c>
      <x:c r="S8" s="7" t="str">
        <x:v>Le costume proposé dans les fiches de production n’est pas un modèle officiel.</x:v>
      </x:c>
    </x:row>
    <x:row r="9" ht="68" customHeight="1">
      <x:c r="A9" s="18" t="str">
        <x:v>REV-CHR-JILL</x:v>
      </x:c>
      <x:c r="B9" s="9" t="str">
        <x:v>Jill Dah</x:v>
      </x:c>
      <x:c r="C9" s="15" t="str">
        <x:v>Défini</x:v>
      </x:c>
      <x:c r="D9" s="16" t="str">
        <x:v>Établi</x:v>
      </x:c>
      <x:c r="E9" s="16" t="str">
        <x:v>P1</x:v>
      </x:c>
      <x:c r="F9" s="9" t="str">
        <x:v>Marine de l’Alliance présente dans l’équipe d’Anderson à Sidon.</x:v>
      </x:c>
      <x:c r="G9" s="9" t="str">
        <x:v>Référence narrative ; proposition visuelle et interaction dans les fiches liées.</x:v>
      </x:c>
      <x:c r="H9" s="9" t="str"/>
      <x:c r="I9" s="9" t="str"/>
      <x:c r="J9" s="9" t="str"/>
      <x:c r="K9" s="9" t="str"/>
      <x:c r="L9" s="9" t="str">
        <x:v>Réserver actor.rev.jill ; rôle de référence : équipier.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REV-SRC-DAH</x:v>
      </x:c>
      <x:c r="R9" s="9" t="str">
        <x:v>https://masseffect.fandom.com/wiki/Jill_Dah</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da079634196403e"/>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Revelation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REV-CHR-SAREN</x:v>
      </x:c>
      <x:c r="B7" s="9" t="str">
        <x:v>Saren Arterius</x:v>
      </x:c>
      <x:c r="C7" s="15" t="str">
        <x:v>Défini</x:v>
      </x:c>
      <x:c r="D7" s="16" t="str">
        <x:v>Établi</x:v>
      </x:c>
      <x:c r="E7" s="16" t="str">
        <x:v>P1</x:v>
      </x:c>
      <x:c r="F7" s="9" t="str">
        <x:v>Spectre turien impliqué dans l’enquête et poursuivant ses propres objectifs.</x:v>
      </x:c>
      <x:c r="G7" s="9" t="str">
        <x:v>Référence narrative ; proposition visuelle et interaction dans les fiches liées.</x:v>
      </x:c>
      <x:c r="H7" s="9" t="str"/>
      <x:c r="I7" s="9" t="str"/>
      <x:c r="J7" s="9" t="str"/>
      <x:c r="K7" s="9" t="str"/>
      <x:c r="L7" s="9" t="str">
        <x:v>Réserver actor.rev.saren ; rôle de référence : interlocuteur.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REV-SRC-WIKI</x:v>
      </x:c>
      <x:c r="R7" s="9" t="str">
        <x:v>https://masseffect.fandom.com/wiki/Mass_Effect:_Revelation</x:v>
      </x:c>
      <x:c r="S7" s="9" t="str">
        <x:v>Le costume proposé dans les fiches de production n’est pas un modèle officiel.</x:v>
      </x:c>
    </x:row>
    <x:row r="8" ht="68" customHeight="1">
      <x:c r="A8" s="19" t="str">
        <x:v>REV-CHR-SKARR</x:v>
      </x:c>
      <x:c r="B8" s="7" t="str">
        <x:v>Skarr</x:v>
      </x:c>
      <x:c r="C8" s="15" t="str">
        <x:v>Défini</x:v>
      </x:c>
      <x:c r="D8" s="17" t="str">
        <x:v>Établi</x:v>
      </x:c>
      <x:c r="E8" s="17" t="str">
        <x:v>P1</x:v>
      </x:c>
      <x:c r="F8" s="7" t="str">
        <x:v>Mercenaire krogan et puissant biotique engagé par Had’dah.</x:v>
      </x:c>
      <x:c r="G8" s="7" t="str">
        <x:v>Référence narrative ; proposition visuelle et interaction dans les fiches liées.</x:v>
      </x:c>
      <x:c r="H8" s="7" t="str"/>
      <x:c r="I8" s="7" t="str"/>
      <x:c r="J8" s="7" t="str"/>
      <x:c r="K8" s="7" t="str"/>
      <x:c r="L8" s="7" t="str">
        <x:v>Réserver actor.rev.skarr ; rôle de référence : adversaire.</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REV-SRC-SKARR</x:v>
      </x:c>
      <x:c r="R8" s="7" t="str">
        <x:v>https://masseffect.fandom.com/wiki/Skarr</x:v>
      </x:c>
      <x:c r="S8" s="7" t="str">
        <x:v>Le costume proposé dans les fiches de production n’est pas un modèle officiel.</x:v>
      </x:c>
    </x:row>
    <x:row r="9" ht="68" customHeight="1">
      <x:c r="A9" s="18" t="str">
        <x:v>REV-CHR-EDAN</x:v>
      </x:c>
      <x:c r="B9" s="9" t="str">
        <x:v>Edan Had’dah</x:v>
      </x:c>
      <x:c r="C9" s="15" t="str">
        <x:v>Défini</x:v>
      </x:c>
      <x:c r="D9" s="16" t="str">
        <x:v>Établi</x:v>
      </x:c>
      <x:c r="E9" s="16" t="str">
        <x:v>P1</x:v>
      </x:c>
      <x:c r="F9" s="9" t="str">
        <x:v>Commanditaire des opérations de Skarr liées à l’affaire Sidon.</x:v>
      </x:c>
      <x:c r="G9" s="9" t="str">
        <x:v>Référence narrative ; proposition visuelle et interaction dans les fiches liées.</x:v>
      </x:c>
      <x:c r="H9" s="9" t="str"/>
      <x:c r="I9" s="9" t="str"/>
      <x:c r="J9" s="9" t="str"/>
      <x:c r="K9" s="9" t="str"/>
      <x:c r="L9" s="9" t="str">
        <x:v>Réserver actor.rev.edan ; rôle de référence : interlocuteur.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REV-SRC-SKARR</x:v>
      </x:c>
      <x:c r="R9" s="9" t="str">
        <x:v>https://masseffect.fandom.com/wiki/Skarr</x:v>
      </x:c>
      <x:c r="S9" s="9" t="str">
        <x:v>Le costume proposé dans les fiches de production n’est pas un modèle officiel.</x:v>
      </x:c>
    </x:row>
    <x:row r="10" ht="68" customHeight="1">
      <x:c r="A10" s="19" t="str">
        <x:v>REV-CHR-GRISSOM</x:v>
      </x:c>
      <x:c r="B10" s="7" t="str">
        <x:v>Jon Grissom</x:v>
      </x:c>
      <x:c r="C10" s="15" t="str">
        <x:v>Défini</x:v>
      </x:c>
      <x:c r="D10" s="17" t="str">
        <x:v>Établi</x:v>
      </x:c>
      <x:c r="E10" s="17" t="str">
        <x:v>P1</x:v>
      </x:c>
      <x:c r="F10" s="7" t="str">
        <x:v>Kahlee se réfugie chez lui sur Elysium.</x:v>
      </x:c>
      <x:c r="G10" s="7" t="str">
        <x:v>Référence narrative ; proposition visuelle et interaction dans les fiches liées.</x:v>
      </x:c>
      <x:c r="H10" s="7" t="str"/>
      <x:c r="I10" s="7" t="str"/>
      <x:c r="J10" s="7" t="str"/>
      <x:c r="K10" s="7" t="str"/>
      <x:c r="L10" s="7" t="str">
        <x:v>Réserver actor.rev.grissom ; rôle de référence : interlocuteur.</x:v>
      </x:c>
      <x:c r="M10" s="7" t="str">
        <x:v>Conserver la trajectoire menant à Mass Effect : Anderson ne devient pas Spectre dans ce module et les intentions de Saren ne deviennent pas un savoir public anticipé.</x:v>
      </x:c>
      <x:c r="N10" s="7" t="str">
        <x:v>Nom, rôle et présence confirmés dans la source indiquée ; aucune compétence chiffrée déduite du roman.</x:v>
      </x:c>
      <x:c r="O10" s="7" t="str"/>
      <x:c r="P10" s="7" t="str">
        <x:v>Notice de personnage ou présentation de l’œuvre ; pas de chapitre attribué.</x:v>
      </x:c>
      <x:c r="Q10" s="7" t="str">
        <x:v>REV-SRC-SKARR</x:v>
      </x:c>
      <x:c r="R10" s="7" t="str">
        <x:v>https://masseffect.fandom.com/wiki/Skarr</x:v>
      </x:c>
      <x:c r="S10" s="7" t="str">
        <x:v>Le costume proposé dans les fiches de production n’est pas un modèle officiel.</x:v>
      </x:c>
    </x:row>
    <x:row r="11" ht="68" customHeight="1">
      <x:c r="A11" s="18" t="str">
        <x:v>REV-CHR-JELLA</x:v>
      </x:c>
      <x:c r="B11" s="9" t="str">
        <x:v>Jella</x:v>
      </x:c>
      <x:c r="C11" s="15" t="str">
        <x:v>Défini</x:v>
      </x:c>
      <x:c r="D11" s="16" t="str">
        <x:v>Établi</x:v>
      </x:c>
      <x:c r="E11" s="16" t="str">
        <x:v>P1</x:v>
      </x:c>
      <x:c r="F11" s="9" t="str">
        <x:v>Contact de Had’dah dans l’installation Dah’tan.</x:v>
      </x:c>
      <x:c r="G11" s="9" t="str">
        <x:v>Référence narrative ; proposition visuelle et interaction dans les fiches liées.</x:v>
      </x:c>
      <x:c r="H11" s="9" t="str"/>
      <x:c r="I11" s="9" t="str"/>
      <x:c r="J11" s="9" t="str"/>
      <x:c r="K11" s="9" t="str"/>
      <x:c r="L11" s="9" t="str">
        <x:v>Réserver actor.rev.jella ; rôle de référence : interlocuteur.</x:v>
      </x:c>
      <x:c r="M11" s="9" t="str">
        <x:v>Conserver la trajectoire menant à Mass Effect : Anderson ne devient pas Spectre dans ce module et les intentions de Saren ne deviennent pas un savoir public anticipé.</x:v>
      </x:c>
      <x:c r="N11" s="9" t="str">
        <x:v>Nom, rôle et présence confirmés dans la source indiquée ; aucune compétence chiffrée déduite du roman.</x:v>
      </x:c>
      <x:c r="O11" s="9" t="str"/>
      <x:c r="P11" s="9" t="str">
        <x:v>Notice de personnage ou présentation de l’œuvre ; pas de chapitre attribué.</x:v>
      </x:c>
      <x:c r="Q11" s="9" t="str">
        <x:v>REV-SRC-JELLA</x:v>
      </x:c>
      <x:c r="R11" s="9" t="str">
        <x:v>https://masseffect.fandom.com/wiki/Jella</x:v>
      </x:c>
      <x:c r="S11" s="9" t="str">
        <x:v>Le costume proposé dans les fiches de production n’est pas un modèle officiel.</x:v>
      </x:c>
    </x:row>
    <x:row r="12" ht="68" customHeight="1">
      <x:c r="A12" s="19" t="str">
        <x:v>REV-CHR-QIAN</x:v>
      </x:c>
      <x:c r="B12" s="7" t="str">
        <x:v>Shu Qian</x:v>
      </x:c>
      <x:c r="C12" s="15" t="str">
        <x:v>Défini</x:v>
      </x:c>
      <x:c r="D12" s="17" t="str">
        <x:v>Établi</x:v>
      </x:c>
      <x:c r="E12" s="17" t="str">
        <x:v>P1</x:v>
      </x:c>
      <x:c r="F12" s="7" t="str">
        <x:v>Chercheur associé à l’enquête sur les activités de Sidon.</x:v>
      </x:c>
      <x:c r="G12" s="7" t="str">
        <x:v>Référence narrative ; proposition visuelle et interaction dans les fiches liées.</x:v>
      </x:c>
      <x:c r="H12" s="7" t="str"/>
      <x:c r="I12" s="7" t="str"/>
      <x:c r="J12" s="7" t="str"/>
      <x:c r="K12" s="7" t="str"/>
      <x:c r="L12" s="7" t="str">
        <x:v>Réserver actor.rev.qian ; rôle de référence : interlocuteur.</x:v>
      </x:c>
      <x:c r="M12" s="7" t="str">
        <x:v>Conserver la trajectoire menant à Mass Effect : Anderson ne devient pas Spectre dans ce module et les intentions de Saren ne deviennent pas un savoir public anticipé.</x:v>
      </x:c>
      <x:c r="N12" s="7" t="str">
        <x:v>Nom, rôle et présence confirmés dans la source indiquée ; aucune compétence chiffrée déduite du roman.</x:v>
      </x:c>
      <x:c r="O12" s="7" t="str"/>
      <x:c r="P12" s="7" t="str">
        <x:v>Notice de personnage ou présentation de l’œuvre ; pas de chapitre attribué.</x:v>
      </x:c>
      <x:c r="Q12" s="7" t="str">
        <x:v>REV-SRC-AND</x:v>
      </x:c>
      <x:c r="R12" s="7" t="str">
        <x:v>https://masseffect.fandom.com/wiki/David_Anderson</x:v>
      </x:c>
      <x:c r="S12" s="7" t="str">
        <x:v>Le costume proposé dans les fiches de production n’est pas un modèle officiel.</x:v>
      </x:c>
    </x:row>
    <x:row r="13" ht="68" customHeight="1">
      <x:c r="A13" s="18" t="str">
        <x:v>REV-CHR-GROTO</x:v>
      </x:c>
      <x:c r="B13" s="9" t="str">
        <x:v>Groto Ib-ba</x:v>
      </x:c>
      <x:c r="C13" s="15" t="str">
        <x:v>Défini</x:v>
      </x:c>
      <x:c r="D13" s="16" t="str">
        <x:v>Établi</x:v>
      </x:c>
      <x:c r="E13" s="16" t="str">
        <x:v>P1</x:v>
      </x:c>
      <x:c r="F13" s="9" t="str">
        <x:v>Intermédiaire interrogé par Saren dans sa recherche de Kahlee.</x:v>
      </x:c>
      <x:c r="G13" s="9" t="str">
        <x:v>Référence narrative ; proposition visuelle et interaction dans les fiches liées.</x:v>
      </x:c>
      <x:c r="H13" s="9" t="str"/>
      <x:c r="I13" s="9" t="str"/>
      <x:c r="J13" s="9" t="str"/>
      <x:c r="K13" s="9" t="str"/>
      <x:c r="L13" s="9" t="str">
        <x:v>Réserver actor.rev.groto ; rôle de référence : interlocuteur.</x:v>
      </x:c>
      <x:c r="M13" s="9" t="str">
        <x:v>Conserver la trajectoire menant à Mass Effect : Anderson ne devient pas Spectre dans ce module et les intentions de Saren ne deviennent pas un savoir public anticipé.</x:v>
      </x:c>
      <x:c r="N13" s="9" t="str">
        <x:v>Nom, rôle et présence confirmés dans la source indiquée ; aucune compétence chiffrée déduite du roman.</x:v>
      </x:c>
      <x:c r="O13" s="9" t="str"/>
      <x:c r="P13" s="9" t="str">
        <x:v>Notice de personnage ou présentation de l’œuvre ; pas de chapitre attribué.</x:v>
      </x:c>
      <x:c r="Q13" s="9" t="str">
        <x:v>REV-SRC-SAREN</x:v>
      </x:c>
      <x:c r="R13" s="9" t="str">
        <x:v>https://masseffect.fandom.com/wiki/Saren_Arterius</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1d4dcbc82d640f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Revelation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REV-REF-SUNS</x:v>
      </x:c>
      <x:c r="B7" s="9" t="str">
        <x:v>Soleils Bleus</x:v>
      </x:c>
      <x:c r="C7" s="15" t="str">
        <x:v>Prototype</x:v>
      </x:c>
      <x:c r="D7" s="16" t="str">
        <x:v>Établi</x:v>
      </x:c>
      <x:c r="E7" s="16" t="str">
        <x:v>P1</x:v>
      </x:c>
      <x:c r="F7" s="9" t="str">
        <x:v>Les mercenaires sont engagés par Had’dah lors de l’affaire Sidon.</x:v>
      </x:c>
      <x:c r="G7" s="9" t="str">
        <x:v>Ancrage documentaire du module ; aucune statistique officielle inférée.</x:v>
      </x:c>
      <x:c r="H7" s="9" t="str"/>
      <x:c r="I7" s="9" t="str"/>
      <x:c r="J7" s="9" t="str"/>
      <x:c r="K7" s="9" t="str"/>
      <x:c r="L7" s="9" t="str">
        <x:v>Référence documentaire REV-REF-SUNS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REV-SRC-BLUE</x:v>
      </x:c>
      <x:c r="R7" s="9" t="str">
        <x:v>https://masseffect.fandom.com/wiki/Blue_Suns</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REV-REF-ALLIANCE</x:v>
      </x:c>
      <x:c r="B8" s="7" t="str">
        <x:v>Alliance interstellaire</x:v>
      </x:c>
      <x:c r="C8" s="15" t="str">
        <x:v>Prototype</x:v>
      </x:c>
      <x:c r="D8" s="17" t="str">
        <x:v>Établi</x:v>
      </x:c>
      <x:c r="E8" s="17" t="str">
        <x:v>P1</x:v>
      </x:c>
      <x:c r="F8" s="7" t="str">
        <x:v>L’enquête d’Anderson concerne un poste militaire humain secret.</x:v>
      </x:c>
      <x:c r="G8" s="7" t="str">
        <x:v>Ancrage documentaire du module ; aucune statistique officielle inférée.</x:v>
      </x:c>
      <x:c r="H8" s="7" t="str"/>
      <x:c r="I8" s="7" t="str"/>
      <x:c r="J8" s="7" t="str"/>
      <x:c r="K8" s="7" t="str"/>
      <x:c r="L8" s="7" t="str">
        <x:v>Référence documentaire REV-REF-ALLIANCE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REV-SRC-PUB</x:v>
      </x:c>
      <x:c r="R8" s="7" t="str">
        <x:v>https://www.penguinrandomhouse.com/books/89889/mass-effect-revelation-by-drew-karpyshyn/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REV-REF-AI</x:v>
      </x:c>
      <x:c r="B9" s="9" t="str">
        <x:v>Recherche en intelligence artificielle</x:v>
      </x:c>
      <x:c r="C9" s="15" t="str">
        <x:v>Prototype</x:v>
      </x:c>
      <x:c r="D9" s="16" t="str">
        <x:v>Établi</x:v>
      </x:c>
      <x:c r="E9" s="16" t="str">
        <x:v>P1</x:v>
      </x:c>
      <x:c r="F9" s="9" t="str">
        <x:v>La position galactique sur les IA est un enjeu du roman.</x:v>
      </x:c>
      <x:c r="G9" s="9" t="str">
        <x:v>Ancrage documentaire du module ; aucune statistique officielle inférée.</x:v>
      </x:c>
      <x:c r="H9" s="9" t="str"/>
      <x:c r="I9" s="9" t="str"/>
      <x:c r="J9" s="9" t="str"/>
      <x:c r="K9" s="9" t="str"/>
      <x:c r="L9" s="9" t="str">
        <x:v>Référence documentaire REV-REF-AI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REV-SRC-WIKI</x:v>
      </x:c>
      <x:c r="R9" s="9" t="str">
        <x:v>https://masseffect.fandom.com/wiki/Mass_Effect:_Revelation</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0c153b39e684d6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Revelation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REV-REF-SIDON</x:v>
      </x:c>
      <x:c r="B7" s="9" t="str">
        <x:v>Sidon</x:v>
      </x:c>
      <x:c r="C7" s="15" t="str">
        <x:v>Prototype</x:v>
      </x:c>
      <x:c r="D7" s="16" t="str">
        <x:v>Établi</x:v>
      </x:c>
      <x:c r="E7" s="16" t="str">
        <x:v>P1</x:v>
      </x:c>
      <x:c r="F7" s="9" t="str">
        <x:v>Le poste scientifique détruit de l’enquête se trouve sur Sidon.</x:v>
      </x:c>
      <x:c r="G7" s="9" t="str">
        <x:v>Ancrage documentaire du module ; aucune statistique officielle inférée.</x:v>
      </x:c>
      <x:c r="H7" s="9" t="str"/>
      <x:c r="I7" s="9" t="str"/>
      <x:c r="J7" s="9" t="str"/>
      <x:c r="K7" s="9" t="str"/>
      <x:c r="L7" s="9" t="str">
        <x:v>Référence documentaire REV-REF-SIDON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REV-SRC-WIKI</x:v>
      </x:c>
      <x:c r="R7" s="9" t="str">
        <x:v>https://masseffect.fandom.com/wiki/Mass_Effect:_Revelation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REV-REF-ELYSIUM</x:v>
      </x:c>
      <x:c r="B8" s="7" t="str">
        <x:v>Elysium</x:v>
      </x:c>
      <x:c r="C8" s="15" t="str">
        <x:v>Prototype</x:v>
      </x:c>
      <x:c r="D8" s="17" t="str">
        <x:v>Établi</x:v>
      </x:c>
      <x:c r="E8" s="17" t="str">
        <x:v>P1</x:v>
      </x:c>
      <x:c r="F8" s="7" t="str">
        <x:v>Le refuge de Grissom et Kahlee se situe sur Elysium.</x:v>
      </x:c>
      <x:c r="G8" s="7" t="str">
        <x:v>Ancrage documentaire du module ; aucune statistique officielle inférée.</x:v>
      </x:c>
      <x:c r="H8" s="7" t="str"/>
      <x:c r="I8" s="7" t="str"/>
      <x:c r="J8" s="7" t="str"/>
      <x:c r="K8" s="7" t="str"/>
      <x:c r="L8" s="7" t="str">
        <x:v>Référence documentaire REV-REF-ELYSIUM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REV-SRC-SKARR</x:v>
      </x:c>
      <x:c r="R8" s="7" t="str">
        <x:v>https://masseffect.fandom.com/wiki/Skarr</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REV-REF-CAMALA</x:v>
      </x:c>
      <x:c r="B9" s="9" t="str">
        <x:v>Camala</x:v>
      </x:c>
      <x:c r="C9" s="15" t="str">
        <x:v>Prototype</x:v>
      </x:c>
      <x:c r="D9" s="16" t="str">
        <x:v>Établi</x:v>
      </x:c>
      <x:c r="E9" s="16" t="str">
        <x:v>P1</x:v>
      </x:c>
      <x:c r="F9" s="9" t="str">
        <x:v>Dah’tan Manufacturing se trouve sur Camala.</x:v>
      </x:c>
      <x:c r="G9" s="9" t="str">
        <x:v>Ancrage documentaire du module ; aucune statistique officielle inférée.</x:v>
      </x:c>
      <x:c r="H9" s="9" t="str"/>
      <x:c r="I9" s="9" t="str"/>
      <x:c r="J9" s="9" t="str"/>
      <x:c r="K9" s="9" t="str"/>
      <x:c r="L9" s="9" t="str">
        <x:v>Référence documentaire REV-REF-CAMALA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REV-SRC-SKARR</x:v>
      </x:c>
      <x:c r="R9" s="9" t="str">
        <x:v>https://masseffect.fandom.com/wiki/Skarr</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0" ht="68" customHeight="1">
      <x:c r="A10" s="19" t="str">
        <x:v>REV-REF-CITADEL</x:v>
      </x:c>
      <x:c r="B10" s="7" t="str">
        <x:v>Citadelle</x:v>
      </x:c>
      <x:c r="C10" s="15" t="str">
        <x:v>Défini</x:v>
      </x:c>
      <x:c r="D10" s="17" t="str">
        <x:v>Établi</x:v>
      </x:c>
      <x:c r="E10" s="17" t="str">
        <x:v>P1</x:v>
      </x:c>
      <x:c r="F10" s="7" t="str">
        <x:v>Le roman aborde la Citadelle et les rapports entre espèces conciliennes.</x:v>
      </x:c>
      <x:c r="G10" s="7" t="str">
        <x:v>Ancrage documentaire du module ; aucune statistique officielle inférée.</x:v>
      </x:c>
      <x:c r="H10" s="7" t="str"/>
      <x:c r="I10" s="7" t="str"/>
      <x:c r="J10" s="7" t="str"/>
      <x:c r="K10" s="7" t="str"/>
      <x:c r="L10" s="7" t="str">
        <x:v>Codex ref.rev.citadel ; affichage bref avec source.</x:v>
      </x:c>
      <x:c r="M10" s="7" t="str">
        <x:v>Conserver la trajectoire menant à Mass Effect : Anderson ne devient pas Spectre dans ce module et les intentions de Saren ne deviennent pas un savoir public anticipé.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REV-SRC-WIKI</x:v>
      </x:c>
      <x:c r="R10" s="7" t="str">
        <x:v>https://masseffect.fandom.com/wiki/Mass_Effect:_Revelation</x:v>
      </x:c>
      <x:c r="S10" s="7" t="str">
        <x:v>Ce relevé n’est ni un inventaire exhaustif ni un résumé scène par scène.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4d2a32f1bf54ee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Revelation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REV-MAP-SIDON</x:v>
      </x:c>
      <x:c r="B7" s="9" t="str">
        <x:v>Périmètre de Sidon — carte proposée</x:v>
      </x:c>
      <x:c r="C7" s="15" t="str">
        <x:v>Défini</x:v>
      </x:c>
      <x:c r="D7" s="16" t="str">
        <x:v>Extrapolation</x:v>
      </x:c>
      <x:c r="E7" s="16" t="str">
        <x:v>P1</x:v>
      </x:c>
      <x:c r="F7" s="9" t="str">
        <x:v>Bloc de niveau original autour de Périmètre de Sidon. Le plan n’est pas fourni par la source.</x:v>
      </x:c>
      <x:c r="G7" s="9" t="str">
        <x:v>Décor 3D à caméra fixe et personnages sprites. Vestibule détruit, embranchement vers laboratoire et sortie de secours.</x:v>
      </x:c>
      <x:c r="H7" s="9" t="str">
        <x:v>Des conduites instables coupent temporairement une ligne de passage. Les passages importants restent accessibles en mode pause tactique.</x:v>
      </x:c>
      <x:c r="I7" s="9" t="str">
        <x:v>Plaques brûlées, éclairage de balisage, silhouettes de structures sans gore détaillé. Séparer sol praticable, couvert et fond par valeur lumineuse.</x:v>
      </x:c>
      <x:c r="J7" s="9" t="str">
        <x:v>Occlusion douce des parois devant le groupe ; portes synchronisées avec les collisions.</x:v>
      </x:c>
      <x:c r="K7" s="9" t="str">
        <x:v>Bruits militaires secs et ambiance industrielle retenue. Un signal directionnel accompagne le danger local, doublé par une icône.</x:v>
      </x:c>
      <x:c r="L7" s="9" t="str">
        <x:v>maps/rev/sidon.scene ; navmesh, colliders, ancrages d’entrée et sorties nommés.</x:v>
      </x:c>
      <x:c r="M7" s="9" t="str">
        <x:v>Quitter seulement lorsque le lot d’indices local est consigné.</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54" customHeight="1">
      <x:c r="A8" s="19" t="str">
        <x:v>REV-MAP-HASTINGS</x:v>
      </x:c>
      <x:c r="B8" s="7" t="str">
        <x:v>Espace de débrief du Hastings — carte proposée</x:v>
      </x:c>
      <x:c r="C8" s="15" t="str">
        <x:v>Défini</x:v>
      </x:c>
      <x:c r="D8" s="17" t="str">
        <x:v>Extrapolation</x:v>
      </x:c>
      <x:c r="E8" s="17" t="str">
        <x:v>P1</x:v>
      </x:c>
      <x:c r="F8" s="7" t="str">
        <x:v>Bloc de niveau original autour de Espace de débrief du Hastings. Le plan n’est pas fourni par la source.</x:v>
      </x:c>
      <x:c r="G8" s="7" t="str">
        <x:v>Décor 3D à caméra fixe et personnages sprites. Petit hub séparant poste tactique, soins et accès navette.</x:v>
      </x:c>
      <x:c r="H8" s="7" t="str">
        <x:v>Les soins et le débrief consomment du temps de préparation simulé. Les passages importants restent accessibles en mode pause tactique.</x:v>
      </x:c>
      <x:c r="I8" s="7" t="str">
        <x:v>Métal bleu froid, sièges militaires, casiers personnalisés avec parcimonie. Séparer sol praticable, couvert et fond par valeur lumineuse.</x:v>
      </x:c>
      <x:c r="J8" s="7" t="str">
        <x:v>Occlusion douce des parois devant le groupe ; portes synchronisées avec les collisions.</x:v>
      </x:c>
      <x:c r="K8" s="7" t="str">
        <x:v>Bruits militaires secs et ambiance industrielle retenue. Un signal directionnel accompagne le danger local, doublé par une icône.</x:v>
      </x:c>
      <x:c r="L8" s="7" t="str">
        <x:v>maps/rev/hastings.scene ; navmesh, colliders, ancrages d’entrée et sorties nommés.</x:v>
      </x:c>
      <x:c r="M8" s="7" t="str">
        <x:v>Aucun voyage libre hors des étapes prévues.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54" customHeight="1">
      <x:c r="A9" s="18" t="str">
        <x:v>REV-MAP-CITADEL</x:v>
      </x:c>
      <x:c r="B9" s="9" t="str">
        <x:v>Accueil concilien proposé — carte proposée</x:v>
      </x:c>
      <x:c r="C9" s="15" t="str">
        <x:v>Défini</x:v>
      </x:c>
      <x:c r="D9" s="16" t="str">
        <x:v>Extrapolation</x:v>
      </x:c>
      <x:c r="E9" s="16" t="str">
        <x:v>P1</x:v>
      </x:c>
      <x:c r="F9" s="9" t="str">
        <x:v>Bloc de niveau original autour de Accueil concilien proposé. Le plan n’est pas fourni par la source.</x:v>
      </x:c>
      <x:c r="G9" s="9" t="str">
        <x:v>Décor 3D à caméra fixe et personnages sprites. Hall public, antichambre et bureau de consultation reliés par deux itinéraires.</x:v>
      </x:c>
      <x:c r="H9" s="9" t="str">
        <x:v>Un contrôle d’autorisation remplace un verrou de combat. Les passages importants restent accessibles en mode pause tactique.</x:v>
      </x:c>
      <x:c r="I9" s="9" t="str">
        <x:v>Volumes propres et interfaces multilingues ; signalétique originale. Séparer sol praticable, couvert et fond par valeur lumineuse.</x:v>
      </x:c>
      <x:c r="J9" s="9" t="str">
        <x:v>Occlusion douce des parois devant le groupe ; portes synchronisées avec les collisions.</x:v>
      </x:c>
      <x:c r="K9" s="9" t="str">
        <x:v>Bruits militaires secs et ambiance industrielle retenue. Un signal directionnel accompagne le danger local, doublé par une icône.</x:v>
      </x:c>
      <x:c r="L9" s="9" t="str">
        <x:v>maps/rev/citadel.scene ; navmesh, colliders, ancrages d’entrée et sorties nommés.</x:v>
      </x:c>
      <x:c r="M9" s="9" t="str">
        <x:v>Accès au bureau après enregistrement du dossier.</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54" customHeight="1">
      <x:c r="A10" s="19" t="str">
        <x:v>REV-MAP-ELYSIUM</x:v>
      </x:c>
      <x:c r="B10" s="7" t="str">
        <x:v>Abords du refuge — carte proposée</x:v>
      </x:c>
      <x:c r="C10" s="15" t="str">
        <x:v>Défini</x:v>
      </x:c>
      <x:c r="D10" s="17" t="str">
        <x:v>Extrapolation</x:v>
      </x:c>
      <x:c r="E10" s="17" t="str">
        <x:v>P1</x:v>
      </x:c>
      <x:c r="F10" s="7" t="str">
        <x:v>Bloc de niveau original autour de Abords du refuge. Le plan n’est pas fourni par la source.</x:v>
      </x:c>
      <x:c r="G10" s="7" t="str">
        <x:v>Décor 3D à caméra fixe et personnages sprites. Maison compacte, jardin latéral et voie de dégagement.</x:v>
      </x:c>
      <x:c r="H10" s="7" t="str">
        <x:v>L’escorte doit éviter une ligne de tir annoncée. Les passages importants restent accessibles en mode pause tactique.</x:v>
      </x:c>
      <x:c r="I10" s="7" t="str">
        <x:v>Végétation domestique, mobilier habité, clôtures basses. Séparer sol praticable, couvert et fond par valeur lumineuse.</x:v>
      </x:c>
      <x:c r="J10" s="7" t="str">
        <x:v>Occlusion douce des parois devant le groupe ; portes synchronisées avec les collisions.</x:v>
      </x:c>
      <x:c r="K10" s="7" t="str">
        <x:v>Bruits militaires secs et ambiance industrielle retenue. Un signal directionnel accompagne le danger local, doublé par une icône.</x:v>
      </x:c>
      <x:c r="L10" s="7" t="str">
        <x:v>maps/rev/elysium.scene ; navmesh, colliders, ancrages d’entrée et sorties nommés.</x:v>
      </x:c>
      <x:c r="M10" s="7" t="str">
        <x:v>Préserver les personnes requises par la continuité.</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54" customHeight="1">
      <x:c r="A11" s="18" t="str">
        <x:v>REV-MAP-CAMALA</x:v>
      </x:c>
      <x:c r="B11" s="9" t="str">
        <x:v>Débarcadère industriel — carte proposée</x:v>
      </x:c>
      <x:c r="C11" s="15" t="str">
        <x:v>Défini</x:v>
      </x:c>
      <x:c r="D11" s="16" t="str">
        <x:v>Extrapolation</x:v>
      </x:c>
      <x:c r="E11" s="16" t="str">
        <x:v>P1</x:v>
      </x:c>
      <x:c r="F11" s="9" t="str">
        <x:v>Bloc de niveau original autour de Débarcadère industriel. Le plan n’est pas fourni par la source.</x:v>
      </x:c>
      <x:c r="G11" s="9" t="str">
        <x:v>Décor 3D à caméra fixe et personnages sprites. Quai, contrôle cargo et passage couvert vers le complexe.</x:v>
      </x:c>
      <x:c r="H11" s="9" t="str">
        <x:v>Portes de service alternant selon l’état des équipements. Les passages importants restent accessibles en mode pause tactique.</x:v>
      </x:c>
      <x:c r="I11" s="9" t="str">
        <x:v>Atmosphère de travail, palettes, panneaux de manutention. Séparer sol praticable, couvert et fond par valeur lumineuse.</x:v>
      </x:c>
      <x:c r="J11" s="9" t="str">
        <x:v>Occlusion douce des parois devant le groupe ; portes synchronisées avec les collisions.</x:v>
      </x:c>
      <x:c r="K11" s="9" t="str">
        <x:v>Bruits militaires secs et ambiance industrielle retenue. Un signal directionnel accompagne le danger local, doublé par une icône.</x:v>
      </x:c>
      <x:c r="L11" s="9" t="str">
        <x:v>maps/rev/camala.scene ; navmesh, colliders, ancrages d’entrée et sorties nommés.</x:v>
      </x:c>
      <x:c r="M11" s="9" t="str">
        <x:v>Départ conditionné par un accès industriel acquis.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54" customHeight="1">
      <x:c r="A12" s="19" t="str">
        <x:v>REV-MAP-DAHTAN</x:v>
      </x:c>
      <x:c r="B12" s="7" t="str">
        <x:v>Annexe de Dah’tan — carte proposée</x:v>
      </x:c>
      <x:c r="C12" s="15" t="str">
        <x:v>Défini</x:v>
      </x:c>
      <x:c r="D12" s="17" t="str">
        <x:v>Extrapolation</x:v>
      </x:c>
      <x:c r="E12" s="17" t="str">
        <x:v>P1</x:v>
      </x:c>
      <x:c r="F12" s="7" t="str">
        <x:v>Bloc de niveau original autour de Annexe de Dah’tan. Le plan n’est pas fourni par la source.</x:v>
      </x:c>
      <x:c r="G12" s="7" t="str">
        <x:v>Décor 3D à caméra fixe et personnages sprites. Atelier central, passerelle latérale et salle de registres.</x:v>
      </x:c>
      <x:c r="H12" s="7" t="str">
        <x:v>Comparer l’indice de sécurité au journal local avant activation. Les passages importants restent accessibles en mode pause tactique.</x:v>
      </x:c>
      <x:c r="I12" s="7" t="str">
        <x:v>Machines interrompues, verrières ternies, conduits lourds. Séparer sol praticable, couvert et fond par valeur lumineuse.</x:v>
      </x:c>
      <x:c r="J12" s="7" t="str">
        <x:v>Occlusion douce des parois devant le groupe ; portes synchronisées avec les collisions.</x:v>
      </x:c>
      <x:c r="K12" s="7" t="str">
        <x:v>Bruits militaires secs et ambiance industrielle retenue. Un signal directionnel accompagne le danger local, doublé par une icône.</x:v>
      </x:c>
      <x:c r="L12" s="7" t="str">
        <x:v>maps/rev/dahtan.scene ; navmesh, colliders, ancrages d’entrée et sorties nommés.</x:v>
      </x:c>
      <x:c r="M12" s="7" t="str">
        <x:v>La carte est une extension originale, sans plan canonique prétendu.</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54" customHeight="1">
      <x:c r="A13" s="18" t="str">
        <x:v>REV-MAP-CONVOY</x:v>
      </x:c>
      <x:c r="B13" s="9" t="str">
        <x:v>Couloir de transfert — carte proposée</x:v>
      </x:c>
      <x:c r="C13" s="15" t="str">
        <x:v>Défini</x:v>
      </x:c>
      <x:c r="D13" s="16" t="str">
        <x:v>Extrapolation</x:v>
      </x:c>
      <x:c r="E13" s="16" t="str">
        <x:v>P1</x:v>
      </x:c>
      <x:c r="F13" s="9" t="str">
        <x:v>Bloc de niveau original autour de Couloir de transfert. Le plan n’est pas fourni par la source.</x:v>
      </x:c>
      <x:c r="G13" s="9" t="str">
        <x:v>Décor 3D à caméra fixe et personnages sprites. Route encaissée avec deux abris et passage technique.</x:v>
      </x:c>
      <x:c r="H13" s="9" t="str">
        <x:v>Fenêtres de traversée sous pression ennemie proposée. Les passages importants restent accessibles en mode pause tactique.</x:v>
      </x:c>
      <x:c r="I13" s="9" t="str">
        <x:v>Rover de transport stylisé, relief sec, signalétique de convoi. Séparer sol praticable, couvert et fond par valeur lumineuse.</x:v>
      </x:c>
      <x:c r="J13" s="9" t="str">
        <x:v>Occlusion douce des parois devant le groupe ; portes synchronisées avec les collisions.</x:v>
      </x:c>
      <x:c r="K13" s="9" t="str">
        <x:v>Bruits militaires secs et ambiance industrielle retenue. Un signal directionnel accompagne le danger local, doublé par une icône.</x:v>
      </x:c>
      <x:c r="L13" s="9" t="str">
        <x:v>maps/rev/convoy.scene ; navmesh, colliders, ancrages d’entrée et sorties nommés.</x:v>
      </x:c>
      <x:c r="M13" s="9" t="str">
        <x:v>Le convoi ne devient pas une route d’évasion alternative canonique.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54" customHeight="1">
      <x:c r="A14" s="19" t="str">
        <x:v>REV-MAP-REFINERY</x:v>
      </x:c>
      <x:c r="B14" s="7" t="str">
        <x:v>Secteur de raffinerie — carte proposée</x:v>
      </x:c>
      <x:c r="C14" s="15" t="str">
        <x:v>Défini</x:v>
      </x:c>
      <x:c r="D14" s="17" t="str">
        <x:v>Extrapolation</x:v>
      </x:c>
      <x:c r="E14" s="17" t="str">
        <x:v>P1</x:v>
      </x:c>
      <x:c r="F14" s="7" t="str">
        <x:v>Bloc de niveau original autour de Secteur de raffinerie. Le plan n’est pas fourni par la source.</x:v>
      </x:c>
      <x:c r="G14" s="7" t="str">
        <x:v>Décor 3D à caméra fixe et personnages sprites. Coursive de service, aire de pompage, porte d’extraction.</x:v>
      </x:c>
      <x:c r="H14" s="7" t="str">
        <x:v>Énergie des pompes à redistribuer pour ouvrir l’extraction. Les passages importants restent accessibles en mode pause tactique.</x:v>
      </x:c>
      <x:c r="I14" s="7" t="str">
        <x:v>Cuves, vapeur contrôlée, grandes poutres et bassins masqués. Séparer sol praticable, couvert et fond par valeur lumineuse.</x:v>
      </x:c>
      <x:c r="J14" s="7" t="str">
        <x:v>Occlusion douce des parois devant le groupe ; portes synchronisées avec les collisions.</x:v>
      </x:c>
      <x:c r="K14" s="7" t="str">
        <x:v>Bruits militaires secs et ambiance industrielle retenue. Un signal directionnel accompagne le danger local, doublé par une icône.</x:v>
      </x:c>
      <x:c r="L14" s="7" t="str">
        <x:v>maps/rev/refinery.scene ; navmesh, colliders, ancrages d’entrée et sorties nommés.</x:v>
      </x:c>
      <x:c r="M14" s="7" t="str">
        <x:v>La résolution rejoint la continuité du roman.</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da04e9f705f4ad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Revelation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REV-LNK-SIDON</x:v>
      </x:c>
      <x:c r="B7" s="9" t="str">
        <x:v>Périmètre de Sidon — transition de module</x:v>
      </x:c>
      <x:c r="C7" s="15" t="str">
        <x:v>Défini</x:v>
      </x:c>
      <x:c r="D7" s="16" t="str">
        <x:v>Extrapolation</x:v>
      </x:c>
      <x:c r="E7" s="16" t="str">
        <x:v>P1</x:v>
      </x:c>
      <x:c r="F7" s="9" t="str">
        <x:v>Liaison de niveau proposée, sans prétendre établir une géographie officielle.</x:v>
      </x:c>
      <x:c r="G7" s="9" t="str">
        <x:v>Associer un point de départ dans Périmètre de Sidon au bloc Espace de débrief du Hastings;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links/rev.json : sidon -&gt; hastings; sauvegarde avant transit, restauration à un ancrage sûr.</x:v>
      </x:c>
      <x:c r="M7" s="9" t="str">
        <x:v>Quitter seulement lorsque le lot d’indices local est consigné.</x:v>
      </x:c>
      <x:c r="N7" s="9" t="str">
        <x:v>Le groupe arrive au bon ancrage après chargement ; aller-retour ne duplique ni objet ni dialogue.</x:v>
      </x:c>
      <x:c r="O7" s="9" t="str">
        <x:v>REV-MAP-SIDON, REV-MAP-HASTINGS</x:v>
      </x:c>
      <x:c r="P7" s="9" t="str"/>
      <x:c r="Q7" s="9" t="str"/>
      <x:c r="R7" s="9" t="str"/>
      <x:c r="S7" s="9" t="str">
        <x:v>Boucle de parcours de production ; la dernière liaison sert à la consultation post-module, pas à remonter le temps.</x:v>
      </x:c>
    </x:row>
    <x:row r="8" ht="54" customHeight="1">
      <x:c r="A8" s="19" t="str">
        <x:v>REV-LNK-HASTINGS</x:v>
      </x:c>
      <x:c r="B8" s="7" t="str">
        <x:v>Espace de débrief du Hastings — transition de module</x:v>
      </x:c>
      <x:c r="C8" s="15" t="str">
        <x:v>Défini</x:v>
      </x:c>
      <x:c r="D8" s="17" t="str">
        <x:v>Extrapolation</x:v>
      </x:c>
      <x:c r="E8" s="17" t="str">
        <x:v>P1</x:v>
      </x:c>
      <x:c r="F8" s="7" t="str">
        <x:v>Liaison de niveau proposée, sans prétendre établir une géographie officielle.</x:v>
      </x:c>
      <x:c r="G8" s="7" t="str">
        <x:v>Associer un point de départ dans Espace de débrief du Hastings au bloc Accueil concilien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links/rev.json : hastings -&gt; citadel; sauvegarde avant transit, restauration à un ancrage sûr.</x:v>
      </x:c>
      <x:c r="M8" s="7" t="str">
        <x:v>Aucun voyage libre hors des étapes prévues.</x:v>
      </x:c>
      <x:c r="N8" s="7" t="str">
        <x:v>Le groupe arrive au bon ancrage après chargement ; aller-retour ne duplique ni objet ni dialogue.</x:v>
      </x:c>
      <x:c r="O8" s="7" t="str">
        <x:v>REV-MAP-HASTINGS, REV-MAP-CITADEL</x:v>
      </x:c>
      <x:c r="P8" s="7" t="str"/>
      <x:c r="Q8" s="7" t="str"/>
      <x:c r="R8" s="7" t="str"/>
      <x:c r="S8" s="7" t="str">
        <x:v>Boucle de parcours de production ; la dernière liaison sert à la consultation post-module, pas à remonter le temps.</x:v>
      </x:c>
    </x:row>
    <x:row r="9" ht="54" customHeight="1">
      <x:c r="A9" s="18" t="str">
        <x:v>REV-LNK-CITADEL</x:v>
      </x:c>
      <x:c r="B9" s="9" t="str">
        <x:v>Accueil concilien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Accueil concilien proposé au bloc Abords du refuge;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links/rev.json : citadel -&gt; elysium; sauvegarde avant transit, restauration à un ancrage sûr.</x:v>
      </x:c>
      <x:c r="M9" s="9" t="str">
        <x:v>Accès au bureau après enregistrement du dossier.</x:v>
      </x:c>
      <x:c r="N9" s="9" t="str">
        <x:v>Le groupe arrive au bon ancrage après chargement ; aller-retour ne duplique ni objet ni dialogue.</x:v>
      </x:c>
      <x:c r="O9" s="9" t="str">
        <x:v>REV-MAP-CITADEL, REV-MAP-ELYSIUM</x:v>
      </x:c>
      <x:c r="P9" s="9" t="str"/>
      <x:c r="Q9" s="9" t="str"/>
      <x:c r="R9" s="9" t="str"/>
      <x:c r="S9" s="9" t="str">
        <x:v>Boucle de parcours de production ; la dernière liaison sert à la consultation post-module, pas à remonter le temps.</x:v>
      </x:c>
    </x:row>
    <x:row r="10" ht="54" customHeight="1">
      <x:c r="A10" s="19" t="str">
        <x:v>REV-LNK-ELYSIUM</x:v>
      </x:c>
      <x:c r="B10" s="7" t="str">
        <x:v>Abords du refuge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Abords du refuge au bloc Débarcadère industriel;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links/rev.json : elysium -&gt; camala; sauvegarde avant transit, restauration à un ancrage sûr.</x:v>
      </x:c>
      <x:c r="M10" s="7" t="str">
        <x:v>Préserver les personnes requises par la continuité.</x:v>
      </x:c>
      <x:c r="N10" s="7" t="str">
        <x:v>Le groupe arrive au bon ancrage après chargement ; aller-retour ne duplique ni objet ni dialogue.</x:v>
      </x:c>
      <x:c r="O10" s="7" t="str">
        <x:v>REV-MAP-ELYSIUM, REV-MAP-CAMALA</x:v>
      </x:c>
      <x:c r="P10" s="7" t="str"/>
      <x:c r="Q10" s="7" t="str"/>
      <x:c r="R10" s="7" t="str"/>
      <x:c r="S10" s="7" t="str">
        <x:v>Boucle de parcours de production ; la dernière liaison sert à la consultation post-module, pas à remonter le temps.</x:v>
      </x:c>
    </x:row>
    <x:row r="11" ht="54" customHeight="1">
      <x:c r="A11" s="18" t="str">
        <x:v>REV-LNK-CAMALA</x:v>
      </x:c>
      <x:c r="B11" s="9" t="str">
        <x:v>Débarcadère industriel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Débarcadère industriel au bloc Annexe de Dah’tan;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links/rev.json : camala -&gt; dahtan; sauvegarde avant transit, restauration à un ancrage sûr.</x:v>
      </x:c>
      <x:c r="M11" s="9" t="str">
        <x:v>Départ conditionné par un accès industriel acquis.</x:v>
      </x:c>
      <x:c r="N11" s="9" t="str">
        <x:v>Le groupe arrive au bon ancrage après chargement ; aller-retour ne duplique ni objet ni dialogue.</x:v>
      </x:c>
      <x:c r="O11" s="9" t="str">
        <x:v>REV-MAP-CAMALA, REV-MAP-DAHTAN</x:v>
      </x:c>
      <x:c r="P11" s="9" t="str"/>
      <x:c r="Q11" s="9" t="str"/>
      <x:c r="R11" s="9" t="str"/>
      <x:c r="S11" s="9" t="str">
        <x:v>Boucle de parcours de production ; la dernière liaison sert à la consultation post-module, pas à remonter le temps.</x:v>
      </x:c>
    </x:row>
    <x:row r="12" ht="54" customHeight="1">
      <x:c r="A12" s="19" t="str">
        <x:v>REV-LNK-DAHTAN</x:v>
      </x:c>
      <x:c r="B12" s="7" t="str">
        <x:v>Annexe de Dah’tan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Annexe de Dah’tan au bloc Couloir de transfert;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links/rev.json : dahtan -&gt; convoy; sauvegarde avant transit, restauration à un ancrage sûr.</x:v>
      </x:c>
      <x:c r="M12" s="7" t="str">
        <x:v>La carte est une extension originale, sans plan canonique prétendu.</x:v>
      </x:c>
      <x:c r="N12" s="7" t="str">
        <x:v>Le groupe arrive au bon ancrage après chargement ; aller-retour ne duplique ni objet ni dialogue.</x:v>
      </x:c>
      <x:c r="O12" s="7" t="str">
        <x:v>REV-MAP-DAHTAN, REV-MAP-CONVOY</x:v>
      </x:c>
      <x:c r="P12" s="7" t="str"/>
      <x:c r="Q12" s="7" t="str"/>
      <x:c r="R12" s="7" t="str"/>
      <x:c r="S12" s="7" t="str">
        <x:v>Boucle de parcours de production ; la dernière liaison sert à la consultation post-module, pas à remonter le temps.</x:v>
      </x:c>
    </x:row>
    <x:row r="13" ht="54" customHeight="1">
      <x:c r="A13" s="18" t="str">
        <x:v>REV-LNK-CONVOY</x:v>
      </x:c>
      <x:c r="B13" s="9" t="str">
        <x:v>Couloir de transfert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transfert au bloc Secteur de raffinerie;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links/rev.json : convoy -&gt; refinery; sauvegarde avant transit, restauration à un ancrage sûr.</x:v>
      </x:c>
      <x:c r="M13" s="9" t="str">
        <x:v>Le convoi ne devient pas une route d’évasion alternative canonique.</x:v>
      </x:c>
      <x:c r="N13" s="9" t="str">
        <x:v>Le groupe arrive au bon ancrage après chargement ; aller-retour ne duplique ni objet ni dialogue.</x:v>
      </x:c>
      <x:c r="O13" s="9" t="str">
        <x:v>REV-MAP-CONVOY, REV-MAP-REFINERY</x:v>
      </x:c>
      <x:c r="P13" s="9" t="str"/>
      <x:c r="Q13" s="9" t="str"/>
      <x:c r="R13" s="9" t="str"/>
      <x:c r="S13" s="9" t="str">
        <x:v>Boucle de parcours de production ; la dernière liaison sert à la consultation post-module, pas à remonter le temps.</x:v>
      </x:c>
    </x:row>
    <x:row r="14" ht="54" customHeight="1">
      <x:c r="A14" s="19" t="str">
        <x:v>REV-LNK-REFINERY</x:v>
      </x:c>
      <x:c r="B14" s="7" t="str">
        <x:v>Secteur de raffinerie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de raffinerie au bloc Périmètre de Sidon;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links/rev.json : refinery -&gt; sidon; sauvegarde avant transit, restauration à un ancrage sûr.</x:v>
      </x:c>
      <x:c r="M14" s="7" t="str">
        <x:v>La résolution rejoint la continuité du roman.</x:v>
      </x:c>
      <x:c r="N14" s="7" t="str">
        <x:v>Le groupe arrive au bon ancrage après chargement ; aller-retour ne duplique ni objet ni dialogue.</x:v>
      </x:c>
      <x:c r="O14" s="7" t="str">
        <x:v>REV-MAP-REFINERY, REV-MAP-SIDON</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5be869c7ae1432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Revelation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REV-SET-SIDON</x:v>
      </x:c>
      <x:c r="B7" s="9" t="str">
        <x:v>Périmètre de Sidon — kit de décor</x:v>
      </x:c>
      <x:c r="C7" s="15" t="str">
        <x:v>Défini</x:v>
      </x:c>
      <x:c r="D7" s="16" t="str">
        <x:v>Extrapolation</x:v>
      </x:c>
      <x:c r="E7" s="16" t="str">
        <x:v>P1</x:v>
      </x:c>
      <x:c r="F7" s="9" t="str">
        <x:v>Production originale des éléments fixes de la carte liée.</x:v>
      </x:c>
      <x:c r="G7" s="9" t="str">
        <x:v>Plaques brûlées, éclairage de balisage, silhouettes de structures sans gore détaillé. Construire trois profondeurs de décor avec variantes intacte et perturbée si utiles.</x:v>
      </x:c>
      <x:c r="H7" s="9" t="str">
        <x:v>Le décor signale la règle : Des conduites instables coupent temporairement une ligne de passage.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assets/rev/sets/sidon/ ; collider séparé du mesh et des ornements.</x:v>
      </x:c>
      <x:c r="M7" s="9" t="str">
        <x:v>Quitter seulement lorsque le lot d’indices local est consigné.</x:v>
      </x:c>
      <x:c r="N7" s="9" t="str">
        <x:v>Aucun détail décoratif ne ressemble à tort à une porte ; vue complète vérifiée en petite résolution.</x:v>
      </x:c>
      <x:c r="O7" s="9" t="str">
        <x:v>REV-MAP-SIDON</x:v>
      </x:c>
      <x:c r="P7" s="9" t="str"/>
      <x:c r="Q7" s="9" t="str"/>
      <x:c r="R7" s="9" t="str"/>
      <x:c r="S7" s="9" t="str"/>
    </x:row>
    <x:row r="8" ht="68" customHeight="1">
      <x:c r="A8" s="19" t="str">
        <x:v>REV-SET-HASTINGS</x:v>
      </x:c>
      <x:c r="B8" s="7" t="str">
        <x:v>Espace de débrief du Hastings — kit de décor</x:v>
      </x:c>
      <x:c r="C8" s="15" t="str">
        <x:v>Défini</x:v>
      </x:c>
      <x:c r="D8" s="17" t="str">
        <x:v>Extrapolation</x:v>
      </x:c>
      <x:c r="E8" s="17" t="str">
        <x:v>P1</x:v>
      </x:c>
      <x:c r="F8" s="7" t="str">
        <x:v>Production originale des éléments fixes de la carte liée.</x:v>
      </x:c>
      <x:c r="G8" s="7" t="str">
        <x:v>Métal bleu froid, sièges militaires, casiers personnalisés avec parcimonie. Construire trois profondeurs de décor avec variantes intacte et perturbée si utiles.</x:v>
      </x:c>
      <x:c r="H8" s="7" t="str">
        <x:v>Le décor signale la règle : Les soins et le débrief consomment du temps de préparation simulé.</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assets/rev/sets/hastings/ ; collider séparé du mesh et des ornements.</x:v>
      </x:c>
      <x:c r="M8" s="7" t="str">
        <x:v>Aucun voyage libre hors des étapes prévues.</x:v>
      </x:c>
      <x:c r="N8" s="7" t="str">
        <x:v>Aucun détail décoratif ne ressemble à tort à une porte ; vue complète vérifiée en petite résolution.</x:v>
      </x:c>
      <x:c r="O8" s="7" t="str">
        <x:v>REV-MAP-HASTINGS</x:v>
      </x:c>
      <x:c r="P8" s="7" t="str"/>
      <x:c r="Q8" s="7" t="str"/>
      <x:c r="R8" s="7" t="str"/>
      <x:c r="S8" s="7" t="str"/>
    </x:row>
    <x:row r="9" ht="68" customHeight="1">
      <x:c r="A9" s="18" t="str">
        <x:v>REV-SET-CITADEL</x:v>
      </x:c>
      <x:c r="B9" s="9" t="str">
        <x:v>Accueil concilien proposé — kit de décor</x:v>
      </x:c>
      <x:c r="C9" s="15" t="str">
        <x:v>Défini</x:v>
      </x:c>
      <x:c r="D9" s="16" t="str">
        <x:v>Extrapolation</x:v>
      </x:c>
      <x:c r="E9" s="16" t="str">
        <x:v>P1</x:v>
      </x:c>
      <x:c r="F9" s="9" t="str">
        <x:v>Production originale des éléments fixes de la carte liée.</x:v>
      </x:c>
      <x:c r="G9" s="9" t="str">
        <x:v>Volumes propres et interfaces multilingues ; signalétique originale. Construire trois profondeurs de décor avec variantes intacte et perturbée si utiles.</x:v>
      </x:c>
      <x:c r="H9" s="9" t="str">
        <x:v>Le décor signale la règle : Un contrôle d’autorisation remplace un verrou de combat.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assets/rev/sets/citadel/ ; collider séparé du mesh et des ornements.</x:v>
      </x:c>
      <x:c r="M9" s="9" t="str">
        <x:v>Accès au bureau après enregistrement du dossier.</x:v>
      </x:c>
      <x:c r="N9" s="9" t="str">
        <x:v>Aucun détail décoratif ne ressemble à tort à une porte ; vue complète vérifiée en petite résolution.</x:v>
      </x:c>
      <x:c r="O9" s="9" t="str">
        <x:v>REV-MAP-CITADEL</x:v>
      </x:c>
      <x:c r="P9" s="9" t="str"/>
      <x:c r="Q9" s="9" t="str"/>
      <x:c r="R9" s="9" t="str"/>
      <x:c r="S9" s="9" t="str"/>
    </x:row>
    <x:row r="10" ht="54" customHeight="1">
      <x:c r="A10" s="19" t="str">
        <x:v>REV-SET-ELYSIUM</x:v>
      </x:c>
      <x:c r="B10" s="7" t="str">
        <x:v>Abords du refuge — kit de décor</x:v>
      </x:c>
      <x:c r="C10" s="15" t="str">
        <x:v>Défini</x:v>
      </x:c>
      <x:c r="D10" s="17" t="str">
        <x:v>Extrapolation</x:v>
      </x:c>
      <x:c r="E10" s="17" t="str">
        <x:v>P1</x:v>
      </x:c>
      <x:c r="F10" s="7" t="str">
        <x:v>Production originale des éléments fixes de la carte liée.</x:v>
      </x:c>
      <x:c r="G10" s="7" t="str">
        <x:v>Végétation domestique, mobilier habité, clôtures basses. Construire trois profondeurs de décor avec variantes intacte et perturbée si utiles.</x:v>
      </x:c>
      <x:c r="H10" s="7" t="str">
        <x:v>Le décor signale la règle : L’escorte doit éviter une ligne de tir annoncée.</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assets/rev/sets/elysium/ ; collider séparé du mesh et des ornements.</x:v>
      </x:c>
      <x:c r="M10" s="7" t="str">
        <x:v>Préserver les personnes requises par la continuité.</x:v>
      </x:c>
      <x:c r="N10" s="7" t="str">
        <x:v>Aucun détail décoratif ne ressemble à tort à une porte ; vue complète vérifiée en petite résolution.</x:v>
      </x:c>
      <x:c r="O10" s="7" t="str">
        <x:v>REV-MAP-ELYSIUM</x:v>
      </x:c>
      <x:c r="P10" s="7" t="str"/>
      <x:c r="Q10" s="7" t="str"/>
      <x:c r="R10" s="7" t="str"/>
      <x:c r="S10" s="7" t="str"/>
    </x:row>
    <x:row r="11" ht="54" customHeight="1">
      <x:c r="A11" s="18" t="str">
        <x:v>REV-SET-CAMALA</x:v>
      </x:c>
      <x:c r="B11" s="9" t="str">
        <x:v>Débarcadère industriel — kit de décor</x:v>
      </x:c>
      <x:c r="C11" s="15" t="str">
        <x:v>Défini</x:v>
      </x:c>
      <x:c r="D11" s="16" t="str">
        <x:v>Extrapolation</x:v>
      </x:c>
      <x:c r="E11" s="16" t="str">
        <x:v>P1</x:v>
      </x:c>
      <x:c r="F11" s="9" t="str">
        <x:v>Production originale des éléments fixes de la carte liée.</x:v>
      </x:c>
      <x:c r="G11" s="9" t="str">
        <x:v>Atmosphère de travail, palettes, panneaux de manutention. Construire trois profondeurs de décor avec variantes intacte et perturbée si utiles.</x:v>
      </x:c>
      <x:c r="H11" s="9" t="str">
        <x:v>Le décor signale la règle : Portes de service alternant selon l’état des équipements.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assets/rev/sets/camala/ ; collider séparé du mesh et des ornements.</x:v>
      </x:c>
      <x:c r="M11" s="9" t="str">
        <x:v>Départ conditionné par un accès industriel acquis.</x:v>
      </x:c>
      <x:c r="N11" s="9" t="str">
        <x:v>Aucun détail décoratif ne ressemble à tort à une porte ; vue complète vérifiée en petite résolution.</x:v>
      </x:c>
      <x:c r="O11" s="9" t="str">
        <x:v>REV-MAP-CAMALA</x:v>
      </x:c>
      <x:c r="P11" s="9" t="str"/>
      <x:c r="Q11" s="9" t="str"/>
      <x:c r="R11" s="9" t="str"/>
      <x:c r="S11" s="9" t="str"/>
    </x:row>
    <x:row r="12" ht="54" customHeight="1">
      <x:c r="A12" s="19" t="str">
        <x:v>REV-SET-DAHTAN</x:v>
      </x:c>
      <x:c r="B12" s="7" t="str">
        <x:v>Annexe de Dah’tan — kit de décor</x:v>
      </x:c>
      <x:c r="C12" s="15" t="str">
        <x:v>Défini</x:v>
      </x:c>
      <x:c r="D12" s="17" t="str">
        <x:v>Extrapolation</x:v>
      </x:c>
      <x:c r="E12" s="17" t="str">
        <x:v>P1</x:v>
      </x:c>
      <x:c r="F12" s="7" t="str">
        <x:v>Production originale des éléments fixes de la carte liée.</x:v>
      </x:c>
      <x:c r="G12" s="7" t="str">
        <x:v>Machines interrompues, verrières ternies, conduits lourds. Construire trois profondeurs de décor avec variantes intacte et perturbée si utiles.</x:v>
      </x:c>
      <x:c r="H12" s="7" t="str">
        <x:v>Le décor signale la règle : Comparer l’indice de sécurité au journal local avant activation.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assets/rev/sets/dahtan/ ; collider séparé du mesh et des ornements.</x:v>
      </x:c>
      <x:c r="M12" s="7" t="str">
        <x:v>La carte est une extension originale, sans plan canonique prétendu.</x:v>
      </x:c>
      <x:c r="N12" s="7" t="str">
        <x:v>Aucun détail décoratif ne ressemble à tort à une porte ; vue complète vérifiée en petite résolution.</x:v>
      </x:c>
      <x:c r="O12" s="7" t="str">
        <x:v>REV-MAP-DAHTAN</x:v>
      </x:c>
      <x:c r="P12" s="7" t="str"/>
      <x:c r="Q12" s="7" t="str"/>
      <x:c r="R12" s="7" t="str"/>
      <x:c r="S12" s="7" t="str"/>
    </x:row>
    <x:row r="13" ht="54" customHeight="1">
      <x:c r="A13" s="18" t="str">
        <x:v>REV-SET-CONVOY</x:v>
      </x:c>
      <x:c r="B13" s="9" t="str">
        <x:v>Couloir de transfert — kit de décor</x:v>
      </x:c>
      <x:c r="C13" s="15" t="str">
        <x:v>Défini</x:v>
      </x:c>
      <x:c r="D13" s="16" t="str">
        <x:v>Extrapolation</x:v>
      </x:c>
      <x:c r="E13" s="16" t="str">
        <x:v>P1</x:v>
      </x:c>
      <x:c r="F13" s="9" t="str">
        <x:v>Production originale des éléments fixes de la carte liée.</x:v>
      </x:c>
      <x:c r="G13" s="9" t="str">
        <x:v>Rover de transport stylisé, relief sec, signalétique de convoi. Construire trois profondeurs de décor avec variantes intacte et perturbée si utiles.</x:v>
      </x:c>
      <x:c r="H13" s="9" t="str">
        <x:v>Le décor signale la règle : Fenêtres de traversée sous pression ennemie proposée.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assets/rev/sets/convoy/ ; collider séparé du mesh et des ornements.</x:v>
      </x:c>
      <x:c r="M13" s="9" t="str">
        <x:v>Le convoi ne devient pas une route d’évasion alternative canonique.</x:v>
      </x:c>
      <x:c r="N13" s="9" t="str">
        <x:v>Aucun détail décoratif ne ressemble à tort à une porte ; vue complète vérifiée en petite résolution.</x:v>
      </x:c>
      <x:c r="O13" s="9" t="str">
        <x:v>REV-MAP-CONVOY</x:v>
      </x:c>
      <x:c r="P13" s="9" t="str"/>
      <x:c r="Q13" s="9" t="str"/>
      <x:c r="R13" s="9" t="str"/>
      <x:c r="S13" s="9" t="str"/>
    </x:row>
    <x:row r="14" ht="54" customHeight="1">
      <x:c r="A14" s="19" t="str">
        <x:v>REV-SET-REFINERY</x:v>
      </x:c>
      <x:c r="B14" s="7" t="str">
        <x:v>Secteur de raffinerie — kit de décor</x:v>
      </x:c>
      <x:c r="C14" s="15" t="str">
        <x:v>Défini</x:v>
      </x:c>
      <x:c r="D14" s="17" t="str">
        <x:v>Extrapolation</x:v>
      </x:c>
      <x:c r="E14" s="17" t="str">
        <x:v>P1</x:v>
      </x:c>
      <x:c r="F14" s="7" t="str">
        <x:v>Production originale des éléments fixes de la carte liée.</x:v>
      </x:c>
      <x:c r="G14" s="7" t="str">
        <x:v>Cuves, vapeur contrôlée, grandes poutres et bassins masqués. Construire trois profondeurs de décor avec variantes intacte et perturbée si utiles.</x:v>
      </x:c>
      <x:c r="H14" s="7" t="str">
        <x:v>Le décor signale la règle : Énergie des pompes à redistribuer pour ouvrir l’extraction.</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assets/rev/sets/refinery/ ; collider séparé du mesh et des ornements.</x:v>
      </x:c>
      <x:c r="M14" s="7" t="str">
        <x:v>La résolution rejoint la continuité du roman.</x:v>
      </x:c>
      <x:c r="N14" s="7" t="str">
        <x:v>Aucun détail décoratif ne ressemble à tort à une porte ; vue complète vérifiée en petite résolution.</x:v>
      </x:c>
      <x:c r="O14" s="7" t="str">
        <x:v>REV-MAP-REFINERY</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de3219c22964937"/>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Revelation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REV-REF-EEZO</x:v>
      </x:c>
      <x:c r="B7" s="9" t="str">
        <x:v>Raffinerie d’élément zéro</x:v>
      </x:c>
      <x:c r="C7" s="15" t="str">
        <x:v>Défini</x:v>
      </x:c>
      <x:c r="D7" s="16" t="str">
        <x:v>Établi</x:v>
      </x:c>
      <x:c r="E7" s="16" t="str">
        <x:v>P1</x:v>
      </x:c>
      <x:c r="F7" s="9" t="str">
        <x:v>Had’dah utilise une raffinerie comme refuge.</x:v>
      </x:c>
      <x:c r="G7" s="9" t="str">
        <x:v>Ancrage documentaire du module ; aucune statistique officielle inférée.</x:v>
      </x:c>
      <x:c r="H7" s="9" t="str"/>
      <x:c r="I7" s="9" t="str"/>
      <x:c r="J7" s="9" t="str"/>
      <x:c r="K7" s="9" t="str"/>
      <x:c r="L7" s="9" t="str">
        <x:v>Codex ref.rev.eezo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6175f42d2d9452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Revelation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REV-ENC-SUNPATROL</x:v>
      </x:c>
      <x:c r="B7" s="9" t="str">
        <x:v>Patrouille mercenaire proposée</x:v>
      </x:c>
      <x:c r="C7" s="15" t="str">
        <x:v>Défini</x:v>
      </x:c>
      <x:c r="D7" s="16" t="str">
        <x:v>Extrapolation</x:v>
      </x:c>
      <x:c r="E7" s="16" t="str">
        <x:v>P1</x:v>
      </x:c>
      <x:c r="F7" s="9" t="str">
        <x:v>Rencontre originale proposée : Rencontre de Soleils Bleus dans une annexe originale.</x:v>
      </x:c>
      <x:c r="G7" s="9" t="str">
        <x:v>Opposition ou crise scénarisée pour le groupe ; ne pas attribuer au roman une barre de vie ou un rang de boss.</x:v>
      </x:c>
      <x:c r="H7" s="9" t="str">
        <x:v>Balayage en éventail puis déplacement vers un couvert. Réponse du joueur : Contourner par le passage latéral ou interrompre l’observateur.</x:v>
      </x:c>
      <x:c r="I7" s="9" t="str">
        <x:v>Visée au sol et redressement d’un tireur de silhouette distincte.</x:v>
      </x:c>
      <x:c r="J7" s="9" t="str">
        <x:v>Anticipation identifiable, action, récupération exploitable ; variante de sortie non létale lorsque pertinente.</x:v>
      </x:c>
      <x:c r="K7" s="9" t="str">
        <x:v>Motif de danger spécifique, sous-titre bref et avertissement visuel.</x:v>
      </x:c>
      <x:c r="L7" s="9" t="str">
        <x:v>encounters/rev/sunpatrol.json ; activer seulement dans les zones prévues.</x:v>
      </x:c>
      <x:c r="M7" s="9" t="str">
        <x:v>Conserver la trajectoire menant à Mass Effect : Anderson ne devient pas Spectre dans ce module et les intentions de Saren ne deviennent pas un savoir public anticipé.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REV-ENC-SKARRPRESS</x:v>
      </x:c>
      <x:c r="B8" s="7" t="str">
        <x:v>Pression de Skarr — segment de boss proposé</x:v>
      </x:c>
      <x:c r="C8" s="15" t="str">
        <x:v>Défini</x:v>
      </x:c>
      <x:c r="D8" s="17" t="str">
        <x:v>Extrapolation</x:v>
      </x:c>
      <x:c r="E8" s="17" t="str">
        <x:v>P1</x:v>
      </x:c>
      <x:c r="F8" s="7" t="str">
        <x:v>Rencontre originale proposée : Épreuve d’escorte inspirée de l’adversaire, sans nouvelle issue.</x:v>
      </x:c>
      <x:c r="G8" s="7" t="str">
        <x:v>Opposition ou crise scénarisée pour le groupe ; ne pas attribuer au roman une barre de vie ou un rang de boss.</x:v>
      </x:c>
      <x:c r="H8" s="7" t="str">
        <x:v>Menace une zone d’abri puis laisse un créneau de déplacement. Réponse du joueur : Quitter l’axe annoncé et protéger la personne escortée.</x:v>
      </x:c>
      <x:c r="I8" s="7" t="str">
        <x:v>Impulsion biotique concentrée et objet qui tremble avant projection.</x:v>
      </x:c>
      <x:c r="J8" s="7" t="str">
        <x:v>Anticipation identifiable, action, récupération exploitable ; variante de sortie non létale lorsque pertinente.</x:v>
      </x:c>
      <x:c r="K8" s="7" t="str">
        <x:v>Motif de danger spécifique, sous-titre bref et avertissement visuel.</x:v>
      </x:c>
      <x:c r="L8" s="7" t="str">
        <x:v>encounters/rev/skarrpress.json ; activer seulement dans les zones prévues.</x:v>
      </x:c>
      <x:c r="M8" s="7" t="str">
        <x:v>Conserver la trajectoire menant à Mass Effect : Anderson ne devient pas Spectre dans ce module et les intentions de Saren ne deviennent pas un savoir public anticipé.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REV-ENC-GUARD</x:v>
      </x:c>
      <x:c r="B9" s="9" t="str">
        <x:v>Garde de registre proposée</x:v>
      </x:c>
      <x:c r="C9" s="15" t="str">
        <x:v>Défini</x:v>
      </x:c>
      <x:c r="D9" s="16" t="str">
        <x:v>Extrapolation</x:v>
      </x:c>
      <x:c r="E9" s="16" t="str">
        <x:v>P1</x:v>
      </x:c>
      <x:c r="F9" s="9" t="str">
        <x:v>Rencontre originale proposée : Obstacle local ajouté au complexe industriel.</x:v>
      </x:c>
      <x:c r="G9" s="9" t="str">
        <x:v>Opposition ou crise scénarisée pour le groupe ; ne pas attribuer au roman une barre de vie ou un rang de boss.</x:v>
      </x:c>
      <x:c r="H9" s="9" t="str">
        <x:v>Alterne surveillance du terminal et appel de renfort simulé. Réponse du joueur : Couper la communication ou agir pendant son retournement.</x:v>
      </x:c>
      <x:c r="I9" s="9" t="str">
        <x:v>Voyant de communication et changement visible d’orientation.</x:v>
      </x:c>
      <x:c r="J9" s="9" t="str">
        <x:v>Anticipation identifiable, action, récupération exploitable ; variante de sortie non létale lorsque pertinente.</x:v>
      </x:c>
      <x:c r="K9" s="9" t="str">
        <x:v>Motif de danger spécifique, sous-titre bref et avertissement visuel.</x:v>
      </x:c>
      <x:c r="L9" s="9" t="str">
        <x:v>encounters/rev/guard.json ; activer seulement dans les zones prévues.</x:v>
      </x:c>
      <x:c r="M9" s="9" t="str">
        <x:v>Conserver la trajectoire menant à Mass Effect : Anderson ne devient pas Spectre dans ce module et les intentions de Saren ne deviennent pas un savoir public anticipé.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REV-ENC-PUMP</x:v>
      </x:c>
      <x:c r="B10" s="7" t="str">
        <x:v>Crise des pompes</x:v>
      </x:c>
      <x:c r="C10" s="15" t="str">
        <x:v>Défini</x:v>
      </x:c>
      <x:c r="D10" s="17" t="str">
        <x:v>Extrapolation</x:v>
      </x:c>
      <x:c r="E10" s="17" t="str">
        <x:v>P1</x:v>
      </x:c>
      <x:c r="F10" s="7" t="str">
        <x:v>Rencontre originale proposée : Boss environnemental original de raffinerie.</x:v>
      </x:c>
      <x:c r="G10" s="7" t="str">
        <x:v>Opposition ou crise scénarisée pour le groupe ; ne pas attribuer au roman une barre de vie ou un rang de boss.</x:v>
      </x:c>
      <x:c r="H10" s="7" t="str">
        <x:v>Une conduite obstrue un passage tant que la dérivation n’est pas activée. Réponse du joueur : Isoler le circuit depuis le poste secondaire.</x:v>
      </x:c>
      <x:c r="I10" s="7" t="str">
        <x:v>Givre, sifflement et hachures sur la portion fermée.</x:v>
      </x:c>
      <x:c r="J10" s="7" t="str">
        <x:v>Anticipation identifiable, action, récupération exploitable ; variante de sortie non létale lorsque pertinente.</x:v>
      </x:c>
      <x:c r="K10" s="7" t="str">
        <x:v>Motif de danger spécifique, sous-titre bref et avertissement visuel.</x:v>
      </x:c>
      <x:c r="L10" s="7" t="str">
        <x:v>encounters/rev/pump.json ; activer seulement dans les zones prévues.</x:v>
      </x:c>
      <x:c r="M10" s="7" t="str">
        <x:v>Conserver la trajectoire menant à Mass Effect : Anderson ne devient pas Spectre dans ce module et les intentions de Saren ne deviennent pas un savoir public anticipé.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083e722482e43b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Revelation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REV-MIS-TRACE</x:v>
      </x:c>
      <x:c r="B7" s="9" t="str">
        <x:v>Tracer les dernières activités</x:v>
      </x:c>
      <x:c r="C7" s="15" t="str">
        <x:v>Défini</x:v>
      </x:c>
      <x:c r="D7" s="16" t="str">
        <x:v>Extrapolation</x:v>
      </x:c>
      <x:c r="E7" s="16" t="str">
        <x:v>P0</x:v>
      </x:c>
      <x:c r="F7" s="9" t="str">
        <x:v>Mission originale d’adaptation, inspirée d’un enjeu général de l’œuvre.</x:v>
      </x:c>
      <x:c r="G7" s="9" t="str">
        <x:v>Reconstituer un court itinéraire technique dans une annexe de Sidon.</x:v>
      </x:c>
      <x:c r="H7" s="9" t="str">
        <x:v>Observer trois classes de trace proposées ; croiser horodatage, accès et déplacement avant de conclure.</x:v>
      </x:c>
      <x:c r="I7" s="9" t="str">
        <x:v>Objectif spatial associé à Périmètre de Sidon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quests/rev/trace.json ; états offered/active/resolved ; clés de progression propres au module.</x:v>
      </x:c>
      <x:c r="M7" s="9" t="str">
        <x:v>Ne pas donner au groupe une connaissance des Moissonneurs qu’il n’a pas.</x:v>
      </x:c>
      <x:c r="N7" s="9" t="str">
        <x:v>Le joueur peut accomplir « Reconstituer un court itinéraire technique dans une annexe de Sidon. » et la sortie confirme le résultat ; Ne pas donner au groupe une connaissance des Moissonneurs qu’il n’a pas.</x:v>
      </x:c>
      <x:c r="O7" s="9" t="str">
        <x:v>REV-MAP-SIDON</x:v>
      </x:c>
      <x:c r="P7" s="9" t="str"/>
      <x:c r="Q7" s="9" t="str"/>
      <x:c r="R7" s="9" t="str"/>
      <x:c r="S7" s="9" t="str"/>
    </x:row>
    <x:row r="8" ht="68" customHeight="1">
      <x:c r="A8" s="19" t="str">
        <x:v>REV-MIS-WITNESS</x:v>
      </x:c>
      <x:c r="B8" s="7" t="str">
        <x:v>Préparer la protection du témoin</x:v>
      </x:c>
      <x:c r="C8" s="15" t="str">
        <x:v>Défini</x:v>
      </x:c>
      <x:c r="D8" s="17" t="str">
        <x:v>Extrapolation</x:v>
      </x:c>
      <x:c r="E8" s="17" t="str">
        <x:v>P0</x:v>
      </x:c>
      <x:c r="F8" s="7" t="str">
        <x:v>Mission originale d’adaptation, inspirée d’un enjeu général de l’œuvre.</x:v>
      </x:c>
      <x:c r="G8" s="7" t="str">
        <x:v>Organiser le matériel et la disponibilité de l’équipe avant transit.</x:v>
      </x:c>
      <x:c r="H8" s="7" t="str">
        <x:v>Affecter soutien, surveillance et analyse à des postes de préparation distincts.</x:v>
      </x:c>
      <x:c r="I8" s="7" t="str">
        <x:v>Objectif spatial associé à Espace de débrief du Hastings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quests/rev/witness.json ; états offered/active/resolved ; clés de progression propres au module.</x:v>
      </x:c>
      <x:c r="M8" s="7" t="str">
        <x:v>Aucun personnage n’est remplacé par Shepard.</x:v>
      </x:c>
      <x:c r="N8" s="7" t="str">
        <x:v>Le joueur peut accomplir « Organiser le matériel et la disponibilité de l’équipe avant transit. » et la sortie confirme le résultat ; Aucun personnage n’est remplacé par Shepard.</x:v>
      </x:c>
      <x:c r="O8" s="7" t="str">
        <x:v>REV-MAP-HASTINGS</x:v>
      </x:c>
      <x:c r="P8" s="7" t="str"/>
      <x:c r="Q8" s="7" t="str"/>
      <x:c r="R8" s="7" t="str"/>
      <x:c r="S8" s="7" t="str"/>
    </x:row>
    <x:row r="9" ht="68" customHeight="1">
      <x:c r="A9" s="18" t="str">
        <x:v>REV-MIS-ACCESS</x:v>
      </x:c>
      <x:c r="B9" s="9" t="str">
        <x:v>Obtenir l’accès aux registres</x:v>
      </x:c>
      <x:c r="C9" s="15" t="str">
        <x:v>Défini</x:v>
      </x:c>
      <x:c r="D9" s="16" t="str">
        <x:v>Extrapolation</x:v>
      </x:c>
      <x:c r="E9" s="16" t="str">
        <x:v>P0</x:v>
      </x:c>
      <x:c r="F9" s="9" t="str">
        <x:v>Mission originale d’adaptation, inspirée d’un enjeu général de l’œuvre.</x:v>
      </x:c>
      <x:c r="G9" s="9" t="str">
        <x:v>Faire reconnaître le besoin d’enquête dans un espace administratif proposé.</x:v>
      </x:c>
      <x:c r="H9" s="9" t="str">
        <x:v>Présenter un indice déjà acquis, répondre à une réserve puis obtenir un créneau d’accès.</x:v>
      </x:c>
      <x:c r="I9" s="9" t="str">
        <x:v>Objectif spatial associé à Accueil concilien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quests/rev/access.json ; états offered/active/resolved ; clés de progression propres au module.</x:v>
      </x:c>
      <x:c r="M9" s="9" t="str">
        <x:v>Le statut de Spectre n’est pas attribué à Anderson.</x:v>
      </x:c>
      <x:c r="N9" s="9" t="str">
        <x:v>Le joueur peut accomplir « Faire reconnaître le besoin d’enquête dans un espace administratif proposé. » et la sortie confirme le résultat ; Le statut de Spectre n’est pas attribué à Anderson.</x:v>
      </x:c>
      <x:c r="O9" s="9" t="str">
        <x:v>REV-MAP-CITADEL</x:v>
      </x:c>
      <x:c r="P9" s="9" t="str"/>
      <x:c r="Q9" s="9" t="str"/>
      <x:c r="R9" s="9" t="str"/>
      <x:c r="S9" s="9" t="str"/>
    </x:row>
    <x:row r="10" ht="68" customHeight="1">
      <x:c r="A10" s="19" t="str">
        <x:v>REV-MIS-REFUGE</x:v>
      </x:c>
      <x:c r="B10" s="7" t="str">
        <x:v>Sécuriser une évacuation locale</x:v>
      </x:c>
      <x:c r="C10" s="15" t="str">
        <x:v>Défini</x:v>
      </x:c>
      <x:c r="D10" s="17" t="str">
        <x:v>Extrapolation</x:v>
      </x:c>
      <x:c r="E10" s="17" t="str">
        <x:v>P0</x:v>
      </x:c>
      <x:c r="F10" s="7" t="str">
        <x:v>Mission originale d’adaptation, inspirée d’un enjeu général de l’œuvre.</x:v>
      </x:c>
      <x:c r="G10" s="7" t="str">
        <x:v>Aménager un itinéraire protecteur autour du refuge.</x:v>
      </x:c>
      <x:c r="H10" s="7" t="str">
        <x:v>Positionner le groupe, interrompre une ligne de pression et déplacer le témoin entre deux couverts.</x:v>
      </x:c>
      <x:c r="I10" s="7" t="str">
        <x:v>Objectif spatial associé à Abords du refuge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quests/rev/refuge.json ; états offered/active/resolved ; clés de progression propres au module.</x:v>
      </x:c>
      <x:c r="M10" s="7" t="str">
        <x:v>Pas de victoire libre sur Saren ni changement du rôle de Skarr.</x:v>
      </x:c>
      <x:c r="N10" s="7" t="str">
        <x:v>Le joueur peut accomplir « Aménager un itinéraire protecteur autour du refuge. » et la sortie confirme le résultat ; Pas de victoire libre sur Saren ni changement du rôle de Skarr.</x:v>
      </x:c>
      <x:c r="O10" s="7" t="str">
        <x:v>REV-MAP-ELYSIUM</x:v>
      </x:c>
      <x:c r="P10" s="7" t="str"/>
      <x:c r="Q10" s="7" t="str"/>
      <x:c r="R10" s="7" t="str"/>
      <x:c r="S10" s="7" t="str"/>
    </x:row>
    <x:row r="11" ht="68" customHeight="1">
      <x:c r="A11" s="18" t="str">
        <x:v>REV-MIS-MANIFEST</x:v>
      </x:c>
      <x:c r="B11" s="9" t="str">
        <x:v>Suivre un lot industriel</x:v>
      </x:c>
      <x:c r="C11" s="15" t="str">
        <x:v>Défini</x:v>
      </x:c>
      <x:c r="D11" s="16" t="str">
        <x:v>Extrapolation</x:v>
      </x:c>
      <x:c r="E11" s="16" t="str">
        <x:v>P0</x:v>
      </x:c>
      <x:c r="F11" s="9" t="str">
        <x:v>Mission originale d’adaptation, inspirée d’un enjeu général de l’œuvre.</x:v>
      </x:c>
      <x:c r="G11" s="9" t="str">
        <x:v>Comparer une livraison à sa destination dans le débarcadère de Camala.</x:v>
      </x:c>
      <x:c r="H11" s="9" t="str">
        <x:v>Scanner un manifeste fictif, vérifier un sceau et demander une confirmation au quai.</x:v>
      </x:c>
      <x:c r="I11" s="9" t="str">
        <x:v>Objectif spatial associé à Débarcadère industriel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quests/rev/manifest.json ; états offered/active/resolved ; clés de progression propres au module.</x:v>
      </x:c>
      <x:c r="M11" s="9" t="str">
        <x:v>Les noms de sociétés ajoutés restent des placeholders, pas du canon.</x:v>
      </x:c>
      <x:c r="N11" s="9" t="str">
        <x:v>Le joueur peut accomplir « Comparer une livraison à sa destination dans le débarcadère de Camala. » et la sortie confirme le résultat ; Les noms de sociétés ajoutés restent des placeholders, pas du canon.</x:v>
      </x:c>
      <x:c r="O11" s="9" t="str">
        <x:v>REV-MAP-CAMALA</x:v>
      </x:c>
      <x:c r="P11" s="9" t="str"/>
      <x:c r="Q11" s="9" t="str"/>
      <x:c r="R11" s="9" t="str"/>
      <x:c r="S11" s="9" t="str"/>
    </x:row>
    <x:row r="12" ht="68" customHeight="1">
      <x:c r="A12" s="19" t="str">
        <x:v>REV-MIS-ACCOUNT</x:v>
      </x:c>
      <x:c r="B12" s="7" t="str">
        <x:v>Protéger une déposition</x:v>
      </x:c>
      <x:c r="C12" s="15" t="str">
        <x:v>Défini</x:v>
      </x:c>
      <x:c r="D12" s="17" t="str">
        <x:v>Extrapolation</x:v>
      </x:c>
      <x:c r="E12" s="17" t="str">
        <x:v>P0</x:v>
      </x:c>
      <x:c r="F12" s="7" t="str">
        <x:v>Mission originale d’adaptation, inspirée d’un enjeu général de l’œuvre.</x:v>
      </x:c>
      <x:c r="G12" s="7" t="str">
        <x:v>Conserver un témoignage et ses pièces jointes pendant une coupure locale.</x:v>
      </x:c>
      <x:c r="H12" s="7" t="str">
        <x:v>Garder un terminal en ligne avec deux postes de maintenance ; couvrir l’opérateur.</x:v>
      </x:c>
      <x:c r="I12" s="7" t="str">
        <x:v>Objectif spatial associé à Annexe de Dah’tan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quests/rev/account.json ; états offered/active/resolved ; clés de progression propres au module.</x:v>
      </x:c>
      <x:c r="M12" s="7" t="str">
        <x:v>Aucun long aveu du roman n’est transcrit.</x:v>
      </x:c>
      <x:c r="N12" s="7" t="str">
        <x:v>Le joueur peut accomplir « Conserver un témoignage et ses pièces jointes pendant une coupure locale. » et la sortie confirme le résultat ; Aucun long aveu du roman n’est transcrit.</x:v>
      </x:c>
      <x:c r="O12" s="7" t="str">
        <x:v>REV-MAP-DAHTAN</x:v>
      </x:c>
      <x:c r="P12" s="7" t="str"/>
      <x:c r="Q12" s="7" t="str"/>
      <x:c r="R12" s="7" t="str"/>
      <x:c r="S12" s="7" t="str"/>
    </x:row>
    <x:row r="13" ht="68" customHeight="1">
      <x:c r="A13" s="18" t="str">
        <x:v>REV-MIS-PASSAGE</x:v>
      </x:c>
      <x:c r="B13" s="9" t="str">
        <x:v>Franchir le passage du convoi</x:v>
      </x:c>
      <x:c r="C13" s="15" t="str">
        <x:v>Défini</x:v>
      </x:c>
      <x:c r="D13" s="16" t="str">
        <x:v>Extrapolation</x:v>
      </x:c>
      <x:c r="E13" s="16" t="str">
        <x:v>P0</x:v>
      </x:c>
      <x:c r="F13" s="9" t="str">
        <x:v>Mission originale d’adaptation, inspirée d’un enjeu général de l’œuvre.</x:v>
      </x:c>
      <x:c r="G13" s="9" t="str">
        <x:v>Maintenir une escorte cohérente dans un engagement court.</x:v>
      </x:c>
      <x:c r="H13" s="9" t="str">
        <x:v>Le groupe ouvre un créneau de passage par couverture, analyse de trajet et interruption de menace.</x:v>
      </x:c>
      <x:c r="I13" s="9" t="str">
        <x:v>Objectif spatial associé à Couloir de transfert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quests/rev/passage.json ; états offered/active/resolved ; clés de progression propres au module.</x:v>
      </x:c>
      <x:c r="M13" s="9" t="str">
        <x:v>Ne pas permettre de sauver l’Iwo Jima via un choix présenté comme canon.</x:v>
      </x:c>
      <x:c r="N13" s="9" t="str">
        <x:v>Le joueur peut accomplir « Maintenir une escorte cohérente dans un engagement court. » et la sortie confirme le résultat ; Ne pas permettre de sauver l’Iwo Jima via un choix présenté comme canon.</x:v>
      </x:c>
      <x:c r="O13" s="9" t="str">
        <x:v>REV-MAP-CONVOY</x:v>
      </x:c>
      <x:c r="P13" s="9" t="str"/>
      <x:c r="Q13" s="9" t="str"/>
      <x:c r="R13" s="9" t="str"/>
      <x:c r="S13" s="9" t="str"/>
    </x:row>
    <x:row r="14" ht="68" customHeight="1">
      <x:c r="A14" s="19" t="str">
        <x:v>REV-MIS-EXTRACT</x:v>
      </x:c>
      <x:c r="B14" s="7" t="str">
        <x:v>Ouvrir l’extraction de raffinerie</x:v>
      </x:c>
      <x:c r="C14" s="15" t="str">
        <x:v>Défini</x:v>
      </x:c>
      <x:c r="D14" s="17" t="str">
        <x:v>Extrapolation</x:v>
      </x:c>
      <x:c r="E14" s="17" t="str">
        <x:v>P0</x:v>
      </x:c>
      <x:c r="F14" s="7" t="str">
        <x:v>Mission originale d’adaptation, inspirée d’un enjeu général de l’œuvre.</x:v>
      </x:c>
      <x:c r="G14" s="7" t="str">
        <x:v>Acheminer les personnes autorisées vers la sortie de service.</x:v>
      </x:c>
      <x:c r="H14" s="7" t="str">
        <x:v>Couper une alimentation dangereuse, lever un verrou puis tenir l’accès durant l’extraction.</x:v>
      </x:c>
      <x:c r="I14" s="7" t="str">
        <x:v>Objectif spatial associé à Secteur de raffinerie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quests/rev/extract.json ; états offered/active/resolved ; clés de progression propres au module.</x:v>
      </x:c>
      <x:c r="M14" s="7" t="str">
        <x:v>Préserver l’échec de la candidature Spectre d’Anderson.</x:v>
      </x:c>
      <x:c r="N14" s="7" t="str">
        <x:v>Le joueur peut accomplir « Acheminer les personnes autorisées vers la sortie de service. » et la sortie confirme le résultat ; Préserver l’échec de la candidature Spectre d’Anderson.</x:v>
      </x:c>
      <x:c r="O14" s="7" t="str">
        <x:v>REV-MAP-REFINERY</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572d3a397564dfa"/>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Revelation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REV-OPT-TRACE</x:v>
      </x:c>
      <x:c r="B7" s="9" t="str">
        <x:v>Tracer les dernières activités — tâche annexe</x:v>
      </x:c>
      <x:c r="C7" s="15" t="str">
        <x:v>Défini</x:v>
      </x:c>
      <x:c r="D7" s="16" t="str">
        <x:v>Extrapolation</x:v>
      </x:c>
      <x:c r="E7" s="16" t="str">
        <x:v>P1</x:v>
      </x:c>
      <x:c r="F7" s="9" t="str">
        <x:v>Objectif annexe créé pour l’adaptation.</x:v>
      </x:c>
      <x:c r="G7" s="9" t="str">
        <x:v>Retrouver un boîtier de secours pour ouvrir un abri de soin local.</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optional.rev.trace ; persister done/skipped, récompenser une seule fois.</x:v>
      </x:c>
      <x:c r="M7" s="9" t="str">
        <x:v>Facultatif ; peut être ignoré sans bloquer la mission. Ne pas donner au groupe une connaissance des Moissonneurs qu’il n’a pas.</x:v>
      </x:c>
      <x:c r="N7" s="9" t="str">
        <x:v>Ignorer puis terminer la mission fonctionne ; compléter ne verse la récompense qu’une fois.</x:v>
      </x:c>
      <x:c r="O7" s="9" t="str">
        <x:v>REV-MIS-TRACE</x:v>
      </x:c>
      <x:c r="P7" s="9" t="str"/>
      <x:c r="Q7" s="9" t="str"/>
      <x:c r="R7" s="9" t="str"/>
      <x:c r="S7" s="9" t="str"/>
    </x:row>
    <x:row r="8" ht="54" customHeight="1">
      <x:c r="A8" s="19" t="str">
        <x:v>REV-OPT-WITNESS</x:v>
      </x:c>
      <x:c r="B8" s="7" t="str">
        <x:v>Préparer la protection du témoin — tâche annexe</x:v>
      </x:c>
      <x:c r="C8" s="15" t="str">
        <x:v>Défini</x:v>
      </x:c>
      <x:c r="D8" s="17" t="str">
        <x:v>Extrapolation</x:v>
      </x:c>
      <x:c r="E8" s="17" t="str">
        <x:v>P1</x:v>
      </x:c>
      <x:c r="F8" s="7" t="str">
        <x:v>Objectif annexe créé pour l’adaptation.</x:v>
      </x:c>
      <x:c r="G8" s="7" t="str">
        <x:v>Classer un message anonyme selon son degré de confiance.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optional.rev.witness ; persister done/skipped, récompenser une seule fois.</x:v>
      </x:c>
      <x:c r="M8" s="7" t="str">
        <x:v>Facultatif ; peut être ignoré sans bloquer la mission. Aucun personnage n’est remplacé par Shepard.</x:v>
      </x:c>
      <x:c r="N8" s="7" t="str">
        <x:v>Ignorer puis terminer la mission fonctionne ; compléter ne verse la récompense qu’une fois.</x:v>
      </x:c>
      <x:c r="O8" s="7" t="str">
        <x:v>REV-MIS-WITNESS</x:v>
      </x:c>
      <x:c r="P8" s="7" t="str"/>
      <x:c r="Q8" s="7" t="str"/>
      <x:c r="R8" s="7" t="str"/>
      <x:c r="S8" s="7" t="str"/>
    </x:row>
    <x:row r="9" ht="54" customHeight="1">
      <x:c r="A9" s="18" t="str">
        <x:v>REV-OPT-ACCESS</x:v>
      </x:c>
      <x:c r="B9" s="9" t="str">
        <x:v>Obtenir l’accès aux registres — tâche annexe</x:v>
      </x:c>
      <x:c r="C9" s="15" t="str">
        <x:v>Défini</x:v>
      </x:c>
      <x:c r="D9" s="16" t="str">
        <x:v>Extrapolation</x:v>
      </x:c>
      <x:c r="E9" s="16" t="str">
        <x:v>P1</x:v>
      </x:c>
      <x:c r="F9" s="9" t="str">
        <x:v>Objectif annexe créé pour l’adaptation.</x:v>
      </x:c>
      <x:c r="G9" s="9" t="str">
        <x:v>Aider un technicien à retrouver une caisse mal indexée pour connaître un raccourci.</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optional.rev.access ; persister done/skipped, récompenser une seule fois.</x:v>
      </x:c>
      <x:c r="M9" s="9" t="str">
        <x:v>Facultatif ; peut être ignoré sans bloquer la mission. Le statut de Spectre n’est pas attribué à Anderson.</x:v>
      </x:c>
      <x:c r="N9" s="9" t="str">
        <x:v>Ignorer puis terminer la mission fonctionne ; compléter ne verse la récompense qu’une fois.</x:v>
      </x:c>
      <x:c r="O9" s="9" t="str">
        <x:v>REV-MIS-ACCESS</x:v>
      </x:c>
      <x:c r="P9" s="9" t="str"/>
      <x:c r="Q9" s="9" t="str"/>
      <x:c r="R9" s="9" t="str"/>
      <x:c r="S9" s="9" t="str"/>
    </x:row>
    <x:row r="10" ht="54" customHeight="1">
      <x:c r="A10" s="19" t="str">
        <x:v>REV-OPT-REFUGE</x:v>
      </x:c>
      <x:c r="B10" s="7" t="str">
        <x:v>Sécuriser une évacuation locale — tâche annexe</x:v>
      </x:c>
      <x:c r="C10" s="15" t="str">
        <x:v>Défini</x:v>
      </x:c>
      <x:c r="D10" s="17" t="str">
        <x:v>Extrapolation</x:v>
      </x:c>
      <x:c r="E10" s="17" t="str">
        <x:v>P1</x:v>
      </x:c>
      <x:c r="F10" s="7" t="str">
        <x:v>Objectif annexe créé pour l’adaptation.</x:v>
      </x:c>
      <x:c r="G10" s="7" t="str">
        <x:v>Rassembler les affaires urgentes du refuge comme interaction civile.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optional.rev.refuge ; persister done/skipped, récompenser une seule fois.</x:v>
      </x:c>
      <x:c r="M10" s="7" t="str">
        <x:v>Facultatif ; peut être ignoré sans bloquer la mission. Pas de victoire libre sur Saren ni changement du rôle de Skarr.</x:v>
      </x:c>
      <x:c r="N10" s="7" t="str">
        <x:v>Ignorer puis terminer la mission fonctionne ; compléter ne verse la récompense qu’une fois.</x:v>
      </x:c>
      <x:c r="O10" s="7" t="str">
        <x:v>REV-MIS-REFUGE</x:v>
      </x:c>
      <x:c r="P10" s="7" t="str"/>
      <x:c r="Q10" s="7" t="str"/>
      <x:c r="R10" s="7" t="str"/>
      <x:c r="S10" s="7" t="str"/>
    </x:row>
    <x:row r="11" ht="54" customHeight="1">
      <x:c r="A11" s="18" t="str">
        <x:v>REV-OPT-MANIFEST</x:v>
      </x:c>
      <x:c r="B11" s="9" t="str">
        <x:v>Suivre un lot industriel — tâche annexe</x:v>
      </x:c>
      <x:c r="C11" s="15" t="str">
        <x:v>Défini</x:v>
      </x:c>
      <x:c r="D11" s="16" t="str">
        <x:v>Extrapolation</x:v>
      </x:c>
      <x:c r="E11" s="16" t="str">
        <x:v>P1</x:v>
      </x:c>
      <x:c r="F11" s="9" t="str">
        <x:v>Objectif annexe créé pour l’adaptation.</x:v>
      </x:c>
      <x:c r="G11" s="9" t="str">
        <x:v>Réparer un chariot pour dégager une voie de secours.</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optional.rev.manifest ; persister done/skipped, récompenser une seule fois.</x:v>
      </x:c>
      <x:c r="M11" s="9" t="str">
        <x:v>Facultatif ; peut être ignoré sans bloquer la mission. Les noms de sociétés ajoutés restent des placeholders, pas du canon.</x:v>
      </x:c>
      <x:c r="N11" s="9" t="str">
        <x:v>Ignorer puis terminer la mission fonctionne ; compléter ne verse la récompense qu’une fois.</x:v>
      </x:c>
      <x:c r="O11" s="9" t="str">
        <x:v>REV-MIS-MANIFEST</x:v>
      </x:c>
      <x:c r="P11" s="9" t="str"/>
      <x:c r="Q11" s="9" t="str"/>
      <x:c r="R11" s="9" t="str"/>
      <x:c r="S11" s="9" t="str"/>
    </x:row>
    <x:row r="12" ht="54" customHeight="1">
      <x:c r="A12" s="19" t="str">
        <x:v>REV-OPT-ACCOUNT</x:v>
      </x:c>
      <x:c r="B12" s="7" t="str">
        <x:v>Protéger une déposition — tâche annexe</x:v>
      </x:c>
      <x:c r="C12" s="15" t="str">
        <x:v>Défini</x:v>
      </x:c>
      <x:c r="D12" s="17" t="str">
        <x:v>Extrapolation</x:v>
      </x:c>
      <x:c r="E12" s="17" t="str">
        <x:v>P1</x:v>
      </x:c>
      <x:c r="F12" s="7" t="str">
        <x:v>Objectif annexe créé pour l’adaptation.</x:v>
      </x:c>
      <x:c r="G12" s="7" t="str">
        <x:v>Retrouver le second exemplaire d’un identifiant de service original.</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optional.rev.account ; persister done/skipped, récompenser une seule fois.</x:v>
      </x:c>
      <x:c r="M12" s="7" t="str">
        <x:v>Facultatif ; peut être ignoré sans bloquer la mission. Aucun long aveu du roman n’est transcrit.</x:v>
      </x:c>
      <x:c r="N12" s="7" t="str">
        <x:v>Ignorer puis terminer la mission fonctionne ; compléter ne verse la récompense qu’une fois.</x:v>
      </x:c>
      <x:c r="O12" s="7" t="str">
        <x:v>REV-MIS-ACCOUNT</x:v>
      </x:c>
      <x:c r="P12" s="7" t="str"/>
      <x:c r="Q12" s="7" t="str"/>
      <x:c r="R12" s="7" t="str"/>
      <x:c r="S12" s="7" t="str"/>
    </x:row>
    <x:row r="13" ht="54" customHeight="1">
      <x:c r="A13" s="18" t="str">
        <x:v>REV-OPT-PASSAGE</x:v>
      </x:c>
      <x:c r="B13" s="9" t="str">
        <x:v>Franchir le passage du convoi — tâche annexe</x:v>
      </x:c>
      <x:c r="C13" s="15" t="str">
        <x:v>Défini</x:v>
      </x:c>
      <x:c r="D13" s="16" t="str">
        <x:v>Extrapolation</x:v>
      </x:c>
      <x:c r="E13" s="16" t="str">
        <x:v>P1</x:v>
      </x:c>
      <x:c r="F13" s="9" t="str">
        <x:v>Objectif annexe créé pour l’adaptation.</x:v>
      </x:c>
      <x:c r="G13" s="9" t="str">
        <x:v>Récupérer une trousse dans un rover endommagé sans obligation de risque.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optional.rev.passage ; persister done/skipped, récompenser une seule fois.</x:v>
      </x:c>
      <x:c r="M13" s="9" t="str">
        <x:v>Facultatif ; peut être ignoré sans bloquer la mission. Ne pas permettre de sauver l’Iwo Jima via un choix présenté comme canon.</x:v>
      </x:c>
      <x:c r="N13" s="9" t="str">
        <x:v>Ignorer puis terminer la mission fonctionne ; compléter ne verse la récompense qu’une fois.</x:v>
      </x:c>
      <x:c r="O13" s="9" t="str">
        <x:v>REV-MIS-PASSAGE</x:v>
      </x:c>
      <x:c r="P13" s="9" t="str"/>
      <x:c r="Q13" s="9" t="str"/>
      <x:c r="R13" s="9" t="str"/>
      <x:c r="S13" s="9" t="str"/>
    </x:row>
    <x:row r="14" ht="54" customHeight="1">
      <x:c r="A14" s="19" t="str">
        <x:v>REV-OPT-EXTRACT</x:v>
      </x:c>
      <x:c r="B14" s="7" t="str">
        <x:v>Ouvrir l’extraction de raffinerie — tâche annexe</x:v>
      </x:c>
      <x:c r="C14" s="15" t="str">
        <x:v>Défini</x:v>
      </x:c>
      <x:c r="D14" s="17" t="str">
        <x:v>Extrapolation</x:v>
      </x:c>
      <x:c r="E14" s="17" t="str">
        <x:v>P1</x:v>
      </x:c>
      <x:c r="F14" s="7" t="str">
        <x:v>Objectif annexe créé pour l’adaptation.</x:v>
      </x:c>
      <x:c r="G14" s="7" t="str">
        <x:v>Sécuriser une zone de travail secondaire pour réduire les dangers du retour.</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optional.rev.extract ; persister done/skipped, récompenser une seule fois.</x:v>
      </x:c>
      <x:c r="M14" s="7" t="str">
        <x:v>Facultatif ; peut être ignoré sans bloquer la mission. Préserver l’échec de la candidature Spectre d’Anderson.</x:v>
      </x:c>
      <x:c r="N14" s="7" t="str">
        <x:v>Ignorer puis terminer la mission fonctionne ; compléter ne verse la récompense qu’une fois.</x:v>
      </x:c>
      <x:c r="O14" s="7" t="str">
        <x:v>REV-MIS-EXTRACT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6f6e451b2404fc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Revelation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REV-CHO-TRACE</x:v>
      </x:c>
      <x:c r="B7" s="9" t="str">
        <x:v>Tracer les dernières activités — méthode optionnelle</x:v>
      </x:c>
      <x:c r="C7" s="15" t="str">
        <x:v>Défini</x:v>
      </x:c>
      <x:c r="D7" s="16" t="str">
        <x:v>Extrapolation</x:v>
      </x:c>
      <x:c r="E7" s="16" t="str">
        <x:v>P1</x:v>
      </x:c>
      <x:c r="F7" s="9" t="str">
        <x:v>Bifurcation locale originale ; elle ne crée pas une autre fin officielle.</x:v>
      </x:c>
      <x:c r="G7" s="9" t="str">
        <x:v>Privilégier les registres numériques ou une inspection physique ; même piste, coût de temps différent.</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choice.rev.trace ; stocker la méthode et le coût, jamais une réécriture d’événement source.</x:v>
      </x:c>
      <x:c r="M7" s="9" t="str">
        <x:v>Ne pas donner au groupe une connaissance des Moissonneurs qu’il n’a pas.</x:v>
      </x:c>
      <x:c r="N7" s="9" t="str">
        <x:v>Les deux branches sont atteignables ; l’état canonique final du module est identique.</x:v>
      </x:c>
      <x:c r="O7" s="9" t="str">
        <x:v>REV-MIS-TRACE</x:v>
      </x:c>
      <x:c r="P7" s="9" t="str"/>
      <x:c r="Q7" s="9" t="str"/>
      <x:c r="R7" s="9" t="str"/>
      <x:c r="S7" s="9" t="str"/>
    </x:row>
    <x:row r="8" ht="54" customHeight="1">
      <x:c r="A8" s="19" t="str">
        <x:v>REV-CHO-WITNESS</x:v>
      </x:c>
      <x:c r="B8" s="7" t="str">
        <x:v>Préparer la protection du témoin — méthode optionnelle</x:v>
      </x:c>
      <x:c r="C8" s="15" t="str">
        <x:v>Défini</x:v>
      </x:c>
      <x:c r="D8" s="17" t="str">
        <x:v>Extrapolation</x:v>
      </x:c>
      <x:c r="E8" s="17" t="str">
        <x:v>P1</x:v>
      </x:c>
      <x:c r="F8" s="7" t="str">
        <x:v>Bifurcation locale originale ; elle ne crée pas une autre fin officielle.</x:v>
      </x:c>
      <x:c r="G8" s="7" t="str">
        <x:v>Emporter matériel de soin ou batterie de scanner ; les deux restent viables.</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choice.rev.witness ; stocker la méthode et le coût, jamais une réécriture d’événement source.</x:v>
      </x:c>
      <x:c r="M8" s="7" t="str">
        <x:v>Aucun personnage n’est remplacé par Shepard.</x:v>
      </x:c>
      <x:c r="N8" s="7" t="str">
        <x:v>Les deux branches sont atteignables ; l’état canonique final du module est identique.</x:v>
      </x:c>
      <x:c r="O8" s="7" t="str">
        <x:v>REV-MIS-WITNESS</x:v>
      </x:c>
      <x:c r="P8" s="7" t="str"/>
      <x:c r="Q8" s="7" t="str"/>
      <x:c r="R8" s="7" t="str"/>
      <x:c r="S8" s="7" t="str"/>
    </x:row>
    <x:row r="9" ht="54" customHeight="1">
      <x:c r="A9" s="18" t="str">
        <x:v>REV-CHO-ACCESS</x:v>
      </x:c>
      <x:c r="B9" s="9" t="str">
        <x:v>Obtenir l’accès aux registres — méthode optionnelle</x:v>
      </x:c>
      <x:c r="C9" s="15" t="str">
        <x:v>Défini</x:v>
      </x:c>
      <x:c r="D9" s="16" t="str">
        <x:v>Extrapolation</x:v>
      </x:c>
      <x:c r="E9" s="16" t="str">
        <x:v>P1</x:v>
      </x:c>
      <x:c r="F9" s="9" t="str">
        <x:v>Bifurcation locale originale ; elle ne crée pas une autre fin officielle.</x:v>
      </x:c>
      <x:c r="G9" s="9" t="str">
        <x:v>Attendre une validation ou solliciter un entretien ; variation de rythme seulement.</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choice.rev.access ; stocker la méthode et le coût, jamais une réécriture d’événement source.</x:v>
      </x:c>
      <x:c r="M9" s="9" t="str">
        <x:v>Le statut de Spectre n’est pas attribué à Anderson.</x:v>
      </x:c>
      <x:c r="N9" s="9" t="str">
        <x:v>Les deux branches sont atteignables ; l’état canonique final du module est identique.</x:v>
      </x:c>
      <x:c r="O9" s="9" t="str">
        <x:v>REV-MIS-ACCESS</x:v>
      </x:c>
      <x:c r="P9" s="9" t="str"/>
      <x:c r="Q9" s="9" t="str"/>
      <x:c r="R9" s="9" t="str"/>
      <x:c r="S9" s="9" t="str"/>
    </x:row>
    <x:row r="10" ht="54" customHeight="1">
      <x:c r="A10" s="19" t="str">
        <x:v>REV-CHO-REFUGE</x:v>
      </x:c>
      <x:c r="B10" s="7" t="str">
        <x:v>Sécuriser une évacuation locale — méthode optionnelle</x:v>
      </x:c>
      <x:c r="C10" s="15" t="str">
        <x:v>Défini</x:v>
      </x:c>
      <x:c r="D10" s="17" t="str">
        <x:v>Extrapolation</x:v>
      </x:c>
      <x:c r="E10" s="17" t="str">
        <x:v>P1</x:v>
      </x:c>
      <x:c r="F10" s="7" t="str">
        <x:v>Bifurcation locale originale ; elle ne crée pas une autre fin officielle.</x:v>
      </x:c>
      <x:c r="G10" s="7" t="str">
        <x:v>Ouvrir le passage latéral ou renforcer l’abri central ; dépense différente.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choice.rev.refuge ; stocker la méthode et le coût, jamais une réécriture d’événement source.</x:v>
      </x:c>
      <x:c r="M10" s="7" t="str">
        <x:v>Pas de victoire libre sur Saren ni changement du rôle de Skarr.</x:v>
      </x:c>
      <x:c r="N10" s="7" t="str">
        <x:v>Les deux branches sont atteignables ; l’état canonique final du module est identique.</x:v>
      </x:c>
      <x:c r="O10" s="7" t="str">
        <x:v>REV-MIS-REFUGE</x:v>
      </x:c>
      <x:c r="P10" s="7" t="str"/>
      <x:c r="Q10" s="7" t="str"/>
      <x:c r="R10" s="7" t="str"/>
      <x:c r="S10" s="7" t="str"/>
    </x:row>
    <x:row r="11" ht="54" customHeight="1">
      <x:c r="A11" s="18" t="str">
        <x:v>REV-CHO-MANIFEST</x:v>
      </x:c>
      <x:c r="B11" s="9" t="str">
        <x:v>Suivre un lot industriel — méthode optionnelle</x:v>
      </x:c>
      <x:c r="C11" s="15" t="str">
        <x:v>Défini</x:v>
      </x:c>
      <x:c r="D11" s="16" t="str">
        <x:v>Extrapolation</x:v>
      </x:c>
      <x:c r="E11" s="16" t="str">
        <x:v>P1</x:v>
      </x:c>
      <x:c r="F11" s="9" t="str">
        <x:v>Bifurcation locale originale ; elle ne crée pas une autre fin officielle.</x:v>
      </x:c>
      <x:c r="G11" s="9" t="str">
        <x:v>Approche officielle ou observation discrète ; informations identiques à la clôture.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choice.rev.manifest ; stocker la méthode et le coût, jamais une réécriture d’événement source.</x:v>
      </x:c>
      <x:c r="M11" s="9" t="str">
        <x:v>Les noms de sociétés ajoutés restent des placeholders, pas du canon.</x:v>
      </x:c>
      <x:c r="N11" s="9" t="str">
        <x:v>Les deux branches sont atteignables ; l’état canonique final du module est identique.</x:v>
      </x:c>
      <x:c r="O11" s="9" t="str">
        <x:v>REV-MIS-MANIFEST</x:v>
      </x:c>
      <x:c r="P11" s="9" t="str"/>
      <x:c r="Q11" s="9" t="str"/>
      <x:c r="R11" s="9" t="str"/>
      <x:c r="S11" s="9" t="str"/>
    </x:row>
    <x:row r="12" ht="54" customHeight="1">
      <x:c r="A12" s="19" t="str">
        <x:v>REV-CHO-ACCOUNT</x:v>
      </x:c>
      <x:c r="B12" s="7" t="str">
        <x:v>Protéger une déposition — méthode optionnelle</x:v>
      </x:c>
      <x:c r="C12" s="15" t="str">
        <x:v>Défini</x:v>
      </x:c>
      <x:c r="D12" s="17" t="str">
        <x:v>Extrapolation</x:v>
      </x:c>
      <x:c r="E12" s="17" t="str">
        <x:v>P1</x:v>
      </x:c>
      <x:c r="F12" s="7" t="str">
        <x:v>Bifurcation locale originale ; elle ne crée pas une autre fin officielle.</x:v>
      </x:c>
      <x:c r="G12" s="7" t="str">
        <x:v>Stockage portable ou relais filaire ; l’un coûte une batterie, l’autre du positionnement.</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choice.rev.account ; stocker la méthode et le coût, jamais une réécriture d’événement source.</x:v>
      </x:c>
      <x:c r="M12" s="7" t="str">
        <x:v>Aucun long aveu du roman n’est transcrit.</x:v>
      </x:c>
      <x:c r="N12" s="7" t="str">
        <x:v>Les deux branches sont atteignables ; l’état canonique final du module est identique.</x:v>
      </x:c>
      <x:c r="O12" s="7" t="str">
        <x:v>REV-MIS-ACCOUNT</x:v>
      </x:c>
      <x:c r="P12" s="7" t="str"/>
      <x:c r="Q12" s="7" t="str"/>
      <x:c r="R12" s="7" t="str"/>
      <x:c r="S12" s="7" t="str"/>
    </x:row>
    <x:row r="13" ht="54" customHeight="1">
      <x:c r="A13" s="18" t="str">
        <x:v>REV-CHO-PASSAGE</x:v>
      </x:c>
      <x:c r="B13" s="9" t="str">
        <x:v>Franchir le passage du convoi — méthode optionnelle</x:v>
      </x:c>
      <x:c r="C13" s="15" t="str">
        <x:v>Défini</x:v>
      </x:c>
      <x:c r="D13" s="16" t="str">
        <x:v>Extrapolation</x:v>
      </x:c>
      <x:c r="E13" s="16" t="str">
        <x:v>P1</x:v>
      </x:c>
      <x:c r="F13" s="9" t="str">
        <x:v>Bifurcation locale originale ; elle ne crée pas une autre fin officielle.</x:v>
      </x:c>
      <x:c r="G13" s="9" t="str">
        <x:v>Passage rapide exposé ou détour protégé ; retour au même état narratif.</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choice.rev.passage ; stocker la méthode et le coût, jamais une réécriture d’événement source.</x:v>
      </x:c>
      <x:c r="M13" s="9" t="str">
        <x:v>Ne pas permettre de sauver l’Iwo Jima via un choix présenté comme canon.</x:v>
      </x:c>
      <x:c r="N13" s="9" t="str">
        <x:v>Les deux branches sont atteignables ; l’état canonique final du module est identique.</x:v>
      </x:c>
      <x:c r="O13" s="9" t="str">
        <x:v>REV-MIS-PASSAGE</x:v>
      </x:c>
      <x:c r="P13" s="9" t="str"/>
      <x:c r="Q13" s="9" t="str"/>
      <x:c r="R13" s="9" t="str"/>
      <x:c r="S13" s="9" t="str"/>
    </x:row>
    <x:row r="14" ht="54" customHeight="1">
      <x:c r="A14" s="19" t="str">
        <x:v>REV-CHO-EXTRACT</x:v>
      </x:c>
      <x:c r="B14" s="7" t="str">
        <x:v>Ouvrir l’extraction de raffinerie — méthode optionnelle</x:v>
      </x:c>
      <x:c r="C14" s="15" t="str">
        <x:v>Défini</x:v>
      </x:c>
      <x:c r="D14" s="17" t="str">
        <x:v>Extrapolation</x:v>
      </x:c>
      <x:c r="E14" s="17" t="str">
        <x:v>P1</x:v>
      </x:c>
      <x:c r="F14" s="7" t="str">
        <x:v>Bifurcation locale originale ; elle ne crée pas une autre fin officielle.</x:v>
      </x:c>
      <x:c r="G14" s="7" t="str">
        <x:v>Dérivation technique ou couverture prolongée ; les deux demandent coordination.</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choice.rev.extract ; stocker la méthode et le coût, jamais une réécriture d’événement source.</x:v>
      </x:c>
      <x:c r="M14" s="7" t="str">
        <x:v>Préserver l’échec de la candidature Spectre d’Anderson.</x:v>
      </x:c>
      <x:c r="N14" s="7" t="str">
        <x:v>Les deux branches sont atteignables ; l’état canonique final du module est identique.</x:v>
      </x:c>
      <x:c r="O14" s="7" t="str">
        <x:v>REV-MIS-EXTRACT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ecc0e986fb6453b"/>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Revelation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REV-DIA-ANDERSON</x:v>
      </x:c>
      <x:c r="B7" s="9" t="str">
        <x:v>David Anderson — échange : devoir militaire et protection du témoin</x:v>
      </x:c>
      <x:c r="C7" s="15" t="str">
        <x:v>Défini</x:v>
      </x:c>
      <x:c r="D7" s="16" t="str">
        <x:v>Extrapolation</x:v>
      </x:c>
      <x:c r="E7" s="16" t="str">
        <x:v>P1</x:v>
      </x:c>
      <x:c r="F7" s="9" t="str">
        <x:v>Dialogue original à écrire, sans reproduire les répliques de la publication.</x:v>
      </x:c>
      <x:c r="G7" s="9" t="str">
        <x:v>Intentions : aborder devoir militaire et protection du témoin, poser une question de clarification, puis revenir à l’objectif local.</x:v>
      </x:c>
      <x:c r="H7" s="9" t="str">
        <x:v>Trois intentions proposées : demander un fait, exprimer une réserve, clore. Débloquer un indice local sans imposer une opinion au joueur.</x:v>
      </x:c>
      <x:c r="I7" s="9" t="str">
        <x:v>Portrait David Anderson,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rev.anderson.devoir-militaire-et-protection-du-temoin ; drapeaux de connaissance locaux.</x:v>
      </x:c>
      <x:c r="M7" s="9" t="str">
        <x:v>Conserver la trajectoire menant à Mass Effect : Anderson ne devient pas Spectre dans ce module et les intentions de Saren ne deviennent pas un savoir public anticipé.</x:v>
      </x:c>
      <x:c r="N7" s="9" t="str">
        <x:v>Aucune option ne révèle un savoir futur ; quitter puis reprendre conserve les sujets déjà abordés.</x:v>
      </x:c>
      <x:c r="O7" s="9" t="str">
        <x:v>REV-CHR-ANDERSON</x:v>
      </x:c>
      <x:c r="P7" s="9" t="str"/>
      <x:c r="Q7" s="9" t="str"/>
      <x:c r="R7" s="9" t="str"/>
      <x:c r="S7" s="9" t="str">
        <x:v>Sujet et intentions sont du design original, pas une transcription.</x:v>
      </x:c>
    </x:row>
    <x:row r="8" ht="68" customHeight="1">
      <x:c r="A8" s="19" t="str">
        <x:v>REV-DIA-KAHLEE</x:v>
      </x:c>
      <x:c r="B8" s="7" t="str">
        <x:v>Kahlee Sanders — échange : confiance accordée à l’enquêteur</x:v>
      </x:c>
      <x:c r="C8" s="15" t="str">
        <x:v>Défini</x:v>
      </x:c>
      <x:c r="D8" s="17" t="str">
        <x:v>Extrapolation</x:v>
      </x:c>
      <x:c r="E8" s="17" t="str">
        <x:v>P1</x:v>
      </x:c>
      <x:c r="F8" s="7" t="str">
        <x:v>Dialogue original à écrire, sans reproduire les répliques de la publication.</x:v>
      </x:c>
      <x:c r="G8" s="7" t="str">
        <x:v>Intentions : aborder confiance accordée à l’enquêteur,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rev.kahlee.confiance-accordee-a-lenqueteur ; drapeaux de connaissance locaux.</x:v>
      </x:c>
      <x:c r="M8" s="7" t="str">
        <x:v>Conserver la trajectoire menant à Mass Effect : Anderson ne devient pas Spectre dans ce module et les intentions de Saren ne deviennent pas un savoir public anticipé.</x:v>
      </x:c>
      <x:c r="N8" s="7" t="str">
        <x:v>Aucune option ne révèle un savoir futur ; quitter puis reprendre conserve les sujets déjà abordés.</x:v>
      </x:c>
      <x:c r="O8" s="7" t="str">
        <x:v>REV-CHR-KAHLEE</x:v>
      </x:c>
      <x:c r="P8" s="7" t="str"/>
      <x:c r="Q8" s="7" t="str"/>
      <x:c r="R8" s="7" t="str"/>
      <x:c r="S8" s="7" t="str">
        <x:v>Sujet et intentions sont du design original, pas une transcription.</x:v>
      </x:c>
    </x:row>
    <x:row r="9" ht="68" customHeight="1">
      <x:c r="A9" s="18" t="str">
        <x:v>REV-DIA-SAREN</x:v>
      </x:c>
      <x:c r="B9" s="9" t="str">
        <x:v>Saren Arterius — échange : autorité du Spectre et valeur des preuves</x:v>
      </x:c>
      <x:c r="C9" s="15" t="str">
        <x:v>Défini</x:v>
      </x:c>
      <x:c r="D9" s="16" t="str">
        <x:v>Extrapolation</x:v>
      </x:c>
      <x:c r="E9" s="16" t="str">
        <x:v>P1</x:v>
      </x:c>
      <x:c r="F9" s="9" t="str">
        <x:v>Dialogue original à écrire, sans reproduire les répliques de la publication.</x:v>
      </x:c>
      <x:c r="G9" s="9" t="str">
        <x:v>Intentions : aborder autorité du Spectre et valeur des preuves, poser une question de clarification, puis revenir à l’objectif local.</x:v>
      </x:c>
      <x:c r="H9" s="9" t="str">
        <x:v>Trois intentions proposées : demander un fait, exprimer une réserve, clore. Débloquer un indice local sans imposer une opinion au joueur.</x:v>
      </x:c>
      <x:c r="I9" s="9" t="str">
        <x:v>Portrait Saren Arterius,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rev.saren.autorite-du-spectre-et-valeur-des-preuves ; drapeaux de connaissance locaux.</x:v>
      </x:c>
      <x:c r="M9" s="9" t="str">
        <x:v>Conserver la trajectoire menant à Mass Effect : Anderson ne devient pas Spectre dans ce module et les intentions de Saren ne deviennent pas un savoir public anticipé.</x:v>
      </x:c>
      <x:c r="N9" s="9" t="str">
        <x:v>Aucune option ne révèle un savoir futur ; quitter puis reprendre conserve les sujets déjà abordés.</x:v>
      </x:c>
      <x:c r="O9" s="9" t="str">
        <x:v>REV-CHR-SAREN</x:v>
      </x:c>
      <x:c r="P9" s="9" t="str"/>
      <x:c r="Q9" s="9" t="str"/>
      <x:c r="R9" s="9" t="str"/>
      <x:c r="S9" s="9" t="str">
        <x:v>Sujet et intentions sont du design original, pas une transcription.</x:v>
      </x:c>
    </x:row>
    <x:row r="10" ht="68" customHeight="1">
      <x:c r="A10" s="19" t="str">
        <x:v>REV-DIA-SKARR</x:v>
      </x:c>
      <x:c r="B10" s="7" t="str">
        <x:v>Skarr — échange : menace exercée sur le groupe</x:v>
      </x:c>
      <x:c r="C10" s="15" t="str">
        <x:v>Défini</x:v>
      </x:c>
      <x:c r="D10" s="17" t="str">
        <x:v>Extrapolation</x:v>
      </x:c>
      <x:c r="E10" s="17" t="str">
        <x:v>P1</x:v>
      </x:c>
      <x:c r="F10" s="7" t="str">
        <x:v>Dialogue original à écrire, sans reproduire les répliques de la publication.</x:v>
      </x:c>
      <x:c r="G10" s="7" t="str">
        <x:v>Intentions : aborder menace exercée sur le groupe, poser une question de clarification, puis revenir à l’objectif local.</x:v>
      </x:c>
      <x:c r="H10" s="7" t="str">
        <x:v>Trois intentions proposées : demander un fait, exprimer une réserve, clore. Débloquer un indice local sans imposer une opinion au joueur.</x:v>
      </x:c>
      <x:c r="I10" s="7" t="str">
        <x:v>Portrait Skarr,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rev.skarr.menace-exercee-sur-le-groupe ; drapeaux de connaissance locaux.</x:v>
      </x:c>
      <x:c r="M10" s="7" t="str">
        <x:v>Conserver la trajectoire menant à Mass Effect : Anderson ne devient pas Spectre dans ce module et les intentions de Saren ne deviennent pas un savoir public anticipé.</x:v>
      </x:c>
      <x:c r="N10" s="7" t="str">
        <x:v>Aucune option ne révèle un savoir futur ; quitter puis reprendre conserve les sujets déjà abordés.</x:v>
      </x:c>
      <x:c r="O10" s="7" t="str">
        <x:v>REV-CHR-SKARR</x:v>
      </x:c>
      <x:c r="P10" s="7" t="str"/>
      <x:c r="Q10" s="7" t="str"/>
      <x:c r="R10" s="7" t="str"/>
      <x:c r="S10" s="7" t="str">
        <x:v>Sujet et intentions sont du design original, pas une transcription.</x:v>
      </x:c>
    </x:row>
    <x:row r="11" ht="68" customHeight="1">
      <x:c r="A11" s="18" t="str">
        <x:v>REV-DIA-EDAN</x:v>
      </x:c>
      <x:c r="B11" s="9" t="str">
        <x:v>Edan Had’dah — échange : responsabilité du commanditaire</x:v>
      </x:c>
      <x:c r="C11" s="15" t="str">
        <x:v>Défini</x:v>
      </x:c>
      <x:c r="D11" s="16" t="str">
        <x:v>Extrapolation</x:v>
      </x:c>
      <x:c r="E11" s="16" t="str">
        <x:v>P1</x:v>
      </x:c>
      <x:c r="F11" s="9" t="str">
        <x:v>Dialogue original à écrire, sans reproduire les répliques de la publication.</x:v>
      </x:c>
      <x:c r="G11" s="9" t="str">
        <x:v>Intentions : aborder responsabilité du commanditaire, poser une question de clarification, puis revenir à l’objectif local.</x:v>
      </x:c>
      <x:c r="H11" s="9" t="str">
        <x:v>Trois intentions proposées : demander un fait, exprimer une réserve, clore. Débloquer un indice local sans imposer une opinion au joueur.</x:v>
      </x:c>
      <x:c r="I11" s="9" t="str">
        <x:v>Portrait Edan Had’dah,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rev.edan.responsabilite-du-commanditaire ; drapeaux de connaissance locaux.</x:v>
      </x:c>
      <x:c r="M11" s="9" t="str">
        <x:v>Conserver la trajectoire menant à Mass Effect : Anderson ne devient pas Spectre dans ce module et les intentions de Saren ne deviennent pas un savoir public anticipé.</x:v>
      </x:c>
      <x:c r="N11" s="9" t="str">
        <x:v>Aucune option ne révèle un savoir futur ; quitter puis reprendre conserve les sujets déjà abordés.</x:v>
      </x:c>
      <x:c r="O11" s="9" t="str">
        <x:v>REV-CHR-EDAN</x:v>
      </x:c>
      <x:c r="P11" s="9" t="str"/>
      <x:c r="Q11" s="9" t="str"/>
      <x:c r="R11" s="9" t="str"/>
      <x:c r="S11" s="9" t="str">
        <x:v>Sujet et intentions sont du design original, pas une transcription.</x:v>
      </x:c>
    </x:row>
    <x:row r="12" ht="68" customHeight="1">
      <x:c r="A12" s="19" t="str">
        <x:v>REV-DIA-JILL</x:v>
      </x:c>
      <x:c r="B12" s="7" t="str">
        <x:v>Jill Dah — échange : solidarité pendant une extraction</x:v>
      </x:c>
      <x:c r="C12" s="15" t="str">
        <x:v>Défini</x:v>
      </x:c>
      <x:c r="D12" s="17" t="str">
        <x:v>Extrapolation</x:v>
      </x:c>
      <x:c r="E12" s="17" t="str">
        <x:v>P1</x:v>
      </x:c>
      <x:c r="F12" s="7" t="str">
        <x:v>Dialogue original à écrire, sans reproduire les répliques de la publication.</x:v>
      </x:c>
      <x:c r="G12" s="7" t="str">
        <x:v>Intentions : aborder solidarité pendant une extraction, poser une question de clarification, puis revenir à l’objectif local.</x:v>
      </x:c>
      <x:c r="H12" s="7" t="str">
        <x:v>Trois intentions proposées : demander un fait, exprimer une réserve, clore. Débloquer un indice local sans imposer une opinion au joueur.</x:v>
      </x:c>
      <x:c r="I12" s="7" t="str">
        <x:v>Portrait Jill Dah,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rev.jill.solidarite-pendant-une-extraction ; drapeaux de connaissance locaux.</x:v>
      </x:c>
      <x:c r="M12" s="7" t="str">
        <x:v>Conserver la trajectoire menant à Mass Effect : Anderson ne devient pas Spectre dans ce module et les intentions de Saren ne deviennent pas un savoir public anticipé.</x:v>
      </x:c>
      <x:c r="N12" s="7" t="str">
        <x:v>Aucune option ne révèle un savoir futur ; quitter puis reprendre conserve les sujets déjà abordés.</x:v>
      </x:c>
      <x:c r="O12" s="7" t="str">
        <x:v>REV-CHR-JILL</x:v>
      </x:c>
      <x:c r="P12" s="7" t="str"/>
      <x:c r="Q12" s="7" t="str"/>
      <x:c r="R12" s="7" t="str"/>
      <x:c r="S12" s="7" t="str">
        <x:v>Sujet et intentions sont du design original, pas une transcription.</x:v>
      </x:c>
    </x:row>
    <x:row r="13" ht="68" customHeight="1">
      <x:c r="A13" s="18" t="str">
        <x:v>REV-DIA-GRISSOM</x:v>
      </x:c>
      <x:c r="B13" s="9" t="str">
        <x:v>Jon Grissom — échange : limites de l’hospitalité sous pression</x:v>
      </x:c>
      <x:c r="C13" s="15" t="str">
        <x:v>Défini</x:v>
      </x:c>
      <x:c r="D13" s="16" t="str">
        <x:v>Extrapolation</x:v>
      </x:c>
      <x:c r="E13" s="16" t="str">
        <x:v>P1</x:v>
      </x:c>
      <x:c r="F13" s="9" t="str">
        <x:v>Dialogue original à écrire, sans reproduire les répliques de la publication.</x:v>
      </x:c>
      <x:c r="G13" s="9" t="str">
        <x:v>Intentions : aborder limites de l’hospitalité sous pression, poser une question de clarification, puis revenir à l’objectif local.</x:v>
      </x:c>
      <x:c r="H13" s="9" t="str">
        <x:v>Trois intentions proposées : demander un fait, exprimer une réserve, clore. Débloquer un indice local sans imposer une opinion au joueur.</x:v>
      </x:c>
      <x:c r="I13" s="9" t="str">
        <x:v>Portrait Jon Grissom,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rev.grissom.limites-de-lhospitalite-sous-pression ; drapeaux de connaissance locaux.</x:v>
      </x:c>
      <x:c r="M13" s="9" t="str">
        <x:v>Conserver la trajectoire menant à Mass Effect : Anderson ne devient pas Spectre dans ce module et les intentions de Saren ne deviennent pas un savoir public anticipé.</x:v>
      </x:c>
      <x:c r="N13" s="9" t="str">
        <x:v>Aucune option ne révèle un savoir futur ; quitter puis reprendre conserve les sujets déjà abordés.</x:v>
      </x:c>
      <x:c r="O13" s="9" t="str">
        <x:v>REV-CHR-GRISSOM</x:v>
      </x:c>
      <x:c r="P13" s="9" t="str"/>
      <x:c r="Q13" s="9" t="str"/>
      <x:c r="R13" s="9" t="str"/>
      <x:c r="S13" s="9" t="str">
        <x:v>Sujet et intentions sont du design original, pas une transcription.</x:v>
      </x:c>
    </x:row>
    <x:row r="14" ht="68" customHeight="1">
      <x:c r="A14" s="19" t="str">
        <x:v>REV-DIA-JELLA</x:v>
      </x:c>
      <x:c r="B14" s="7" t="str">
        <x:v>Jella — échange : témoignage et compromission</x:v>
      </x:c>
      <x:c r="C14" s="15" t="str">
        <x:v>Défini</x:v>
      </x:c>
      <x:c r="D14" s="17" t="str">
        <x:v>Extrapolation</x:v>
      </x:c>
      <x:c r="E14" s="17" t="str">
        <x:v>P1</x:v>
      </x:c>
      <x:c r="F14" s="7" t="str">
        <x:v>Dialogue original à écrire, sans reproduire les répliques de la publication.</x:v>
      </x:c>
      <x:c r="G14" s="7" t="str">
        <x:v>Intentions : aborder témoignage et compromission, poser une question de clarification, puis revenir à l’objectif local.</x:v>
      </x:c>
      <x:c r="H14" s="7" t="str">
        <x:v>Trois intentions proposées : demander un fait, exprimer une réserve, clore. Débloquer un indice local sans imposer une opinion au joueur.</x:v>
      </x:c>
      <x:c r="I14" s="7" t="str">
        <x:v>Portrait Jella,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rev.jella.temoignage-et-compromission ; drapeaux de connaissance locaux.</x:v>
      </x:c>
      <x:c r="M14" s="7" t="str">
        <x:v>Conserver la trajectoire menant à Mass Effect : Anderson ne devient pas Spectre dans ce module et les intentions de Saren ne deviennent pas un savoir public anticipé.</x:v>
      </x:c>
      <x:c r="N14" s="7" t="str">
        <x:v>Aucune option ne révèle un savoir futur ; quitter puis reprendre conserve les sujets déjà abordés.</x:v>
      </x:c>
      <x:c r="O14" s="7" t="str">
        <x:v>REV-CHR-JELLA</x:v>
      </x:c>
      <x:c r="P14" s="7" t="str"/>
      <x:c r="Q14" s="7" t="str"/>
      <x:c r="R14" s="7" t="str"/>
      <x:c r="S14" s="7" t="str">
        <x:v>Sujet et intentions sont du design original, pas une transcription.</x:v>
      </x:c>
    </x:row>
    <x:row r="15" ht="68" customHeight="1">
      <x:c r="A15" s="18" t="str">
        <x:v>REV-DIA-QIAN</x:v>
      </x:c>
      <x:c r="B15" s="9" t="str">
        <x:v>Shu Qian — échange : responsabilité scientifique</x:v>
      </x:c>
      <x:c r="C15" s="15" t="str">
        <x:v>Défini</x:v>
      </x:c>
      <x:c r="D15" s="16" t="str">
        <x:v>Extrapolation</x:v>
      </x:c>
      <x:c r="E15" s="16" t="str">
        <x:v>P1</x:v>
      </x:c>
      <x:c r="F15" s="9" t="str">
        <x:v>Dialogue original à écrire, sans reproduire les répliques de la publication.</x:v>
      </x:c>
      <x:c r="G15" s="9" t="str">
        <x:v>Intentions : aborder responsabilité scientifique, poser une question de clarification, puis revenir à l’objectif local.</x:v>
      </x:c>
      <x:c r="H15" s="9" t="str">
        <x:v>Trois intentions proposées : demander un fait, exprimer une réserve, clore. Débloquer un indice local sans imposer une opinion au joueur.</x:v>
      </x:c>
      <x:c r="I15" s="9" t="str">
        <x:v>Portrait Shu Qian,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rev.qian.responsabilite-scientifique ; drapeaux de connaissance locaux.</x:v>
      </x:c>
      <x:c r="M15" s="9" t="str">
        <x:v>Conserver la trajectoire menant à Mass Effect : Anderson ne devient pas Spectre dans ce module et les intentions de Saren ne deviennent pas un savoir public anticipé.</x:v>
      </x:c>
      <x:c r="N15" s="9" t="str">
        <x:v>Aucune option ne révèle un savoir futur ; quitter puis reprendre conserve les sujets déjà abordés.</x:v>
      </x:c>
      <x:c r="O15" s="9" t="str">
        <x:v>REV-CHR-QIAN</x:v>
      </x:c>
      <x:c r="P15" s="9" t="str"/>
      <x:c r="Q15" s="9" t="str"/>
      <x:c r="R15" s="9" t="str"/>
      <x:c r="S15" s="9" t="str">
        <x:v>Sujet et intentions sont du design original, pas une transcription.</x:v>
      </x:c>
    </x:row>
    <x:row r="16" ht="68" customHeight="1">
      <x:c r="A16" s="19" t="str">
        <x:v>REV-DIA-GROTO</x:v>
      </x:c>
      <x:c r="B16" s="7" t="str">
        <x:v>Groto Ib-ba — échange : fiabilité d’une source indirecte</x:v>
      </x:c>
      <x:c r="C16" s="15" t="str">
        <x:v>Défini</x:v>
      </x:c>
      <x:c r="D16" s="17" t="str">
        <x:v>Extrapolation</x:v>
      </x:c>
      <x:c r="E16" s="17" t="str">
        <x:v>P1</x:v>
      </x:c>
      <x:c r="F16" s="7" t="str">
        <x:v>Dialogue original à écrire, sans reproduire les répliques de la publication.</x:v>
      </x:c>
      <x:c r="G16" s="7" t="str">
        <x:v>Intentions : aborder fiabilité d’une source indirecte, poser une question de clarification, puis revenir à l’objectif local.</x:v>
      </x:c>
      <x:c r="H16" s="7" t="str">
        <x:v>Trois intentions proposées : demander un fait, exprimer une réserve, clore. Débloquer un indice local sans imposer une opinion au joueur.</x:v>
      </x:c>
      <x:c r="I16" s="7" t="str">
        <x:v>Portrait Groto Ib-ba,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rev.groto.fiabilite-dune-source-indirecte ; drapeaux de connaissance locaux.</x:v>
      </x:c>
      <x:c r="M16" s="7" t="str">
        <x:v>Conserver la trajectoire menant à Mass Effect : Anderson ne devient pas Spectre dans ce module et les intentions de Saren ne deviennent pas un savoir public anticipé.</x:v>
      </x:c>
      <x:c r="N16" s="7" t="str">
        <x:v>Aucune option ne révèle un savoir futur ; quitter puis reprendre conserve les sujets déjà abordés.</x:v>
      </x:c>
      <x:c r="O16" s="7" t="str">
        <x:v>REV-CHR-GROTO</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50bf681db8f48c4"/>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Revelation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REV-CIN-TRACE</x:v>
      </x:c>
      <x:c r="B7" s="9" t="str">
        <x:v>Tracer les dernières activités — transition narrative</x:v>
      </x:c>
      <x:c r="C7" s="15" t="str">
        <x:v>Défini</x:v>
      </x:c>
      <x:c r="D7" s="16" t="str">
        <x:v>Extrapolation</x:v>
      </x:c>
      <x:c r="E7" s="16" t="str">
        <x:v>P1</x:v>
      </x:c>
      <x:c r="F7" s="9" t="str">
        <x:v>Mise en scène originale compacte, sans reconstituer les dialogues de l’œuvre.</x:v>
      </x:c>
      <x:c r="G7" s="9" t="str">
        <x:v>Plan fixe sur le rapport encore incomplet, puis retour au groupe.</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cinematics/rev/trace.timeline ; événements idempotents.</x:v>
      </x:c>
      <x:c r="M7" s="9" t="str">
        <x:v>Ne pas donner au groupe une connaissance des Moissonneurs qu’il n’a pas.</x:v>
      </x:c>
      <x:c r="N7" s="9" t="str">
        <x:v>Version regardée et version sautée donnent les mêmes inventaire, équipe, carte et objectifs.</x:v>
      </x:c>
      <x:c r="O7" s="9" t="str">
        <x:v>REV-MIS-TRACE</x:v>
      </x:c>
      <x:c r="P7" s="9" t="str"/>
      <x:c r="Q7" s="9" t="str"/>
      <x:c r="R7" s="9" t="str"/>
      <x:c r="S7" s="9" t="str"/>
    </x:row>
    <x:row r="8" ht="54" customHeight="1">
      <x:c r="A8" s="19" t="str">
        <x:v>REV-CIN-WITNESS</x:v>
      </x:c>
      <x:c r="B8" s="7" t="str">
        <x:v>Préparer la protection du témoin — transition narrative</x:v>
      </x:c>
      <x:c r="C8" s="15" t="str">
        <x:v>Défini</x:v>
      </x:c>
      <x:c r="D8" s="17" t="str">
        <x:v>Extrapolation</x:v>
      </x:c>
      <x:c r="E8" s="17" t="str">
        <x:v>P1</x:v>
      </x:c>
      <x:c r="F8" s="7" t="str">
        <x:v>Mise en scène originale compacte, sans reconstituer les dialogues de l’œuvre.</x:v>
      </x:c>
      <x:c r="G8" s="7" t="str">
        <x:v>Courte réunion originale centrée sur le devoir de protection.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cinematics/rev/witness.timeline ; événements idempotents.</x:v>
      </x:c>
      <x:c r="M8" s="7" t="str">
        <x:v>Aucun personnage n’est remplacé par Shepard.</x:v>
      </x:c>
      <x:c r="N8" s="7" t="str">
        <x:v>Version regardée et version sautée donnent les mêmes inventaire, équipe, carte et objectifs.</x:v>
      </x:c>
      <x:c r="O8" s="7" t="str">
        <x:v>REV-MIS-WITNESS</x:v>
      </x:c>
      <x:c r="P8" s="7" t="str"/>
      <x:c r="Q8" s="7" t="str"/>
      <x:c r="R8" s="7" t="str"/>
      <x:c r="S8" s="7" t="str"/>
    </x:row>
    <x:row r="9" ht="54" customHeight="1">
      <x:c r="A9" s="18" t="str">
        <x:v>REV-CIN-ACCESS</x:v>
      </x:c>
      <x:c r="B9" s="9" t="str">
        <x:v>Obtenir l’accès aux registres — transition narrative</x:v>
      </x:c>
      <x:c r="C9" s="15" t="str">
        <x:v>Défini</x:v>
      </x:c>
      <x:c r="D9" s="16" t="str">
        <x:v>Extrapolation</x:v>
      </x:c>
      <x:c r="E9" s="16" t="str">
        <x:v>P1</x:v>
      </x:c>
      <x:c r="F9" s="9" t="str">
        <x:v>Mise en scène originale compacte, sans reconstituer les dialogues de l’œuvre.</x:v>
      </x:c>
      <x:c r="G9" s="9" t="str">
        <x:v>La porte administrative s’ouvre sur un dossier lacunaire.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cinematics/rev/access.timeline ; événements idempotents.</x:v>
      </x:c>
      <x:c r="M9" s="9" t="str">
        <x:v>Le statut de Spectre n’est pas attribué à Anderson.</x:v>
      </x:c>
      <x:c r="N9" s="9" t="str">
        <x:v>Version regardée et version sautée donnent les mêmes inventaire, équipe, carte et objectifs.</x:v>
      </x:c>
      <x:c r="O9" s="9" t="str">
        <x:v>REV-MIS-ACCESS</x:v>
      </x:c>
      <x:c r="P9" s="9" t="str"/>
      <x:c r="Q9" s="9" t="str"/>
      <x:c r="R9" s="9" t="str"/>
      <x:c r="S9" s="9" t="str"/>
    </x:row>
    <x:row r="10" ht="54" customHeight="1">
      <x:c r="A10" s="19" t="str">
        <x:v>REV-CIN-REFUGE</x:v>
      </x:c>
      <x:c r="B10" s="7" t="str">
        <x:v>Sécuriser une évacuation locale — transition narrative</x:v>
      </x:c>
      <x:c r="C10" s="15" t="str">
        <x:v>Défini</x:v>
      </x:c>
      <x:c r="D10" s="17" t="str">
        <x:v>Extrapolation</x:v>
      </x:c>
      <x:c r="E10" s="17" t="str">
        <x:v>P1</x:v>
      </x:c>
      <x:c r="F10" s="7" t="str">
        <x:v>Mise en scène originale compacte, sans reconstituer les dialogues de l’œuvre.</x:v>
      </x:c>
      <x:c r="G10" s="7" t="str">
        <x:v>Plan sur une pièce quittée et la lumière de la sortie.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cinematics/rev/refuge.timeline ; événements idempotents.</x:v>
      </x:c>
      <x:c r="M10" s="7" t="str">
        <x:v>Pas de victoire libre sur Saren ni changement du rôle de Skarr.</x:v>
      </x:c>
      <x:c r="N10" s="7" t="str">
        <x:v>Version regardée et version sautée donnent les mêmes inventaire, équipe, carte et objectifs.</x:v>
      </x:c>
      <x:c r="O10" s="7" t="str">
        <x:v>REV-MIS-REFUGE</x:v>
      </x:c>
      <x:c r="P10" s="7" t="str"/>
      <x:c r="Q10" s="7" t="str"/>
      <x:c r="R10" s="7" t="str"/>
      <x:c r="S10" s="7" t="str"/>
    </x:row>
    <x:row r="11" ht="54" customHeight="1">
      <x:c r="A11" s="18" t="str">
        <x:v>REV-CIN-MANIFEST</x:v>
      </x:c>
      <x:c r="B11" s="9" t="str">
        <x:v>Suivre un lot industriel — transition narrative</x:v>
      </x:c>
      <x:c r="C11" s="15" t="str">
        <x:v>Défini</x:v>
      </x:c>
      <x:c r="D11" s="16" t="str">
        <x:v>Extrapolation</x:v>
      </x:c>
      <x:c r="E11" s="16" t="str">
        <x:v>P1</x:v>
      </x:c>
      <x:c r="F11" s="9" t="str">
        <x:v>Mise en scène originale compacte, sans reconstituer les dialogues de l’œuvre.</x:v>
      </x:c>
      <x:c r="G11" s="9" t="str">
        <x:v>Mouvement bref vers les ateliers au-delà du quai.</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cinematics/rev/manifest.timeline ; événements idempotents.</x:v>
      </x:c>
      <x:c r="M11" s="9" t="str">
        <x:v>Les noms de sociétés ajoutés restent des placeholders, pas du canon.</x:v>
      </x:c>
      <x:c r="N11" s="9" t="str">
        <x:v>Version regardée et version sautée donnent les mêmes inventaire, équipe, carte et objectifs.</x:v>
      </x:c>
      <x:c r="O11" s="9" t="str">
        <x:v>REV-MIS-MANIFEST</x:v>
      </x:c>
      <x:c r="P11" s="9" t="str"/>
      <x:c r="Q11" s="9" t="str"/>
      <x:c r="R11" s="9" t="str"/>
      <x:c r="S11" s="9" t="str"/>
    </x:row>
    <x:row r="12" ht="54" customHeight="1">
      <x:c r="A12" s="19" t="str">
        <x:v>REV-CIN-ACCOUNT</x:v>
      </x:c>
      <x:c r="B12" s="7" t="str">
        <x:v>Protéger une déposition — transition narrative</x:v>
      </x:c>
      <x:c r="C12" s="15" t="str">
        <x:v>Défini</x:v>
      </x:c>
      <x:c r="D12" s="17" t="str">
        <x:v>Extrapolation</x:v>
      </x:c>
      <x:c r="E12" s="17" t="str">
        <x:v>P1</x:v>
      </x:c>
      <x:c r="F12" s="7" t="str">
        <x:v>Mise en scène originale compacte, sans reconstituer les dialogues de l’œuvre.</x:v>
      </x:c>
      <x:c r="G12" s="7" t="str">
        <x:v>Un signal d’enregistrement confirme seulement les faits déjà recueillis.</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cinematics/rev/account.timeline ; événements idempotents.</x:v>
      </x:c>
      <x:c r="M12" s="7" t="str">
        <x:v>Aucun long aveu du roman n’est transcrit.</x:v>
      </x:c>
      <x:c r="N12" s="7" t="str">
        <x:v>Version regardée et version sautée donnent les mêmes inventaire, équipe, carte et objectifs.</x:v>
      </x:c>
      <x:c r="O12" s="7" t="str">
        <x:v>REV-MIS-ACCOUNT</x:v>
      </x:c>
      <x:c r="P12" s="7" t="str"/>
      <x:c r="Q12" s="7" t="str"/>
      <x:c r="R12" s="7" t="str"/>
      <x:c r="S12" s="7" t="str"/>
    </x:row>
    <x:row r="13" ht="54" customHeight="1">
      <x:c r="A13" s="18" t="str">
        <x:v>REV-CIN-PASSAGE</x:v>
      </x:c>
      <x:c r="B13" s="9" t="str">
        <x:v>Franchir le passage du convoi — transition narrative</x:v>
      </x:c>
      <x:c r="C13" s="15" t="str">
        <x:v>Défini</x:v>
      </x:c>
      <x:c r="D13" s="16" t="str">
        <x:v>Extrapolation</x:v>
      </x:c>
      <x:c r="E13" s="16" t="str">
        <x:v>P1</x:v>
      </x:c>
      <x:c r="F13" s="9" t="str">
        <x:v>Mise en scène originale compacte, sans reconstituer les dialogues de l’œuvre.</x:v>
      </x:c>
      <x:c r="G13" s="9" t="str">
        <x:v>Le groupe disparaît derrière une cloison pendant le transit.</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cinematics/rev/passage.timeline ; événements idempotents.</x:v>
      </x:c>
      <x:c r="M13" s="9" t="str">
        <x:v>Ne pas permettre de sauver l’Iwo Jima via un choix présenté comme canon.</x:v>
      </x:c>
      <x:c r="N13" s="9" t="str">
        <x:v>Version regardée et version sautée donnent les mêmes inventaire, équipe, carte et objectifs.</x:v>
      </x:c>
      <x:c r="O13" s="9" t="str">
        <x:v>REV-MIS-PASSAGE</x:v>
      </x:c>
      <x:c r="P13" s="9" t="str"/>
      <x:c r="Q13" s="9" t="str"/>
      <x:c r="R13" s="9" t="str"/>
      <x:c r="S13" s="9" t="str"/>
    </x:row>
    <x:row r="14" ht="54" customHeight="1">
      <x:c r="A14" s="19" t="str">
        <x:v>REV-CIN-EXTRACT</x:v>
      </x:c>
      <x:c r="B14" s="7" t="str">
        <x:v>Ouvrir l’extraction de raffinerie — transition narrative</x:v>
      </x:c>
      <x:c r="C14" s="15" t="str">
        <x:v>Défini</x:v>
      </x:c>
      <x:c r="D14" s="17" t="str">
        <x:v>Extrapolation</x:v>
      </x:c>
      <x:c r="E14" s="17" t="str">
        <x:v>P1</x:v>
      </x:c>
      <x:c r="F14" s="7" t="str">
        <x:v>Mise en scène originale compacte, sans reconstituer les dialogues de l’œuvre.</x:v>
      </x:c>
      <x:c r="G14" s="7" t="str">
        <x:v>Plan sur les silhouettes sortant, dossier clos sans triomphe politique.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cinematics/rev/extract.timeline ; événements idempotents.</x:v>
      </x:c>
      <x:c r="M14" s="7" t="str">
        <x:v>Préserver l’échec de la candidature Spectre d’Anderson.</x:v>
      </x:c>
      <x:c r="N14" s="7" t="str">
        <x:v>Version regardée et version sautée donnent les mêmes inventaire, équipe, carte et objectifs.</x:v>
      </x:c>
      <x:c r="O14" s="7" t="str">
        <x:v>REV-MIS-EXTRACT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25f4c566cf0445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Revelation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REV-REF-CANNON</x:v>
      </x:c>
      <x:c r="B7" s="9" t="str">
        <x:v>Canon accélérateur portatif</x:v>
      </x:c>
      <x:c r="C7" s="15" t="str">
        <x:v>Défini</x:v>
      </x:c>
      <x:c r="D7" s="16" t="str">
        <x:v>Établi</x:v>
      </x:c>
      <x:c r="E7" s="16" t="str">
        <x:v>P1</x:v>
      </x:c>
      <x:c r="F7" s="9" t="str">
        <x:v>Skarr emploie un canon contre l’Iwo Jima.</x:v>
      </x:c>
      <x:c r="G7" s="9" t="str">
        <x:v>Ancrage documentaire du module ; aucune statistique officielle inférée.</x:v>
      </x:c>
      <x:c r="H7" s="9" t="str"/>
      <x:c r="I7" s="9" t="str"/>
      <x:c r="J7" s="9" t="str"/>
      <x:c r="K7" s="9" t="str"/>
      <x:c r="L7" s="9" t="str">
        <x:v>Codex ref.rev.cannon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REV-SRC-IWO</x:v>
      </x:c>
      <x:c r="R7" s="9" t="str">
        <x:v>https://masseffect.fandom.com/wiki/SSV_Iwo_Jima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e8f01a1824243d6"/>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Revelation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REV-REF-HASTINGS</x:v>
      </x:c>
      <x:c r="B7" s="9" t="str">
        <x:v>SSV Hastings</x:v>
      </x:c>
      <x:c r="C7" s="15" t="str">
        <x:v>Défini</x:v>
      </x:c>
      <x:c r="D7" s="16" t="str">
        <x:v>Établi</x:v>
      </x:c>
      <x:c r="E7" s="16" t="str">
        <x:v>P1</x:v>
      </x:c>
      <x:c r="F7" s="9" t="str">
        <x:v>Jill Dah et Anderson servent sur cette frégate.</x:v>
      </x:c>
      <x:c r="G7" s="9" t="str">
        <x:v>Ancrage documentaire du module ; aucune statistique officielle inférée.</x:v>
      </x:c>
      <x:c r="H7" s="9" t="str"/>
      <x:c r="I7" s="9" t="str"/>
      <x:c r="J7" s="9" t="str"/>
      <x:c r="K7" s="9" t="str"/>
      <x:c r="L7" s="9" t="str">
        <x:v>Codex ref.rev.hastings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REV-SRC-DAH</x:v>
      </x:c>
      <x:c r="R7" s="9" t="str">
        <x:v>https://masseffect.fandom.com/wiki/Jill_Dah</x:v>
      </x:c>
      <x:c r="S7" s="9" t="str">
        <x:v>Ce relevé n’est ni un inventaire exhaustif ni un résumé scène par scène.</x:v>
      </x:c>
    </x:row>
    <x:row r="8" ht="68" customHeight="1">
      <x:c r="A8" s="19" t="str">
        <x:v>REV-REF-IWO</x:v>
      </x:c>
      <x:c r="B8" s="7" t="str">
        <x:v>SSV Iwo Jima</x:v>
      </x:c>
      <x:c r="C8" s="15" t="str">
        <x:v>Défini</x:v>
      </x:c>
      <x:c r="D8" s="17" t="str">
        <x:v>Établi</x:v>
      </x:c>
      <x:c r="E8" s="17" t="str">
        <x:v>P1</x:v>
      </x:c>
      <x:c r="F8" s="7" t="str">
        <x:v>Cette frégate intervient dans le transfert de Kahlee.</x:v>
      </x:c>
      <x:c r="G8" s="7" t="str">
        <x:v>Ancrage documentaire du module ; aucune statistique officielle inférée.</x:v>
      </x:c>
      <x:c r="H8" s="7" t="str"/>
      <x:c r="I8" s="7" t="str"/>
      <x:c r="J8" s="7" t="str"/>
      <x:c r="K8" s="7" t="str"/>
      <x:c r="L8" s="7" t="str">
        <x:v>Codex ref.rev.iwo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REV-SRC-IWO</x:v>
      </x:c>
      <x:c r="R8" s="7" t="str">
        <x:v>https://masseffect.fandom.com/wiki/SSV_Iwo_Jima</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731980db1f44da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Revelation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REV-REF-BIOTIC</x:v>
      </x:c>
      <x:c r="B7" s="9" t="str">
        <x:v>Biotique de Skarr</x:v>
      </x:c>
      <x:c r="C7" s="15" t="str">
        <x:v>Défini</x:v>
      </x:c>
      <x:c r="D7" s="16" t="str">
        <x:v>Établi</x:v>
      </x:c>
      <x:c r="E7" s="16" t="str">
        <x:v>P1</x:v>
      </x:c>
      <x:c r="F7" s="9" t="str">
        <x:v>Skarr dispose de capacités biotiques importantes.</x:v>
      </x:c>
      <x:c r="G7" s="9" t="str">
        <x:v>Ancrage documentaire du module ; aucune statistique officielle inférée.</x:v>
      </x:c>
      <x:c r="H7" s="9" t="str"/>
      <x:c r="I7" s="9" t="str"/>
      <x:c r="J7" s="9" t="str"/>
      <x:c r="K7" s="9" t="str"/>
      <x:c r="L7" s="9" t="str">
        <x:v>Codex ref.rev.biotic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5e7ac1caa70441e"/>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Revelation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REV-MOV-COVER</x:v>
      </x:c>
      <x:c r="B7" s="9" t="str">
        <x:v>Couverture méthodique</x:v>
      </x:c>
      <x:c r="C7" s="15" t="str">
        <x:v>Défini</x:v>
      </x:c>
      <x:c r="D7" s="16" t="str">
        <x:v>Extrapolation</x:v>
      </x:c>
      <x:c r="E7" s="16" t="str">
        <x:v>P1</x:v>
      </x:c>
      <x:c r="F7" s="9" t="str">
        <x:v>Action de groupe originale ; elle n’est pas une compétence officielle de cette œuvre.</x:v>
      </x:c>
      <x:c r="G7" s="9" t="str">
        <x:v>Anderson : Protéger un allié en interaction ; protection cesse dès déplacement du protecteur.</x:v>
      </x:c>
      <x:c r="H7" s="9" t="str">
        <x:v>Protéger un allié en interaction ; protection cesse dès déplacement du protecteur. Coût initial proposé : une action ATB ; coût et délai restent des paramètres de prototype.</x:v>
      </x:c>
      <x:c r="I7" s="9" t="str">
        <x:v>Ligne courte entre protecteur et poste couvert.</x:v>
      </x:c>
      <x:c r="J7" s="9" t="str">
        <x:v>Préparation, validation de cible, engagement et récupération ; prévoir animation de refus avec motif.</x:v>
      </x:c>
      <x:c r="K7" s="9" t="str">
        <x:v>Confirmation et refus distingués ; texte d’état accessible au clavier.</x:v>
      </x:c>
      <x:c r="L7" s="9" t="str">
        <x:v>actions/rev/cover.json ; commande, cibles autorisées, coût, effets, nettoyage.</x:v>
      </x:c>
      <x:c r="M7" s="9" t="str">
        <x:v>Conserver la trajectoire menant à Mass Effect : Anderson ne devient pas Spectre dans ce module et les intentions de Saren ne deviennent pas un savoir public anticipé.</x:v>
      </x:c>
      <x:c r="N7" s="9" t="str">
        <x:v>Une cible incompatible ne consomme rien ; l’effet est réversible au rechargement du point de contrôle.</x:v>
      </x:c>
      <x:c r="O7" s="9" t="str"/>
      <x:c r="P7" s="9" t="str"/>
      <x:c r="Q7" s="9" t="str"/>
      <x:c r="R7" s="9" t="str"/>
      <x:c r="S7" s="9" t="str"/>
    </x:row>
    <x:row r="8" ht="68" customHeight="1">
      <x:c r="A8" s="19" t="str">
        <x:v>REV-MOV-COMPARE</x:v>
      </x:c>
      <x:c r="B8" s="7" t="str">
        <x:v>Comparaison de traces</x:v>
      </x:c>
      <x:c r="C8" s="15" t="str">
        <x:v>Défini</x:v>
      </x:c>
      <x:c r="D8" s="17" t="str">
        <x:v>Extrapolation</x:v>
      </x:c>
      <x:c r="E8" s="17" t="str">
        <x:v>P1</x:v>
      </x:c>
      <x:c r="F8" s="7" t="str">
        <x:v>Action de groupe originale ; elle n’est pas une compétence officielle de cette œuvre.</x:v>
      </x:c>
      <x:c r="G8" s="7" t="str">
        <x:v>Kahlee : Associer deux indices pour révéler une incohérence locale ; ne crée pas de fait narratif nouveau.</x:v>
      </x:c>
      <x:c r="H8" s="7" t="str">
        <x:v>Associer deux indices pour révéler une incohérence locale ; ne crée pas de fait narratif nouveau. Coût initial proposé : une action ATB ; coût et délai restent des paramètres de prototype.</x:v>
      </x:c>
      <x:c r="I8" s="7" t="str">
        <x:v>Deux cartes de preuve se rapprochent puis affichent le lien.</x:v>
      </x:c>
      <x:c r="J8" s="7" t="str">
        <x:v>Préparation, validation de cible, engagement et récupération ; prévoir animation de refus avec motif.</x:v>
      </x:c>
      <x:c r="K8" s="7" t="str">
        <x:v>Confirmation et refus distingués ; texte d’état accessible au clavier.</x:v>
      </x:c>
      <x:c r="L8" s="7" t="str">
        <x:v>actions/rev/compare.json ; commande, cibles autorisées, coût, effets, nettoyage.</x:v>
      </x:c>
      <x:c r="M8" s="7" t="str">
        <x:v>Conserver la trajectoire menant à Mass Effect : Anderson ne devient pas Spectre dans ce module et les intentions de Saren ne deviennent pas un savoir public anticipé.</x:v>
      </x:c>
      <x:c r="N8" s="7" t="str">
        <x:v>Une cible incompatible ne consomme rien ; l’effet est réversible au rechargement du point de contrôle.</x:v>
      </x:c>
      <x:c r="O8" s="7" t="str"/>
      <x:c r="P8" s="7" t="str"/>
      <x:c r="Q8" s="7" t="str"/>
      <x:c r="R8" s="7" t="str"/>
      <x:c r="S8" s="7" t="str"/>
    </x:row>
    <x:row r="9" ht="68" customHeight="1">
      <x:c r="A9" s="18" t="str">
        <x:v>REV-MOV-POINT</x:v>
      </x:c>
      <x:c r="B9" s="9" t="str">
        <x:v>Ouverture de couloir</x:v>
      </x:c>
      <x:c r="C9" s="15" t="str">
        <x:v>Défini</x:v>
      </x:c>
      <x:c r="D9" s="16" t="str">
        <x:v>Extrapolation</x:v>
      </x:c>
      <x:c r="E9" s="16" t="str">
        <x:v>P1</x:v>
      </x:c>
      <x:c r="F9" s="9" t="str">
        <x:v>Action de groupe originale ; elle n’est pas une compétence officielle de cette œuvre.</x:v>
      </x:c>
      <x:c r="G9" s="9" t="str">
        <x:v>Jill : Marquer un trajet dégagé pour une seule traversée de l’escorte.</x:v>
      </x:c>
      <x:c r="H9" s="9" t="str">
        <x:v>Marquer un trajet dégagé pour une seule traversée de l’escorte. Coût initial proposé : une action ATB ; coût et délai restent des paramètres de prototype.</x:v>
      </x:c>
      <x:c r="I9" s="9" t="str">
        <x:v>Chevrons discrets sur le sol.</x:v>
      </x:c>
      <x:c r="J9" s="9" t="str">
        <x:v>Préparation, validation de cible, engagement et récupération ; prévoir animation de refus avec motif.</x:v>
      </x:c>
      <x:c r="K9" s="9" t="str">
        <x:v>Confirmation et refus distingués ; texte d’état accessible au clavier.</x:v>
      </x:c>
      <x:c r="L9" s="9" t="str">
        <x:v>actions/rev/point.json ; commande, cibles autorisées, coût, effets, nettoyage.</x:v>
      </x:c>
      <x:c r="M9" s="9" t="str">
        <x:v>Conserver la trajectoire menant à Mass Effect : Anderson ne devient pas Spectre dans ce module et les intentions de Saren ne deviennent pas un savoir public anticipé.</x:v>
      </x:c>
      <x:c r="N9" s="9" t="str">
        <x:v>Une cible incompatible ne consomme rien ; l’effet est réversible au rechargement du point de contrôle.</x:v>
      </x:c>
      <x:c r="O9" s="9" t="str"/>
      <x:c r="P9" s="9" t="str"/>
      <x:c r="Q9" s="9" t="str"/>
      <x:c r="R9" s="9" t="str"/>
      <x:c r="S9" s="9" t="str"/>
    </x:row>
    <x:row r="10" ht="68" customHeight="1">
      <x:c r="A10" s="19" t="str">
        <x:v>REV-MOV-SEAL</x:v>
      </x:c>
      <x:c r="B10" s="7" t="str">
        <x:v>Isolation de circuit</x:v>
      </x:c>
      <x:c r="C10" s="15" t="str">
        <x:v>Défini</x:v>
      </x:c>
      <x:c r="D10" s="17" t="str">
        <x:v>Extrapolation</x:v>
      </x:c>
      <x:c r="E10" s="17" t="str">
        <x:v>P1</x:v>
      </x:c>
      <x:c r="F10" s="7" t="str">
        <x:v>Action de groupe originale ; elle n’est pas une compétence officielle de cette œuvre.</x:v>
      </x:c>
      <x:c r="G10" s="7" t="str">
        <x:v>Technicien de soutien proposé : Désactiver temporairement le danger d’une conduite au prix d’immobiliser un acteur.</x:v>
      </x:c>
      <x:c r="H10" s="7" t="str">
        <x:v>Désactiver temporairement le danger d’une conduite au prix d’immobiliser un acteur. Coût initial proposé : une action ATB ; coût et délai restent des paramètres de prototype.</x:v>
      </x:c>
      <x:c r="I10" s="7" t="str">
        <x:v>Éclair orange confiné au panneau de contrôle.</x:v>
      </x:c>
      <x:c r="J10" s="7" t="str">
        <x:v>Préparation, validation de cible, engagement et récupération ; prévoir animation de refus avec motif.</x:v>
      </x:c>
      <x:c r="K10" s="7" t="str">
        <x:v>Confirmation et refus distingués ; texte d’état accessible au clavier.</x:v>
      </x:c>
      <x:c r="L10" s="7" t="str">
        <x:v>actions/rev/seal.json ; commande, cibles autorisées, coût, effets, nettoyage.</x:v>
      </x:c>
      <x:c r="M10" s="7" t="str">
        <x:v>Conserver la trajectoire menant à Mass Effect : Anderson ne devient pas Spectre dans ce module et les intentions de Saren ne deviennent pas un savoir public anticipé.</x:v>
      </x:c>
      <x:c r="N10" s="7" t="str">
        <x:v>Une cible incompatible ne consomme rien ; l’effet est réversible au rechargement du point de contrôle.</x:v>
      </x:c>
      <x:c r="O10" s="7" t="str"/>
      <x:c r="P10" s="7" t="str"/>
      <x:c r="Q10" s="7" t="str"/>
      <x:c r="R10" s="7" t="str"/>
      <x:c r="S10" s="7" t="str"/>
    </x:row>
    <x:row r="11" ht="68" customHeight="1">
      <x:c r="A11" s="18" t="str">
        <x:v>REV-MOV-DISTRACT</x:v>
      </x:c>
      <x:c r="B11" s="9" t="str">
        <x:v>Diversion coordonnée</x:v>
      </x:c>
      <x:c r="C11" s="15" t="str">
        <x:v>Défini</x:v>
      </x:c>
      <x:c r="D11" s="16" t="str">
        <x:v>Extrapolation</x:v>
      </x:c>
      <x:c r="E11" s="16" t="str">
        <x:v>P1</x:v>
      </x:c>
      <x:c r="F11" s="9" t="str">
        <x:v>Action de groupe originale ; elle n’est pas une compétence officielle de cette œuvre.</x:v>
      </x:c>
      <x:c r="G11" s="9" t="str">
        <x:v>Groupe : Attirer une patrouille vers un couvert déjà repéré ; aucun pouvoir mental implicite.</x:v>
      </x:c>
      <x:c r="H11" s="9" t="str">
        <x:v>Attirer une patrouille vers un couvert déjà repéré ; aucun pouvoir mental implicite. Coût initial proposé : une action ATB ; coût et délai restent des paramètres de prototype.</x:v>
      </x:c>
      <x:c r="I11" s="9" t="str">
        <x:v>Signal de diversion visible dans la zone de destination.</x:v>
      </x:c>
      <x:c r="J11" s="9" t="str">
        <x:v>Préparation, validation de cible, engagement et récupération ; prévoir animation de refus avec motif.</x:v>
      </x:c>
      <x:c r="K11" s="9" t="str">
        <x:v>Confirmation et refus distingués ; texte d’état accessible au clavier.</x:v>
      </x:c>
      <x:c r="L11" s="9" t="str">
        <x:v>actions/rev/distract.json ; commande, cibles autorisées, coût, effets, nettoyage.</x:v>
      </x:c>
      <x:c r="M11" s="9" t="str">
        <x:v>Conserver la trajectoire menant à Mass Effect : Anderson ne devient pas Spectre dans ce module et les intentions de Saren ne deviennent pas un savoir public anticipé.</x:v>
      </x:c>
      <x:c r="N11" s="9" t="str">
        <x:v>Une cible incompatible ne consomme rien ; l’effet est réversible au rechargement du point de contrôle.</x:v>
      </x:c>
      <x:c r="O11" s="9" t="str"/>
      <x:c r="P11" s="9" t="str"/>
      <x:c r="Q11" s="9" t="str"/>
      <x:c r="R11" s="9" t="str"/>
      <x:c r="S11" s="9" t="str"/>
    </x:row>
    <x:row r="12" ht="68" customHeight="1">
      <x:c r="A12" s="19" t="str">
        <x:v>REV-MOV-EXTRACT</x:v>
      </x:c>
      <x:c r="B12" s="7" t="str">
        <x:v>Portage assisté</x:v>
      </x:c>
      <x:c r="C12" s="15" t="str">
        <x:v>Défini</x:v>
      </x:c>
      <x:c r="D12" s="17" t="str">
        <x:v>Extrapolation</x:v>
      </x:c>
      <x:c r="E12" s="17" t="str">
        <x:v>P1</x:v>
      </x:c>
      <x:c r="F12" s="7" t="str">
        <x:v>Action de groupe originale ; elle n’est pas une compétence officielle de cette œuvre.</x:v>
      </x:c>
      <x:c r="G12" s="7" t="str">
        <x:v>Groupe : Deux acteurs déplacent un blessé à vitesse réduite, l’un ne pouvant plus attaquer.</x:v>
      </x:c>
      <x:c r="H12" s="7" t="str">
        <x:v>Deux acteurs déplacent un blessé à vitesse réduite, l’un ne pouvant plus attaquer. Coût initial proposé : une action ATB ; coût et délai restent des paramètres de prototype.</x:v>
      </x:c>
      <x:c r="I12" s="7" t="str">
        <x:v>Pose portée avec pivot partagé et chemin élargi.</x:v>
      </x:c>
      <x:c r="J12" s="7" t="str">
        <x:v>Préparation, validation de cible, engagement et récupération ; prévoir animation de refus avec motif.</x:v>
      </x:c>
      <x:c r="K12" s="7" t="str">
        <x:v>Confirmation et refus distingués ; texte d’état accessible au clavier.</x:v>
      </x:c>
      <x:c r="L12" s="7" t="str">
        <x:v>actions/rev/extract.json ; commande, cibles autorisées, coût, effets, nettoyage.</x:v>
      </x:c>
      <x:c r="M12" s="7" t="str">
        <x:v>Conserver la trajectoire menant à Mass Effect : Anderson ne devient pas Spectre dans ce module et les intentions de Saren ne deviennent pas un savoir public anticipé.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3a93f6fee6b4df4"/>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Revelation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REV-EMV-SUNPATROL</x:v>
      </x:c>
      <x:c r="B7" s="9" t="str">
        <x:v>Patrouille mercenaire proposée — comportement principal</x:v>
      </x:c>
      <x:c r="C7" s="15" t="str">
        <x:v>Défini</x:v>
      </x:c>
      <x:c r="D7" s="16" t="str">
        <x:v>Extrapolation</x:v>
      </x:c>
      <x:c r="E7" s="16" t="str">
        <x:v>P1</x:v>
      </x:c>
      <x:c r="F7" s="9" t="str">
        <x:v>Comportement proposé pour la rencontre liée.</x:v>
      </x:c>
      <x:c r="G7" s="9" t="str">
        <x:v>Balayage en éventail puis déplacement vers un couvert.</x:v>
      </x:c>
      <x:c r="H7" s="9" t="str">
        <x:v>Télégraphe : Visée au sol et redressement d’un tireur de silhouette distincte. Contre-mesure : Contourner par le passage latéral ou interrompre l’observateur.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behaviors/rev/sunpatrol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REV-ENC-SUNPATROL</x:v>
      </x:c>
      <x:c r="P7" s="9" t="str"/>
      <x:c r="Q7" s="9" t="str"/>
      <x:c r="R7" s="9" t="str"/>
      <x:c r="S7" s="9" t="str"/>
    </x:row>
    <x:row r="8" ht="82" customHeight="1">
      <x:c r="A8" s="19" t="str">
        <x:v>REV-EMV-SKARRPRESS</x:v>
      </x:c>
      <x:c r="B8" s="7" t="str">
        <x:v>Pression de Skarr — segment de boss proposé — comportement principal</x:v>
      </x:c>
      <x:c r="C8" s="15" t="str">
        <x:v>Défini</x:v>
      </x:c>
      <x:c r="D8" s="17" t="str">
        <x:v>Extrapolation</x:v>
      </x:c>
      <x:c r="E8" s="17" t="str">
        <x:v>P1</x:v>
      </x:c>
      <x:c r="F8" s="7" t="str">
        <x:v>Comportement proposé pour la rencontre liée.</x:v>
      </x:c>
      <x:c r="G8" s="7" t="str">
        <x:v>Menace une zone d’abri puis laisse un créneau de déplacement.</x:v>
      </x:c>
      <x:c r="H8" s="7" t="str">
        <x:v>Télégraphe : Impulsion biotique concentrée et objet qui tremble avant projection. Contre-mesure : Quitter l’axe annoncé et protéger la personne escortée.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behaviors/rev/skarrpress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REV-ENC-SKARRPRESS</x:v>
      </x:c>
      <x:c r="P8" s="7" t="str"/>
      <x:c r="Q8" s="7" t="str"/>
      <x:c r="R8" s="7" t="str"/>
      <x:c r="S8" s="7" t="str"/>
    </x:row>
    <x:row r="9" ht="82" customHeight="1">
      <x:c r="A9" s="18" t="str">
        <x:v>REV-EMV-GUARD</x:v>
      </x:c>
      <x:c r="B9" s="9" t="str">
        <x:v>Garde de registre proposée — comportement principal</x:v>
      </x:c>
      <x:c r="C9" s="15" t="str">
        <x:v>Défini</x:v>
      </x:c>
      <x:c r="D9" s="16" t="str">
        <x:v>Extrapolation</x:v>
      </x:c>
      <x:c r="E9" s="16" t="str">
        <x:v>P1</x:v>
      </x:c>
      <x:c r="F9" s="9" t="str">
        <x:v>Comportement proposé pour la rencontre liée.</x:v>
      </x:c>
      <x:c r="G9" s="9" t="str">
        <x:v>Alterne surveillance du terminal et appel de renfort simulé.</x:v>
      </x:c>
      <x:c r="H9" s="9" t="str">
        <x:v>Télégraphe : Voyant de communication et changement visible d’orientation. Contre-mesure : Couper la communication ou agir pendant son retournement.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behaviors/rev/guard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REV-ENC-GUARD</x:v>
      </x:c>
      <x:c r="P9" s="9" t="str"/>
      <x:c r="Q9" s="9" t="str"/>
      <x:c r="R9" s="9" t="str"/>
      <x:c r="S9" s="9" t="str"/>
    </x:row>
    <x:row r="10" ht="68" customHeight="1">
      <x:c r="A10" s="19" t="str">
        <x:v>REV-EMV-PUMP</x:v>
      </x:c>
      <x:c r="B10" s="7" t="str">
        <x:v>Crise des pompes — comportement principal</x:v>
      </x:c>
      <x:c r="C10" s="15" t="str">
        <x:v>Défini</x:v>
      </x:c>
      <x:c r="D10" s="17" t="str">
        <x:v>Extrapolation</x:v>
      </x:c>
      <x:c r="E10" s="17" t="str">
        <x:v>P1</x:v>
      </x:c>
      <x:c r="F10" s="7" t="str">
        <x:v>Comportement proposé pour la rencontre liée.</x:v>
      </x:c>
      <x:c r="G10" s="7" t="str">
        <x:v>Une conduite obstrue un passage tant que la dérivation n’est pas activée.</x:v>
      </x:c>
      <x:c r="H10" s="7" t="str">
        <x:v>Télégraphe : Givre, sifflement et hachures sur la portion fermée. Contre-mesure : Isoler le circuit depuis le poste secondaire.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behaviors/rev/pump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REV-ENC-PUMP</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1d2d1bc703414dd4"/>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Revelation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REV-ANI-ANDERSON</x:v>
      </x:c>
      <x:c r="B7" s="9" t="str">
        <x:v>David Anderson — jeu de poses contextuelles</x:v>
      </x:c>
      <x:c r="C7" s="15" t="str">
        <x:v>Défini</x:v>
      </x:c>
      <x:c r="D7" s="16" t="str">
        <x:v>Extrapolation</x:v>
      </x:c>
      <x:c r="E7" s="16" t="str">
        <x:v>P1</x:v>
      </x:c>
      <x:c r="F7" s="9" t="str">
        <x:v>Création proposée : poses nécessaires à l’interaction « Coordonner une couverture pendant la collecte de preuves. ».</x:v>
      </x:c>
      <x:c r="G7" s="9" t="str">
        <x:v>Blocage animé de David Anderson : anticipation, action, récupération, retour au repos ; prévoir une interruption propre.</x:v>
      </x:c>
      <x:c r="H7" s="9" t="str">
        <x:v>Coordonner une couverture pendant la collecte de preuves. L’effet logique ne dépend jamais de la cadence du rendu.</x:v>
      </x:c>
      <x:c r="I7" s="9" t="str">
        <x:v>Conserver les repères de silhouette : Armure humaine sobre, épaules carrées, visage encore distinct de son âge dans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actor.rev.anderson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REV-SPR-ANDERSON</x:v>
      </x:c>
      <x:c r="P7" s="9" t="str"/>
      <x:c r="Q7" s="9" t="str"/>
      <x:c r="R7" s="9" t="str"/>
      <x:c r="S7" s="9" t="str"/>
    </x:row>
    <x:row r="8" ht="54" customHeight="1">
      <x:c r="A8" s="19" t="str">
        <x:v>REV-ANI-KAHLEE</x:v>
      </x:c>
      <x:c r="B8" s="7" t="str">
        <x:v>Kahlee Sanders — jeu de poses contextuelles</x:v>
      </x:c>
      <x:c r="C8" s="15" t="str">
        <x:v>Défini</x:v>
      </x:c>
      <x:c r="D8" s="17" t="str">
        <x:v>Extrapolation</x:v>
      </x:c>
      <x:c r="E8" s="17" t="str">
        <x:v>P1</x:v>
      </x:c>
      <x:c r="F8" s="7" t="str">
        <x:v>Création proposée : poses nécessaires à l’interaction « Comparer deux traces techniques avant de déverrouiller une piste. ».</x:v>
      </x:c>
      <x:c r="G8" s="7" t="str">
        <x:v>Blocage animé de Kahlee Sanders : anticipation, action, récupération, retour au repos ; prévoir une interruption propre.</x:v>
      </x:c>
      <x:c r="H8" s="7" t="str">
        <x:v>Comparer deux traces techniques avant de déverrouiller une piste. L’effet logique ne dépend jamais de la cadence du rendu.</x:v>
      </x:c>
      <x:c r="I8" s="7" t="str">
        <x:v>Conserver les repères de silhouette : Tenue civile de travail, sac technique compact, posture attentive.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actor.rev.kahlee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REV-SPR-KAHLEE</x:v>
      </x:c>
      <x:c r="P8" s="7" t="str"/>
      <x:c r="Q8" s="7" t="str"/>
      <x:c r="R8" s="7" t="str"/>
      <x:c r="S8" s="7" t="str"/>
    </x:row>
    <x:row r="9" ht="54" customHeight="1">
      <x:c r="A9" s="18" t="str">
        <x:v>REV-ANI-SAREN</x:v>
      </x:c>
      <x:c r="B9" s="9" t="str">
        <x:v>Saren Arterius — jeu de poses contextuelles</x:v>
      </x:c>
      <x:c r="C9" s="15" t="str">
        <x:v>Défini</x:v>
      </x:c>
      <x:c r="D9" s="16" t="str">
        <x:v>Extrapolation</x:v>
      </x:c>
      <x:c r="E9" s="16" t="str">
        <x:v>P1</x:v>
      </x:c>
      <x:c r="F9" s="9" t="str">
        <x:v>Création proposée : poses nécessaires à l’interaction « Contester une procédure et imposer un point de contrôle narratif. ».</x:v>
      </x:c>
      <x:c r="G9" s="9" t="str">
        <x:v>Blocage animé de Saren Arterius : anticipation, action, récupération, retour au repos ; prévoir une interruption propre.</x:v>
      </x:c>
      <x:c r="H9" s="9" t="str">
        <x:v>Contester une procédure et imposer un point de contrôle narratif. L’effet logique ne dépend jamais de la cadence du rendu.</x:v>
      </x:c>
      <x:c r="I9" s="9" t="str">
        <x:v>Conserver les repères de silhouette : Silhouette turienne et équipement de mission ; éviter de copier ses modifications tardives.</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actor.rev.saren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REV-SPR-SAREN</x:v>
      </x:c>
      <x:c r="P9" s="9" t="str"/>
      <x:c r="Q9" s="9" t="str"/>
      <x:c r="R9" s="9" t="str"/>
      <x:c r="S9" s="9" t="str"/>
    </x:row>
    <x:row r="10" ht="54" customHeight="1">
      <x:c r="A10" s="19" t="str">
        <x:v>REV-ANI-SKARR</x:v>
      </x:c>
      <x:c r="B10" s="7" t="str">
        <x:v>Skarr — jeu de poses contextuelles</x:v>
      </x:c>
      <x:c r="C10" s="15" t="str">
        <x:v>Défini</x:v>
      </x:c>
      <x:c r="D10" s="17" t="str">
        <x:v>Extrapolation</x:v>
      </x:c>
      <x:c r="E10" s="17" t="str">
        <x:v>P1</x:v>
      </x:c>
      <x:c r="F10" s="7" t="str">
        <x:v>Création proposée : poses nécessaires à l’interaction « Opposer une pression de terrain qui oblige à protéger l’escorte. ».</x:v>
      </x:c>
      <x:c r="G10" s="7" t="str">
        <x:v>Blocage animé de Skarr : anticipation, action, récupération, retour au repos ; prévoir une interruption propre.</x:v>
      </x:c>
      <x:c r="H10" s="7" t="str">
        <x:v>Opposer une pression de terrain qui oblige à protéger l’escorte. L’effet logique ne dépend jamais de la cadence du rendu.</x:v>
      </x:c>
      <x:c r="I10" s="7" t="str">
        <x:v>Conserver les repères de silhouette : Masse compacte, armure épaisse, silhouette offensive ; détails à contrôler.</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actor.rev.skarr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REV-SPR-SKARR</x:v>
      </x:c>
      <x:c r="P10" s="7" t="str"/>
      <x:c r="Q10" s="7" t="str"/>
      <x:c r="R10" s="7" t="str"/>
      <x:c r="S10" s="7" t="str"/>
    </x:row>
    <x:row r="11" ht="54" customHeight="1">
      <x:c r="A11" s="18" t="str">
        <x:v>REV-ANI-EDAN</x:v>
      </x:c>
      <x:c r="B11" s="9" t="str">
        <x:v>Edan Had’dah — jeu de poses contextuelles</x:v>
      </x:c>
      <x:c r="C11" s="15" t="str">
        <x:v>Défini</x:v>
      </x:c>
      <x:c r="D11" s="16" t="str">
        <x:v>Extrapolation</x:v>
      </x:c>
      <x:c r="E11" s="16" t="str">
        <x:v>P1</x:v>
      </x:c>
      <x:c r="F11" s="9" t="str">
        <x:v>Création proposée : poses nécessaires à l’interaction « Négocier une information sans en faire un vendeur de quête banal. ».</x:v>
      </x:c>
      <x:c r="G11" s="9" t="str">
        <x:v>Blocage animé de Edan Had’dah : anticipation, action, récupération, retour au repos ; prévoir une interruption propre.</x:v>
      </x:c>
      <x:c r="H11" s="9" t="str">
        <x:v>Négocier une information sans en faire un vendeur de quête banal. L’effet logique ne dépend jamais de la cadence du rendu.</x:v>
      </x:c>
      <x:c r="I11" s="9" t="str">
        <x:v>Conserver les repères de silhouette : Tenue de notable butarien proposée, quatre yeux lisibles en portrait.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actor.rev.edan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REV-SPR-EDAN</x:v>
      </x:c>
      <x:c r="P11" s="9" t="str"/>
      <x:c r="Q11" s="9" t="str"/>
      <x:c r="R11" s="9" t="str"/>
      <x:c r="S11" s="9" t="str"/>
    </x:row>
    <x:row r="12" ht="54" customHeight="1">
      <x:c r="A12" s="19" t="str">
        <x:v>REV-ANI-JILL</x:v>
      </x:c>
      <x:c r="B12" s="7" t="str">
        <x:v>Jill Dah — jeu de poses contextuelles</x:v>
      </x:c>
      <x:c r="C12" s="15" t="str">
        <x:v>Défini</x:v>
      </x:c>
      <x:c r="D12" s="17" t="str">
        <x:v>Extrapolation</x:v>
      </x:c>
      <x:c r="E12" s="17" t="str">
        <x:v>P1</x:v>
      </x:c>
      <x:c r="F12" s="7" t="str">
        <x:v>Création proposée : poses nécessaires à l’interaction « Tenir un couloir puis être aidée à franchir un obstacle. ».</x:v>
      </x:c>
      <x:c r="G12" s="7" t="str">
        <x:v>Blocage animé de Jill Dah : anticipation, action, récupération, retour au repos ; prévoir une interruption propre.</x:v>
      </x:c>
      <x:c r="H12" s="7" t="str">
        <x:v>Tenir un couloir puis être aidée à franchir un obstacle. L’effet logique ne dépend jamais de la cadence du rendu.</x:v>
      </x:c>
      <x:c r="I12" s="7" t="str">
        <x:v>Conserver les repères de silhouette : Grande silhouette, armure militaire, variante de blessure temporaire à la jambe.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actor.rev.jill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REV-SPR-JILL</x:v>
      </x:c>
      <x:c r="P12" s="7" t="str"/>
      <x:c r="Q12" s="7" t="str"/>
      <x:c r="R12" s="7" t="str"/>
      <x:c r="S12" s="7" t="str"/>
    </x:row>
    <x:row r="13" ht="54" customHeight="1">
      <x:c r="A13" s="18" t="str">
        <x:v>REV-ANI-GRISSOM</x:v>
      </x:c>
      <x:c r="B13" s="9" t="str">
        <x:v>Jon Grissom — jeu de poses contextuelles</x:v>
      </x:c>
      <x:c r="C13" s="15" t="str">
        <x:v>Défini</x:v>
      </x:c>
      <x:c r="D13" s="16" t="str">
        <x:v>Extrapolation</x:v>
      </x:c>
      <x:c r="E13" s="16" t="str">
        <x:v>P1</x:v>
      </x:c>
      <x:c r="F13" s="9" t="str">
        <x:v>Création proposée : poses nécessaires à l’interaction « Orienter une discussion de refuge avant le départ de l’équipe. ».</x:v>
      </x:c>
      <x:c r="G13" s="9" t="str">
        <x:v>Blocage animé de Jon Grissom : anticipation, action, récupération, retour au repos ; prévoir une interruption propre.</x:v>
      </x:c>
      <x:c r="H13" s="9" t="str">
        <x:v>Orienter une discussion de refuge avant le départ de l’équipe. L’effet logique ne dépend jamais de la cadence du rendu.</x:v>
      </x:c>
      <x:c r="I13" s="9" t="str">
        <x:v>Conserver les repères de silhouette : Civil âgé, intérieur habité, aucun uniforme d’époque inventé comme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actor.rev.grissom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REV-SPR-GRISSOM</x:v>
      </x:c>
      <x:c r="P13" s="9" t="str"/>
      <x:c r="Q13" s="9" t="str"/>
      <x:c r="R13" s="9" t="str"/>
      <x:c r="S13" s="9" t="str"/>
    </x:row>
    <x:row r="14" ht="54" customHeight="1">
      <x:c r="A14" s="19" t="str">
        <x:v>REV-ANI-JELLA</x:v>
      </x:c>
      <x:c r="B14" s="7" t="str">
        <x:v>Jella — jeu de poses contextuelles</x:v>
      </x:c>
      <x:c r="C14" s="15" t="str">
        <x:v>Défini</x:v>
      </x:c>
      <x:c r="D14" s="17" t="str">
        <x:v>Extrapolation</x:v>
      </x:c>
      <x:c r="E14" s="17" t="str">
        <x:v>P1</x:v>
      </x:c>
      <x:c r="F14" s="7" t="str">
        <x:v>Création proposée : poses nécessaires à l’interaction « Fournir un fragment d’accès après vérification de confiance. ».</x:v>
      </x:c>
      <x:c r="G14" s="7" t="str">
        <x:v>Blocage animé de Jella : anticipation, action, récupération, retour au repos ; prévoir une interruption propre.</x:v>
      </x:c>
      <x:c r="H14" s="7" t="str">
        <x:v>Fournir un fragment d’accès après vérification de confiance. L’effet logique ne dépend jamais de la cadence du rendu.</x:v>
      </x:c>
      <x:c r="I14" s="7" t="str">
        <x:v>Conserver les repères de silhouette : Tenue de personnel technique proposée, badge et outil de maintenance.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actor.rev.jella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REV-SPR-JELLA</x:v>
      </x:c>
      <x:c r="P14" s="7" t="str"/>
      <x:c r="Q14" s="7" t="str"/>
      <x:c r="R14" s="7" t="str"/>
      <x:c r="S14" s="7" t="str"/>
    </x:row>
    <x:row r="15" ht="68" customHeight="1">
      <x:c r="A15" s="18" t="str">
        <x:v>REV-ANI-QIAN</x:v>
      </x:c>
      <x:c r="B15" s="9" t="str">
        <x:v>Shu Qian — jeu de poses contextuelles</x:v>
      </x:c>
      <x:c r="C15" s="15" t="str">
        <x:v>Défini</x:v>
      </x:c>
      <x:c r="D15" s="16" t="str">
        <x:v>Extrapolation</x:v>
      </x:c>
      <x:c r="E15" s="16" t="str">
        <x:v>P1</x:v>
      </x:c>
      <x:c r="F15" s="9" t="str">
        <x:v>Création proposée : poses nécessaires à l’interaction « Servir d’ancrage au dossier scientifique sans livrer un monologue explicatif. ».</x:v>
      </x:c>
      <x:c r="G15" s="9" t="str">
        <x:v>Blocage animé de Shu Qian : anticipation, action, récupération, retour au repos ; prévoir une interruption propre.</x:v>
      </x:c>
      <x:c r="H15" s="9" t="str">
        <x:v>Servir d’ancrage au dossier scientifique sans livrer un monologue explicatif. L’effet logique ne dépend jamais de la cadence du rendu.</x:v>
      </x:c>
      <x:c r="I15" s="9" t="str">
        <x:v>Conserver les repères de silhouette : Blouse ou tenue scientifique à confirmer, terminal personnel comme repère.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actor.rev.qian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REV-SPR-QIAN</x:v>
      </x:c>
      <x:c r="P15" s="9" t="str"/>
      <x:c r="Q15" s="9" t="str"/>
      <x:c r="R15" s="9" t="str"/>
      <x:c r="S15" s="9" t="str"/>
    </x:row>
    <x:row r="16" ht="68" customHeight="1">
      <x:c r="A16" s="19" t="str">
        <x:v>REV-ANI-GROTO</x:v>
      </x:c>
      <x:c r="B16" s="7" t="str">
        <x:v>Groto Ib-ba — jeu de poses contextuelles</x:v>
      </x:c>
      <x:c r="C16" s="15" t="str">
        <x:v>Défini</x:v>
      </x:c>
      <x:c r="D16" s="17" t="str">
        <x:v>Extrapolation</x:v>
      </x:c>
      <x:c r="E16" s="17" t="str">
        <x:v>P1</x:v>
      </x:c>
      <x:c r="F16" s="7" t="str">
        <x:v>Création proposée : poses nécessaires à l’interaction « Être évoqué dans une chaîne de renseignements, sans interrogation jouable copiée. ».</x:v>
      </x:c>
      <x:c r="G16" s="7" t="str">
        <x:v>Blocage animé de Groto Ib-ba : anticipation, action, récupération, retour au repos ; prévoir une interruption propre.</x:v>
      </x:c>
      <x:c r="H16" s="7" t="str">
        <x:v>Être évoqué dans une chaîne de renseignements, sans interrogation jouable copiée. L’effet logique ne dépend jamais de la cadence du rendu.</x:v>
      </x:c>
      <x:c r="I16" s="7" t="str">
        <x:v>Conserver les repères de silhouette : Silhouette de civil distincte des combattants ; espèce et tenue à vérifier visuellement.</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actor.rev.groto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REV-SPR-GROTO</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5f165e2599d349b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Revelation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REV-SPR-ANDERSON</x:v>
      </x:c>
      <x:c r="B7" s="9" t="str">
        <x:v>David Anderson — planche sprite</x:v>
      </x:c>
      <x:c r="C7" s="15" t="str">
        <x:v>Défini</x:v>
      </x:c>
      <x:c r="D7" s="16" t="str">
        <x:v>Extrapolation</x:v>
      </x:c>
      <x:c r="E7" s="16" t="str">
        <x:v>P1</x:v>
      </x:c>
      <x:c r="F7" s="9" t="str">
        <x:v>Création proposée : représentation 2D de David Anderson pour ce module.</x:v>
      </x:c>
      <x:c r="G7" s="9" t="str">
        <x:v>Armure humaine sobre, épaules carrées, visage encore distinct de son âge dans ME3. Préparer silhouette entière, portrait de dialogue et masque de sélection.</x:v>
      </x:c>
      <x:c r="H7" s="9" t="str">
        <x:v>La zone interactive reste stable entre les poses ; la tenue ne confère aucun bonus implicite.</x:v>
      </x:c>
      <x:c r="I7" s="9" t="str">
        <x:v>Armure humaine sobre, épaules carrées, visage encore distinct de son âge dans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assets/rev/actors/anderson/atlas.png + atlas.json, pivot aux pieds.</x:v>
      </x:c>
      <x:c r="M7" s="9" t="str">
        <x:v>Visible uniquement quand David Anderson est autorisé par l’état narratif.</x:v>
      </x:c>
      <x:c r="N7" s="9" t="str">
        <x:v>Silhouette reconnue sans nom ; pieds sans glissement ; portrait et sprite cohérents à échelle réelle.</x:v>
      </x:c>
      <x:c r="O7" s="9" t="str">
        <x:v>REV-CHR-ANDERSON</x:v>
      </x:c>
      <x:c r="P7" s="9" t="str"/>
      <x:c r="Q7" s="9" t="str"/>
      <x:c r="R7" s="9" t="str"/>
      <x:c r="S7" s="9" t="str"/>
    </x:row>
    <x:row r="8" ht="68" customHeight="1">
      <x:c r="A8" s="19" t="str">
        <x:v>REV-SPR-KAHLEE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civile de travail, sac technique compact, posture attentive. Préparer silhouette entière, portrait de dialogue et masque de sélection.</x:v>
      </x:c>
      <x:c r="H8" s="7" t="str">
        <x:v>La zone interactive reste stable entre les poses ; la tenue ne confère aucun bonus implicite.</x:v>
      </x:c>
      <x:c r="I8" s="7" t="str">
        <x:v>Tenue civile de travail, sac technique compact, posture attentive.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assets/rev/actors/kahlee/atlas.png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REV-CHR-KAHLEE</x:v>
      </x:c>
      <x:c r="P8" s="7" t="str"/>
      <x:c r="Q8" s="7" t="str"/>
      <x:c r="R8" s="7" t="str"/>
      <x:c r="S8" s="7" t="str"/>
    </x:row>
    <x:row r="9" ht="68" customHeight="1">
      <x:c r="A9" s="18" t="str">
        <x:v>REV-SPR-SAREN</x:v>
      </x:c>
      <x:c r="B9" s="9" t="str">
        <x:v>Saren Arterius — planche sprite</x:v>
      </x:c>
      <x:c r="C9" s="15" t="str">
        <x:v>Défini</x:v>
      </x:c>
      <x:c r="D9" s="16" t="str">
        <x:v>Extrapolation</x:v>
      </x:c>
      <x:c r="E9" s="16" t="str">
        <x:v>P1</x:v>
      </x:c>
      <x:c r="F9" s="9" t="str">
        <x:v>Création proposée : représentation 2D de Saren Arterius pour ce module.</x:v>
      </x:c>
      <x:c r="G9" s="9" t="str">
        <x:v>Silhouette turienne et équipement de mission ; éviter de copier ses modifications tardives. Préparer silhouette entière, portrait de dialogue et masque de sélection.</x:v>
      </x:c>
      <x:c r="H9" s="9" t="str">
        <x:v>La zone interactive reste stable entre les poses ; la tenue ne confère aucun bonus implicite.</x:v>
      </x:c>
      <x:c r="I9" s="9" t="str">
        <x:v>Silhouette turienne et équipement de mission ; éviter de copier ses modifications tardives.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assets/rev/actors/saren/atlas.png + atlas.json, pivot aux pieds.</x:v>
      </x:c>
      <x:c r="M9" s="9" t="str">
        <x:v>Visible uniquement quand Saren Arterius est autorisé par l’état narratif.</x:v>
      </x:c>
      <x:c r="N9" s="9" t="str">
        <x:v>Silhouette reconnue sans nom ; pieds sans glissement ; portrait et sprite cohérents à échelle réelle.</x:v>
      </x:c>
      <x:c r="O9" s="9" t="str">
        <x:v>REV-CHR-SAREN</x:v>
      </x:c>
      <x:c r="P9" s="9" t="str"/>
      <x:c r="Q9" s="9" t="str"/>
      <x:c r="R9" s="9" t="str"/>
      <x:c r="S9" s="9" t="str"/>
    </x:row>
    <x:row r="10" ht="68" customHeight="1">
      <x:c r="A10" s="19" t="str">
        <x:v>REV-SPR-SKARR</x:v>
      </x:c>
      <x:c r="B10" s="7" t="str">
        <x:v>Skarr — planche sprite</x:v>
      </x:c>
      <x:c r="C10" s="15" t="str">
        <x:v>Défini</x:v>
      </x:c>
      <x:c r="D10" s="17" t="str">
        <x:v>Extrapolation</x:v>
      </x:c>
      <x:c r="E10" s="17" t="str">
        <x:v>P1</x:v>
      </x:c>
      <x:c r="F10" s="7" t="str">
        <x:v>Création proposée : représentation 2D de Skarr pour ce module.</x:v>
      </x:c>
      <x:c r="G10" s="7" t="str">
        <x:v>Masse compacte, armure épaisse, silhouette offensive ; détails à contrôler. Préparer silhouette entière, portrait de dialogue et masque de sélection.</x:v>
      </x:c>
      <x:c r="H10" s="7" t="str">
        <x:v>La zone interactive reste stable entre les poses ; la tenue ne confère aucun bonus implicite.</x:v>
      </x:c>
      <x:c r="I10" s="7" t="str">
        <x:v>Masse compacte, armure épaisse, silhouette offensive ; détails à contrôler.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assets/rev/actors/skarr/atlas.png + atlas.json, pivot aux pieds.</x:v>
      </x:c>
      <x:c r="M10" s="7" t="str">
        <x:v>Visible uniquement quand Skarr est autorisé par l’état narratif.</x:v>
      </x:c>
      <x:c r="N10" s="7" t="str">
        <x:v>Silhouette reconnue sans nom ; pieds sans glissement ; portrait et sprite cohérents à échelle réelle.</x:v>
      </x:c>
      <x:c r="O10" s="7" t="str">
        <x:v>REV-CHR-SKARR</x:v>
      </x:c>
      <x:c r="P10" s="7" t="str"/>
      <x:c r="Q10" s="7" t="str"/>
      <x:c r="R10" s="7" t="str"/>
      <x:c r="S10" s="7" t="str"/>
    </x:row>
    <x:row r="11" ht="68" customHeight="1">
      <x:c r="A11" s="18" t="str">
        <x:v>REV-SPR-EDAN</x:v>
      </x:c>
      <x:c r="B11" s="9" t="str">
        <x:v>Edan Had’dah — planche sprite</x:v>
      </x:c>
      <x:c r="C11" s="15" t="str">
        <x:v>Défini</x:v>
      </x:c>
      <x:c r="D11" s="16" t="str">
        <x:v>Extrapolation</x:v>
      </x:c>
      <x:c r="E11" s="16" t="str">
        <x:v>P1</x:v>
      </x:c>
      <x:c r="F11" s="9" t="str">
        <x:v>Création proposée : représentation 2D de Edan Had’dah pour ce module.</x:v>
      </x:c>
      <x:c r="G11" s="9" t="str">
        <x:v>Tenue de notable butarien proposée, quatre yeux lisibles en portrait. Préparer silhouette entière, portrait de dialogue et masque de sélection.</x:v>
      </x:c>
      <x:c r="H11" s="9" t="str">
        <x:v>La zone interactive reste stable entre les poses ; la tenue ne confère aucun bonus implicite.</x:v>
      </x:c>
      <x:c r="I11" s="9" t="str">
        <x:v>Tenue de notable butarien proposée, quatre yeux lisibles en portrait.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assets/rev/actors/edan/atlas.png + atlas.json, pivot aux pieds.</x:v>
      </x:c>
      <x:c r="M11" s="9" t="str">
        <x:v>Visible uniquement quand Edan Had’dah est autorisé par l’état narratif.</x:v>
      </x:c>
      <x:c r="N11" s="9" t="str">
        <x:v>Silhouette reconnue sans nom ; pieds sans glissement ; portrait et sprite cohérents à échelle réelle.</x:v>
      </x:c>
      <x:c r="O11" s="9" t="str">
        <x:v>REV-CHR-EDAN</x:v>
      </x:c>
      <x:c r="P11" s="9" t="str"/>
      <x:c r="Q11" s="9" t="str"/>
      <x:c r="R11" s="9" t="str"/>
      <x:c r="S11" s="9" t="str"/>
    </x:row>
    <x:row r="12" ht="68" customHeight="1">
      <x:c r="A12" s="19" t="str">
        <x:v>REV-SPR-JILL</x:v>
      </x:c>
      <x:c r="B12" s="7" t="str">
        <x:v>Jill Dah — planche sprite</x:v>
      </x:c>
      <x:c r="C12" s="15" t="str">
        <x:v>Défini</x:v>
      </x:c>
      <x:c r="D12" s="17" t="str">
        <x:v>Extrapolation</x:v>
      </x:c>
      <x:c r="E12" s="17" t="str">
        <x:v>P1</x:v>
      </x:c>
      <x:c r="F12" s="7" t="str">
        <x:v>Création proposée : représentation 2D de Jill Dah pour ce module.</x:v>
      </x:c>
      <x:c r="G12" s="7" t="str">
        <x:v>Grande silhouette, armure militaire, variante de blessure temporaire à la jambe. Préparer silhouette entière, portrait de dialogue et masque de sélection.</x:v>
      </x:c>
      <x:c r="H12" s="7" t="str">
        <x:v>La zone interactive reste stable entre les poses ; la tenue ne confère aucun bonus implicite.</x:v>
      </x:c>
      <x:c r="I12" s="7" t="str">
        <x:v>Grande silhouette, armure militaire, variante de blessure temporaire à la jambe.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assets/rev/actors/jill/atlas.png + atlas.json, pivot aux pieds.</x:v>
      </x:c>
      <x:c r="M12" s="7" t="str">
        <x:v>Visible uniquement quand Jill Dah est autorisé par l’état narratif.</x:v>
      </x:c>
      <x:c r="N12" s="7" t="str">
        <x:v>Silhouette reconnue sans nom ; pieds sans glissement ; portrait et sprite cohérents à échelle réelle.</x:v>
      </x:c>
      <x:c r="O12" s="7" t="str">
        <x:v>REV-CHR-JILL</x:v>
      </x:c>
      <x:c r="P12" s="7" t="str"/>
      <x:c r="Q12" s="7" t="str"/>
      <x:c r="R12" s="7" t="str"/>
      <x:c r="S12" s="7" t="str"/>
    </x:row>
    <x:row r="13" ht="68" customHeight="1">
      <x:c r="A13" s="18" t="str">
        <x:v>REV-SPR-GRISSOM</x:v>
      </x:c>
      <x:c r="B13" s="9" t="str">
        <x:v>Jon Grissom — planche sprite</x:v>
      </x:c>
      <x:c r="C13" s="15" t="str">
        <x:v>Défini</x:v>
      </x:c>
      <x:c r="D13" s="16" t="str">
        <x:v>Extrapolation</x:v>
      </x:c>
      <x:c r="E13" s="16" t="str">
        <x:v>P1</x:v>
      </x:c>
      <x:c r="F13" s="9" t="str">
        <x:v>Création proposée : représentation 2D de Jon Grissom pour ce module.</x:v>
      </x:c>
      <x:c r="G13" s="9" t="str">
        <x:v>Civil âgé, intérieur habité, aucun uniforme d’époque inventé comme officiel. Préparer silhouette entière, portrait de dialogue et masque de sélection.</x:v>
      </x:c>
      <x:c r="H13" s="9" t="str">
        <x:v>La zone interactive reste stable entre les poses ; la tenue ne confère aucun bonus implicite.</x:v>
      </x:c>
      <x:c r="I13" s="9" t="str">
        <x:v>Civil âgé, intérieur habité, aucun uniforme d’époque inventé comme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assets/rev/actors/grissom/atlas.png + atlas.json, pivot aux pieds.</x:v>
      </x:c>
      <x:c r="M13" s="9" t="str">
        <x:v>Visible uniquement quand Jon Grissom est autorisé par l’état narratif.</x:v>
      </x:c>
      <x:c r="N13" s="9" t="str">
        <x:v>Silhouette reconnue sans nom ; pieds sans glissement ; portrait et sprite cohérents à échelle réelle.</x:v>
      </x:c>
      <x:c r="O13" s="9" t="str">
        <x:v>REV-CHR-GRISSOM</x:v>
      </x:c>
      <x:c r="P13" s="9" t="str"/>
      <x:c r="Q13" s="9" t="str"/>
      <x:c r="R13" s="9" t="str"/>
      <x:c r="S13" s="9" t="str"/>
    </x:row>
    <x:row r="14" ht="68" customHeight="1">
      <x:c r="A14" s="19" t="str">
        <x:v>REV-SPR-JELLA</x:v>
      </x:c>
      <x:c r="B14" s="7" t="str">
        <x:v>Jella — planche sprite</x:v>
      </x:c>
      <x:c r="C14" s="15" t="str">
        <x:v>Défini</x:v>
      </x:c>
      <x:c r="D14" s="17" t="str">
        <x:v>Extrapolation</x:v>
      </x:c>
      <x:c r="E14" s="17" t="str">
        <x:v>P1</x:v>
      </x:c>
      <x:c r="F14" s="7" t="str">
        <x:v>Création proposée : représentation 2D de Jella pour ce module.</x:v>
      </x:c>
      <x:c r="G14" s="7" t="str">
        <x:v>Tenue de personnel technique proposée, badge et outil de maintenance. Préparer silhouette entière, portrait de dialogue et masque de sélection.</x:v>
      </x:c>
      <x:c r="H14" s="7" t="str">
        <x:v>La zone interactive reste stable entre les poses ; la tenue ne confère aucun bonus implicite.</x:v>
      </x:c>
      <x:c r="I14" s="7" t="str">
        <x:v>Tenue de personnel technique proposée, badge et outil de maintenance.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assets/rev/actors/jella/atlas.png + atlas.json, pivot aux pieds.</x:v>
      </x:c>
      <x:c r="M14" s="7" t="str">
        <x:v>Visible uniquement quand Jella est autorisé par l’état narratif.</x:v>
      </x:c>
      <x:c r="N14" s="7" t="str">
        <x:v>Silhouette reconnue sans nom ; pieds sans glissement ; portrait et sprite cohérents à échelle réelle.</x:v>
      </x:c>
      <x:c r="O14" s="7" t="str">
        <x:v>REV-CHR-JELLA</x:v>
      </x:c>
      <x:c r="P14" s="7" t="str"/>
      <x:c r="Q14" s="7" t="str"/>
      <x:c r="R14" s="7" t="str"/>
      <x:c r="S14" s="7" t="str"/>
    </x:row>
    <x:row r="15" ht="68" customHeight="1">
      <x:c r="A15" s="18" t="str">
        <x:v>REV-SPR-QIAN</x:v>
      </x:c>
      <x:c r="B15" s="9" t="str">
        <x:v>Shu Qian — planche sprite</x:v>
      </x:c>
      <x:c r="C15" s="15" t="str">
        <x:v>Défini</x:v>
      </x:c>
      <x:c r="D15" s="16" t="str">
        <x:v>Extrapolation</x:v>
      </x:c>
      <x:c r="E15" s="16" t="str">
        <x:v>P1</x:v>
      </x:c>
      <x:c r="F15" s="9" t="str">
        <x:v>Création proposée : représentation 2D de Shu Qian pour ce module.</x:v>
      </x:c>
      <x:c r="G15" s="9" t="str">
        <x:v>Blouse ou tenue scientifique à confirmer, terminal personnel comme repère. Préparer silhouette entière, portrait de dialogue et masque de sélection.</x:v>
      </x:c>
      <x:c r="H15" s="9" t="str">
        <x:v>La zone interactive reste stable entre les poses ; la tenue ne confère aucun bonus implicite.</x:v>
      </x:c>
      <x:c r="I15" s="9" t="str">
        <x:v>Blouse ou tenue scientifique à confirmer, terminal personnel comme repère.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assets/rev/actors/qian/atlas.png + atlas.json, pivot aux pieds.</x:v>
      </x:c>
      <x:c r="M15" s="9" t="str">
        <x:v>Visible uniquement quand Shu Qian est autorisé par l’état narratif.</x:v>
      </x:c>
      <x:c r="N15" s="9" t="str">
        <x:v>Silhouette reconnue sans nom ; pieds sans glissement ; portrait et sprite cohérents à échelle réelle.</x:v>
      </x:c>
      <x:c r="O15" s="9" t="str">
        <x:v>REV-CHR-QIAN</x:v>
      </x:c>
      <x:c r="P15" s="9" t="str"/>
      <x:c r="Q15" s="9" t="str"/>
      <x:c r="R15" s="9" t="str"/>
      <x:c r="S15" s="9" t="str"/>
    </x:row>
    <x:row r="16" ht="68" customHeight="1">
      <x:c r="A16" s="19" t="str">
        <x:v>REV-SPR-GROTO</x:v>
      </x:c>
      <x:c r="B16" s="7" t="str">
        <x:v>Groto Ib-ba — planche sprite</x:v>
      </x:c>
      <x:c r="C16" s="15" t="str">
        <x:v>Défini</x:v>
      </x:c>
      <x:c r="D16" s="17" t="str">
        <x:v>Extrapolation</x:v>
      </x:c>
      <x:c r="E16" s="17" t="str">
        <x:v>P1</x:v>
      </x:c>
      <x:c r="F16" s="7" t="str">
        <x:v>Création proposée : représentation 2D de Groto Ib-ba pour ce module.</x:v>
      </x:c>
      <x:c r="G16" s="7" t="str">
        <x:v>Silhouette de civil distincte des combattants ; espèce et tenue à vérifier visuellement. Préparer silhouette entière, portrait de dialogue et masque de sélection.</x:v>
      </x:c>
      <x:c r="H16" s="7" t="str">
        <x:v>La zone interactive reste stable entre les poses ; la tenue ne confère aucun bonus implicite.</x:v>
      </x:c>
      <x:c r="I16" s="7" t="str">
        <x:v>Silhouette de civil distincte des combattants ; espèce et tenue à vérifier visuellement.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assets/rev/actors/groto/atlas.png + atlas.json, pivot aux pieds.</x:v>
      </x:c>
      <x:c r="M16" s="7" t="str">
        <x:v>Visible uniquement quand Groto Ib-ba est autorisé par l’état narratif.</x:v>
      </x:c>
      <x:c r="N16" s="7" t="str">
        <x:v>Silhouette reconnue sans nom ; pieds sans glissement ; portrait et sprite cohérents à échelle réelle.</x:v>
      </x:c>
      <x:c r="O16" s="7" t="str">
        <x:v>REV-CHR-GROTO</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b61ceb8934ad495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Revelation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REV-VFX-SUNPATROL</x:v>
      </x:c>
      <x:c r="B7" s="9" t="str">
        <x:v>Patrouille mercenaire proposée — effet lisible</x:v>
      </x:c>
      <x:c r="C7" s="15" t="str">
        <x:v>Défini</x:v>
      </x:c>
      <x:c r="D7" s="16" t="str">
        <x:v>Extrapolation</x:v>
      </x:c>
      <x:c r="E7" s="16" t="str">
        <x:v>P1</x:v>
      </x:c>
      <x:c r="F7" s="9" t="str">
        <x:v>Effet original de prévision et de résultat pour la rencontre.</x:v>
      </x:c>
      <x:c r="G7" s="9" t="str">
        <x:v>Visée au sol et redressement d’un tireur de silhouette distincte.</x:v>
      </x:c>
      <x:c r="H7" s="9" t="str">
        <x:v>Aire de prévision égale à l’aire logique ; masque de cible conservé en daltonisme.</x:v>
      </x:c>
      <x:c r="I7" s="9" t="str">
        <x:v>Visée au sol et redressement d’un tireur de silhouette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fx/rev/sunpatrol ; pool local nettoyé au changement de scène.</x:v>
      </x:c>
      <x:c r="M7" s="9" t="str">
        <x:v>Effet lié au comportement, jamais déclenché par une animation décorative.</x:v>
      </x:c>
      <x:c r="N7" s="9" t="str">
        <x:v>Aucune cible hors aire n’est affectée ; mode réduit conserve la compréhension.</x:v>
      </x:c>
      <x:c r="O7" s="9" t="str">
        <x:v>REV-EMV-SUNPATROL</x:v>
      </x:c>
      <x:c r="P7" s="9" t="str"/>
      <x:c r="Q7" s="9" t="str"/>
      <x:c r="R7" s="9" t="str"/>
      <x:c r="S7" s="9" t="str"/>
    </x:row>
    <x:row r="8" ht="68" customHeight="1">
      <x:c r="A8" s="19" t="str">
        <x:v>REV-VFX-SKARRPRESS</x:v>
      </x:c>
      <x:c r="B8" s="7" t="str">
        <x:v>Pression de Skarr — segment de boss proposé — effet lisible</x:v>
      </x:c>
      <x:c r="C8" s="15" t="str">
        <x:v>Défini</x:v>
      </x:c>
      <x:c r="D8" s="17" t="str">
        <x:v>Extrapolation</x:v>
      </x:c>
      <x:c r="E8" s="17" t="str">
        <x:v>P1</x:v>
      </x:c>
      <x:c r="F8" s="7" t="str">
        <x:v>Effet original de prévision et de résultat pour la rencontre.</x:v>
      </x:c>
      <x:c r="G8" s="7" t="str">
        <x:v>Impulsion biotique concentrée et objet qui tremble avant projection.</x:v>
      </x:c>
      <x:c r="H8" s="7" t="str">
        <x:v>Aire de prévision égale à l’aire logique ; masque de cible conservé en daltonisme.</x:v>
      </x:c>
      <x:c r="I8" s="7" t="str">
        <x:v>Impulsion biotique concentrée et objet qui tremble avant projection.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fx/rev/skarrpress ; pool local nettoyé au changement de scène.</x:v>
      </x:c>
      <x:c r="M8" s="7" t="str">
        <x:v>Effet lié au comportement, jamais déclenché par une animation décorative.</x:v>
      </x:c>
      <x:c r="N8" s="7" t="str">
        <x:v>Aucune cible hors aire n’est affectée ; mode réduit conserve la compréhension.</x:v>
      </x:c>
      <x:c r="O8" s="7" t="str">
        <x:v>REV-EMV-SKARRPRESS</x:v>
      </x:c>
      <x:c r="P8" s="7" t="str"/>
      <x:c r="Q8" s="7" t="str"/>
      <x:c r="R8" s="7" t="str"/>
      <x:c r="S8" s="7" t="str"/>
    </x:row>
    <x:row r="9" ht="54" customHeight="1">
      <x:c r="A9" s="18" t="str">
        <x:v>REV-VFX-GUARD</x:v>
      </x:c>
      <x:c r="B9" s="9" t="str">
        <x:v>Garde de registre proposée — effet lisible</x:v>
      </x:c>
      <x:c r="C9" s="15" t="str">
        <x:v>Défini</x:v>
      </x:c>
      <x:c r="D9" s="16" t="str">
        <x:v>Extrapolation</x:v>
      </x:c>
      <x:c r="E9" s="16" t="str">
        <x:v>P1</x:v>
      </x:c>
      <x:c r="F9" s="9" t="str">
        <x:v>Effet original de prévision et de résultat pour la rencontre.</x:v>
      </x:c>
      <x:c r="G9" s="9" t="str">
        <x:v>Voyant de communication et changement visible d’orientation.</x:v>
      </x:c>
      <x:c r="H9" s="9" t="str">
        <x:v>Aire de prévision égale à l’aire logique ; masque de cible conservé en daltonisme.</x:v>
      </x:c>
      <x:c r="I9" s="9" t="str">
        <x:v>Voyant de communication et changement visible d’orientation.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fx/rev/guard ; pool local nettoyé au changement de scène.</x:v>
      </x:c>
      <x:c r="M9" s="9" t="str">
        <x:v>Effet lié au comportement, jamais déclenché par une animation décorative.</x:v>
      </x:c>
      <x:c r="N9" s="9" t="str">
        <x:v>Aucune cible hors aire n’est affectée ; mode réduit conserve la compréhension.</x:v>
      </x:c>
      <x:c r="O9" s="9" t="str">
        <x:v>REV-EMV-GUARD</x:v>
      </x:c>
      <x:c r="P9" s="9" t="str"/>
      <x:c r="Q9" s="9" t="str"/>
      <x:c r="R9" s="9" t="str"/>
      <x:c r="S9" s="9" t="str"/>
    </x:row>
    <x:row r="10" ht="54" customHeight="1">
      <x:c r="A10" s="19" t="str">
        <x:v>REV-VFX-PUMP</x:v>
      </x:c>
      <x:c r="B10" s="7" t="str">
        <x:v>Crise des pompes — effet lisible</x:v>
      </x:c>
      <x:c r="C10" s="15" t="str">
        <x:v>Défini</x:v>
      </x:c>
      <x:c r="D10" s="17" t="str">
        <x:v>Extrapolation</x:v>
      </x:c>
      <x:c r="E10" s="17" t="str">
        <x:v>P1</x:v>
      </x:c>
      <x:c r="F10" s="7" t="str">
        <x:v>Effet original de prévision et de résultat pour la rencontre.</x:v>
      </x:c>
      <x:c r="G10" s="7" t="str">
        <x:v>Givre, sifflement et hachures sur la portion fermée.</x:v>
      </x:c>
      <x:c r="H10" s="7" t="str">
        <x:v>Aire de prévision égale à l’aire logique ; masque de cible conservé en daltonisme.</x:v>
      </x:c>
      <x:c r="I10" s="7" t="str">
        <x:v>Givre, sifflement et hachures sur la portion fermée.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fx/rev/pump ; pool local nettoyé au changement de scène.</x:v>
      </x:c>
      <x:c r="M10" s="7" t="str">
        <x:v>Effet lié au comportement, jamais déclenché par une animation décorative.</x:v>
      </x:c>
      <x:c r="N10" s="7" t="str">
        <x:v>Aucune cible hors aire n’est affectée ; mode réduit conserve la compréhension.</x:v>
      </x:c>
      <x:c r="O10" s="7" t="str">
        <x:v>REV-EMV-PUMP</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8eccc1312ed4d1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Revelation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REV-AUD-01</x:v>
      </x:c>
      <x:c r="B7" s="9" t="str">
        <x:v>Sidon silencieux</x:v>
      </x:c>
      <x:c r="C7" s="15" t="str">
        <x:v>Défini</x:v>
      </x:c>
      <x:c r="D7" s="16" t="str">
        <x:v>Extrapolation</x:v>
      </x:c>
      <x:c r="E7" s="16" t="str">
        <x:v>P1</x:v>
      </x:c>
      <x:c r="F7" s="9" t="str">
        <x:v>Création sonore originale pour le fan game.</x:v>
      </x:c>
      <x:c r="G7" s="9" t="str">
        <x:v>Souffles de ventilation coupée, métal résonnant et pulsation espacée pour l’inspection.</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Souffles de ventilation coupée, métal résonnant et pulsation espacée pour l’inspection. Musique, bruitages et éventuelles voix à produire sans extraire les enregistrements officiels.</x:v>
      </x:c>
      <x:c r="L7" s="9" t="str">
        <x:v>audio/rev/sidon-silencieux.ogg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REV-AUD-02</x:v>
      </x:c>
      <x:c r="B8" s="7" t="str">
        <x:v>Refuge habité</x:v>
      </x:c>
      <x:c r="C8" s="15" t="str">
        <x:v>Défini</x:v>
      </x:c>
      <x:c r="D8" s="17" t="str">
        <x:v>Extrapolation</x:v>
      </x:c>
      <x:c r="E8" s="17" t="str">
        <x:v>P1</x:v>
      </x:c>
      <x:c r="F8" s="7" t="str">
        <x:v>Création sonore originale pour le fan game.</x:v>
      </x:c>
      <x:c r="G8" s="7" t="str">
        <x:v>Ambiance domestique calme avec alerte extérieure progressive ; pas de musique mélodramatique permanente.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Ambiance domestique calme avec alerte extérieure progressive ; pas de musique mélodramatique permanente. Musique, bruitages et éventuelles voix à produire sans extraire les enregistrements officiels.</x:v>
      </x:c>
      <x:c r="L8" s="7" t="str">
        <x:v>audio/rev/refuge-habite.ogg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REV-AUD-03</x:v>
      </x:c>
      <x:c r="B9" s="9" t="str">
        <x:v>Cadence industrielle</x:v>
      </x:c>
      <x:c r="C9" s="15" t="str">
        <x:v>Défini</x:v>
      </x:c>
      <x:c r="D9" s="16" t="str">
        <x:v>Extrapolation</x:v>
      </x:c>
      <x:c r="E9" s="16" t="str">
        <x:v>P1</x:v>
      </x:c>
      <x:c r="F9" s="9" t="str">
        <x:v>Création sonore originale pour le fan game.</x:v>
      </x:c>
      <x:c r="G9" s="9" t="str">
        <x:v>Pompes et structures métalliques différenciées pour localiser les passages dangereux.</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Pompes et structures métalliques différenciées pour localiser les passages dangereux. Musique, bruitages et éventuelles voix à produire sans extraire les enregistrements officiels.</x:v>
      </x:c>
      <x:c r="L9" s="9" t="str">
        <x:v>audio/rev/cadence-industrielle.ogg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REV-AUD-04</x:v>
      </x:c>
      <x:c r="B10" s="7" t="str">
        <x:v>Bureau concilien</x:v>
      </x:c>
      <x:c r="C10" s="15" t="str">
        <x:v>Défini</x:v>
      </x:c>
      <x:c r="D10" s="17" t="str">
        <x:v>Extrapolation</x:v>
      </x:c>
      <x:c r="E10" s="17" t="str">
        <x:v>P1</x:v>
      </x:c>
      <x:c r="F10" s="7" t="str">
        <x:v>Création sonore originale pour le fan game.</x:v>
      </x:c>
      <x:c r="G10" s="7" t="str">
        <x:v>Espace feutré, annonces indéchiffrables originales et sons UI nets.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Espace feutré, annonces indéchiffrables originales et sons UI nets. Musique, bruitages et éventuelles voix à produire sans extraire les enregistrements officiels.</x:v>
      </x:c>
      <x:c r="L10" s="7" t="str">
        <x:v>audio/rev/bureau-concilien.ogg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REV-AUD-05</x:v>
      </x:c>
      <x:c r="B11" s="9" t="str">
        <x:v>Tension de protection</x:v>
      </x:c>
      <x:c r="C11" s="15" t="str">
        <x:v>Défini</x:v>
      </x:c>
      <x:c r="D11" s="16" t="str">
        <x:v>Extrapolation</x:v>
      </x:c>
      <x:c r="E11" s="16" t="str">
        <x:v>P1</x:v>
      </x:c>
      <x:c r="F11" s="9" t="str">
        <x:v>Création sonore originale pour le fan game.</x:v>
      </x:c>
      <x:c r="G11" s="9" t="str">
        <x:v>Musique originale à couches qui augmente avec l’exposition de l’escorte.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Musique originale à couches qui augmente avec l’exposition de l’escorte. Musique, bruitages et éventuelles voix à produire sans extraire les enregistrements officiels.</x:v>
      </x:c>
      <x:c r="L11" s="9" t="str">
        <x:v>audio/rev/tension-de-protection.ogg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2a4c1f5e8aa7488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Revelation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REV-SYS-01</x:v>
      </x:c>
      <x:c r="B7" s="9" t="str">
        <x:v>Tableau de preuves de Sidon</x:v>
      </x:c>
      <x:c r="C7" s="15" t="str">
        <x:v>Défini</x:v>
      </x:c>
      <x:c r="D7" s="16" t="str">
        <x:v>Extrapolation</x:v>
      </x:c>
      <x:c r="E7" s="16" t="str">
        <x:v>P0</x:v>
      </x:c>
      <x:c r="F7" s="9" t="str">
        <x:v>Système original de production propre au module.</x:v>
      </x:c>
      <x:c r="G7" s="9" t="str">
        <x:v>Conserver source, date locale et degré de confiance de chaque indice ; une supposition reste distincte du fait.</x:v>
      </x:c>
      <x:c r="H7" s="9" t="str">
        <x:v>Conserver source, date locale et degré de confiance de chaque indice ; une supposition reste distincte du fait.</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systems/rev/tableau-de-preuves-de-sidon.ts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REV-SYS-02</x:v>
      </x:c>
      <x:c r="B8" s="7" t="str">
        <x:v>Protection de témoin</x:v>
      </x:c>
      <x:c r="C8" s="15" t="str">
        <x:v>Défini</x:v>
      </x:c>
      <x:c r="D8" s="17" t="str">
        <x:v>Extrapolation</x:v>
      </x:c>
      <x:c r="E8" s="17" t="str">
        <x:v>P0</x:v>
      </x:c>
      <x:c r="F8" s="7" t="str">
        <x:v>Système original de production propre au module.</x:v>
      </x:c>
      <x:c r="G8" s="7" t="str">
        <x:v>Afficher distance et exposition du témoin ; la perte d’une escorte provoque reprise locale, pas une fin canonique improvisée.</x:v>
      </x:c>
      <x:c r="H8" s="7" t="str">
        <x:v>Afficher distance et exposition du témoin ; la perte d’une escorte provoque reprise locale, pas une fin canonique improvisée.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systems/rev/protection-de-temoin.ts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REV-SYS-03</x:v>
      </x:c>
      <x:c r="B9" s="9" t="str">
        <x:v>Autorité et accès</x:v>
      </x:c>
      <x:c r="C9" s="15" t="str">
        <x:v>Défini</x:v>
      </x:c>
      <x:c r="D9" s="16" t="str">
        <x:v>Extrapolation</x:v>
      </x:c>
      <x:c r="E9" s="16" t="str">
        <x:v>P1</x:v>
      </x:c>
      <x:c r="F9" s="9" t="str">
        <x:v>Système original de production propre au module.</x:v>
      </x:c>
      <x:c r="G9" s="9" t="str">
        <x:v>Distinguer autorisation militaire, autorité Spectre et accès civil ; aucun score moral global ajouté.</x:v>
      </x:c>
      <x:c r="H9" s="9" t="str">
        <x:v>Distinguer autorisation militaire, autorité Spectre et accès civil ; aucun score moral global ajouté.</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systems/rev/autorite-et-acces.ts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REV-SYS-04</x:v>
      </x:c>
      <x:c r="B10" s="7" t="str">
        <x:v>Savoir limité</x:v>
      </x:c>
      <x:c r="C10" s="15" t="str">
        <x:v>Défini</x:v>
      </x:c>
      <x:c r="D10" s="17" t="str">
        <x:v>Extrapolation</x:v>
      </x:c>
      <x:c r="E10" s="17" t="str">
        <x:v>P1</x:v>
      </x:c>
      <x:c r="F10" s="7" t="str">
        <x:v>Système original de production propre au module.</x:v>
      </x:c>
      <x:c r="G10" s="7" t="str">
        <x:v>Filtrer les entrées codex selon ce que le groupe peut savoir à ce stade pré-ME1.</x:v>
      </x:c>
      <x:c r="H10" s="7" t="str">
        <x:v>Filtrer les entrées codex selon ce que le groupe peut savoir à ce stade pré-ME1.</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systems/rev/savoir-limite.ts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REV-SYS-05</x:v>
      </x:c>
      <x:c r="B11" s="9" t="str">
        <x:v>Préparation sur le Hastings</x:v>
      </x:c>
      <x:c r="C11" s="15" t="str">
        <x:v>Défini</x:v>
      </x:c>
      <x:c r="D11" s="16" t="str">
        <x:v>Extrapolation</x:v>
      </x:c>
      <x:c r="E11" s="16" t="str">
        <x:v>P1</x:v>
      </x:c>
      <x:c r="F11" s="9" t="str">
        <x:v>Système original de production propre au module.</x:v>
      </x:c>
      <x:c r="G11" s="9" t="str">
        <x:v>Changer l’équipement local au hub ; le budget proposé se réinitialise en répétition de chapitre de production.</x:v>
      </x:c>
      <x:c r="H11" s="9" t="str">
        <x:v>Changer l’équipement local au hub ; le budget proposé se réinitialise en répétition de chapitre de production.</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systems/rev/preparation-sur-le-hastings.ts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REV-SYS-06</x:v>
      </x:c>
      <x:c r="B12" s="7" t="str">
        <x:v>Journal d’enquête</x:v>
      </x:c>
      <x:c r="C12" s="15" t="str">
        <x:v>Défini</x:v>
      </x:c>
      <x:c r="D12" s="17" t="str">
        <x:v>Extrapolation</x:v>
      </x:c>
      <x:c r="E12" s="17" t="str">
        <x:v>P1</x:v>
      </x:c>
      <x:c r="F12" s="7" t="str">
        <x:v>Système original de production propre au module.</x:v>
      </x:c>
      <x:c r="G12" s="7" t="str">
        <x:v>Permettre de revoir une hypothèse rejetée sans la traiter comme une découverte valide.</x:v>
      </x:c>
      <x:c r="H12" s="7" t="str">
        <x:v>Permettre de revoir une hypothèse rejetée sans la traiter comme une découverte valide.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systems/rev/journal-denquete.ts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REV-SYS-07</x:v>
      </x:c>
      <x:c r="B13" s="9" t="str">
        <x:v>ATB d’escorte</x:v>
      </x:c>
      <x:c r="C13" s="15" t="str">
        <x:v>Défini</x:v>
      </x:c>
      <x:c r="D13" s="16" t="str">
        <x:v>Extrapolation</x:v>
      </x:c>
      <x:c r="E13" s="16" t="str">
        <x:v>P1</x:v>
      </x:c>
      <x:c r="F13" s="9" t="str">
        <x:v>Système original de production propre au module.</x:v>
      </x:c>
      <x:c r="G13" s="9" t="str">
        <x:v>Suspendre les menaces pendant lecture et inspection ; engagement d’action distinct du déplacement.</x:v>
      </x:c>
      <x:c r="H13" s="9" t="str">
        <x:v>Suspendre les menaces pendant lecture et inspection ; engagement d’action distinct du déplacement.</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systems/rev/atb-descorte.ts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44" customHeight="1">
      <x:c r="A14" s="19" t="str">
        <x:v>REV-SYS-08</x:v>
      </x:c>
      <x:c r="B14" s="7" t="str">
        <x:v>Différences d’époque</x:v>
      </x:c>
      <x:c r="C14" s="15" t="str">
        <x:v>Défini</x:v>
      </x:c>
      <x:c r="D14" s="17" t="str">
        <x:v>Extrapolation</x:v>
      </x:c>
      <x:c r="E14" s="17" t="str">
        <x:v>P1</x:v>
      </x:c>
      <x:c r="F14" s="7" t="str">
        <x:v>Système original de production propre au module.</x:v>
      </x:c>
      <x:c r="G14" s="7" t="str">
        <x:v>Bloquer les armes et costumes tardifs non attestés ; les modèles provisoires restent étiquetés.</x:v>
      </x:c>
      <x:c r="H14" s="7" t="str">
        <x:v>Bloquer les armes et costumes tardifs non attestés ; les modèles provisoires restent étiquetés.</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systems/rev/differences-depoque.ts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c6f713b4f764b0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Revelation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REV-TST-TRACE</x:v>
      </x:c>
      <x:c r="B7" s="9" t="str">
        <x:v>Tracer les dernières activités — scénario d’acceptation</x:v>
      </x:c>
      <x:c r="C7" s="15" t="str">
        <x:v>Défini</x:v>
      </x:c>
      <x:c r="D7" s="16" t="str">
        <x:v>Extrapolation</x:v>
      </x:c>
      <x:c r="E7" s="16" t="str">
        <x:v>P1</x:v>
      </x:c>
      <x:c r="F7" s="9" t="str">
        <x:v>Test de comportement spécifique à la mission proposée.</x:v>
      </x:c>
      <x:c r="G7" s="9" t="str">
        <x:v>Exécuter Tracer les dernières activités avec la méthode la plus lente puis avec la méthode alternative.</x:v>
      </x:c>
      <x:c r="H7" s="9" t="str">
        <x:v>Contrôler les transitions de la règle suivante : Observer trois classes de trace proposées ; croiser horodatage, accès et déplacement avant de conclure.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qa/rev/trace.md : état initial, actions, attendu, résultat, capture.</x:v>
      </x:c>
      <x:c r="M7" s="9" t="str">
        <x:v>Ne pas donner au groupe une connaissance des Moissonneurs qu’il n’a pas.</x:v>
      </x:c>
      <x:c r="N7" s="9" t="str">
        <x:v>Aucun blocage, récompense multiple, information future ou divergence entre pause ATB et temps normal.</x:v>
      </x:c>
      <x:c r="O7" s="9" t="str">
        <x:v>REV-MIS-TRACE, REV-CHO-TRACE, REV-OPT-TRACE</x:v>
      </x:c>
      <x:c r="P7" s="9" t="str"/>
      <x:c r="Q7" s="9" t="str"/>
      <x:c r="R7" s="9" t="str"/>
      <x:c r="S7" s="9" t="str"/>
    </x:row>
    <x:row r="8" ht="54" customHeight="1">
      <x:c r="A8" s="19" t="str">
        <x:v>REV-TST-WITNESS</x:v>
      </x:c>
      <x:c r="B8" s="7" t="str">
        <x:v>Préparer la protection du témoin — scénario d’acceptation</x:v>
      </x:c>
      <x:c r="C8" s="15" t="str">
        <x:v>Défini</x:v>
      </x:c>
      <x:c r="D8" s="17" t="str">
        <x:v>Extrapolation</x:v>
      </x:c>
      <x:c r="E8" s="17" t="str">
        <x:v>P1</x:v>
      </x:c>
      <x:c r="F8" s="7" t="str">
        <x:v>Test de comportement spécifique à la mission proposée.</x:v>
      </x:c>
      <x:c r="G8" s="7" t="str">
        <x:v>Exécuter Préparer la protection du témoin avec la méthode la plus lente puis avec la méthode alternative.</x:v>
      </x:c>
      <x:c r="H8" s="7" t="str">
        <x:v>Contrôler les transitions de la règle suivante : Affecter soutien, surveillance et analyse à des postes de préparation distincts.</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qa/rev/witness.md : état initial, actions, attendu, résultat, capture.</x:v>
      </x:c>
      <x:c r="M8" s="7" t="str">
        <x:v>Aucun personnage n’est remplacé par Shepard.</x:v>
      </x:c>
      <x:c r="N8" s="7" t="str">
        <x:v>Aucun blocage, récompense multiple, information future ou divergence entre pause ATB et temps normal.</x:v>
      </x:c>
      <x:c r="O8" s="7" t="str">
        <x:v>REV-MIS-WITNESS, REV-CHO-WITNESS, REV-OPT-WITNESS</x:v>
      </x:c>
      <x:c r="P8" s="7" t="str"/>
      <x:c r="Q8" s="7" t="str"/>
      <x:c r="R8" s="7" t="str"/>
      <x:c r="S8" s="7" t="str"/>
    </x:row>
    <x:row r="9" ht="54" customHeight="1">
      <x:c r="A9" s="18" t="str">
        <x:v>REV-TST-ACCESS</x:v>
      </x:c>
      <x:c r="B9" s="9" t="str">
        <x:v>Obtenir l’accès aux registres — scénario d’acceptation</x:v>
      </x:c>
      <x:c r="C9" s="15" t="str">
        <x:v>Défini</x:v>
      </x:c>
      <x:c r="D9" s="16" t="str">
        <x:v>Extrapolation</x:v>
      </x:c>
      <x:c r="E9" s="16" t="str">
        <x:v>P1</x:v>
      </x:c>
      <x:c r="F9" s="9" t="str">
        <x:v>Test de comportement spécifique à la mission proposée.</x:v>
      </x:c>
      <x:c r="G9" s="9" t="str">
        <x:v>Exécuter Obtenir l’accès aux registres avec la méthode la plus lente puis avec la méthode alternative.</x:v>
      </x:c>
      <x:c r="H9" s="9" t="str">
        <x:v>Contrôler les transitions de la règle suivante : Présenter un indice déjà acquis, répondre à une réserve puis obtenir un créneau d’accès.</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qa/rev/access.md : état initial, actions, attendu, résultat, capture.</x:v>
      </x:c>
      <x:c r="M9" s="9" t="str">
        <x:v>Le statut de Spectre n’est pas attribué à Anderson.</x:v>
      </x:c>
      <x:c r="N9" s="9" t="str">
        <x:v>Aucun blocage, récompense multiple, information future ou divergence entre pause ATB et temps normal.</x:v>
      </x:c>
      <x:c r="O9" s="9" t="str">
        <x:v>REV-MIS-ACCESS, REV-CHO-ACCESS, REV-OPT-ACCESS</x:v>
      </x:c>
      <x:c r="P9" s="9" t="str"/>
      <x:c r="Q9" s="9" t="str"/>
      <x:c r="R9" s="9" t="str"/>
      <x:c r="S9" s="9" t="str"/>
    </x:row>
    <x:row r="10" ht="54" customHeight="1">
      <x:c r="A10" s="19" t="str">
        <x:v>REV-TST-REFUGE</x:v>
      </x:c>
      <x:c r="B10" s="7" t="str">
        <x:v>Sécuriser une évacuation locale — scénario d’acceptation</x:v>
      </x:c>
      <x:c r="C10" s="15" t="str">
        <x:v>Défini</x:v>
      </x:c>
      <x:c r="D10" s="17" t="str">
        <x:v>Extrapolation</x:v>
      </x:c>
      <x:c r="E10" s="17" t="str">
        <x:v>P1</x:v>
      </x:c>
      <x:c r="F10" s="7" t="str">
        <x:v>Test de comportement spécifique à la mission proposée.</x:v>
      </x:c>
      <x:c r="G10" s="7" t="str">
        <x:v>Exécuter Sécuriser une évacuation locale avec la méthode la plus lente puis avec la méthode alternative.</x:v>
      </x:c>
      <x:c r="H10" s="7" t="str">
        <x:v>Contrôler les transitions de la règle suivante : Positionner le groupe, interrompre une ligne de pression et déplacer le témoin entre deux couverts.</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qa/rev/refuge.md : état initial, actions, attendu, résultat, capture.</x:v>
      </x:c>
      <x:c r="M10" s="7" t="str">
        <x:v>Pas de victoire libre sur Saren ni changement du rôle de Skarr.</x:v>
      </x:c>
      <x:c r="N10" s="7" t="str">
        <x:v>Aucun blocage, récompense multiple, information future ou divergence entre pause ATB et temps normal.</x:v>
      </x:c>
      <x:c r="O10" s="7" t="str">
        <x:v>REV-MIS-REFUGE, REV-CHO-REFUGE, REV-OPT-REFUGE</x:v>
      </x:c>
      <x:c r="P10" s="7" t="str"/>
      <x:c r="Q10" s="7" t="str"/>
      <x:c r="R10" s="7" t="str"/>
      <x:c r="S10" s="7" t="str"/>
    </x:row>
    <x:row r="11" ht="54" customHeight="1">
      <x:c r="A11" s="18" t="str">
        <x:v>REV-TST-MANIFEST</x:v>
      </x:c>
      <x:c r="B11" s="9" t="str">
        <x:v>Suivre un lot industriel — scénario d’acceptation</x:v>
      </x:c>
      <x:c r="C11" s="15" t="str">
        <x:v>Défini</x:v>
      </x:c>
      <x:c r="D11" s="16" t="str">
        <x:v>Extrapolation</x:v>
      </x:c>
      <x:c r="E11" s="16" t="str">
        <x:v>P1</x:v>
      </x:c>
      <x:c r="F11" s="9" t="str">
        <x:v>Test de comportement spécifique à la mission proposée.</x:v>
      </x:c>
      <x:c r="G11" s="9" t="str">
        <x:v>Exécuter Suivre un lot industriel avec la méthode la plus lente puis avec la méthode alternative.</x:v>
      </x:c>
      <x:c r="H11" s="9" t="str">
        <x:v>Contrôler les transitions de la règle suivante : Scanner un manifeste fictif, vérifier un sceau et demander une confirmation au quai.</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qa/rev/manifest.md : état initial, actions, attendu, résultat, capture.</x:v>
      </x:c>
      <x:c r="M11" s="9" t="str">
        <x:v>Les noms de sociétés ajoutés restent des placeholders, pas du canon.</x:v>
      </x:c>
      <x:c r="N11" s="9" t="str">
        <x:v>Aucun blocage, récompense multiple, information future ou divergence entre pause ATB et temps normal.</x:v>
      </x:c>
      <x:c r="O11" s="9" t="str">
        <x:v>REV-MIS-MANIFEST, REV-CHO-MANIFEST, REV-OPT-MANIFEST</x:v>
      </x:c>
      <x:c r="P11" s="9" t="str"/>
      <x:c r="Q11" s="9" t="str"/>
      <x:c r="R11" s="9" t="str"/>
      <x:c r="S11" s="9" t="str"/>
    </x:row>
    <x:row r="12" ht="54" customHeight="1">
      <x:c r="A12" s="19" t="str">
        <x:v>REV-TST-ACCOUNT</x:v>
      </x:c>
      <x:c r="B12" s="7" t="str">
        <x:v>Protéger une déposition — scénario d’acceptation</x:v>
      </x:c>
      <x:c r="C12" s="15" t="str">
        <x:v>Défini</x:v>
      </x:c>
      <x:c r="D12" s="17" t="str">
        <x:v>Extrapolation</x:v>
      </x:c>
      <x:c r="E12" s="17" t="str">
        <x:v>P1</x:v>
      </x:c>
      <x:c r="F12" s="7" t="str">
        <x:v>Test de comportement spécifique à la mission proposée.</x:v>
      </x:c>
      <x:c r="G12" s="7" t="str">
        <x:v>Exécuter Protéger une déposition avec la méthode la plus lente puis avec la méthode alternative.</x:v>
      </x:c>
      <x:c r="H12" s="7" t="str">
        <x:v>Contrôler les transitions de la règle suivante : Garder un terminal en ligne avec deux postes de maintenance ; couvrir l’opérateur.</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qa/rev/account.md : état initial, actions, attendu, résultat, capture.</x:v>
      </x:c>
      <x:c r="M12" s="7" t="str">
        <x:v>Aucun long aveu du roman n’est transcrit.</x:v>
      </x:c>
      <x:c r="N12" s="7" t="str">
        <x:v>Aucun blocage, récompense multiple, information future ou divergence entre pause ATB et temps normal.</x:v>
      </x:c>
      <x:c r="O12" s="7" t="str">
        <x:v>REV-MIS-ACCOUNT, REV-CHO-ACCOUNT, REV-OPT-ACCOUNT</x:v>
      </x:c>
      <x:c r="P12" s="7" t="str"/>
      <x:c r="Q12" s="7" t="str"/>
      <x:c r="R12" s="7" t="str"/>
      <x:c r="S12" s="7" t="str"/>
    </x:row>
    <x:row r="13" ht="54" customHeight="1">
      <x:c r="A13" s="18" t="str">
        <x:v>REV-TST-PASSAGE</x:v>
      </x:c>
      <x:c r="B13" s="9" t="str">
        <x:v>Franchir le passage du convoi — scénario d’acceptation</x:v>
      </x:c>
      <x:c r="C13" s="15" t="str">
        <x:v>Défini</x:v>
      </x:c>
      <x:c r="D13" s="16" t="str">
        <x:v>Extrapolation</x:v>
      </x:c>
      <x:c r="E13" s="16" t="str">
        <x:v>P1</x:v>
      </x:c>
      <x:c r="F13" s="9" t="str">
        <x:v>Test de comportement spécifique à la mission proposée.</x:v>
      </x:c>
      <x:c r="G13" s="9" t="str">
        <x:v>Exécuter Franchir le passage du convoi avec la méthode la plus lente puis avec la méthode alternative.</x:v>
      </x:c>
      <x:c r="H13" s="9" t="str">
        <x:v>Contrôler les transitions de la règle suivante : Le groupe ouvre un créneau de passage par couverture, analyse de trajet et interruption de menace.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qa/rev/passage.md : état initial, actions, attendu, résultat, capture.</x:v>
      </x:c>
      <x:c r="M13" s="9" t="str">
        <x:v>Ne pas permettre de sauver l’Iwo Jima via un choix présenté comme canon.</x:v>
      </x:c>
      <x:c r="N13" s="9" t="str">
        <x:v>Aucun blocage, récompense multiple, information future ou divergence entre pause ATB et temps normal.</x:v>
      </x:c>
      <x:c r="O13" s="9" t="str">
        <x:v>REV-MIS-PASSAGE, REV-CHO-PASSAGE, REV-OPT-PASSAGE</x:v>
      </x:c>
      <x:c r="P13" s="9" t="str"/>
      <x:c r="Q13" s="9" t="str"/>
      <x:c r="R13" s="9" t="str"/>
      <x:c r="S13" s="9" t="str"/>
    </x:row>
    <x:row r="14" ht="54" customHeight="1">
      <x:c r="A14" s="19" t="str">
        <x:v>REV-TST-EXTRACT</x:v>
      </x:c>
      <x:c r="B14" s="7" t="str">
        <x:v>Ouvrir l’extraction de raffinerie — scénario d’acceptation</x:v>
      </x:c>
      <x:c r="C14" s="15" t="str">
        <x:v>Défini</x:v>
      </x:c>
      <x:c r="D14" s="17" t="str">
        <x:v>Extrapolation</x:v>
      </x:c>
      <x:c r="E14" s="17" t="str">
        <x:v>P1</x:v>
      </x:c>
      <x:c r="F14" s="7" t="str">
        <x:v>Test de comportement spécifique à la mission proposée.</x:v>
      </x:c>
      <x:c r="G14" s="7" t="str">
        <x:v>Exécuter Ouvrir l’extraction de raffinerie avec la méthode la plus lente puis avec la méthode alternative.</x:v>
      </x:c>
      <x:c r="H14" s="7" t="str">
        <x:v>Contrôler les transitions de la règle suivante : Couper une alimentation dangereuse, lever un verrou puis tenir l’accès durant l’extraction.</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qa/rev/extract.md : état initial, actions, attendu, résultat, capture.</x:v>
      </x:c>
      <x:c r="M14" s="7" t="str">
        <x:v>Préserver l’échec de la candidature Spectre d’Anderson.</x:v>
      </x:c>
      <x:c r="N14" s="7" t="str">
        <x:v>Aucun blocage, récompense multiple, information future ou divergence entre pause ATB et temps normal.</x:v>
      </x:c>
      <x:c r="O14" s="7" t="str">
        <x:v>REV-MIS-EXTRACT, REV-CHO-EXTRACT, REV-OPT-EXTRACT</x:v>
      </x:c>
      <x:c r="P14" s="7" t="str"/>
      <x:c r="Q14" s="7" t="str"/>
      <x:c r="R14" s="7" t="str"/>
      <x:c r="S14" s="7" t="str"/>
    </x:row>
    <x:row r="15" ht="68" customHeight="1">
      <x:c r="A15" s="18" t="str">
        <x:v>REV-QA-SOURCES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REV par nature puis sourceIds ; revue ciblée des éléments sans source.</x:v>
      </x:c>
      <x:c r="M15" s="9" t="str">
        <x:v>Conserver la trajectoire menant à Mass Effect : Anderson ne devient pas Spectre dans ce module et les intentions de Saren ne deviennent pas un savoir public anticipé.</x:v>
      </x:c>
      <x:c r="N15" s="9" t="str">
        <x:v>Sources accessibles ou limites tracées ; aucun long extrait, dialogue reproduit ou résumé continu substitutif.</x:v>
      </x:c>
      <x:c r="O15" s="9" t="str"/>
      <x:c r="P15" s="9" t="str"/>
      <x:c r="Q15" s="9" t="str"/>
      <x:c r="R15" s="9" t="str"/>
      <x:c r="S15" s="9" t="str"/>
    </x:row>
    <x:row r="16" ht="68" customHeight="1">
      <x:c r="A16" s="19" t="str">
        <x:v>REV-QA-SAVE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qa/rev/save-reload.md avec capture avant/après.</x:v>
      </x:c>
      <x:c r="M16" s="7" t="str">
        <x:v>Conserver la trajectoire menant à Mass Effect : Anderson ne devient pas Spectre dans ce module et les intentions de Saren ne deviennent pas un savoir public anticipé.</x:v>
      </x:c>
      <x:c r="N16" s="7" t="str">
        <x:v>Inventaire, acteurs disponibles, indices et limites de continuité restent identiques.</x:v>
      </x:c>
      <x:c r="O16" s="7" t="str"/>
      <x:c r="P16" s="7" t="str"/>
      <x:c r="Q16" s="7" t="str"/>
      <x:c r="R16" s="7" t="str"/>
      <x:c r="S16" s="7" t="str"/>
    </x:row>
    <x:row r="17" ht="54" customHeight="1">
      <x:c r="A17" s="18" t="str">
        <x:v>REV-QA-VISUAL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qa/rev/readability/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REV-QA-ACCESS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qa/rev/accessibility.md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d28587f4e90642a5"/>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Revelation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REV-CON-01</x:v>
      </x:c>
      <x:c r="B7" s="9" t="str">
        <x:v>Période de l’enquête</x:v>
      </x:c>
      <x:c r="C7" s="15" t="str">
        <x:v>Défini</x:v>
      </x:c>
      <x:c r="D7" s="16" t="str">
        <x:v>Établi</x:v>
      </x:c>
      <x:c r="E7" s="16" t="str">
        <x:v>P0</x:v>
      </x:c>
      <x:c r="F7" s="9" t="str">
        <x:v>L’affaire Sidon se situe en 2165 ; vérifier les âges et les tenues par rapport à cette période.</x:v>
      </x:c>
      <x:c r="G7" s="9" t="str">
        <x:v>Contrainte éditoriale : verrouiller les dépendances avant intégration du module.</x:v>
      </x:c>
      <x:c r="H7" s="9" t="str"/>
      <x:c r="I7" s="9" t="str"/>
      <x:c r="J7" s="9" t="str"/>
      <x:c r="K7" s="9" t="str"/>
      <x:c r="L7" s="9" t="str">
        <x:v>continuity/rev.json ; règle documentée et décision de validation datée.</x:v>
      </x:c>
      <x:c r="M7" s="9" t="str">
        <x:v>Conserver la trajectoire menant à Mass Effect : Anderson ne devient pas Spectre dans ce module et les intentions de Saren ne deviennent pas un savoir public anticipé.</x:v>
      </x:c>
      <x:c r="N7" s="9" t="str">
        <x:v>La règle est contrôlée dans les textes, cartes, choix et sauvegardes ; incertitude résolue ou affichée.</x:v>
      </x:c>
      <x:c r="O7" s="9" t="str"/>
      <x:c r="P7" s="9" t="str">
        <x:v>Limite de continuité / contrôle transversal</x:v>
      </x:c>
      <x:c r="Q7" s="9" t="str">
        <x:v>REV-SRC-SKARR</x:v>
      </x:c>
      <x:c r="R7" s="9" t="str">
        <x:v>https://masseffect.fandom.com/wiki/Skarr</x:v>
      </x:c>
      <x:c r="S7" s="9" t="str">
        <x:v>Aucun numéro de chapitre ou de page n’est attribué sans exemplaire vérifié.</x:v>
      </x:c>
    </x:row>
    <x:row r="8" ht="68" customHeight="1">
      <x:c r="A8" s="19" t="str">
        <x:v>REV-CON-02</x:v>
      </x:c>
      <x:c r="B8" s="7" t="str">
        <x:v>Sidon et Shanxi</x:v>
      </x:c>
      <x:c r="C8" s="15" t="str">
        <x:v>Défini</x:v>
      </x:c>
      <x:c r="D8" s="17" t="str">
        <x:v>Établi</x:v>
      </x:c>
      <x:c r="E8" s="17" t="str">
        <x:v>P0</x:v>
      </x:c>
      <x:c r="F8" s="7" t="str">
        <x:v>Ne pas reprendre la confusion Sidon/Shanxi signalée pour la description d’un souvenir dans ME2.</x:v>
      </x:c>
      <x:c r="G8" s="7" t="str">
        <x:v>Contrainte éditoriale : verrouiller les dépendances avant intégration du module.</x:v>
      </x:c>
      <x:c r="H8" s="7" t="str"/>
      <x:c r="I8" s="7" t="str"/>
      <x:c r="J8" s="7" t="str"/>
      <x:c r="K8" s="7" t="str"/>
      <x:c r="L8" s="7" t="str">
        <x:v>continuity/rev.json ; règle documentée et décision de validation datée.</x:v>
      </x:c>
      <x:c r="M8" s="7" t="str">
        <x:v>Conserver la trajectoire menant à Mass Effect : Anderson ne devient pas Spectre dans ce module et les intentions de Saren ne deviennent pas un savoir public anticipé.</x:v>
      </x:c>
      <x:c r="N8" s="7" t="str">
        <x:v>La règle est contrôlée dans les textes, cartes, choix et sauvegardes ; incertitude résolue ou affichée.</x:v>
      </x:c>
      <x:c r="O8" s="7" t="str"/>
      <x:c r="P8" s="7" t="str">
        <x:v>Limite de continuité / contrôle transversal</x:v>
      </x:c>
      <x:c r="Q8" s="7" t="str">
        <x:v>REV-SRC-WIKI</x:v>
      </x:c>
      <x:c r="R8" s="7" t="str">
        <x:v>https://masseffect.fandom.com/wiki/Mass_Effect:_Revelation</x:v>
      </x:c>
      <x:c r="S8" s="7" t="str">
        <x:v>Aucun numéro de chapitre ou de page n’est attribué sans exemplaire vérifié.</x:v>
      </x:c>
    </x:row>
    <x:row r="9" ht="68" customHeight="1">
      <x:c r="A9" s="18" t="str">
        <x:v>REV-CON-03</x:v>
      </x:c>
      <x:c r="B9" s="9" t="str">
        <x:v>Pas de Shepard jouable</x:v>
      </x:c>
      <x:c r="C9" s="15" t="str">
        <x:v>Défini</x:v>
      </x:c>
      <x:c r="D9" s="16" t="str">
        <x:v>Extrapolation</x:v>
      </x:c>
      <x:c r="E9" s="16" t="str">
        <x:v>P0</x:v>
      </x:c>
      <x:c r="F9" s="9" t="str">
        <x:v>Le module proposé suit son propre groupe ; ne pas greffer Shepard au rôle d’Anderson.</x:v>
      </x:c>
      <x:c r="G9" s="9" t="str">
        <x:v>Contrainte éditoriale : verrouiller les dépendances avant intégration du module.</x:v>
      </x:c>
      <x:c r="H9" s="9" t="str"/>
      <x:c r="I9" s="9" t="str"/>
      <x:c r="J9" s="9" t="str"/>
      <x:c r="K9" s="9" t="str"/>
      <x:c r="L9" s="9" t="str">
        <x:v>continuity/rev.json ; règle documentée et décision de validation datée.</x:v>
      </x:c>
      <x:c r="M9" s="9" t="str">
        <x:v>Conserver la trajectoire menant à Mass Effect : Anderson ne devient pas Spectre dans ce module et les intentions de Saren ne deviennent pas un savoir public anticipé.</x:v>
      </x:c>
      <x:c r="N9" s="9" t="str">
        <x:v>La règle est contrôlée dans les textes, cartes, choix et sauvegardes ; incertitude résolue ou affichée.</x:v>
      </x:c>
      <x:c r="O9" s="9" t="str"/>
      <x:c r="P9" s="9" t="str">
        <x:v>Limite de continuité / contrôle transversal</x:v>
      </x:c>
      <x:c r="Q9" s="9" t="str"/>
      <x:c r="R9" s="9" t="str"/>
      <x:c r="S9" s="9" t="str">
        <x:v>Aucun numéro de chapitre ou de page n’est attribué sans exemplaire vérifié.</x:v>
      </x:c>
    </x:row>
    <x:row r="10" ht="68" customHeight="1">
      <x:c r="A10" s="19" t="str">
        <x:v>REV-CON-04</x:v>
      </x:c>
      <x:c r="B10" s="7" t="str">
        <x:v>Information sur Saren</x:v>
      </x:c>
      <x:c r="C10" s="15" t="str">
        <x:v>Défini</x:v>
      </x:c>
      <x:c r="D10" s="17" t="str">
        <x:v>Extrapolation</x:v>
      </x:c>
      <x:c r="E10" s="17" t="str">
        <x:v>P0</x:v>
      </x:c>
      <x:c r="F10" s="7" t="str">
        <x:v>Conserver une différence entre les renseignements du joueur et les connaissances des protagonistes.</x:v>
      </x:c>
      <x:c r="G10" s="7" t="str">
        <x:v>Contrainte éditoriale : verrouiller les dépendances avant intégration du module.</x:v>
      </x:c>
      <x:c r="H10" s="7" t="str"/>
      <x:c r="I10" s="7" t="str"/>
      <x:c r="J10" s="7" t="str"/>
      <x:c r="K10" s="7" t="str"/>
      <x:c r="L10" s="7" t="str">
        <x:v>continuity/rev.json ; règle documentée et décision de validation datée.</x:v>
      </x:c>
      <x:c r="M10" s="7" t="str">
        <x:v>Conserver la trajectoire menant à Mass Effect : Anderson ne devient pas Spectre dans ce module et les intentions de Saren ne deviennent pas un savoir public anticipé.</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REV-CON-05</x:v>
      </x:c>
      <x:c r="B11" s="9" t="str">
        <x:v>Identité des objets</x:v>
      </x:c>
      <x:c r="C11" s="15" t="str">
        <x:v>Défini</x:v>
      </x:c>
      <x:c r="D11" s="16" t="str">
        <x:v>Établi</x:v>
      </x:c>
      <x:c r="E11" s="16" t="str">
        <x:v>P0</x:v>
      </x:c>
      <x:c r="F11" s="9" t="str">
        <x:v>Le canon portatif de Skarr est attesté ; son modèle commercial et ses dégâts ne le sont pas.</x:v>
      </x:c>
      <x:c r="G11" s="9" t="str">
        <x:v>Contrainte éditoriale : verrouiller les dépendances avant intégration du module.</x:v>
      </x:c>
      <x:c r="H11" s="9" t="str"/>
      <x:c r="I11" s="9" t="str"/>
      <x:c r="J11" s="9" t="str"/>
      <x:c r="K11" s="9" t="str"/>
      <x:c r="L11" s="9" t="str">
        <x:v>continuity/rev.json ; règle documentée et décision de validation datée.</x:v>
      </x:c>
      <x:c r="M11" s="9" t="str">
        <x:v>Conserver la trajectoire menant à Mass Effect : Anderson ne devient pas Spectre dans ce module et les intentions de Saren ne deviennent pas un savoir public anticipé.</x:v>
      </x:c>
      <x:c r="N11" s="9" t="str">
        <x:v>La règle est contrôlée dans les textes, cartes, choix et sauvegardes ; incertitude résolue ou affichée.</x:v>
      </x:c>
      <x:c r="O11" s="9" t="str"/>
      <x:c r="P11" s="9" t="str">
        <x:v>Limite de continuité / contrôle transversal</x:v>
      </x:c>
      <x:c r="Q11" s="9" t="str">
        <x:v>REV-SRC-IWO</x:v>
      </x:c>
      <x:c r="R11" s="9" t="str">
        <x:v>https://masseffect.fandom.com/wiki/SSV_Iwo_Jima</x:v>
      </x:c>
      <x:c r="S11" s="9" t="str">
        <x:v>Aucun numéro de chapitre ou de page n’est attribué sans exemplaire vérifié.</x:v>
      </x:c>
    </x:row>
    <x:row r="12" ht="68" customHeight="1">
      <x:c r="A12" s="19" t="str">
        <x:v>REV-CON-06</x:v>
      </x:c>
      <x:c r="B12" s="7" t="str">
        <x:v>Plans non officiels</x:v>
      </x:c>
      <x:c r="C12" s="15" t="str">
        <x:v>Défini</x:v>
      </x:c>
      <x:c r="D12" s="17" t="str">
        <x:v>Extrapolation</x:v>
      </x:c>
      <x:c r="E12" s="17" t="str">
        <x:v>P0</x:v>
      </x:c>
      <x:c r="F12" s="7" t="str">
        <x:v>Tous les plans de salles et connexions détaillées de ce catalogue sont des créations de production.</x:v>
      </x:c>
      <x:c r="G12" s="7" t="str">
        <x:v>Contrainte éditoriale : verrouiller les dépendances avant intégration du module.</x:v>
      </x:c>
      <x:c r="H12" s="7" t="str"/>
      <x:c r="I12" s="7" t="str"/>
      <x:c r="J12" s="7" t="str"/>
      <x:c r="K12" s="7" t="str"/>
      <x:c r="L12" s="7" t="str">
        <x:v>continuity/rev.json ; règle documentée et décision de validation datée.</x:v>
      </x:c>
      <x:c r="M12" s="7" t="str">
        <x:v>Conserver la trajectoire menant à Mass Effect : Anderson ne devient pas Spectre dans ce module et les intentions de Saren ne deviennent pas un savoir public anticipé.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REV-CON-07</x:v>
      </x:c>
      <x:c r="B13" s="9" t="str">
        <x:v>Validation de la fin</x:v>
      </x:c>
      <x:c r="C13" s="15" t="str">
        <x:v>Défini</x:v>
      </x:c>
      <x:c r="D13" s="16" t="str">
        <x:v>À vérifier</x:v>
      </x:c>
      <x:c r="E13" s="16" t="str">
        <x:v>P0</x:v>
      </x:c>
      <x:c r="F13" s="9" t="str">
        <x:v>Contrôler dans l’exemplaire du roman l’enchaînement final avant d’écrire les scènes correspondantes.</x:v>
      </x:c>
      <x:c r="G13" s="9" t="str">
        <x:v>Contrainte éditoriale : verrouiller les dépendances avant intégration du module.</x:v>
      </x:c>
      <x:c r="H13" s="9" t="str"/>
      <x:c r="I13" s="9" t="str"/>
      <x:c r="J13" s="9" t="str"/>
      <x:c r="K13" s="9" t="str"/>
      <x:c r="L13" s="9" t="str">
        <x:v>continuity/rev.json ; règle documentée et décision de validation datée.</x:v>
      </x:c>
      <x:c r="M13" s="9" t="str">
        <x:v>Conserver la trajectoire menant à Mass Effect : Anderson ne devient pas Spectre dans ce module et les intentions de Saren ne deviennent pas un savoir public anticipé.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ccd43b46e786460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Revelation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Revelation</x:v>
      </x:c>
      <x:c r="C7" s="2"/>
      <x:c r="D7" s="2"/>
      <x:c r="E7" s="2"/>
      <x:c r="F7" s="2"/>
    </x:row>
    <x:row r="8" ht="30" customHeight="1">
      <x:c r="A8" s="7" t="str">
        <x:v>Support</x:v>
      </x:c>
      <x:c r="B8" s="7" t="str">
        <x:v>Roman</x:v>
      </x:c>
      <x:c r="C8" s="2"/>
      <x:c r="D8" s="2"/>
      <x:c r="E8" s="2"/>
      <x:c r="F8" s="2"/>
    </x:row>
    <x:row r="9" ht="40" customHeight="1">
      <x:c r="A9" s="7" t="str">
        <x:v>Périmètre</x:v>
      </x:c>
      <x:c r="B9" s="7" t="str">
        <x:v>Préquelle romanesque de Drew Karpyshyn ; références brèves et module original d’enquête, protection et infiltration.</x:v>
      </x:c>
      <x:c r="C9" s="2"/>
      <x:c r="D9" s="2"/>
      <x:c r="E9" s="2"/>
      <x:c r="F9" s="2"/>
    </x:row>
    <x:row r="10" ht="54" customHeight="1">
      <x:c r="A10" s="7" t="str">
        <x:v>Projet</x:v>
      </x:c>
      <x:c r="B10" s="7" t="str">
        <x:v>158 fiches de production ; 6 fiches au stade Prototype de portée partielle. Les autres livrables restent des spécifications ; aucun achèvement intégral 1:1 revendiqué.</x:v>
      </x:c>
      <x:c r="C10" s="2"/>
      <x:c r="D10" s="2"/>
      <x:c r="E10" s="2"/>
      <x:c r="F10" s="2"/>
    </x:row>
    <x:row r="11" ht="96" customHeight="1">
      <x:c r="A11" s="7" t="str">
        <x:v>Références et limites</x:v>
      </x:c>
      <x:c r="B11" s="7" t="str">
        <x:v>Conserver la trajectoire menant à Mass Effect : Anderson ne devient pas Spectre dans ce module et les intentions de Saren ne deviennent pas un savoir public anticipé.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REV-SRC-PUB</x:v>
      </x:c>
      <x:c r="B27" s="6" t="str">
        <x:v>Penguin Random House — Revelation</x:v>
      </x:c>
      <x:c r="C27" s="6" t="str">
        <x:v>source officielle</x:v>
      </x:c>
      <x:c r="D27" s="6" t="str">
        <x:v>https://www.penguinrandomhouse.com/books/89889/mass-effect-revelation-by-drew-karpyshyn/</x:v>
      </x:c>
      <x:c r="E27" s="6" t="str">
        <x:v>Auteur, publication et prémisse</x:v>
      </x:c>
      <x:c r="F27" s="6" t="str">
        <x:v>Consulté le 22 octobre 2026. Faits courts uniquement ; la publication originale reste nécessaire pour contrôler les détails.</x:v>
      </x:c>
    </x:row>
    <x:row r="28" ht="54" customHeight="1">
      <x:c r="A28" s="6" t="str">
        <x:v>REV-SRC-WIKI</x:v>
      </x:c>
      <x:c r="B28" s="6" t="str">
        <x:v>Mass Effect Wiki — Revelation</x:v>
      </x:c>
      <x:c r="C28" s="6" t="str">
        <x:v>wiki</x:v>
      </x:c>
      <x:c r="D28" s="6" t="str">
        <x:v>https://masseffect.fandom.com/wiki/Mass_Effect:_Revelation</x:v>
      </x:c>
      <x:c r="E28" s="6" t="str">
        <x:v>Préquelle, IA, Sidon et confusion avec Shanxi</x:v>
      </x:c>
      <x:c r="F28" s="6" t="str">
        <x:v>Consulté le 22 octobre 2026. Faits courts uniquement ; la publication originale reste nécessaire pour contrôler les détails.</x:v>
      </x:c>
    </x:row>
    <x:row r="29" ht="42" customHeight="1">
      <x:c r="A29" s="6" t="str">
        <x:v>REV-SRC-SKARR</x:v>
      </x:c>
      <x:c r="B29" s="6" t="str">
        <x:v>Mass Effect Wiki — Skarr</x:v>
      </x:c>
      <x:c r="C29" s="6" t="str">
        <x:v>wiki</x:v>
      </x:c>
      <x:c r="D29" s="6" t="str">
        <x:v>https://masseffect.fandom.com/wiki/Skarr</x:v>
      </x:c>
      <x:c r="E29" s="6" t="str">
        <x:v>Krogan, biotique, Had’dah, Elysium, Camala, raffinerie</x:v>
      </x:c>
      <x:c r="F29" s="6" t="str">
        <x:v>Résultat indexé consulté ; ouverture directe refusée. Les seules informations visibles sont utilisées.</x:v>
      </x:c>
    </x:row>
    <x:row r="30" ht="54" customHeight="1">
      <x:c r="A30" s="6" t="str">
        <x:v>REV-SRC-DAH</x:v>
      </x:c>
      <x:c r="B30" s="6" t="str">
        <x:v>Mass Effect Wiki — Jill Dah</x:v>
      </x:c>
      <x:c r="C30" s="6" t="str">
        <x:v>wiki</x:v>
      </x:c>
      <x:c r="D30" s="6" t="str">
        <x:v>https://masseffect.fandom.com/wiki/Jill_Dah</x:v>
      </x:c>
      <x:c r="E30" s="6" t="str">
        <x:v>Alliance, SSV Hastings et Sidon</x:v>
      </x:c>
      <x:c r="F30" s="6" t="str">
        <x:v>Consulté le 22 octobre 2026. Faits courts uniquement ; la publication originale reste nécessaire pour contrôler les détails.</x:v>
      </x:c>
    </x:row>
    <x:row r="31" ht="54" customHeight="1">
      <x:c r="A31" s="6" t="str">
        <x:v>REV-SRC-BLUE</x:v>
      </x:c>
      <x:c r="B31" s="6" t="str">
        <x:v>Mass Effect Wiki — Blue Suns</x:v>
      </x:c>
      <x:c r="C31" s="6" t="str">
        <x:v>wiki</x:v>
      </x:c>
      <x:c r="D31" s="6" t="str">
        <x:v>https://masseffect.fandom.com/wiki/Blue_Suns</x:v>
      </x:c>
      <x:c r="E31" s="6" t="str">
        <x:v>Contrat mercenaire de 2165</x:v>
      </x:c>
      <x:c r="F31" s="6" t="str">
        <x:v>Consulté le 22 octobre 2026. Faits courts uniquement ; la publication originale reste nécessaire pour contrôler les détails.</x:v>
      </x:c>
    </x:row>
    <x:row r="32" ht="54" customHeight="1">
      <x:c r="A32" s="6" t="str">
        <x:v>REV-SRC-SAREN</x:v>
      </x:c>
      <x:c r="B32" s="6" t="str">
        <x:v>Mass Effect Wiki — Saren Arterius</x:v>
      </x:c>
      <x:c r="C32" s="6" t="str">
        <x:v>wiki</x:v>
      </x:c>
      <x:c r="D32" s="6" t="str">
        <x:v>https://masseffect.fandom.com/wiki/Saren_Arterius</x:v>
      </x:c>
      <x:c r="E32" s="6" t="str">
        <x:v>Saren, Groto Ib-ba et Kahlee ; résultat indexé consulté</x:v>
      </x:c>
      <x:c r="F32" s="6" t="str">
        <x:v>Consulté le 22 octobre 2026. Faits courts uniquement ; la publication originale reste nécessaire pour contrôler les détails.</x:v>
      </x:c>
    </x:row>
    <x:row r="33" ht="54" customHeight="1">
      <x:c r="A33" s="6" t="str">
        <x:v>REV-SRC-AND</x:v>
      </x:c>
      <x:c r="B33" s="6" t="str">
        <x:v>Mass Effect Wiki — David Anderson</x:v>
      </x:c>
      <x:c r="C33" s="6" t="str">
        <x:v>wiki</x:v>
      </x:c>
      <x:c r="D33" s="6" t="str">
        <x:v>https://masseffect.fandom.com/wiki/David_Anderson</x:v>
      </x:c>
      <x:c r="E33" s="6" t="str">
        <x:v>Enquête à Camala, Shu Qian et relation avec Saren ; résultats indexés</x:v>
      </x:c>
      <x:c r="F33" s="6" t="str">
        <x:v>Consulté le 22 octobre 2026. Faits courts uniquement ; la publication originale reste nécessaire pour contrôler les détails.</x:v>
      </x:c>
    </x:row>
    <x:row r="34" ht="54" customHeight="1">
      <x:c r="A34" s="6" t="str">
        <x:v>REV-SRC-JELLA</x:v>
      </x:c>
      <x:c r="B34" s="6" t="str">
        <x:v>Mass Effect Wiki — Jella</x:v>
      </x:c>
      <x:c r="C34" s="6" t="str">
        <x:v>wiki</x:v>
      </x:c>
      <x:c r="D34" s="6" t="str">
        <x:v>https://masseffect.fandom.com/wiki/Jella</x:v>
      </x:c>
      <x:c r="E34" s="6" t="str">
        <x:v>Contact chez Dah’tan ; résultats indexés</x:v>
      </x:c>
      <x:c r="F34" s="6" t="str">
        <x:v>Consulté le 22 octobre 2026. Faits courts uniquement ; la publication originale reste nécessaire pour contrôler les détails.</x:v>
      </x:c>
    </x:row>
    <x:row r="35" ht="54" customHeight="1">
      <x:c r="A35" s="6" t="str">
        <x:v>REV-SRC-IWO</x:v>
      </x:c>
      <x:c r="B35" s="6" t="str">
        <x:v>Mass Effect Wiki — SSV Iwo Jima</x:v>
      </x:c>
      <x:c r="C35" s="6" t="str">
        <x:v>wiki</x:v>
      </x:c>
      <x:c r="D35" s="6" t="str">
        <x:v>https://masseffect.fandom.com/wiki/SSV_Iwo_Jima</x:v>
      </x:c>
      <x:c r="E35" s="6" t="str">
        <x:v>Frégate et canon de Skarr ; résultat indexé</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Anderson, Kahlee, Saren et la crise de Sidon ; relations entre Alliance, Spectres et mercenaires ; propositions de niveaux d’enquête et de sauvetage.</x:v>
      </x:c>
      <x:c r="C40" s="6" t="str">
        <x:v>Lecture intégrale non effectuée. Les micro-lieux, costumes, équipements non nommés et transitions sont à valider ; aucun chapitre ni plan exact n’est inventé.</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6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