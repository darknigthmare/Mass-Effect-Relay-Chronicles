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fac9af27fca426f" /></Relationships>
</file>

<file path=xl/workbook.xml><?xml version="1.0" encoding="utf-8"?>
<x:workbook xmlns:x="http://schemas.openxmlformats.org/spreadsheetml/2006/main">
  <x:sheets>
    <x:sheet xmlns:r="http://schemas.openxmlformats.org/officeDocument/2006/relationships" name="Dashboard" sheetId="1" r:id="Rea6ad95015a048ee"/>
    <x:sheet xmlns:r="http://schemas.openxmlformats.org/officeDocument/2006/relationships" name="Personnages" sheetId="2" r:id="R49fea68e0ee34667"/>
    <x:sheet xmlns:r="http://schemas.openxmlformats.org/officeDocument/2006/relationships" name="PNJ" sheetId="3" r:id="Reb06680b3f854815"/>
    <x:sheet xmlns:r="http://schemas.openxmlformats.org/officeDocument/2006/relationships" name="Especes_factions" sheetId="4" r:id="R47066bb9c423478a"/>
    <x:sheet xmlns:r="http://schemas.openxmlformats.org/officeDocument/2006/relationships" name="Mondes" sheetId="5" r:id="Rfce08b6405f54901"/>
    <x:sheet xmlns:r="http://schemas.openxmlformats.org/officeDocument/2006/relationships" name="Zones" sheetId="6" r:id="R453a89bdd44e4736"/>
    <x:sheet xmlns:r="http://schemas.openxmlformats.org/officeDocument/2006/relationships" name="Liaisons" sheetId="7" r:id="Rf04ae3d44dd84006"/>
    <x:sheet xmlns:r="http://schemas.openxmlformats.org/officeDocument/2006/relationships" name="Decors" sheetId="8" r:id="R16b360853dad41e5"/>
    <x:sheet xmlns:r="http://schemas.openxmlformats.org/officeDocument/2006/relationships" name="Props" sheetId="9" r:id="R39cba589e0094d0b"/>
    <x:sheet xmlns:r="http://schemas.openxmlformats.org/officeDocument/2006/relationships" name="Ennemis_boss" sheetId="10" r:id="Rbdf527c3cbf84dda"/>
    <x:sheet xmlns:r="http://schemas.openxmlformats.org/officeDocument/2006/relationships" name="Missions" sheetId="11" r:id="R58bbc5195a8e40c7"/>
    <x:sheet xmlns:r="http://schemas.openxmlformats.org/officeDocument/2006/relationships" name="Secondaires_DLC" sheetId="12" r:id="Rd3016a6eea7f47b5"/>
    <x:sheet xmlns:r="http://schemas.openxmlformats.org/officeDocument/2006/relationships" name="Choix_relations" sheetId="13" r:id="R83d5287c0c0143ae"/>
    <x:sheet xmlns:r="http://schemas.openxmlformats.org/officeDocument/2006/relationships" name="Dialogues" sheetId="14" r:id="R1e4b91aa93ed47ff"/>
    <x:sheet xmlns:r="http://schemas.openxmlformats.org/officeDocument/2006/relationships" name="Cinematiques" sheetId="15" r:id="R5f09d4709a914e89"/>
    <x:sheet xmlns:r="http://schemas.openxmlformats.org/officeDocument/2006/relationships" name="Armes" sheetId="16" r:id="R5c3560592524470f"/>
    <x:sheet xmlns:r="http://schemas.openxmlformats.org/officeDocument/2006/relationships" name="Armures_equipement" sheetId="17" r:id="Rb0eb4720535143a4"/>
    <x:sheet xmlns:r="http://schemas.openxmlformats.org/officeDocument/2006/relationships" name="Pouvoirs" sheetId="18" r:id="Rdf3fcd16dff847f9"/>
    <x:sheet xmlns:r="http://schemas.openxmlformats.org/officeDocument/2006/relationships" name="Movesets_allies" sheetId="19" r:id="Rf24aa4e8659348e7"/>
    <x:sheet xmlns:r="http://schemas.openxmlformats.org/officeDocument/2006/relationships" name="Movesets_ennemis" sheetId="20" r:id="R1804d27be9c04853"/>
    <x:sheet xmlns:r="http://schemas.openxmlformats.org/officeDocument/2006/relationships" name="Animations" sheetId="21" r:id="R128bb16707864f75"/>
    <x:sheet xmlns:r="http://schemas.openxmlformats.org/officeDocument/2006/relationships" name="Sprites" sheetId="22" r:id="R70137912cf4a4620"/>
    <x:sheet xmlns:r="http://schemas.openxmlformats.org/officeDocument/2006/relationships" name="VFX" sheetId="23" r:id="R726d98ef1eae469f"/>
    <x:sheet xmlns:r="http://schemas.openxmlformats.org/officeDocument/2006/relationships" name="Audio" sheetId="24" r:id="Re0ba6d652ef041a9"/>
    <x:sheet xmlns:r="http://schemas.openxmlformats.org/officeDocument/2006/relationships" name="UI_systemes" sheetId="25" r:id="R04344bac2abd4650"/>
    <x:sheet xmlns:r="http://schemas.openxmlformats.org/officeDocument/2006/relationships" name="QA" sheetId="26" r:id="R66b7f924d126481f"/>
    <x:sheet xmlns:r="http://schemas.openxmlformats.org/officeDocument/2006/relationships" name="Continuite" sheetId="27" r:id="Rfb68b557279c415b"/>
    <x:sheet xmlns:r="http://schemas.openxmlformats.org/officeDocument/2006/relationships" name="Guide" sheetId="28" r:id="Rf1e03c50fc5045c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4eb610c79d364b97" /><Relationship Type="http://schemas.openxmlformats.org/officeDocument/2006/relationships/theme" Target="/xl/theme/theme1.xml" Id="R93ed6dc164b74910" /><Relationship Type="http://schemas.openxmlformats.org/officeDocument/2006/relationships/sharedStrings" Target="/xl/sharedStrings.xml" Id="R618ebd4d821f4cf4" /><Relationship Type="http://schemas.openxmlformats.org/officeDocument/2006/relationships/worksheet" Target="/xl/worksheets/sheet1.xml" Id="Rea6ad95015a048ee" /><Relationship Type="http://schemas.openxmlformats.org/officeDocument/2006/relationships/worksheet" Target="/xl/worksheets/sheet2.xml" Id="R49fea68e0ee34667" /><Relationship Type="http://schemas.openxmlformats.org/officeDocument/2006/relationships/worksheet" Target="/xl/worksheets/sheet3.xml" Id="Reb06680b3f854815" /><Relationship Type="http://schemas.openxmlformats.org/officeDocument/2006/relationships/worksheet" Target="/xl/worksheets/sheet4.xml" Id="R47066bb9c423478a" /><Relationship Type="http://schemas.openxmlformats.org/officeDocument/2006/relationships/worksheet" Target="/xl/worksheets/sheet5.xml" Id="Rfce08b6405f54901" /><Relationship Type="http://schemas.openxmlformats.org/officeDocument/2006/relationships/worksheet" Target="/xl/worksheets/sheet6.xml" Id="R453a89bdd44e4736" /><Relationship Type="http://schemas.openxmlformats.org/officeDocument/2006/relationships/worksheet" Target="/xl/worksheets/sheet7.xml" Id="Rf04ae3d44dd84006" /><Relationship Type="http://schemas.openxmlformats.org/officeDocument/2006/relationships/worksheet" Target="/xl/worksheets/sheet8.xml" Id="R16b360853dad41e5" /><Relationship Type="http://schemas.openxmlformats.org/officeDocument/2006/relationships/worksheet" Target="/xl/worksheets/sheet9.xml" Id="R39cba589e0094d0b" /><Relationship Type="http://schemas.openxmlformats.org/officeDocument/2006/relationships/worksheet" Target="/xl/worksheets/sheet10.xml" Id="Rbdf527c3cbf84dda" /><Relationship Type="http://schemas.openxmlformats.org/officeDocument/2006/relationships/worksheet" Target="/xl/worksheets/sheet11.xml" Id="R58bbc5195a8e40c7" /><Relationship Type="http://schemas.openxmlformats.org/officeDocument/2006/relationships/worksheet" Target="/xl/worksheets/sheet12.xml" Id="Rd3016a6eea7f47b5" /><Relationship Type="http://schemas.openxmlformats.org/officeDocument/2006/relationships/worksheet" Target="/xl/worksheets/sheet13.xml" Id="R83d5287c0c0143ae" /><Relationship Type="http://schemas.openxmlformats.org/officeDocument/2006/relationships/worksheet" Target="/xl/worksheets/sheet14.xml" Id="R1e4b91aa93ed47ff" /><Relationship Type="http://schemas.openxmlformats.org/officeDocument/2006/relationships/worksheet" Target="/xl/worksheets/sheet15.xml" Id="R5f09d4709a914e89" /><Relationship Type="http://schemas.openxmlformats.org/officeDocument/2006/relationships/worksheet" Target="/xl/worksheets/sheet16.xml" Id="R5c3560592524470f" /><Relationship Type="http://schemas.openxmlformats.org/officeDocument/2006/relationships/worksheet" Target="/xl/worksheets/sheet17.xml" Id="Rb0eb4720535143a4" /><Relationship Type="http://schemas.openxmlformats.org/officeDocument/2006/relationships/worksheet" Target="/xl/worksheets/sheet18.xml" Id="Rdf3fcd16dff847f9" /><Relationship Type="http://schemas.openxmlformats.org/officeDocument/2006/relationships/worksheet" Target="/xl/worksheets/sheet19.xml" Id="Rf24aa4e8659348e7" /><Relationship Type="http://schemas.openxmlformats.org/officeDocument/2006/relationships/worksheet" Target="/xl/worksheets/sheet20.xml" Id="R1804d27be9c04853" /><Relationship Type="http://schemas.openxmlformats.org/officeDocument/2006/relationships/worksheet" Target="/xl/worksheets/sheet21.xml" Id="R128bb16707864f75" /><Relationship Type="http://schemas.openxmlformats.org/officeDocument/2006/relationships/worksheet" Target="/xl/worksheets/sheet22.xml" Id="R70137912cf4a4620" /><Relationship Type="http://schemas.openxmlformats.org/officeDocument/2006/relationships/worksheet" Target="/xl/worksheets/sheet23.xml" Id="R726d98ef1eae469f" /><Relationship Type="http://schemas.openxmlformats.org/officeDocument/2006/relationships/worksheet" Target="/xl/worksheets/sheet24.xml" Id="Re0ba6d652ef041a9" /><Relationship Type="http://schemas.openxmlformats.org/officeDocument/2006/relationships/worksheet" Target="/xl/worksheets/sheet25.xml" Id="R04344bac2abd4650" /><Relationship Type="http://schemas.openxmlformats.org/officeDocument/2006/relationships/worksheet" Target="/xl/worksheets/sheet26.xml" Id="R66b7f924d126481f" /><Relationship Type="http://schemas.openxmlformats.org/officeDocument/2006/relationships/worksheet" Target="/xl/worksheets/sheet27.xml" Id="Rfb68b557279c415b" /><Relationship Type="http://schemas.openxmlformats.org/officeDocument/2006/relationships/worksheet" Target="/xl/worksheets/sheet28.xml" Id="Rf1e03c50fc5045cd" /></Relationships>
</file>

<file path=xl/tables/table1.xml><?xml version="1.0" encoding="utf-8"?>
<x:table xmlns:x="http://schemas.openxmlformats.org/spreadsheetml/2006/main" id="1" name="ME2_characters" displayName="ME2_character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2_npcs" displayName="ME2_npcs" ref="A6:S46" headerRowCount="1" totalsRowCount="0" totalsRowShown="0">
  <x:autoFilter ref="A6:S4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2_lore" displayName="ME2_lore"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2_worlds" displayName="ME2_world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2_zones" displayName="ME2_zones" ref="A6:S44" headerRowCount="1" totalsRowCount="0" totalsRowShown="0">
  <x:autoFilter ref="A6:S4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2_links" displayName="ME2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2_scenery" displayName="ME2_scenery"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2_props" displayName="ME2_prop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2_enemies" displayName="ME2_enemi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2_main_quests" displayName="ME2_main_quest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2_side_quests" displayName="ME2_side_quests" ref="A6:S59" headerRowCount="1" totalsRowCount="0" totalsRowShown="0">
  <x:autoFilter ref="A6:S5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2_choices" displayName="ME2_choice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2_dialogues" displayName="ME2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2_cinematics" displayName="ME2_cinematic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2_weapons" displayName="ME2_weapons" ref="A6:S35" headerRowCount="1" totalsRowCount="0" totalsRowShown="0">
  <x:autoFilter ref="A6:S3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2_equipment" displayName="ME2_equipment"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2_powers" displayName="ME2_powers" ref="A6:S40" headerRowCount="1" totalsRowCount="0" totalsRowShown="0">
  <x:autoFilter ref="A6:S4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2_ally_moves" displayName="ME2_ally_move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2_enemy_moves" displayName="ME2_enemy_mov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2_animations" displayName="ME2_animation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2_sprites" displayName="ME2_sprites" ref="A6:S66" headerRowCount="1" totalsRowCount="0" totalsRowShown="0">
  <x:autoFilter ref="A6:S6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2_vfx" displayName="ME2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2_audio" displayName="ME2_audio"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2_systems" displayName="ME2_system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2_qa" displayName="ME2_qa"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2_continuity" displayName="ME2_continuity"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768935458b04aa2" /></Relationships>
</file>

<file path=xl/worksheets/_rels/sheet3.xml.rels>&#65279;<?xml version="1.0" encoding="utf-8"?><Relationships xmlns="http://schemas.openxmlformats.org/package/2006/relationships"><Relationship Type="http://schemas.openxmlformats.org/officeDocument/2006/relationships/table" Target="/xl/tables/table2.xml" Id="Re1a8acee867a40fa" /></Relationships>
</file>

<file path=xl/worksheets/_rels/sheet4.xml.rels>&#65279;<?xml version="1.0" encoding="utf-8"?><Relationships xmlns="http://schemas.openxmlformats.org/package/2006/relationships"><Relationship Type="http://schemas.openxmlformats.org/officeDocument/2006/relationships/table" Target="/xl/tables/table3.xml" Id="Rc171e105cc544b4c" /></Relationships>
</file>

<file path=xl/worksheets/_rels/sheet5.xml.rels>&#65279;<?xml version="1.0" encoding="utf-8"?><Relationships xmlns="http://schemas.openxmlformats.org/package/2006/relationships"><Relationship Type="http://schemas.openxmlformats.org/officeDocument/2006/relationships/table" Target="/xl/tables/table4.xml" Id="R2067e911fef44e2e" /></Relationships>
</file>

<file path=xl/worksheets/_rels/sheet6.xml.rels>&#65279;<?xml version="1.0" encoding="utf-8"?><Relationships xmlns="http://schemas.openxmlformats.org/package/2006/relationships"><Relationship Type="http://schemas.openxmlformats.org/officeDocument/2006/relationships/table" Target="/xl/tables/table5.xml" Id="Re423ccdd01604a6f" /></Relationships>
</file>

<file path=xl/worksheets/_rels/sheet7.xml.rels>&#65279;<?xml version="1.0" encoding="utf-8"?><Relationships xmlns="http://schemas.openxmlformats.org/package/2006/relationships"><Relationship Type="http://schemas.openxmlformats.org/officeDocument/2006/relationships/table" Target="/xl/tables/table6.xml" Id="R853d80f3659c4976" /></Relationships>
</file>

<file path=xl/worksheets/_rels/sheet8.xml.rels>&#65279;<?xml version="1.0" encoding="utf-8"?><Relationships xmlns="http://schemas.openxmlformats.org/package/2006/relationships"><Relationship Type="http://schemas.openxmlformats.org/officeDocument/2006/relationships/table" Target="/xl/tables/table7.xml" Id="R2f62e87ad3004bdf" /></Relationships>
</file>

<file path=xl/worksheets/_rels/sheet9.xml.rels>&#65279;<?xml version="1.0" encoding="utf-8"?><Relationships xmlns="http://schemas.openxmlformats.org/package/2006/relationships"><Relationship Type="http://schemas.openxmlformats.org/officeDocument/2006/relationships/table" Target="/xl/tables/table8.xml" Id="Rc564999def694b09" /></Relationships>
</file>

<file path=xl/worksheets/_rels/sheet10.xml.rels>&#65279;<?xml version="1.0" encoding="utf-8"?><Relationships xmlns="http://schemas.openxmlformats.org/package/2006/relationships"><Relationship Type="http://schemas.openxmlformats.org/officeDocument/2006/relationships/table" Target="/xl/tables/table9.xml" Id="R05ecef35de054c04" /></Relationships>
</file>

<file path=xl/worksheets/_rels/sheet11.xml.rels>&#65279;<?xml version="1.0" encoding="utf-8"?><Relationships xmlns="http://schemas.openxmlformats.org/package/2006/relationships"><Relationship Type="http://schemas.openxmlformats.org/officeDocument/2006/relationships/table" Target="/xl/tables/table10.xml" Id="R4f8659988c8a4511" /></Relationships>
</file>

<file path=xl/worksheets/_rels/sheet12.xml.rels>&#65279;<?xml version="1.0" encoding="utf-8"?><Relationships xmlns="http://schemas.openxmlformats.org/package/2006/relationships"><Relationship Type="http://schemas.openxmlformats.org/officeDocument/2006/relationships/table" Target="/xl/tables/table11.xml" Id="Reccb4c5eab1e4d3c" /></Relationships>
</file>

<file path=xl/worksheets/_rels/sheet13.xml.rels>&#65279;<?xml version="1.0" encoding="utf-8"?><Relationships xmlns="http://schemas.openxmlformats.org/package/2006/relationships"><Relationship Type="http://schemas.openxmlformats.org/officeDocument/2006/relationships/table" Target="/xl/tables/table12.xml" Id="Rc94bb34e78634dbf" /></Relationships>
</file>

<file path=xl/worksheets/_rels/sheet14.xml.rels>&#65279;<?xml version="1.0" encoding="utf-8"?><Relationships xmlns="http://schemas.openxmlformats.org/package/2006/relationships"><Relationship Type="http://schemas.openxmlformats.org/officeDocument/2006/relationships/table" Target="/xl/tables/table13.xml" Id="Re4b40dae34d740eb" /></Relationships>
</file>

<file path=xl/worksheets/_rels/sheet15.xml.rels>&#65279;<?xml version="1.0" encoding="utf-8"?><Relationships xmlns="http://schemas.openxmlformats.org/package/2006/relationships"><Relationship Type="http://schemas.openxmlformats.org/officeDocument/2006/relationships/table" Target="/xl/tables/table14.xml" Id="R358607c07d934792" /></Relationships>
</file>

<file path=xl/worksheets/_rels/sheet16.xml.rels>&#65279;<?xml version="1.0" encoding="utf-8"?><Relationships xmlns="http://schemas.openxmlformats.org/package/2006/relationships"><Relationship Type="http://schemas.openxmlformats.org/officeDocument/2006/relationships/table" Target="/xl/tables/table15.xml" Id="Rc6a2a071badc4eb0" /></Relationships>
</file>

<file path=xl/worksheets/_rels/sheet17.xml.rels>&#65279;<?xml version="1.0" encoding="utf-8"?><Relationships xmlns="http://schemas.openxmlformats.org/package/2006/relationships"><Relationship Type="http://schemas.openxmlformats.org/officeDocument/2006/relationships/table" Target="/xl/tables/table16.xml" Id="Rb0bca9c1ad174106" /></Relationships>
</file>

<file path=xl/worksheets/_rels/sheet18.xml.rels>&#65279;<?xml version="1.0" encoding="utf-8"?><Relationships xmlns="http://schemas.openxmlformats.org/package/2006/relationships"><Relationship Type="http://schemas.openxmlformats.org/officeDocument/2006/relationships/table" Target="/xl/tables/table17.xml" Id="Rad704bbb064f4cb8" /></Relationships>
</file>

<file path=xl/worksheets/_rels/sheet19.xml.rels>&#65279;<?xml version="1.0" encoding="utf-8"?><Relationships xmlns="http://schemas.openxmlformats.org/package/2006/relationships"><Relationship Type="http://schemas.openxmlformats.org/officeDocument/2006/relationships/table" Target="/xl/tables/table18.xml" Id="R285b7d99cc664ed9" /></Relationships>
</file>

<file path=xl/worksheets/_rels/sheet20.xml.rels>&#65279;<?xml version="1.0" encoding="utf-8"?><Relationships xmlns="http://schemas.openxmlformats.org/package/2006/relationships"><Relationship Type="http://schemas.openxmlformats.org/officeDocument/2006/relationships/table" Target="/xl/tables/table19.xml" Id="Ra449b2c486e74679" /></Relationships>
</file>

<file path=xl/worksheets/_rels/sheet21.xml.rels>&#65279;<?xml version="1.0" encoding="utf-8"?><Relationships xmlns="http://schemas.openxmlformats.org/package/2006/relationships"><Relationship Type="http://schemas.openxmlformats.org/officeDocument/2006/relationships/table" Target="/xl/tables/table20.xml" Id="R6cfa7d1d3a8f40b0" /></Relationships>
</file>

<file path=xl/worksheets/_rels/sheet22.xml.rels>&#65279;<?xml version="1.0" encoding="utf-8"?><Relationships xmlns="http://schemas.openxmlformats.org/package/2006/relationships"><Relationship Type="http://schemas.openxmlformats.org/officeDocument/2006/relationships/table" Target="/xl/tables/table21.xml" Id="R960e5f2fcc8744b9" /></Relationships>
</file>

<file path=xl/worksheets/_rels/sheet23.xml.rels>&#65279;<?xml version="1.0" encoding="utf-8"?><Relationships xmlns="http://schemas.openxmlformats.org/package/2006/relationships"><Relationship Type="http://schemas.openxmlformats.org/officeDocument/2006/relationships/table" Target="/xl/tables/table22.xml" Id="R264cb79a3b274014" /></Relationships>
</file>

<file path=xl/worksheets/_rels/sheet24.xml.rels>&#65279;<?xml version="1.0" encoding="utf-8"?><Relationships xmlns="http://schemas.openxmlformats.org/package/2006/relationships"><Relationship Type="http://schemas.openxmlformats.org/officeDocument/2006/relationships/table" Target="/xl/tables/table23.xml" Id="R1e26ca56d34e488a" /></Relationships>
</file>

<file path=xl/worksheets/_rels/sheet25.xml.rels>&#65279;<?xml version="1.0" encoding="utf-8"?><Relationships xmlns="http://schemas.openxmlformats.org/package/2006/relationships"><Relationship Type="http://schemas.openxmlformats.org/officeDocument/2006/relationships/table" Target="/xl/tables/table24.xml" Id="R9ec2208b17a84072" /></Relationships>
</file>

<file path=xl/worksheets/_rels/sheet26.xml.rels>&#65279;<?xml version="1.0" encoding="utf-8"?><Relationships xmlns="http://schemas.openxmlformats.org/package/2006/relationships"><Relationship Type="http://schemas.openxmlformats.org/officeDocument/2006/relationships/table" Target="/xl/tables/table25.xml" Id="R41c85be1e7344fe2" /></Relationships>
</file>

<file path=xl/worksheets/_rels/sheet27.xml.rels>&#65279;<?xml version="1.0" encoding="utf-8"?><Relationships xmlns="http://schemas.openxmlformats.org/package/2006/relationships"><Relationship Type="http://schemas.openxmlformats.org/officeDocument/2006/relationships/table" Target="/xl/tables/table26.xml" Id="R87cd874875c447e9"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2</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670</x:v>
      </x:c>
      <x:c r="C5" s="2"/>
      <x:c r="D5" s="2" t="str">
        <x:v>Intégrés</x:v>
      </x:c>
      <x:c r="E5" s="31" t="n">
        <x:f>SUM(E10:F35)</x:f>
        <x:v>0</x:v>
      </x:c>
      <x:c r="F5" s="2"/>
      <x:c r="G5" s="2" t="str">
        <x:v>À vérifier</x:v>
      </x:c>
      <x:c r="H5" s="31" t="n">
        <x:f>SUM(H10:H35)</x:f>
        <x:v>0</x:v>
      </x:c>
      <x:c r="I5" s="2"/>
      <x:c r="J5" s="2" t="str">
        <x:v>Extrapolations</x:v>
      </x:c>
      <x:c r="K5" s="31" t="n">
        <x:f>SUM(I10:I35)</x:f>
        <x:v>286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COUNTA('Personnages'!$A$7:$A$22)</x:f>
        <x:v>16</x:v>
      </x:c>
      <x:c r="C10" s="37" t="n">
        <x:f>COUNTIFS('Personnages'!$C$7:$C$22,"Défini")</x:f>
        <x:v>1</x:v>
      </x:c>
      <x:c r="D10" s="37" t="n">
        <x:f>COUNTIFS('Personnages'!$C$7:$C$22,"Prototype")</x:f>
        <x:v>15</x:v>
      </x:c>
      <x:c r="E10" s="37" t="n">
        <x:f>COUNTIFS('Personnages'!$C$7:$C$22,"Intégré")</x:f>
        <x:v>0</x:v>
      </x:c>
      <x:c r="F10" s="37" t="n">
        <x:f>COUNTIFS('Personnages'!$C$7:$C$22,"Validé")</x:f>
        <x:v>0</x:v>
      </x:c>
      <x:c r="G10" s="37" t="n">
        <x:f>COUNTIFS('Personnages'!$D$7:$D$22,"Établi")</x:f>
        <x:v>16</x:v>
      </x:c>
      <x:c r="H10" s="37" t="n">
        <x:f>COUNTIFS('Personnages'!$D$7:$D$22,"À vérifier")</x:f>
        <x:v>0</x:v>
      </x:c>
      <x:c r="I10" s="37" t="n">
        <x:f>COUNTIFS('Personnages'!$D$7:$D$22,"Extrapolation")</x:f>
        <x:v>0</x:v>
      </x:c>
      <x:c r="J10" s="37" t="n">
        <x:f>COUNTIFS('Personnages'!$D$7:$D$22,"Coupé attesté")</x:f>
        <x:v>0</x:v>
      </x:c>
      <x:c r="K10" s="37" t="n">
        <x:f>COUNTIFS('Personnages'!$D$7:$D$22,"Concept abandonné")</x:f>
        <x:v>0</x:v>
      </x:c>
      <x:c r="L10" s="37" t="n">
        <x:f>COUNTIFS('Personnages'!$D$7:$D$22,"Allégation écartée")</x:f>
        <x:v>0</x:v>
      </x:c>
      <x:c r="M10" s="37" t="n">
        <x:f>COUNTIFS('Personnages'!$E$7:$E$22,"P0")</x:f>
        <x:v>0</x:v>
      </x:c>
    </x:row>
    <x:row r="11" ht="22" customHeight="1">
      <x:c r="A11" s="2" t="str">
        <x:v>PNJ</x:v>
      </x:c>
      <x:c r="B11" s="38" t="n">
        <x:f>COUNTA('PNJ'!$A$7:$A$46)</x:f>
        <x:v>40</x:v>
      </x:c>
      <x:c r="C11" s="38" t="n">
        <x:f>COUNTIFS('PNJ'!$C$7:$C$46,"Défini")</x:f>
        <x:v>40</x:v>
      </x:c>
      <x:c r="D11" s="38" t="n">
        <x:f>COUNTIFS('PNJ'!$C$7:$C$46,"Prototype")</x:f>
        <x:v>0</x:v>
      </x:c>
      <x:c r="E11" s="38" t="n">
        <x:f>COUNTIFS('PNJ'!$C$7:$C$46,"Intégré")</x:f>
        <x:v>0</x:v>
      </x:c>
      <x:c r="F11" s="38" t="n">
        <x:f>COUNTIFS('PNJ'!$C$7:$C$46,"Validé")</x:f>
        <x:v>0</x:v>
      </x:c>
      <x:c r="G11" s="38" t="n">
        <x:f>COUNTIFS('PNJ'!$D$7:$D$46,"Établi")</x:f>
        <x:v>40</x:v>
      </x:c>
      <x:c r="H11" s="38" t="n">
        <x:f>COUNTIFS('PNJ'!$D$7:$D$46,"À vérifier")</x:f>
        <x:v>0</x:v>
      </x:c>
      <x:c r="I11" s="38" t="n">
        <x:f>COUNTIFS('PNJ'!$D$7:$D$46,"Extrapolation")</x:f>
        <x:v>0</x:v>
      </x:c>
      <x:c r="J11" s="38" t="n">
        <x:f>COUNTIFS('PNJ'!$D$7:$D$46,"Coupé attesté")</x:f>
        <x:v>0</x:v>
      </x:c>
      <x:c r="K11" s="38" t="n">
        <x:f>COUNTIFS('PNJ'!$D$7:$D$46,"Concept abandonné")</x:f>
        <x:v>0</x:v>
      </x:c>
      <x:c r="L11" s="38" t="n">
        <x:f>COUNTIFS('PNJ'!$D$7:$D$46,"Allégation écartée")</x:f>
        <x:v>0</x:v>
      </x:c>
      <x:c r="M11" s="38" t="n">
        <x:f>COUNTIFS('PNJ'!$E$7:$E$46,"P0")</x:f>
        <x:v>0</x:v>
      </x:c>
    </x:row>
    <x:row r="12" ht="22" customHeight="1">
      <x:c r="A12" s="33" t="str">
        <x:v>Espèces et factions</x:v>
      </x:c>
      <x:c r="B12" s="37" t="n">
        <x:f>COUNTA('Especes_factions'!$A$7:$A$20)</x:f>
        <x:v>14</x:v>
      </x:c>
      <x:c r="C12" s="37" t="n">
        <x:f>COUNTIFS('Especes_factions'!$C$7:$C$20,"Défini")</x:f>
        <x:v>14</x:v>
      </x:c>
      <x:c r="D12" s="37" t="n">
        <x:f>COUNTIFS('Especes_factions'!$C$7:$C$20,"Prototype")</x:f>
        <x:v>0</x:v>
      </x:c>
      <x:c r="E12" s="37" t="n">
        <x:f>COUNTIFS('Especes_factions'!$C$7:$C$20,"Intégré")</x:f>
        <x:v>0</x:v>
      </x:c>
      <x:c r="F12" s="37" t="n">
        <x:f>COUNTIFS('Especes_factions'!$C$7:$C$20,"Validé")</x:f>
        <x:v>0</x:v>
      </x:c>
      <x:c r="G12" s="37" t="n">
        <x:f>COUNTIFS('Especes_factions'!$D$7:$D$20,"Établi")</x:f>
        <x:v>14</x:v>
      </x:c>
      <x:c r="H12" s="37" t="n">
        <x:f>COUNTIFS('Especes_factions'!$D$7:$D$20,"À vérifier")</x:f>
        <x:v>0</x:v>
      </x:c>
      <x:c r="I12" s="37" t="n">
        <x:f>COUNTIFS('Especes_factions'!$D$7:$D$20,"Extrapolation")</x:f>
        <x:v>0</x:v>
      </x:c>
      <x:c r="J12" s="37" t="n">
        <x:f>COUNTIFS('Especes_factions'!$D$7:$D$20,"Coupé attesté")</x:f>
        <x:v>0</x:v>
      </x:c>
      <x:c r="K12" s="37" t="n">
        <x:f>COUNTIFS('Especes_factions'!$D$7:$D$20,"Concept abandonné")</x:f>
        <x:v>0</x:v>
      </x:c>
      <x:c r="L12" s="37" t="n">
        <x:f>COUNTIFS('Especes_factions'!$D$7:$D$20,"Allégation écartée")</x:f>
        <x:v>0</x:v>
      </x:c>
      <x:c r="M12" s="37" t="n">
        <x:f>COUNTIFS('Especes_factions'!$E$7:$E$20,"P0")</x:f>
        <x:v>0</x:v>
      </x:c>
    </x:row>
    <x:row r="13" ht="22" customHeight="1">
      <x:c r="A13" s="2" t="str">
        <x:v>Mondes</x:v>
      </x:c>
      <x:c r="B13" s="38" t="n">
        <x:f>COUNTA('Mondes'!$A$7:$A$25)</x:f>
        <x:v>19</x:v>
      </x:c>
      <x:c r="C13" s="38" t="n">
        <x:f>COUNTIFS('Mondes'!$C$7:$C$25,"Défini")</x:f>
        <x:v>19</x:v>
      </x:c>
      <x:c r="D13" s="38" t="n">
        <x:f>COUNTIFS('Mondes'!$C$7:$C$25,"Prototype")</x:f>
        <x:v>0</x:v>
      </x:c>
      <x:c r="E13" s="38" t="n">
        <x:f>COUNTIFS('Mondes'!$C$7:$C$25,"Intégré")</x:f>
        <x:v>0</x:v>
      </x:c>
      <x:c r="F13" s="38" t="n">
        <x:f>COUNTIFS('Mondes'!$C$7:$C$25,"Validé")</x:f>
        <x:v>0</x:v>
      </x:c>
      <x:c r="G13" s="38" t="n">
        <x:f>COUNTIFS('Mondes'!$D$7:$D$25,"Établi")</x:f>
        <x:v>19</x:v>
      </x:c>
      <x:c r="H13" s="38" t="n">
        <x:f>COUNTIFS('Mondes'!$D$7:$D$25,"À vérifier")</x:f>
        <x:v>0</x:v>
      </x:c>
      <x:c r="I13" s="38" t="n">
        <x:f>COUNTIFS('Mondes'!$D$7:$D$25,"Extrapolation")</x:f>
        <x:v>0</x:v>
      </x:c>
      <x:c r="J13" s="38" t="n">
        <x:f>COUNTIFS('Mondes'!$D$7:$D$25,"Coupé attesté")</x:f>
        <x:v>0</x:v>
      </x:c>
      <x:c r="K13" s="38" t="n">
        <x:f>COUNTIFS('Mondes'!$D$7:$D$25,"Concept abandonné")</x:f>
        <x:v>0</x:v>
      </x:c>
      <x:c r="L13" s="38" t="n">
        <x:f>COUNTIFS('Mondes'!$D$7:$D$25,"Allégation écartée")</x:f>
        <x:v>0</x:v>
      </x:c>
      <x:c r="M13" s="38" t="n">
        <x:f>COUNTIFS('Mondes'!$E$7:$E$25,"P0")</x:f>
        <x:v>0</x:v>
      </x:c>
    </x:row>
    <x:row r="14" ht="22" customHeight="1">
      <x:c r="A14" s="33" t="str">
        <x:v>Zones</x:v>
      </x:c>
      <x:c r="B14" s="37" t="n">
        <x:f>COUNTA('Zones'!$A$7:$A$44)</x:f>
        <x:v>38</x:v>
      </x:c>
      <x:c r="C14" s="37" t="n">
        <x:f>COUNTIFS('Zones'!$C$7:$C$44,"Défini")</x:f>
        <x:v>38</x:v>
      </x:c>
      <x:c r="D14" s="37" t="n">
        <x:f>COUNTIFS('Zones'!$C$7:$C$44,"Prototype")</x:f>
        <x:v>0</x:v>
      </x:c>
      <x:c r="E14" s="37" t="n">
        <x:f>COUNTIFS('Zones'!$C$7:$C$44,"Intégré")</x:f>
        <x:v>0</x:v>
      </x:c>
      <x:c r="F14" s="37" t="n">
        <x:f>COUNTIFS('Zones'!$C$7:$C$44,"Validé")</x:f>
        <x:v>0</x:v>
      </x:c>
      <x:c r="G14" s="37" t="n">
        <x:f>COUNTIFS('Zones'!$D$7:$D$44,"Établi")</x:f>
        <x:v>38</x:v>
      </x:c>
      <x:c r="H14" s="37" t="n">
        <x:f>COUNTIFS('Zones'!$D$7:$D$44,"À vérifier")</x:f>
        <x:v>0</x:v>
      </x:c>
      <x:c r="I14" s="37" t="n">
        <x:f>COUNTIFS('Zones'!$D$7:$D$44,"Extrapolation")</x:f>
        <x:v>0</x:v>
      </x:c>
      <x:c r="J14" s="37" t="n">
        <x:f>COUNTIFS('Zones'!$D$7:$D$44,"Coupé attesté")</x:f>
        <x:v>0</x:v>
      </x:c>
      <x:c r="K14" s="37" t="n">
        <x:f>COUNTIFS('Zones'!$D$7:$D$44,"Concept abandonné")</x:f>
        <x:v>0</x:v>
      </x:c>
      <x:c r="L14" s="37" t="n">
        <x:f>COUNTIFS('Zones'!$D$7:$D$44,"Allégation écartée")</x:f>
        <x:v>0</x:v>
      </x:c>
      <x:c r="M14" s="37" t="n">
        <x:f>COUNTIFS('Zones'!$E$7:$E$44,"P0")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COUNTA('Decors'!$A$7:$A$24)</x:f>
        <x:v>18</x:v>
      </x:c>
      <x:c r="C16" s="37" t="n">
        <x:f>COUNTIFS('Decors'!$C$7:$C$24,"Défini")</x:f>
        <x:v>18</x:v>
      </x:c>
      <x:c r="D16" s="37" t="n">
        <x:f>COUNTIFS('Decors'!$C$7:$C$24,"Prototype")</x:f>
        <x:v>0</x:v>
      </x:c>
      <x:c r="E16" s="37" t="n">
        <x:f>COUNTIFS('Decors'!$C$7:$C$24,"Intégré")</x:f>
        <x:v>0</x:v>
      </x:c>
      <x:c r="F16" s="37" t="n">
        <x:f>COUNTIFS('Decors'!$C$7:$C$24,"Validé")</x:f>
        <x:v>0</x:v>
      </x:c>
      <x:c r="G16" s="37" t="n">
        <x:f>COUNTIFS('Decors'!$D$7:$D$24,"Établi")</x:f>
        <x:v>0</x:v>
      </x:c>
      <x:c r="H16" s="37" t="n">
        <x:f>COUNTIFS('Decors'!$D$7:$D$24,"À vérifier")</x:f>
        <x:v>0</x:v>
      </x:c>
      <x:c r="I16" s="37" t="n">
        <x:f>COUNTIFS('Decors'!$D$7:$D$24,"Extrapolation")</x:f>
        <x:v>18</x:v>
      </x:c>
      <x:c r="J16" s="37" t="n">
        <x:f>COUNTIFS('Decors'!$D$7:$D$24,"Coupé attesté")</x:f>
        <x:v>0</x:v>
      </x:c>
      <x:c r="K16" s="37" t="n">
        <x:f>COUNTIFS('Decors'!$D$7:$D$24,"Concept abandonné")</x:f>
        <x:v>0</x:v>
      </x:c>
      <x:c r="L16" s="37" t="n">
        <x:f>COUNTIFS('Decors'!$D$7:$D$24,"Allégation écartée")</x:f>
        <x:v>0</x:v>
      </x:c>
      <x:c r="M16" s="37" t="n">
        <x:f>COUNTIFS('Decors'!$E$7:$E$24,"P0")</x:f>
        <x:v>0</x:v>
      </x:c>
    </x:row>
    <x:row r="17" ht="22" customHeight="1">
      <x:c r="A17" s="2" t="str">
        <x:v>Props</x:v>
      </x:c>
      <x:c r="B17" s="38" t="n">
        <x:f>COUNTA('Props'!$A$7:$A$26)</x:f>
        <x:v>20</x:v>
      </x:c>
      <x:c r="C17" s="38" t="n">
        <x:f>COUNTIFS('Props'!$C$7:$C$26,"Défini")</x:f>
        <x:v>20</x:v>
      </x:c>
      <x:c r="D17" s="38" t="n">
        <x:f>COUNTIFS('Props'!$C$7:$C$26,"Prototype")</x:f>
        <x:v>0</x:v>
      </x:c>
      <x:c r="E17" s="38" t="n">
        <x:f>COUNTIFS('Props'!$C$7:$C$26,"Intégré")</x:f>
        <x:v>0</x:v>
      </x:c>
      <x:c r="F17" s="38" t="n">
        <x:f>COUNTIFS('Props'!$C$7:$C$26,"Validé")</x:f>
        <x:v>0</x:v>
      </x:c>
      <x:c r="G17" s="38" t="n">
        <x:f>COUNTIFS('Props'!$D$7:$D$26,"Établi")</x:f>
        <x:v>0</x:v>
      </x:c>
      <x:c r="H17" s="38" t="n">
        <x:f>COUNTIFS('Props'!$D$7:$D$26,"À vérifier")</x:f>
        <x:v>0</x:v>
      </x:c>
      <x:c r="I17" s="38" t="n">
        <x:f>COUNTIFS('Props'!$D$7:$D$26,"Extrapolation")</x:f>
        <x:v>20</x:v>
      </x:c>
      <x:c r="J17" s="38" t="n">
        <x:f>COUNTIFS('Props'!$D$7:$D$26,"Coupé attesté")</x:f>
        <x:v>0</x:v>
      </x:c>
      <x:c r="K17" s="38" t="n">
        <x:f>COUNTIFS('Props'!$D$7:$D$26,"Concept abandonné")</x:f>
        <x:v>0</x:v>
      </x:c>
      <x:c r="L17" s="38" t="n">
        <x:f>COUNTIFS('Props'!$D$7:$D$26,"Allégation écartée")</x:f>
        <x:v>0</x:v>
      </x:c>
      <x:c r="M17" s="38" t="n">
        <x:f>COUNTIFS('Props'!$E$7:$E$26,"P0")</x:f>
        <x:v>0</x:v>
      </x:c>
    </x:row>
    <x:row r="18" ht="22" customHeight="1">
      <x:c r="A18" s="33" t="str">
        <x:v>Ennemis et boss</x:v>
      </x:c>
      <x:c r="B18" s="37" t="n">
        <x:f>COUNTA('Ennemis_boss'!$A$7:$A$50)</x:f>
        <x:v>44</x:v>
      </x:c>
      <x:c r="C18" s="37" t="n">
        <x:f>COUNTIFS('Ennemis_boss'!$C$7:$C$50,"Défini")</x:f>
        <x:v>44</x:v>
      </x:c>
      <x:c r="D18" s="37" t="n">
        <x:f>COUNTIFS('Ennemis_boss'!$C$7:$C$50,"Prototype")</x:f>
        <x:v>0</x:v>
      </x:c>
      <x:c r="E18" s="37" t="n">
        <x:f>COUNTIFS('Ennemis_boss'!$C$7:$C$50,"Intégré")</x:f>
        <x:v>0</x:v>
      </x:c>
      <x:c r="F18" s="37" t="n">
        <x:f>COUNTIFS('Ennemis_boss'!$C$7:$C$50,"Validé")</x:f>
        <x:v>0</x:v>
      </x:c>
      <x:c r="G18" s="37" t="n">
        <x:f>COUNTIFS('Ennemis_boss'!$D$7:$D$50,"Établi")</x:f>
        <x:v>44</x:v>
      </x:c>
      <x:c r="H18" s="37" t="n">
        <x:f>COUNTIFS('Ennemis_boss'!$D$7:$D$50,"À vérifier")</x:f>
        <x:v>0</x:v>
      </x:c>
      <x:c r="I18" s="37" t="n">
        <x:f>COUNTIFS('Ennemis_boss'!$D$7:$D$50,"Extrapolation")</x:f>
        <x:v>0</x:v>
      </x:c>
      <x:c r="J18" s="37" t="n">
        <x:f>COUNTIFS('Ennemis_boss'!$D$7:$D$50,"Coupé attesté")</x:f>
        <x:v>0</x:v>
      </x:c>
      <x:c r="K18" s="37" t="n">
        <x:f>COUNTIFS('Ennemis_boss'!$D$7:$D$50,"Concept abandonné")</x:f>
        <x:v>0</x:v>
      </x:c>
      <x:c r="L18" s="37" t="n">
        <x:f>COUNTIFS('Ennemis_boss'!$D$7:$D$50,"Allégation écartée")</x:f>
        <x:v>0</x:v>
      </x:c>
      <x:c r="M18" s="37" t="n">
        <x:f>COUNTIFS('Ennemis_boss'!$E$7:$E$50,"P0")</x:f>
        <x:v>0</x:v>
      </x:c>
    </x:row>
    <x:row r="19" ht="22" customHeight="1">
      <x:c r="A19" s="2" t="str">
        <x:v>Missions</x:v>
      </x:c>
      <x:c r="B19" s="38" t="n">
        <x:f>COUNTA('Missions'!$A$7:$A$45)</x:f>
        <x:v>39</x:v>
      </x:c>
      <x:c r="C19" s="38" t="n">
        <x:f>COUNTIFS('Missions'!$C$7:$C$45,"Défini")</x:f>
        <x:v>39</x:v>
      </x:c>
      <x:c r="D19" s="38" t="n">
        <x:f>COUNTIFS('Missions'!$C$7:$C$45,"Prototype")</x:f>
        <x:v>0</x:v>
      </x:c>
      <x:c r="E19" s="38" t="n">
        <x:f>COUNTIFS('Missions'!$C$7:$C$45,"Intégré")</x:f>
        <x:v>0</x:v>
      </x:c>
      <x:c r="F19" s="38" t="n">
        <x:f>COUNTIFS('Missions'!$C$7:$C$45,"Validé")</x:f>
        <x:v>0</x:v>
      </x:c>
      <x:c r="G19" s="38" t="n">
        <x:f>COUNTIFS('Missions'!$D$7:$D$45,"Établi")</x:f>
        <x:v>39</x:v>
      </x:c>
      <x:c r="H19" s="38" t="n">
        <x:f>COUNTIFS('Missions'!$D$7:$D$45,"À vérifier")</x:f>
        <x:v>0</x:v>
      </x:c>
      <x:c r="I19" s="38" t="n">
        <x:f>COUNTIFS('Missions'!$D$7:$D$45,"Extrapolation")</x:f>
        <x:v>0</x:v>
      </x:c>
      <x:c r="J19" s="38" t="n">
        <x:f>COUNTIFS('Missions'!$D$7:$D$45,"Coupé attesté")</x:f>
        <x:v>0</x:v>
      </x:c>
      <x:c r="K19" s="38" t="n">
        <x:f>COUNTIFS('Missions'!$D$7:$D$45,"Concept abandonné")</x:f>
        <x:v>0</x:v>
      </x:c>
      <x:c r="L19" s="38" t="n">
        <x:f>COUNTIFS('Missions'!$D$7:$D$45,"Allégation écartée")</x:f>
        <x:v>0</x:v>
      </x:c>
      <x:c r="M19" s="38" t="n">
        <x:f>COUNTIFS('Missions'!$E$7:$E$45,"P0")</x:f>
        <x:v>39</x:v>
      </x:c>
    </x:row>
    <x:row r="20" ht="22" customHeight="1">
      <x:c r="A20" s="33" t="str">
        <x:v>Secondaires et DLC</x:v>
      </x:c>
      <x:c r="B20" s="37" t="n">
        <x:f>COUNTA('Secondaires_DLC'!$A$7:$A$59)</x:f>
        <x:v>53</x:v>
      </x:c>
      <x:c r="C20" s="37" t="n">
        <x:f>COUNTIFS('Secondaires_DLC'!$C$7:$C$59,"Défini")</x:f>
        <x:v>53</x:v>
      </x:c>
      <x:c r="D20" s="37" t="n">
        <x:f>COUNTIFS('Secondaires_DLC'!$C$7:$C$59,"Prototype")</x:f>
        <x:v>0</x:v>
      </x:c>
      <x:c r="E20" s="37" t="n">
        <x:f>COUNTIFS('Secondaires_DLC'!$C$7:$C$59,"Intégré")</x:f>
        <x:v>0</x:v>
      </x:c>
      <x:c r="F20" s="37" t="n">
        <x:f>COUNTIFS('Secondaires_DLC'!$C$7:$C$59,"Validé")</x:f>
        <x:v>0</x:v>
      </x:c>
      <x:c r="G20" s="37" t="n">
        <x:f>COUNTIFS('Secondaires_DLC'!$D$7:$D$59,"Établi")</x:f>
        <x:v>53</x:v>
      </x:c>
      <x:c r="H20" s="37" t="n">
        <x:f>COUNTIFS('Secondaires_DLC'!$D$7:$D$59,"À vérifier")</x:f>
        <x:v>0</x:v>
      </x:c>
      <x:c r="I20" s="37" t="n">
        <x:f>COUNTIFS('Secondaires_DLC'!$D$7:$D$59,"Extrapolation")</x:f>
        <x:v>0</x:v>
      </x:c>
      <x:c r="J20" s="37" t="n">
        <x:f>COUNTIFS('Secondaires_DLC'!$D$7:$D$59,"Coupé attesté")</x:f>
        <x:v>0</x:v>
      </x:c>
      <x:c r="K20" s="37" t="n">
        <x:f>COUNTIFS('Secondaires_DLC'!$D$7:$D$59,"Concept abandonné")</x:f>
        <x:v>0</x:v>
      </x:c>
      <x:c r="L20" s="37" t="n">
        <x:f>COUNTIFS('Secondaires_DLC'!$D$7:$D$59,"Allégation écartée")</x:f>
        <x:v>0</x:v>
      </x:c>
      <x:c r="M20" s="37" t="n">
        <x:f>COUNTIFS('Secondaires_DLC'!$E$7:$E$59,"P0")</x:f>
        <x:v>0</x:v>
      </x:c>
    </x:row>
    <x:row r="21" ht="22" customHeight="1">
      <x:c r="A21" s="2" t="str">
        <x:v>Choix et relations</x:v>
      </x:c>
      <x:c r="B21" s="38" t="n">
        <x:f>COUNTA('Choix_relations'!$A$7:$A$32)</x:f>
        <x:v>26</x:v>
      </x:c>
      <x:c r="C21" s="38" t="n">
        <x:f>COUNTIFS('Choix_relations'!$C$7:$C$32,"Défini")</x:f>
        <x:v>26</x:v>
      </x:c>
      <x:c r="D21" s="38" t="n">
        <x:f>COUNTIFS('Choix_relations'!$C$7:$C$32,"Prototype")</x:f>
        <x:v>0</x:v>
      </x:c>
      <x:c r="E21" s="38" t="n">
        <x:f>COUNTIFS('Choix_relations'!$C$7:$C$32,"Intégré")</x:f>
        <x:v>0</x:v>
      </x:c>
      <x:c r="F21" s="38" t="n">
        <x:f>COUNTIFS('Choix_relations'!$C$7:$C$32,"Validé")</x:f>
        <x:v>0</x:v>
      </x:c>
      <x:c r="G21" s="38" t="n">
        <x:f>COUNTIFS('Choix_relations'!$D$7:$D$32,"Établi")</x:f>
        <x:v>26</x:v>
      </x:c>
      <x:c r="H21" s="38" t="n">
        <x:f>COUNTIFS('Choix_relations'!$D$7:$D$32,"À vérifier")</x:f>
        <x:v>0</x:v>
      </x:c>
      <x:c r="I21" s="38" t="n">
        <x:f>COUNTIFS('Choix_relations'!$D$7:$D$32,"Extrapolation")</x:f>
        <x:v>0</x:v>
      </x:c>
      <x:c r="J21" s="38" t="n">
        <x:f>COUNTIFS('Choix_relations'!$D$7:$D$32,"Coupé attesté")</x:f>
        <x:v>0</x:v>
      </x:c>
      <x:c r="K21" s="38" t="n">
        <x:f>COUNTIFS('Choix_relations'!$D$7:$D$32,"Concept abandonné")</x:f>
        <x:v>0</x:v>
      </x:c>
      <x:c r="L21" s="38" t="n">
        <x:f>COUNTIFS('Choix_relations'!$D$7:$D$32,"Allégation écartée")</x:f>
        <x:v>0</x:v>
      </x:c>
      <x:c r="M21" s="38" t="n">
        <x:f>COUNTIFS('Choix_relations'!$E$7:$E$32,"P0")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COUNTA('Cinematiques'!$A$7:$A$16)</x:f>
        <x:v>10</x:v>
      </x:c>
      <x:c r="C23" s="38" t="n">
        <x:f>COUNTIFS('Cinematiques'!$C$7:$C$16,"Défini")</x:f>
        <x:v>10</x:v>
      </x:c>
      <x:c r="D23" s="38" t="n">
        <x:f>COUNTIFS('Cinematiques'!$C$7:$C$16,"Prototype")</x:f>
        <x:v>0</x:v>
      </x:c>
      <x:c r="E23" s="38" t="n">
        <x:f>COUNTIFS('Cinematiques'!$C$7:$C$16,"Intégré")</x:f>
        <x:v>0</x:v>
      </x:c>
      <x:c r="F23" s="38" t="n">
        <x:f>COUNTIFS('Cinematiques'!$C$7:$C$16,"Validé")</x:f>
        <x:v>0</x:v>
      </x:c>
      <x:c r="G23" s="38" t="n">
        <x:f>COUNTIFS('Cinematiques'!$D$7:$D$16,"Établi")</x:f>
        <x:v>0</x:v>
      </x:c>
      <x:c r="H23" s="38" t="n">
        <x:f>COUNTIFS('Cinematiques'!$D$7:$D$16,"À vérifier")</x:f>
        <x:v>0</x:v>
      </x:c>
      <x:c r="I23" s="38" t="n">
        <x:f>COUNTIFS('Cinematiques'!$D$7:$D$16,"Extrapolation")</x:f>
        <x:v>10</x:v>
      </x:c>
      <x:c r="J23" s="38" t="n">
        <x:f>COUNTIFS('Cinematiques'!$D$7:$D$16,"Coupé attesté")</x:f>
        <x:v>0</x:v>
      </x:c>
      <x:c r="K23" s="38" t="n">
        <x:f>COUNTIFS('Cinematiques'!$D$7:$D$16,"Concept abandonné")</x:f>
        <x:v>0</x:v>
      </x:c>
      <x:c r="L23" s="38" t="n">
        <x:f>COUNTIFS('Cinematiques'!$D$7:$D$16,"Allégation écartée")</x:f>
        <x:v>0</x:v>
      </x:c>
      <x:c r="M23" s="38" t="n">
        <x:f>COUNTIFS('Cinematiques'!$E$7:$E$16,"P0")</x:f>
        <x:v>0</x:v>
      </x:c>
    </x:row>
    <x:row r="24" ht="22" customHeight="1">
      <x:c r="A24" s="33" t="str">
        <x:v>Armes</x:v>
      </x:c>
      <x:c r="B24" s="37" t="n">
        <x:f>COUNTA('Armes'!$A$7:$A$35)</x:f>
        <x:v>29</x:v>
      </x:c>
      <x:c r="C24" s="37" t="n">
        <x:f>COUNTIFS('Armes'!$C$7:$C$35,"Défini")</x:f>
        <x:v>19</x:v>
      </x:c>
      <x:c r="D24" s="37" t="n">
        <x:f>COUNTIFS('Armes'!$C$7:$C$35,"Prototype")</x:f>
        <x:v>10</x:v>
      </x:c>
      <x:c r="E24" s="37" t="n">
        <x:f>COUNTIFS('Armes'!$C$7:$C$35,"Intégré")</x:f>
        <x:v>0</x:v>
      </x:c>
      <x:c r="F24" s="37" t="n">
        <x:f>COUNTIFS('Armes'!$C$7:$C$35,"Validé")</x:f>
        <x:v>0</x:v>
      </x:c>
      <x:c r="G24" s="37" t="n">
        <x:f>COUNTIFS('Armes'!$D$7:$D$35,"Établi")</x:f>
        <x:v>29</x:v>
      </x:c>
      <x:c r="H24" s="37" t="n">
        <x:f>COUNTIFS('Armes'!$D$7:$D$35,"À vérifier")</x:f>
        <x:v>0</x:v>
      </x:c>
      <x:c r="I24" s="37" t="n">
        <x:f>COUNTIFS('Armes'!$D$7:$D$35,"Extrapolation")</x:f>
        <x:v>0</x:v>
      </x:c>
      <x:c r="J24" s="37" t="n">
        <x:f>COUNTIFS('Armes'!$D$7:$D$35,"Coupé attesté")</x:f>
        <x:v>0</x:v>
      </x:c>
      <x:c r="K24" s="37" t="n">
        <x:f>COUNTIFS('Armes'!$D$7:$D$35,"Concept abandonné")</x:f>
        <x:v>0</x:v>
      </x:c>
      <x:c r="L24" s="37" t="n">
        <x:f>COUNTIFS('Armes'!$D$7:$D$35,"Allégation écartée")</x:f>
        <x:v>0</x:v>
      </x:c>
      <x:c r="M24" s="37" t="n">
        <x:f>COUNTIFS('Armes'!$E$7:$E$35,"P0")</x:f>
        <x:v>0</x:v>
      </x:c>
    </x:row>
    <x:row r="25" ht="22" customHeight="1">
      <x:c r="A25" s="2" t="str">
        <x:v>Armures et équipement</x:v>
      </x:c>
      <x:c r="B25" s="38" t="n">
        <x:f>COUNTA('Armures_equipement'!$A$7:$A$26)</x:f>
        <x:v>20</x:v>
      </x:c>
      <x:c r="C25" s="38" t="n">
        <x:f>COUNTIFS('Armures_equipement'!$C$7:$C$26,"Défini")</x:f>
        <x:v>19</x:v>
      </x:c>
      <x:c r="D25" s="38" t="n">
        <x:f>COUNTIFS('Armures_equipement'!$C$7:$C$26,"Prototype")</x:f>
        <x:v>1</x:v>
      </x:c>
      <x:c r="E25" s="38" t="n">
        <x:f>COUNTIFS('Armures_equipement'!$C$7:$C$26,"Intégré")</x:f>
        <x:v>0</x:v>
      </x:c>
      <x:c r="F25" s="38" t="n">
        <x:f>COUNTIFS('Armures_equipement'!$C$7:$C$26,"Validé")</x:f>
        <x:v>0</x:v>
      </x:c>
      <x:c r="G25" s="38" t="n">
        <x:f>COUNTIFS('Armures_equipement'!$D$7:$D$26,"Établi")</x:f>
        <x:v>20</x:v>
      </x:c>
      <x:c r="H25" s="38" t="n">
        <x:f>COUNTIFS('Armures_equipement'!$D$7:$D$26,"À vérifier")</x:f>
        <x:v>0</x:v>
      </x:c>
      <x:c r="I25" s="38" t="n">
        <x:f>COUNTIFS('Armures_equipement'!$D$7:$D$26,"Extrapolation")</x:f>
        <x:v>0</x:v>
      </x:c>
      <x:c r="J25" s="38" t="n">
        <x:f>COUNTIFS('Armures_equipement'!$D$7:$D$26,"Coupé attesté")</x:f>
        <x:v>0</x:v>
      </x:c>
      <x:c r="K25" s="38" t="n">
        <x:f>COUNTIFS('Armures_equipement'!$D$7:$D$26,"Concept abandonné")</x:f>
        <x:v>0</x:v>
      </x:c>
      <x:c r="L25" s="38" t="n">
        <x:f>COUNTIFS('Armures_equipement'!$D$7:$D$26,"Allégation écartée")</x:f>
        <x:v>0</x:v>
      </x:c>
      <x:c r="M25" s="38" t="n">
        <x:f>COUNTIFS('Armures_equipement'!$E$7:$E$26,"P0")</x:f>
        <x:v>0</x:v>
      </x:c>
    </x:row>
    <x:row r="26" ht="22" customHeight="1">
      <x:c r="A26" s="33" t="str">
        <x:v>Pouvoirs</x:v>
      </x:c>
      <x:c r="B26" s="37" t="n">
        <x:f>COUNTA('Pouvoirs'!$A$7:$A$40)</x:f>
        <x:v>34</x:v>
      </x:c>
      <x:c r="C26" s="37" t="n">
        <x:f>COUNTIFS('Pouvoirs'!$C$7:$C$40,"Défini")</x:f>
        <x:v>17</x:v>
      </x:c>
      <x:c r="D26" s="37" t="n">
        <x:f>COUNTIFS('Pouvoirs'!$C$7:$C$40,"Prototype")</x:f>
        <x:v>17</x:v>
      </x:c>
      <x:c r="E26" s="37" t="n">
        <x:f>COUNTIFS('Pouvoirs'!$C$7:$C$40,"Intégré")</x:f>
        <x:v>0</x:v>
      </x:c>
      <x:c r="F26" s="37" t="n">
        <x:f>COUNTIFS('Pouvoirs'!$C$7:$C$40,"Validé")</x:f>
        <x:v>0</x:v>
      </x:c>
      <x:c r="G26" s="37" t="n">
        <x:f>COUNTIFS('Pouvoirs'!$D$7:$D$40,"Établi")</x:f>
        <x:v>34</x:v>
      </x:c>
      <x:c r="H26" s="37" t="n">
        <x:f>COUNTIFS('Pouvoirs'!$D$7:$D$40,"À vérifier")</x:f>
        <x:v>0</x:v>
      </x:c>
      <x:c r="I26" s="37" t="n">
        <x:f>COUNTIFS('Pouvoirs'!$D$7:$D$40,"Extrapolation")</x:f>
        <x:v>0</x:v>
      </x:c>
      <x:c r="J26" s="37" t="n">
        <x:f>COUNTIFS('Pouvoirs'!$D$7:$D$40,"Coupé attesté")</x:f>
        <x:v>0</x:v>
      </x:c>
      <x:c r="K26" s="37" t="n">
        <x:f>COUNTIFS('Pouvoirs'!$D$7:$D$40,"Concept abandonné")</x:f>
        <x:v>0</x:v>
      </x:c>
      <x:c r="L26" s="37" t="n">
        <x:f>COUNTIFS('Pouvoirs'!$D$7:$D$40,"Allégation écartée")</x:f>
        <x:v>0</x:v>
      </x:c>
      <x:c r="M26" s="37" t="n">
        <x:f>COUNTIFS('Pouvoirs'!$E$7:$E$40,"P0")</x:f>
        <x:v>0</x:v>
      </x:c>
    </x:row>
    <x:row r="27" ht="22" customHeight="1">
      <x:c r="A27" s="2" t="str">
        <x:v>Movesets alliés</x:v>
      </x:c>
      <x:c r="B27" s="38" t="n">
        <x:f>COUNTA('Movesets_allies'!$A$7:$A$22)</x:f>
        <x:v>16</x:v>
      </x:c>
      <x:c r="C27" s="38" t="n">
        <x:f>COUNTIFS('Movesets_allies'!$C$7:$C$22,"Défini")</x:f>
        <x:v>16</x:v>
      </x:c>
      <x:c r="D27" s="38" t="n">
        <x:f>COUNTIFS('Movesets_allies'!$C$7:$C$22,"Prototype")</x:f>
        <x:v>0</x:v>
      </x:c>
      <x:c r="E27" s="38" t="n">
        <x:f>COUNTIFS('Movesets_allies'!$C$7:$C$22,"Intégré")</x:f>
        <x:v>0</x:v>
      </x:c>
      <x:c r="F27" s="38" t="n">
        <x:f>COUNTIFS('Movesets_allies'!$C$7:$C$22,"Validé")</x:f>
        <x:v>0</x:v>
      </x:c>
      <x:c r="G27" s="38" t="n">
        <x:f>COUNTIFS('Movesets_allies'!$D$7:$D$22,"Établi")</x:f>
        <x:v>0</x:v>
      </x:c>
      <x:c r="H27" s="38" t="n">
        <x:f>COUNTIFS('Movesets_allies'!$D$7:$D$22,"À vérifier")</x:f>
        <x:v>0</x:v>
      </x:c>
      <x:c r="I27" s="38" t="n">
        <x:f>COUNTIFS('Movesets_allies'!$D$7:$D$22,"Extrapolation")</x:f>
        <x:v>16</x:v>
      </x:c>
      <x:c r="J27" s="38" t="n">
        <x:f>COUNTIFS('Movesets_allies'!$D$7:$D$22,"Coupé attesté")</x:f>
        <x:v>0</x:v>
      </x:c>
      <x:c r="K27" s="38" t="n">
        <x:f>COUNTIFS('Movesets_allies'!$D$7:$D$22,"Concept abandonné")</x:f>
        <x:v>0</x:v>
      </x:c>
      <x:c r="L27" s="38" t="n">
        <x:f>COUNTIFS('Movesets_allies'!$D$7:$D$22,"Allégation écartée")</x:f>
        <x:v>0</x:v>
      </x:c>
      <x:c r="M27" s="38" t="n">
        <x:f>COUNTIFS('Movesets_allies'!$E$7:$E$22,"P0")</x:f>
        <x:v>0</x:v>
      </x:c>
    </x:row>
    <x:row r="28" ht="22" customHeight="1">
      <x:c r="A28" s="33" t="str">
        <x:v>Movesets ennemis</x:v>
      </x:c>
      <x:c r="B28" s="37" t="n">
        <x:f>COUNTA('Movesets_ennemis'!$A$7:$A$50)</x:f>
        <x:v>44</x:v>
      </x:c>
      <x:c r="C28" s="37" t="n">
        <x:f>COUNTIFS('Movesets_ennemis'!$C$7:$C$50,"Défini")</x:f>
        <x:v>44</x:v>
      </x:c>
      <x:c r="D28" s="37" t="n">
        <x:f>COUNTIFS('Movesets_ennemis'!$C$7:$C$50,"Prototype")</x:f>
        <x:v>0</x:v>
      </x:c>
      <x:c r="E28" s="37" t="n">
        <x:f>COUNTIFS('Movesets_ennemis'!$C$7:$C$50,"Intégré")</x:f>
        <x:v>0</x:v>
      </x:c>
      <x:c r="F28" s="37" t="n">
        <x:f>COUNTIFS('Movesets_ennemis'!$C$7:$C$50,"Validé")</x:f>
        <x:v>0</x:v>
      </x:c>
      <x:c r="G28" s="37" t="n">
        <x:f>COUNTIFS('Movesets_ennemis'!$D$7:$D$50,"Établi")</x:f>
        <x:v>0</x:v>
      </x:c>
      <x:c r="H28" s="37" t="n">
        <x:f>COUNTIFS('Movesets_ennemis'!$D$7:$D$50,"À vérifier")</x:f>
        <x:v>0</x:v>
      </x:c>
      <x:c r="I28" s="37" t="n">
        <x:f>COUNTIFS('Movesets_ennemis'!$D$7:$D$50,"Extrapolation")</x:f>
        <x:v>44</x:v>
      </x:c>
      <x:c r="J28" s="37" t="n">
        <x:f>COUNTIFS('Movesets_ennemis'!$D$7:$D$50,"Coupé attesté")</x:f>
        <x:v>0</x:v>
      </x:c>
      <x:c r="K28" s="37" t="n">
        <x:f>COUNTIFS('Movesets_ennemis'!$D$7:$D$50,"Concept abandonné")</x:f>
        <x:v>0</x:v>
      </x:c>
      <x:c r="L28" s="37" t="n">
        <x:f>COUNTIFS('Movesets_ennemis'!$D$7:$D$50,"Allégation écartée")</x:f>
        <x:v>0</x:v>
      </x:c>
      <x:c r="M28" s="37" t="n">
        <x:f>COUNTIFS('Movesets_ennemis'!$E$7:$E$50,"P0")</x:f>
        <x:v>0</x:v>
      </x:c>
    </x:row>
    <x:row r="29" ht="22" customHeight="1">
      <x:c r="A29" s="2" t="str">
        <x:v>Animations</x:v>
      </x:c>
      <x:c r="B29" s="38" t="n">
        <x:f>COUNTA('Animations'!$A$7:$A$26)</x:f>
        <x:v>20</x:v>
      </x:c>
      <x:c r="C29" s="38" t="n">
        <x:f>COUNTIFS('Animations'!$C$7:$C$26,"Défini")</x:f>
        <x:v>20</x:v>
      </x:c>
      <x:c r="D29" s="38" t="n">
        <x:f>COUNTIFS('Animations'!$C$7:$C$26,"Prototype")</x:f>
        <x:v>0</x:v>
      </x:c>
      <x:c r="E29" s="38" t="n">
        <x:f>COUNTIFS('Animations'!$C$7:$C$26,"Intégré")</x:f>
        <x:v>0</x:v>
      </x:c>
      <x:c r="F29" s="38" t="n">
        <x:f>COUNTIFS('Animations'!$C$7:$C$26,"Validé")</x:f>
        <x:v>0</x:v>
      </x:c>
      <x:c r="G29" s="38" t="n">
        <x:f>COUNTIFS('Animations'!$D$7:$D$26,"Établi")</x:f>
        <x:v>0</x:v>
      </x:c>
      <x:c r="H29" s="38" t="n">
        <x:f>COUNTIFS('Animations'!$D$7:$D$26,"À vérifier")</x:f>
        <x:v>0</x:v>
      </x:c>
      <x:c r="I29" s="38" t="n">
        <x:f>COUNTIFS('Animations'!$D$7:$D$26,"Extrapolation")</x:f>
        <x:v>20</x:v>
      </x:c>
      <x:c r="J29" s="38" t="n">
        <x:f>COUNTIFS('Animations'!$D$7:$D$26,"Coupé attesté")</x:f>
        <x:v>0</x:v>
      </x:c>
      <x:c r="K29" s="38" t="n">
        <x:f>COUNTIFS('Animations'!$D$7:$D$26,"Concept abandonné")</x:f>
        <x:v>0</x:v>
      </x:c>
      <x:c r="L29" s="38" t="n">
        <x:f>COUNTIFS('Animations'!$D$7:$D$26,"Allégation écartée")</x:f>
        <x:v>0</x:v>
      </x:c>
      <x:c r="M29" s="38" t="n">
        <x:f>COUNTIFS('Animations'!$E$7:$E$26,"P0")</x:f>
        <x:v>0</x:v>
      </x:c>
    </x:row>
    <x:row r="30" ht="22" customHeight="1">
      <x:c r="A30" s="33" t="str">
        <x:v>Sprites</x:v>
      </x:c>
      <x:c r="B30" s="37" t="n">
        <x:f>COUNTA('Sprites'!$A$7:$A$66)</x:f>
        <x:v>60</x:v>
      </x:c>
      <x:c r="C30" s="37" t="n">
        <x:f>COUNTIFS('Sprites'!$C$7:$C$66,"Défini")</x:f>
        <x:v>60</x:v>
      </x:c>
      <x:c r="D30" s="37" t="n">
        <x:f>COUNTIFS('Sprites'!$C$7:$C$66,"Prototype")</x:f>
        <x:v>0</x:v>
      </x:c>
      <x:c r="E30" s="37" t="n">
        <x:f>COUNTIFS('Sprites'!$C$7:$C$66,"Intégré")</x:f>
        <x:v>0</x:v>
      </x:c>
      <x:c r="F30" s="37" t="n">
        <x:f>COUNTIFS('Sprites'!$C$7:$C$66,"Validé")</x:f>
        <x:v>0</x:v>
      </x:c>
      <x:c r="G30" s="37" t="n">
        <x:f>COUNTIFS('Sprites'!$D$7:$D$66,"Établi")</x:f>
        <x:v>0</x:v>
      </x:c>
      <x:c r="H30" s="37" t="n">
        <x:f>COUNTIFS('Sprites'!$D$7:$D$66,"À vérifier")</x:f>
        <x:v>0</x:v>
      </x:c>
      <x:c r="I30" s="37" t="n">
        <x:f>COUNTIFS('Sprites'!$D$7:$D$66,"Extrapolation")</x:f>
        <x:v>60</x:v>
      </x:c>
      <x:c r="J30" s="37" t="n">
        <x:f>COUNTIFS('Sprites'!$D$7:$D$66,"Coupé attesté")</x:f>
        <x:v>0</x:v>
      </x:c>
      <x:c r="K30" s="37" t="n">
        <x:f>COUNTIFS('Sprites'!$D$7:$D$66,"Concept abandonné")</x:f>
        <x:v>0</x:v>
      </x:c>
      <x:c r="L30" s="37" t="n">
        <x:f>COUNTIFS('Sprites'!$D$7:$D$66,"Allégation écartée")</x:f>
        <x:v>0</x:v>
      </x:c>
      <x:c r="M30" s="37" t="n">
        <x:f>COUNTIFS('Sprites'!$E$7:$E$66,"P0")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COUNTA('Audio'!$A$7:$A$21)</x:f>
        <x:v>15</x:v>
      </x:c>
      <x:c r="C32" s="37" t="n">
        <x:f>COUNTIFS('Audio'!$C$7:$C$21,"Défini")</x:f>
        <x:v>15</x:v>
      </x:c>
      <x:c r="D32" s="37" t="n">
        <x:f>COUNTIFS('Audio'!$C$7:$C$21,"Prototype")</x:f>
        <x:v>0</x:v>
      </x:c>
      <x:c r="E32" s="37" t="n">
        <x:f>COUNTIFS('Audio'!$C$7:$C$21,"Intégré")</x:f>
        <x:v>0</x:v>
      </x:c>
      <x:c r="F32" s="37" t="n">
        <x:f>COUNTIFS('Audio'!$C$7:$C$21,"Validé")</x:f>
        <x:v>0</x:v>
      </x:c>
      <x:c r="G32" s="37" t="n">
        <x:f>COUNTIFS('Audio'!$D$7:$D$21,"Établi")</x:f>
        <x:v>0</x:v>
      </x:c>
      <x:c r="H32" s="37" t="n">
        <x:f>COUNTIFS('Audio'!$D$7:$D$21,"À vérifier")</x:f>
        <x:v>0</x:v>
      </x:c>
      <x:c r="I32" s="37" t="n">
        <x:f>COUNTIFS('Audio'!$D$7:$D$21,"Extrapolation")</x:f>
        <x:v>15</x:v>
      </x:c>
      <x:c r="J32" s="37" t="n">
        <x:f>COUNTIFS('Audio'!$D$7:$D$21,"Coupé attesté")</x:f>
        <x:v>0</x:v>
      </x:c>
      <x:c r="K32" s="37" t="n">
        <x:f>COUNTIFS('Audio'!$D$7:$D$21,"Concept abandonné")</x:f>
        <x:v>0</x:v>
      </x:c>
      <x:c r="L32" s="37" t="n">
        <x:f>COUNTIFS('Audio'!$D$7:$D$21,"Allégation écartée")</x:f>
        <x:v>0</x:v>
      </x:c>
      <x:c r="M32" s="37" t="n">
        <x:f>COUNTIFS('Audio'!$E$7:$E$21,"P0")</x:f>
        <x:v>0</x:v>
      </x:c>
    </x:row>
    <x:row r="33" ht="22" customHeight="1">
      <x:c r="A33" s="2" t="str">
        <x:v>Systèmes et UI</x:v>
      </x:c>
      <x:c r="B33" s="38" t="n">
        <x:f>COUNTA('UI_systemes'!$A$7:$A$26)</x:f>
        <x:v>20</x:v>
      </x:c>
      <x:c r="C33" s="38" t="n">
        <x:f>COUNTIFS('UI_systemes'!$C$7:$C$26,"Défini")</x:f>
        <x:v>20</x:v>
      </x:c>
      <x:c r="D33" s="38" t="n">
        <x:f>COUNTIFS('UI_systemes'!$C$7:$C$26,"Prototype")</x:f>
        <x:v>0</x:v>
      </x:c>
      <x:c r="E33" s="38" t="n">
        <x:f>COUNTIFS('UI_systemes'!$C$7:$C$26,"Intégré")</x:f>
        <x:v>0</x:v>
      </x:c>
      <x:c r="F33" s="38" t="n">
        <x:f>COUNTIFS('UI_systemes'!$C$7:$C$26,"Validé")</x:f>
        <x:v>0</x:v>
      </x:c>
      <x:c r="G33" s="38" t="n">
        <x:f>COUNTIFS('UI_systemes'!$D$7:$D$26,"Établi")</x:f>
        <x:v>0</x:v>
      </x:c>
      <x:c r="H33" s="38" t="n">
        <x:f>COUNTIFS('UI_systemes'!$D$7:$D$26,"À vérifier")</x:f>
        <x:v>0</x:v>
      </x:c>
      <x:c r="I33" s="38" t="n">
        <x:f>COUNTIFS('UI_systemes'!$D$7:$D$26,"Extrapolation")</x:f>
        <x:v>20</x:v>
      </x:c>
      <x:c r="J33" s="38" t="n">
        <x:f>COUNTIFS('UI_systemes'!$D$7:$D$26,"Coupé attesté")</x:f>
        <x:v>0</x:v>
      </x:c>
      <x:c r="K33" s="38" t="n">
        <x:f>COUNTIFS('UI_systemes'!$D$7:$D$26,"Concept abandonné")</x:f>
        <x:v>0</x:v>
      </x:c>
      <x:c r="L33" s="38" t="n">
        <x:f>COUNTIFS('UI_systemes'!$D$7:$D$26,"Allégation écartée")</x:f>
        <x:v>0</x:v>
      </x:c>
      <x:c r="M33" s="38" t="n">
        <x:f>COUNTIFS('UI_systemes'!$E$7:$E$26,"P0")</x:f>
        <x:v>20</x:v>
      </x:c>
    </x:row>
    <x:row r="34" ht="22" customHeight="1">
      <x:c r="A34" s="33" t="str">
        <x:v>QA</x:v>
      </x:c>
      <x:c r="B34" s="37" t="n">
        <x:f>COUNTA('QA'!$A$7:$A$26)</x:f>
        <x:v>20</x:v>
      </x:c>
      <x:c r="C34" s="37" t="n">
        <x:f>COUNTIFS('QA'!$C$7:$C$26,"Défini")</x:f>
        <x:v>20</x:v>
      </x:c>
      <x:c r="D34" s="37" t="n">
        <x:f>COUNTIFS('QA'!$C$7:$C$26,"Prototype")</x:f>
        <x:v>0</x:v>
      </x:c>
      <x:c r="E34" s="37" t="n">
        <x:f>COUNTIFS('QA'!$C$7:$C$26,"Intégré")</x:f>
        <x:v>0</x:v>
      </x:c>
      <x:c r="F34" s="37" t="n">
        <x:f>COUNTIFS('QA'!$C$7:$C$26,"Validé")</x:f>
        <x:v>0</x:v>
      </x:c>
      <x:c r="G34" s="37" t="n">
        <x:f>COUNTIFS('QA'!$D$7:$D$26,"Établi")</x:f>
        <x:v>0</x:v>
      </x:c>
      <x:c r="H34" s="37" t="n">
        <x:f>COUNTIFS('QA'!$D$7:$D$26,"À vérifier")</x:f>
        <x:v>0</x:v>
      </x:c>
      <x:c r="I34" s="37" t="n">
        <x:f>COUNTIFS('QA'!$D$7:$D$26,"Extrapolation")</x:f>
        <x:v>20</x:v>
      </x:c>
      <x:c r="J34" s="37" t="n">
        <x:f>COUNTIFS('QA'!$D$7:$D$26,"Coupé attesté")</x:f>
        <x:v>0</x:v>
      </x:c>
      <x:c r="K34" s="37" t="n">
        <x:f>COUNTIFS('QA'!$D$7:$D$26,"Concept abandonné")</x:f>
        <x:v>0</x:v>
      </x:c>
      <x:c r="L34" s="37" t="n">
        <x:f>COUNTIFS('QA'!$D$7:$D$26,"Allégation écartée")</x:f>
        <x:v>0</x:v>
      </x:c>
      <x:c r="M34" s="37" t="n">
        <x:f>COUNTIFS('QA'!$E$7:$E$26,"P0")</x:f>
        <x:v>0</x:v>
      </x:c>
    </x:row>
    <x:row r="35" ht="22" customHeight="1">
      <x:c r="A35" s="2" t="str">
        <x:v>Continuité</x:v>
      </x:c>
      <x:c r="B35" s="38" t="n">
        <x:f>COUNTA('Continuite'!$A$7:$A$18)</x:f>
        <x:v>12</x:v>
      </x:c>
      <x:c r="C35" s="38" t="n">
        <x:f>COUNTIFS('Continuite'!$C$7:$C$18,"Défini")</x:f>
        <x:v>12</x:v>
      </x:c>
      <x:c r="D35" s="38" t="n">
        <x:f>COUNTIFS('Continuite'!$C$7:$C$18,"Prototype")</x:f>
        <x:v>0</x:v>
      </x:c>
      <x:c r="E35" s="38" t="n">
        <x:f>COUNTIFS('Continuite'!$C$7:$C$18,"Intégré")</x:f>
        <x:v>0</x:v>
      </x:c>
      <x:c r="F35" s="38" t="n">
        <x:f>COUNTIFS('Continuite'!$C$7:$C$18,"Validé")</x:f>
        <x:v>0</x:v>
      </x:c>
      <x:c r="G35" s="38" t="n">
        <x:f>COUNTIFS('Continuite'!$D$7:$D$18,"Établi")</x:f>
        <x:v>12</x:v>
      </x:c>
      <x:c r="H35" s="38" t="n">
        <x:f>COUNTIFS('Continuite'!$D$7:$D$18,"À vérifier")</x:f>
        <x:v>0</x:v>
      </x:c>
      <x:c r="I35" s="38" t="n">
        <x:f>COUNTIFS('Continuite'!$D$7:$D$18,"Extrapolation")</x:f>
        <x:v>0</x:v>
      </x:c>
      <x:c r="J35" s="38" t="n">
        <x:f>COUNTIFS('Continuite'!$D$7:$D$18,"Coupé attesté")</x:f>
        <x:v>0</x:v>
      </x:c>
      <x:c r="K35" s="38" t="n">
        <x:f>COUNTIFS('Continuite'!$D$7:$D$18,"Concept abandonné")</x:f>
        <x:v>0</x:v>
      </x:c>
      <x:c r="L35" s="38" t="n">
        <x:f>COUNTIFS('Continuite'!$D$7:$D$18,"Allégation écartée")</x:f>
        <x:v>0</x:v>
      </x:c>
      <x:c r="M35" s="38" t="n">
        <x:f>COUNTIFS('Continuite'!$E$7:$E$18,"P0")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670</x:v>
      </x:c>
      <x:c r="C37" s="39" t="n">
        <x:f>SUM(C10:C35)</x:f>
        <x:v>627</x:v>
      </x:c>
      <x:c r="D37" s="39" t="n">
        <x:f>SUM(D10:D35)</x:f>
        <x:v>43</x:v>
      </x:c>
      <x:c r="E37" s="39" t="n">
        <x:f>SUM(E10:E35)</x:f>
        <x:v>0</x:v>
      </x:c>
      <x:c r="F37" s="39" t="n">
        <x:f>SUM(F10:F35)</x:f>
        <x:v>0</x:v>
      </x:c>
      <x:c r="G37" s="39" t="n">
        <x:f>SUM(G10:G35)</x:f>
        <x:v>384</x:v>
      </x:c>
      <x:c r="H37" s="39" t="n">
        <x:f>SUM(H10:H35)</x:f>
        <x:v>0</x:v>
      </x:c>
      <x:c r="I37" s="39" t="n">
        <x:f>SUM(I10:I35)</x:f>
        <x:v>286</x:v>
      </x:c>
      <x:c r="J37" s="39" t="n">
        <x:f>SUM(J10:J35)</x:f>
        <x:v>0</x:v>
      </x:c>
      <x:c r="K37" s="39" t="n">
        <x:f>SUM(K10:K35)</x:f>
        <x:v>0</x:v>
      </x:c>
      <x:c r="L37" s="39" t="n">
        <x:f>SUM(L10:L35)</x:f>
        <x:v>0</x:v>
      </x:c>
      <x:c r="M37" s="39" t="n">
        <x:f>SUM(M10:M35)</x:f>
        <x:v>59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2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ME2-CHR-SHEPARD</x:v>
      </x:c>
      <x:c r="B7" s="9" t="str">
        <x:v>Commandant Shepard</x:v>
      </x:c>
      <x:c r="C7" s="15" t="str">
        <x:v>Prototype</x:v>
      </x:c>
      <x:c r="D7" s="16" t="str">
        <x:v>Établi</x:v>
      </x:c>
      <x:c r="E7" s="16" t="str">
        <x:v>P1</x:v>
      </x:c>
      <x:c r="F7" s="9" t="str">
        <x:v>Protagoniste personnalisable de ME2.</x:v>
      </x:c>
      <x:c r="G7" s="9" t="str">
        <x:v>Chef de groupe ATB : donner un ordre collectif ou conserver sa jauge pour une interruption contextuelle.</x:v>
      </x:c>
      <x:c r="H7" s="9" t="str">
        <x:v>Chef de groupe ATB : donner un ordre collectif ou conserver sa jauge pour une interruption contextuelle.</x:v>
      </x:c>
      <x:c r="I7" s="9" t="str">
        <x:v>Armure N7 modulable, visage et carrure paramétrables ; cicatrices en calque séparé.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ME2-CHR-SHEPARD ; contexte d’œuvre/segment et sélection de scène obligatoires.</x:v>
      </x:c>
      <x:c r="M7" s="9" t="str">
        <x:v>Historique et état importés ; aucune apparence unique imposée.</x:v>
      </x:c>
      <x:c r="N7" s="9" t="str">
        <x:v>Le livrable « Commandant Shepard » possède une scène ou un scénario de contrôle ; ses règles proposées, ses conditions et ses retours visuels sont vérifiables séparément.</x:v>
      </x:c>
      <x:c r="O7" s="9" t="str"/>
      <x:c r="P7" s="9" t="str">
        <x:v>Commandant Shepard</x:v>
      </x:c>
      <x:c r="Q7" s="9" t="str">
        <x:v>ME2-SRC-EA-LE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ME2-CHR-MIRANDA</x:v>
      </x:c>
      <x:c r="B8" s="7" t="str">
        <x:v>Miranda Lawson</x:v>
      </x:c>
      <x:c r="C8" s="15" t="str">
        <x:v>Prototype</x:v>
      </x:c>
      <x:c r="D8" s="17" t="str">
        <x:v>Établi</x:v>
      </x:c>
      <x:c r="E8" s="17" t="str">
        <x:v>P1</x:v>
      </x:c>
      <x:c r="F8" s="7" t="str">
        <x:v>Équipière de Cerberus.</x:v>
      </x:c>
      <x:c r="G8" s="7" t="str">
        <x:v>Soutien hybride : préparer une cible par Surcharge, puis choisir Distorsion ou protection de l’équipe.</x:v>
      </x:c>
      <x:c r="H8" s="7" t="str">
        <x:v>Soutien hybride : préparer une cible par Surcharge, puis choisir Distorsion ou protection de l’équipe.</x:v>
      </x:c>
      <x:c r="I8" s="7" t="str">
        <x:v>Combinaison claire à panneaux noirs ; silhouette droite et démarche maîtrisée.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ME2-CHR-MIRANDA ; contexte d’œuvre/segment et sélection de scène obligatoires.</x:v>
      </x:c>
      <x:c r="M8" s="7" t="str"/>
      <x:c r="N8" s="7" t="str">
        <x:v>Le livrable « Miranda Lawson » possède une scène ou un scénario de contrôle ; ses règles proposées, ses conditions et ses retours visuels sont vérifiables séparément.</x:v>
      </x:c>
      <x:c r="O8" s="7" t="str"/>
      <x:c r="P8" s="7" t="str">
        <x:v>Miranda Lawson</x:v>
      </x:c>
      <x:c r="Q8" s="7" t="str">
        <x:v>ME2-SRC-SQUAD</x:v>
      </x:c>
      <x:c r="R8" s="7" t="str">
        <x:v>https://masseffect.fandom.com/wiki/Squad_Members_Guide_%28Mass_Effect_2%29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ME2-CHR-JACOB</x:v>
      </x:c>
      <x:c r="B9" s="9" t="str">
        <x:v>Jacob Taylor</x:v>
      </x:c>
      <x:c r="C9" s="15" t="str">
        <x:v>Prototype</x:v>
      </x:c>
      <x:c r="D9" s="16" t="str">
        <x:v>Établi</x:v>
      </x:c>
      <x:c r="E9" s="16" t="str">
        <x:v>P1</x:v>
      </x:c>
      <x:c r="F9" s="9" t="str">
        <x:v>Équipier de Cerberus.</x:v>
      </x:c>
      <x:c r="G9" s="9" t="str">
        <x:v>Avant-garde de protection : attirer une menace proche puis la suspendre pour ouvrir un tir allié.</x:v>
      </x:c>
      <x:c r="H9" s="9" t="str">
        <x:v>Avant-garde de protection : attirer une menace proche puis la suspendre pour ouvrir un tir allié.</x:v>
      </x:c>
      <x:c r="I9" s="9" t="str">
        <x:v>Tenue noire Cerberus, épaules larges et fusil compact.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ME2-CHR-JACOB ; contexte d’œuvre/segment et sélection de scène obligatoires.</x:v>
      </x:c>
      <x:c r="M9" s="9" t="str"/>
      <x:c r="N9" s="9" t="str">
        <x:v>Le livrable « Jacob Taylor » possède une scène ou un scénario de contrôle ; ses règles proposées, ses conditions et ses retours visuels sont vérifiables séparément.</x:v>
      </x:c>
      <x:c r="O9" s="9" t="str"/>
      <x:c r="P9" s="9" t="str">
        <x:v>Jacob Taylor</x:v>
      </x:c>
      <x:c r="Q9" s="9" t="str">
        <x:v>ME2-SRC-SQUAD</x:v>
      </x:c>
      <x:c r="R9" s="9" t="str">
        <x:v>https://masseffect.fandom.com/wiki/Squad_Members_Guide_%28Mass_Effect_2%29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ME2-CHR-MORDIN</x:v>
      </x:c>
      <x:c r="B10" s="7" t="str">
        <x:v>Mordin Solus</x:v>
      </x:c>
      <x:c r="C10" s="15" t="str">
        <x:v>Prototype</x:v>
      </x:c>
      <x:c r="D10" s="17" t="str">
        <x:v>Établi</x:v>
      </x:c>
      <x:c r="E10" s="17" t="str">
        <x:v>P1</x:v>
      </x:c>
      <x:c r="F10" s="7" t="str">
        <x:v>Scientifique galarien recruté à Omega.</x:v>
      </x:c>
      <x:c r="G10" s="7" t="str">
        <x:v>Médecin offensif : diagnostic des protections, Incinération et retrait rapide derrière la ligne de front.</x:v>
      </x:c>
      <x:c r="H10" s="7" t="str">
        <x:v>Médecin offensif : diagnostic des protections, Incinération et retrait rapide derrière la ligne de front.</x:v>
      </x:c>
      <x:c r="I10" s="7" t="str">
        <x:v>Visage anguleux, crête asymétrique, manteau clair ; gestes précis.</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ME2-CHR-MORDIN ; contexte d’œuvre/segment et sélection de scène obligatoires.</x:v>
      </x:c>
      <x:c r="M10" s="7" t="str"/>
      <x:c r="N10" s="7" t="str">
        <x:v>Le livrable « Mordin Solus » possède une scène ou un scénario de contrôle ; ses règles proposées, ses conditions et ses retours visuels sont vérifiables séparément.</x:v>
      </x:c>
      <x:c r="O10" s="7" t="str"/>
      <x:c r="P10" s="7" t="str">
        <x:v>Mordin Solus</x:v>
      </x:c>
      <x:c r="Q10" s="7" t="str">
        <x:v>ME2-SRC-PROF</x:v>
      </x:c>
      <x:c r="R10" s="7" t="str">
        <x:v>https://masseffect.fandom.com/wiki/Dossier%3A_The_Professor</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ME2-CHR-GARRUS</x:v>
      </x:c>
      <x:c r="B11" s="9" t="str">
        <x:v>Garrus Vakarian</x:v>
      </x:c>
      <x:c r="C11" s="15" t="str">
        <x:v>Prototype</x:v>
      </x:c>
      <x:c r="D11" s="16" t="str">
        <x:v>Établi</x:v>
      </x:c>
      <x:c r="E11" s="16" t="str">
        <x:v>P1</x:v>
      </x:c>
      <x:c r="F11" s="9" t="str">
        <x:v>Garrus est Archangel.</x:v>
      </x:c>
      <x:c r="G11" s="9" t="str">
        <x:v>Tireur : marquer une ligne de tir, briser un bouclier puis armer une visée différée.</x:v>
      </x:c>
      <x:c r="H11" s="9" t="str">
        <x:v>Tireur : marquer une ligne de tir, briser un bouclier puis armer une visée différée.</x:v>
      </x:c>
      <x:c r="I11" s="9" t="str">
        <x:v>Armure bleue abîmée, viseur, mandibule cicatrisée ; asymétrie conservée.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ME2-CHR-GARRUS ; contexte d’œuvre/segment et sélection de scène obligatoires.</x:v>
      </x:c>
      <x:c r="M11" s="9" t="str"/>
      <x:c r="N11" s="9" t="str">
        <x:v>Le livrable « Garrus Vakarian » possède une scène ou un scénario de contrôle ; ses règles proposées, ses conditions et ses retours visuels sont vérifiables séparément.</x:v>
      </x:c>
      <x:c r="O11" s="9" t="str"/>
      <x:c r="P11" s="9" t="str">
        <x:v>Garrus Vakarian</x:v>
      </x:c>
      <x:c r="Q11" s="9" t="str">
        <x:v>ME2-SRC-ARCHANGEL</x:v>
      </x:c>
      <x:c r="R11" s="9" t="str">
        <x:v>https://masseffect.fandom.com/wiki/Dossier%3A_Archangel</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ME2-CHR-GRUNT</x:v>
      </x:c>
      <x:c r="B12" s="7" t="str">
        <x:v>Grunt</x:v>
      </x:c>
      <x:c r="C12" s="15" t="str">
        <x:v>Prototype</x:v>
      </x:c>
      <x:c r="D12" s="17" t="str">
        <x:v>Établi</x:v>
      </x:c>
      <x:c r="E12" s="17" t="str">
        <x:v>P1</x:v>
      </x:c>
      <x:c r="F12" s="7" t="str">
        <x:v>Krogan récupéré dans la cuve d’Okeer.</x:v>
      </x:c>
      <x:c r="G12" s="7" t="str">
        <x:v>Briseur de ligne : accumuler de l’élan au contact, dépenser Fortification pour protéger un allié.</x:v>
      </x:c>
      <x:c r="H12" s="7" t="str">
        <x:v>Briseur de ligne : accumuler de l’élan au contact, dépenser Fortification pour protéger un allié.</x:v>
      </x:c>
      <x:c r="I12" s="7" t="str">
        <x:v>Masse krogan, carapace claire et armure sombre ; centre de gravité bas.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Chroniques : src/universe-actors.js, src/chronicles.js. Identifiant runtime ME2-CHR-GRUNT ; contexte d’œuvre/segment et sélection de scène obligatoires.</x:v>
      </x:c>
      <x:c r="M12" s="7" t="str">
        <x:v>Activation de la cuve nécessaire.</x:v>
      </x:c>
      <x:c r="N12" s="7" t="str">
        <x:v>Le livrable « Grunt » possède une scène ou un scénario de contrôle ; ses règles proposées, ses conditions et ses retours visuels sont vérifiables séparément.</x:v>
      </x:c>
      <x:c r="O12" s="7" t="str"/>
      <x:c r="P12" s="7" t="str">
        <x:v>Grunt</x:v>
      </x:c>
      <x:c r="Q12" s="7" t="str">
        <x:v>ME2-SRC-WARLORD</x:v>
      </x:c>
      <x:c r="R12" s="7" t="str">
        <x:v>https://masseffect.fandom.com/wiki/Dossier%3A_The_Warlord</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68" customHeight="1">
      <x:c r="A13" s="18" t="str">
        <x:v>ME2-CHR-JACK</x:v>
      </x:c>
      <x:c r="B13" s="9" t="str">
        <x:v>Jack</x:v>
      </x:c>
      <x:c r="C13" s="15" t="str">
        <x:v>Prototype</x:v>
      </x:c>
      <x:c r="D13" s="16" t="str">
        <x:v>Établi</x:v>
      </x:c>
      <x:c r="E13" s="16" t="str">
        <x:v>P1</x:v>
      </x:c>
      <x:c r="F13" s="9" t="str">
        <x:v>Biotique libérée de Purgatory.</x:v>
      </x:c>
      <x:c r="G13" s="9" t="str">
        <x:v>Contrôle de foule : tracer une onde de choc au sol et repousser les ennemis regroupés.</x:v>
      </x:c>
      <x:c r="H13" s="9" t="str">
        <x:v>Contrôle de foule : tracer une onde de choc au sol et repousser les ennemis regroupés.</x:v>
      </x:c>
      <x:c r="I13" s="9" t="str">
        <x:v>Crâne rasé, tatouages simplifiés lisibles, posture nerveuse.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ME2-CHR-JACK ; contexte d’œuvre/segment et sélection de scène obligatoires.</x:v>
      </x:c>
      <x:c r="M13" s="9" t="str"/>
      <x:c r="N13" s="9" t="str">
        <x:v>Le livrable « Jack » possède une scène ou un scénario de contrôle ; ses règles proposées, ses conditions et ses retours visuels sont vérifiables séparément.</x:v>
      </x:c>
      <x:c r="O13" s="9" t="str"/>
      <x:c r="P13" s="9" t="str">
        <x:v>Jack</x:v>
      </x:c>
      <x:c r="Q13" s="9" t="str">
        <x:v>ME2-SRC-CONVICT</x:v>
      </x:c>
      <x:c r="R13" s="9" t="str">
        <x:v>https://masseffect.fandom.com/wiki/Dossier%3A_The_Convict</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ME2-CHR-TALI</x:v>
      </x:c>
      <x:c r="B14" s="7" t="str">
        <x:v>Tali’Zorah vas Neema / vas Normandy</x:v>
      </x:c>
      <x:c r="C14" s="15" t="str">
        <x:v>Prototype</x:v>
      </x:c>
      <x:c r="D14" s="17" t="str">
        <x:v>Établi</x:v>
      </x:c>
      <x:c r="E14" s="17" t="str">
        <x:v>P1</x:v>
      </x:c>
      <x:c r="F14" s="7" t="str">
        <x:v>Tali rejoint l’équipe après Haestrom.</x:v>
      </x:c>
      <x:c r="G14" s="7" t="str">
        <x:v>Ingénieure : drone placé, piratage synthétique et récupération de bouclier sous conditions.</x:v>
      </x:c>
      <x:c r="H14" s="7" t="str">
        <x:v>Ingénieure : drone placé, piratage synthétique et récupération de bouclier sous conditions.</x:v>
      </x:c>
      <x:c r="I14" s="7" t="str">
        <x:v>Capuche violette, visière opaque lumineuse, jambes et mains quariens.</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ME2-CHR-TALI ; contexte d’œuvre/segment et sélection de scène obligatoires.</x:v>
      </x:c>
      <x:c r="M14" s="7" t="str">
        <x:v>Nom selon étape du procès ; ne pas l’uniformiser.</x:v>
      </x:c>
      <x:c r="N14" s="7" t="str">
        <x:v>Le livrable « Tali’Zorah vas Neema / vas Normandy » possède une scène ou un scénario de contrôle ; ses règles proposées, ses conditions et ses retours visuels sont vérifiables séparément.</x:v>
      </x:c>
      <x:c r="O14" s="7" t="str"/>
      <x:c r="P14" s="7" t="str">
        <x:v>Tali’Zorah vas Neema / vas Normandy</x:v>
      </x:c>
      <x:c r="Q14" s="7" t="str">
        <x:v>ME2-SRC-TALI, ME2-SRC-TREASON</x:v>
      </x:c>
      <x:c r="R14" s="7" t="str">
        <x:v>https://masseffect.fandom.com/wiki/Dossier%3A_Tali
https://masseffect.fandom.com/wiki/Tali%3A_Treason</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ME2-CHR-THANE</x:v>
      </x:c>
      <x:c r="B15" s="9" t="str">
        <x:v>Thane Krios</x:v>
      </x:c>
      <x:c r="C15" s="15" t="str">
        <x:v>Prototype</x:v>
      </x:c>
      <x:c r="D15" s="16" t="str">
        <x:v>Établi</x:v>
      </x:c>
      <x:c r="E15" s="16" t="str">
        <x:v>P1</x:v>
      </x:c>
      <x:c r="F15" s="9" t="str">
        <x:v>Assassin drell recruté sur Illium.</x:v>
      </x:c>
      <x:c r="G15" s="9" t="str">
        <x:v>Précision biotique : suspendre une cible et consommer une fenêtre de visée pour un tir préparé.</x:v>
      </x:c>
      <x:c r="H15" s="9" t="str">
        <x:v>Précision biotique : suspendre une cible et consommer une fenêtre de visée pour un tir préparé.</x:v>
      </x:c>
      <x:c r="I15" s="9" t="str">
        <x:v>Écailles vertes, yeux sombres, manteau noir à ouverture thoracique.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ME2-CHR-THANE ; contexte d’œuvre/segment et sélection de scène obligatoires.</x:v>
      </x:c>
      <x:c r="M15" s="9" t="str"/>
      <x:c r="N15" s="9" t="str">
        <x:v>Le livrable « Thane Krios » possède une scène ou un scénario de contrôle ; ses règles proposées, ses conditions et ses retours visuels sont vérifiables séparément.</x:v>
      </x:c>
      <x:c r="O15" s="9" t="str"/>
      <x:c r="P15" s="9" t="str">
        <x:v>Thane Krios</x:v>
      </x:c>
      <x:c r="Q15" s="9" t="str">
        <x:v>ME2-SRC-ASSASSIN</x:v>
      </x:c>
      <x:c r="R15" s="9" t="str">
        <x:v>https://masseffect.fandom.com/wiki/Dossier%3A_The_Assassin</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ME2-CHR-SAMARA</x:v>
      </x:c>
      <x:c r="B16" s="7" t="str">
        <x:v>Samara</x:v>
      </x:c>
      <x:c r="C16" s="15" t="str">
        <x:v>Prototype</x:v>
      </x:c>
      <x:c r="D16" s="17" t="str">
        <x:v>Établi</x:v>
      </x:c>
      <x:c r="E16" s="17" t="str">
        <x:v>P1</x:v>
      </x:c>
      <x:c r="F16" s="7" t="str">
        <x:v>Justicari asari recrutée sur Illium.</x:v>
      </x:c>
      <x:c r="G16" s="7" t="str">
        <x:v>Contrôle discipliné : projection et Reave pour maintenir une zone sûre autour du groupe.</x:v>
      </x:c>
      <x:c r="H16" s="7" t="str">
        <x:v>Contrôle discipliné : projection et Reave pour maintenir une zone sûre autour du groupe.</x:v>
      </x:c>
      <x:c r="I16" s="7" t="str">
        <x:v>Armure rouge, tête bleue et posture verticale ; mains ouvertes en préparation.</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ME2-CHR-SAMARA ; contexte d’œuvre/segment et sélection de scène obligatoires.</x:v>
      </x:c>
      <x:c r="M16" s="7" t="str"/>
      <x:c r="N16" s="7" t="str">
        <x:v>Le livrable « Samara » possède une scène ou un scénario de contrôle ; ses règles proposées, ses conditions et ses retours visuels sont vérifiables séparément.</x:v>
      </x:c>
      <x:c r="O16" s="7" t="str"/>
      <x:c r="P16" s="7" t="str">
        <x:v>Samara</x:v>
      </x:c>
      <x:c r="Q16" s="7" t="str">
        <x:v>ME2-SRC-JUSTICAR</x:v>
      </x:c>
      <x:c r="R16" s="7" t="str">
        <x:v>https://masseffect.fandom.com/wiki/Dossier%3A_The_Justicar</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ME2-CHR-MORINTH</x:v>
      </x:c>
      <x:c r="B17" s="9" t="str">
        <x:v>Morinth</x:v>
      </x:c>
      <x:c r="C17" s="15" t="str">
        <x:v>Prototype</x:v>
      </x:c>
      <x:c r="D17" s="16" t="str">
        <x:v>Établi</x:v>
      </x:c>
      <x:c r="E17" s="16" t="str">
        <x:v>P1</x:v>
      </x:c>
      <x:c r="F17" s="9" t="str">
        <x:v>Elle peut remplacer Samara.</x:v>
      </x:c>
      <x:c r="G17" s="9" t="str">
        <x:v>Spécialiste de domination : convertir brièvement une unité organique vulnérable ; afficher l’identité cachée uniquement au joueur informé.</x:v>
      </x:c>
      <x:c r="H17" s="9" t="str">
        <x:v>Spécialiste de domination : convertir brièvement une unité organique vulnérable ; afficher l’identité cachée uniquement au joueur informé.</x:v>
      </x:c>
      <x:c r="I17" s="9" t="str">
        <x:v>Variante de Samara avec détails faciaux séparés ; portrait de secret facultatif.</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Chroniques : src/universe-actors.js, src/chronicles.js. Identifiant runtime ME2-CHR-MORINTH ; contexte d’œuvre/segment et sélection de scène obligatoires.</x:v>
      </x:c>
      <x:c r="M17" s="9" t="str">
        <x:v>Exclusivité Samara/Morinth ; embranchement de loyauté.</x:v>
      </x:c>
      <x:c r="N17" s="9" t="str">
        <x:v>Le livrable « Morinth » possède une scène ou un scénario de contrôle ; ses règles proposées, ses conditions et ses retours visuels sont vérifiables séparément.</x:v>
      </x:c>
      <x:c r="O17" s="9" t="str"/>
      <x:c r="P17" s="9" t="str">
        <x:v>Morinth</x:v>
      </x:c>
      <x:c r="Q17" s="9" t="str">
        <x:v>ME2-SRC-SAMARA</x:v>
      </x:c>
      <x:c r="R17" s="9" t="str">
        <x:v>https://masseffect.fandom.com/wiki/Samara%3A_The_Ardat-Yakshi</x:v>
      </x:c>
      <x:c r="S1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8" ht="68" customHeight="1">
      <x:c r="A18" s="19" t="str">
        <x:v>ME2-CHR-LEGION</x:v>
      </x:c>
      <x:c r="B18" s="7" t="str">
        <x:v>Legion</x:v>
      </x:c>
      <x:c r="C18" s="15" t="str">
        <x:v>Prototype</x:v>
      </x:c>
      <x:c r="D18" s="17" t="str">
        <x:v>Établi</x:v>
      </x:c>
      <x:c r="E18" s="17" t="str">
        <x:v>P1</x:v>
      </x:c>
      <x:c r="F18" s="7" t="str">
        <x:v>Unité geth recrutabile après l’IFF.</x:v>
      </x:c>
      <x:c r="G18" s="7" t="str">
        <x:v>Analyste synthétique : drone de diversion et piratage, puis tir lourd lorsque la cible expose son flanc.</x:v>
      </x:c>
      <x:c r="H18" s="7" t="str">
        <x:v>Analyste synthétique : drone de diversion et piratage, puis tir lourd lorsque la cible expose son flanc.</x:v>
      </x:c>
      <x:c r="I18" s="7" t="str">
        <x:v>Optique unique, plaques geth, partie d’armure N7 rapportée et trou thoracique.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Chroniques : src/universe-actors.js, src/chronicles.js. Identifiant runtime ME2-CHR-LEGION ; contexte d’œuvre/segment et sélection de scène obligatoires.</x:v>
      </x:c>
      <x:c r="M18" s="7" t="str">
        <x:v>Décision d’activation ; disponibilité tardive.</x:v>
      </x:c>
      <x:c r="N18" s="7" t="str">
        <x:v>Le livrable « Legion » possède une scène ou un scénario de contrôle ; ses règles proposées, ses conditions et ses retours visuels sont vérifiables séparément.</x:v>
      </x:c>
      <x:c r="O18" s="7" t="str"/>
      <x:c r="P18" s="7" t="str">
        <x:v>Legion</x:v>
      </x:c>
      <x:c r="Q18" s="7" t="str">
        <x:v>ME2-SRC-CHAR, ME2-SRC-SQUAD, ME2-SRC-STOP</x:v>
      </x:c>
      <x:c r="R18" s="7" t="str">
        <x:v>https://masseffect.fandom.com/wiki/Characters/Mass_Effect_2
https://masseffect.fandom.com/wiki/Squad_Members_Guide_%28Mass_Effect_2%29
https://masseffect.fandom.com/wiki/Stop_the_Collectors</x:v>
      </x:c>
      <x:c r="S1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9" ht="124" customHeight="1">
      <x:c r="A19" s="18" t="str">
        <x:v>ME2-CHR-KASUMI</x:v>
      </x:c>
      <x:c r="B19" s="9" t="str">
        <x:v>Kasumi Goto</x:v>
      </x:c>
      <x:c r="C19" s="15" t="str">
        <x:v>Prototype</x:v>
      </x:c>
      <x:c r="D19" s="16" t="str">
        <x:v>Établi</x:v>
      </x:c>
      <x:c r="E19" s="16" t="str">
        <x:v>P1</x:v>
      </x:c>
      <x:c r="F19" s="9" t="str">
        <x:v>Équipière du pack Stolen Memory.</x:v>
      </x:c>
      <x:c r="G19" s="9" t="str">
        <x:v>Infiltration : marquer une cible isolée, disparaître pendant l’approche et revenir après une attaque de dos.</x:v>
      </x:c>
      <x:c r="H19" s="9" t="str">
        <x:v>Infiltration : marquer une cible isolée, disparaître pendant l’approche et revenir après une attaque de dos.</x:v>
      </x:c>
      <x:c r="I19" s="9" t="str">
        <x:v>Capuche sombre, bordures ocre, un œil visible ; ombre distincte.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19" s="9" t="str"/>
      <x:c r="N19" s="9" t="str">
        <x:v>Le livrable « Kasumi Goto » possède une scène ou un scénario de contrôle ; ses règles proposées, ses conditions et ses retours visuels sont vérifiables séparément.</x:v>
      </x:c>
      <x:c r="O19" s="9" t="str"/>
      <x:c r="P19" s="9" t="str">
        <x:v>Kasumi Goto</x:v>
      </x:c>
      <x:c r="Q19" s="9" t="str">
        <x:v>ME2-SRC-KASUMI</x:v>
      </x:c>
      <x:c r="R19" s="9" t="str">
        <x:v>https://masseffect.fandom.com/wiki/Kasumi%3A_Stealing_Memory</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Shadow Strike, Flashbang Grenade.</x:v>
      </x:c>
    </x:row>
    <x:row r="20" ht="124" customHeight="1">
      <x:c r="A20" s="19" t="str">
        <x:v>ME2-CHR-ZAEED</x:v>
      </x:c>
      <x:c r="B20" s="7" t="str">
        <x:v>Zaeed Massani</x:v>
      </x:c>
      <x:c r="C20" s="15" t="str">
        <x:v>Prototype</x:v>
      </x:c>
      <x:c r="D20" s="17" t="str">
        <x:v>Établi</x:v>
      </x:c>
      <x:c r="E20" s="17" t="str">
        <x:v>P1</x:v>
      </x:c>
      <x:c r="F20" s="7" t="str">
        <x:v>Équipier du pack The Price of Revenge.</x:v>
      </x:c>
      <x:c r="G20" s="7" t="str">
        <x:v>Mercenaire : feu de couverture et grenade incendiaire pour isoler une voie d’approche.</x:v>
      </x:c>
      <x:c r="H20" s="7" t="str">
        <x:v>Mercenaire : feu de couverture et grenade incendiaire pour isoler une voie d’approche.</x:v>
      </x:c>
      <x:c r="I20" s="7" t="str">
        <x:v>Armure usée, visage marqué, œil altéré et fusil tenu sans cérémonie.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20" s="7" t="str"/>
      <x:c r="N20" s="7" t="str">
        <x:v>Le livrable « Zaeed Massani » possède une scène ou un scénario de contrôle ; ses règles proposées, ses conditions et ses retours visuels sont vérifiables séparément.</x:v>
      </x:c>
      <x:c r="O20" s="7" t="str"/>
      <x:c r="P20" s="7" t="str">
        <x:v>Zaeed Massani</x:v>
      </x:c>
      <x:c r="Q20" s="7" t="str">
        <x:v>ME2-SRC-ZAEED</x:v>
      </x:c>
      <x:c r="R20" s="7" t="str">
        <x:v>https://masseffect.fandom.com/wiki/Zaeed%3A_The_Price_of_Revenge</x:v>
      </x:c>
      <x:c r="S20"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Inferno Grenade, Disruptor Ammo.</x:v>
      </x:c>
    </x:row>
    <x:row r="21" ht="124" customHeight="1">
      <x:c r="A21" s="18" t="str">
        <x:v>ME2-CHR-LIARA</x:v>
      </x:c>
      <x:c r="B21" s="9" t="str">
        <x:v>Liara T’Soni — équipière temporaire</x:v>
      </x:c>
      <x:c r="C21" s="15" t="str">
        <x:v>Prototype</x:v>
      </x:c>
      <x:c r="D21" s="16" t="str">
        <x:v>Établi</x:v>
      </x:c>
      <x:c r="E21" s="16" t="str">
        <x:v>P1</x:v>
      </x:c>
      <x:c r="F21" s="9" t="str">
        <x:v>Liara accompagne le DLC Shadow Broker.</x:v>
      </x:c>
      <x:c r="G21" s="9" t="str">
        <x:v>Biotique de siège : singularité de courte zone et stase pour interrompre une menace protégée.</x:v>
      </x:c>
      <x:c r="H21" s="9" t="str">
        <x:v>Biotique de siège : singularité de courte zone et stase pour interrompre une menace protégée.</x:v>
      </x:c>
      <x:c r="I21" s="9" t="str">
        <x:v>Combinaison blanche, bleu asari et détails de ceinture.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Prototype de profil sélectionnable dans me2-shadow-broker via src/universe-specialist-scenarios.js et src/universe-actors.js. Conditions de contenu, présence et survie affichées ; mannequins originaux et dotation abstraite, sans mission ni recrutement de campagne. Aucun portrait, sprite ou costume de ce personnage produit.</x:v>
      </x:c>
      <x:c r="M21" s="9" t="str">
        <x:v>Équipière limitée à cette extension ; contacts possibles ailleurs.</x:v>
      </x:c>
      <x:c r="N21" s="9" t="str">
        <x:v>Le livrable « Liara T’Soni — équipière temporaire » possède une scène ou un scénario de contrôle ; ses règles proposées, ses conditions et ses retours visuels sont vérifiables séparément.</x:v>
      </x:c>
      <x:c r="O21" s="9" t="str"/>
      <x:c r="P21" s="9" t="str">
        <x:v>Liara T’Soni — équipière temporaire</x:v>
      </x:c>
      <x:c r="Q21" s="9" t="str">
        <x:v>ME2-SRC-SHADOW, ME2-SRC-SQUAD</x:v>
      </x:c>
      <x:c r="R21" s="9" t="str">
        <x:v>https://masseffect.fandom.com/wiki/Lair_of_the_Shadow_Broker_%28mission%29
https://masseffect.fandom.com/wiki/Squad_Members_Guide_%28Mass_Effect_2%29</x:v>
      </x:c>
      <x:c r="S21"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x:v>
      </x:c>
    </x:row>
    <x:row r="22" ht="68" customHeight="1">
      <x:c r="A22" s="19" t="str">
        <x:v>ME2-CHR-KENSON</x:v>
      </x:c>
      <x:c r="B22" s="7" t="str">
        <x:v>Amanda Kenson — alliée temporaire</x:v>
      </x:c>
      <x:c r="C22" s="15" t="str">
        <x:v>Défini</x:v>
      </x:c>
      <x:c r="D22" s="17" t="str">
        <x:v>Établi</x:v>
      </x:c>
      <x:c r="E22" s="17" t="str">
        <x:v>P1</x:v>
      </x:c>
      <x:c r="F22" s="7" t="str">
        <x:v>Kenson accompagne une partie d’Arrival.</x:v>
      </x:c>
      <x:c r="G22" s="7" t="str">
        <x:v>Escorte scriptée : protéger sa progression vers une console, sans la rendre sélectionnable dans le groupe permanent.</x:v>
      </x:c>
      <x:c r="H22" s="7" t="str">
        <x:v>Escorte scriptée : protéger sa progression vers une console, sans la rendre sélectionnable dans le groupe permanent.</x:v>
      </x:c>
      <x:c r="I22" s="7" t="str">
        <x:v>Scientifique humaine en tenue technique sobre.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me2/characters/kenson ; rattacher les ressources et états cités à cet identifiant. Aucun fichier de jeu créé par ce catalogue.</x:v>
      </x:c>
      <x:c r="M22" s="7" t="str">
        <x:v>Arc Arrival uniquement ; son rôle change pendant l’histoire.</x:v>
      </x:c>
      <x:c r="N22" s="7" t="str">
        <x:v>Le livrable « Amanda Kenson — alliée temporaire » possède une scène ou un scénario de contrôle ; ses règles proposées, ses conditions et ses retours visuels sont vérifiables séparément.</x:v>
      </x:c>
      <x:c r="O22" s="7" t="str"/>
      <x:c r="P22" s="7" t="str">
        <x:v>Amanda Kenson — alliée temporaire</x:v>
      </x:c>
      <x:c r="Q22" s="7" t="str">
        <x:v>ME2-SRC-ARRIVAL</x:v>
      </x:c>
      <x:c r="R22" s="7" t="str">
        <x:v>https://masseffect.fandom.com/wiki/Arrival_%28assignment%29</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0" priority="1" operator="equal">
      <x:formula>"À vérifier"</x:formula>
    </x:cfRule>
    <x:cfRule type="cellIs" dxfId="1" priority="2" operator="equal">
      <x:formula>"Extrapolation"</x:formula>
    </x:cfRule>
  </x:conditionalFormatting>
  <x:conditionalFormatting sqref="C7:C22">
    <x:cfRule type="cellIs" dxfId="2" priority="3" operator="equal">
      <x:formula>"Validé"</x:formula>
    </x:cfRule>
  </x:conditionalFormatting>
  <x:conditionalFormatting sqref="E7:E22">
    <x:cfRule type="cellIs" dxfId="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8768935458b04aa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2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ME2-NPC-ILLUSIVE</x:v>
      </x:c>
      <x:c r="B7" s="9" t="str">
        <x:v>L’Homme Trouble</x:v>
      </x:c>
      <x:c r="C7" s="15" t="str">
        <x:v>Défini</x:v>
      </x:c>
      <x:c r="D7" s="16" t="str">
        <x:v>Établi</x:v>
      </x:c>
      <x:c r="E7" s="16" t="str">
        <x:v>P1</x:v>
      </x:c>
      <x:c r="F7" s="9" t="str">
        <x:v>Dirige Cerberus et contacte Shepard.</x:v>
      </x:c>
      <x:c r="G7" s="9" t="str">
        <x:v>Dialogue à distance qui expose objectifs et divergences ; journaliser la confiance sans jauge morale cachée.</x:v>
      </x:c>
      <x:c r="H7" s="9" t="str">
        <x:v>Dialogue à distance qui expose objectifs et divergences ; journaliser la confiance sans jauge morale cachée.</x:v>
      </x:c>
      <x:c r="I7" s="9" t="str">
        <x:v>Siège isolé, cigarette stylisée, regard lumineux et baie stellaire.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me2/npcs/illusive ; rattacher les ressources et états cités à cet identifiant. Aucun fichier de jeu créé par ce catalogue.</x:v>
      </x:c>
      <x:c r="M7" s="9" t="str">
        <x:v>Ne pas confondre alliance circonstancielle et adhésion.</x:v>
      </x:c>
      <x:c r="N7" s="9" t="str">
        <x:v>Le livrable « L’Homme Trouble » possède une scène ou un scénario de contrôle ; ses règles proposées, ses conditions et ses retours visuels sont vérifiables séparément.</x:v>
      </x:c>
      <x:c r="O7" s="9" t="str"/>
      <x:c r="P7" s="9" t="str">
        <x:v>L’Homme Trouble</x:v>
      </x:c>
      <x:c r="Q7" s="9" t="str">
        <x:v>ME2-SRC-CHAR</x:v>
      </x:c>
      <x:c r="R7" s="9" t="str">
        <x:v>https://masseffect.fandom.com/wiki/Characters/Mass_Effect_2</x:v>
      </x:c>
      <x:c r="S7" s="9" t="str">
        <x:v>Spécification à réaliser. Les champs adaptation, gameplay, visual, animation, audio et implementation décrivent le fan game ; ils ne donnent pas des caractéristiques officielles de l’œuvre.</x:v>
      </x:c>
    </x:row>
    <x:row r="8" ht="68" customHeight="1">
      <x:c r="A8" s="19" t="str">
        <x:v>ME2-NPC-JOKER</x:v>
      </x:c>
      <x:c r="B8" s="7" t="str">
        <x:v>Jeff « Joker » Moreau</x:v>
      </x:c>
      <x:c r="C8" s="15" t="str">
        <x:v>Défini</x:v>
      </x:c>
      <x:c r="D8" s="17" t="str">
        <x:v>Établi</x:v>
      </x:c>
      <x:c r="E8" s="17" t="str">
        <x:v>P1</x:v>
      </x:c>
      <x:c r="F8" s="7" t="str">
        <x:v>Pilote du Normandy.</x:v>
      </x:c>
      <x:c r="G8" s="7" t="str">
        <x:v>PNJ mobile à vitesse adaptée pendant l’attaque ; trajet d’évasion lisible et sans mécanique de tir ajoutée.</x:v>
      </x:c>
      <x:c r="H8" s="7" t="str">
        <x:v>PNJ mobile à vitesse adaptée pendant l’attaque ; trajet d’évasion lisible et sans mécanique de tir ajoutée.</x:v>
      </x:c>
      <x:c r="I8" s="7" t="str">
        <x:v>Casquette et uniforme ; démarche prudente.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ME2-SRC-STORY</x:v>
      </x:c>
      <x:c r="R8" s="7" t="str">
        <x:v>https://masseffect.fandom.com/wiki/Storyline_II</x:v>
      </x:c>
      <x:c r="S8" s="7" t="str">
        <x:v>Spécification à réaliser. Les champs adaptation, gameplay, visual, animation, audio et implementation décrivent le fan game ; ils ne donnent pas des caractéristiques officielles de l’œuvre.</x:v>
      </x:c>
    </x:row>
    <x:row r="9" ht="68" customHeight="1">
      <x:c r="A9" s="18" t="str">
        <x:v>ME2-NPC-EDI</x:v>
      </x:c>
      <x:c r="B9" s="9" t="str">
        <x:v>EDI — intelligence du Normandy</x:v>
      </x:c>
      <x:c r="C9" s="15" t="str">
        <x:v>Défini</x:v>
      </x:c>
      <x:c r="D9" s="16" t="str">
        <x:v>Établi</x:v>
      </x:c>
      <x:c r="E9" s="16" t="str">
        <x:v>P1</x:v>
      </x:c>
      <x:c r="F9" s="9" t="str">
        <x:v>EDI intervient lors de l’enlèvement.</x:v>
      </x:c>
      <x:c r="G9" s="9" t="str">
        <x:v>Projection et voix de bord donnant un avertissement d’itinéraire ; contrôle du vaisseau sous état narratif.</x:v>
      </x:c>
      <x:c r="H9" s="9" t="str">
        <x:v>Projection et voix de bord donnant un avertissement d’itinéraire ; contrôle du vaisseau sous état narratif.</x:v>
      </x:c>
      <x:c r="I9" s="9" t="str">
        <x:v>Hologramme bleuté ; aucune enveloppe synthétique ME3.</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me2/npcs/edi ; rattacher les ressources et états cités à cet identifiant. Aucun fichier de jeu créé par ce catalogue.</x:v>
      </x:c>
      <x:c r="M9" s="9" t="str"/>
      <x:c r="N9" s="9" t="str">
        <x:v>Le livrable « EDI — intelligence du Normandy » possède une scène ou un scénario de contrôle ; ses règles proposées, ses conditions et ses retours visuels sont vérifiables séparément.</x:v>
      </x:c>
      <x:c r="O9" s="9" t="str"/>
      <x:c r="P9" s="9" t="str">
        <x:v>EDI — intelligence du Normandy</x:v>
      </x:c>
      <x:c r="Q9" s="9" t="str">
        <x:v>ME2-SRC-STORY</x:v>
      </x:c>
      <x:c r="R9" s="9" t="str">
        <x:v>https://masseffect.fandom.com/wiki/Storyline_II</x:v>
      </x:c>
      <x:c r="S9" s="9" t="str">
        <x:v>Spécification à réaliser. Les champs adaptation, gameplay, visual, animation, audio et implementation décrivent le fan game ; ils ne donnent pas des caractéristiques officielles de l’œuvre.</x:v>
      </x:c>
    </x:row>
    <x:row r="10" ht="68" customHeight="1">
      <x:c r="A10" s="19" t="str">
        <x:v>ME2-NPC-KELLY</x:v>
      </x:c>
      <x:c r="B10" s="7" t="str">
        <x:v>Kelly Chambers</x:v>
      </x:c>
      <x:c r="C10" s="15" t="str">
        <x:v>Défini</x:v>
      </x:c>
      <x:c r="D10" s="17" t="str">
        <x:v>Établi</x:v>
      </x:c>
      <x:c r="E10" s="17" t="str">
        <x:v>P1</x:v>
      </x:c>
      <x:c r="F10" s="7" t="str">
        <x:v>Membre de l’équipage du Normandy.</x:v>
      </x:c>
      <x:c r="G10" s="7" t="str">
        <x:v>Relais des demandes de loyauté ; file de messages annotée par provenance et disponibilité.</x:v>
      </x:c>
      <x:c r="H10" s="7" t="str">
        <x:v>Relais des demandes de loyauté ; file de messages annotée par provenance et disponibilité.</x:v>
      </x:c>
      <x:c r="I10" s="7" t="str">
        <x:v>Uniforme Cerberus et station d’accueil CIC.</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me2/npcs/kelly ; rattacher les ressources et états cités à cet identifiant. Aucun fichier de jeu créé par ce catalogue.</x:v>
      </x:c>
      <x:c r="M10" s="7" t="str"/>
      <x:c r="N10" s="7" t="str">
        <x:v>Le livrable « Kelly Chambers » possède une scène ou un scénario de contrôle ; ses règles proposées, ses conditions et ses retours visuels sont vérifiables séparément.</x:v>
      </x:c>
      <x:c r="O10" s="7" t="str"/>
      <x:c r="P10" s="7" t="str">
        <x:v>Kelly Chambers</x:v>
      </x:c>
      <x:c r="Q10" s="7" t="str">
        <x:v>ME2-SRC-CHAR</x:v>
      </x:c>
      <x:c r="R10" s="7" t="str">
        <x:v>https://masseffect.fandom.com/wiki/Characters/Mass_Effect_2</x:v>
      </x:c>
      <x:c r="S10" s="7" t="str">
        <x:v>Spécification à réaliser. Les champs adaptation, gameplay, visual, animation, audio et implementation décrivent le fan game ; ils ne donnent pas des caractéristiques officielles de l’œuvre.</x:v>
      </x:c>
    </x:row>
    <x:row r="11" ht="68" customHeight="1">
      <x:c r="A11" s="18" t="str">
        <x:v>ME2-NPC-CHAKWAS</x:v>
      </x:c>
      <x:c r="B11" s="9" t="str">
        <x:v>Karin Chakwas</x:v>
      </x:c>
      <x:c r="C11" s="15" t="str">
        <x:v>Défini</x:v>
      </x:c>
      <x:c r="D11" s="16" t="str">
        <x:v>Établi</x:v>
      </x:c>
      <x:c r="E11" s="16" t="str">
        <x:v>P1</x:v>
      </x:c>
      <x:c r="F11" s="9" t="str">
        <x:v>Médecin à bord du Normandy.</x:v>
      </x:c>
      <x:c r="G11" s="9" t="str">
        <x:v>Entretien de repos et point de soins ; dialogue particulier après sa demande de brandy.</x:v>
      </x:c>
      <x:c r="H11" s="9" t="str">
        <x:v>Entretien de repos et point de soins ; dialogue particulier après sa demande de brandy.</x:v>
      </x:c>
      <x:c r="I11" s="9" t="str">
        <x:v>Blouse médicale et plateau de soins ; gestes rassurants.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me2/npcs/chakwas ; rattacher les ressources et états cités à cet identifiant. Aucun fichier de jeu créé par ce catalogue.</x:v>
      </x:c>
      <x:c r="M11" s="9" t="str"/>
      <x:c r="N11" s="9" t="str">
        <x:v>Le livrable « Karin Chakwas » possède une scène ou un scénario de contrôle ; ses règles proposées, ses conditions et ses retours visuels sont vérifiables séparément.</x:v>
      </x:c>
      <x:c r="O11" s="9" t="str"/>
      <x:c r="P11" s="9" t="str">
        <x:v>Karin Chakwas</x:v>
      </x:c>
      <x:c r="Q11" s="9" t="str">
        <x:v>ME2-SRC-CHAR, ME2-SRC-ASSIGN</x:v>
      </x:c>
      <x:c r="R11" s="9" t="str">
        <x:v>https://masseffect.fandom.com/wiki/Characters/Mass_Effect_2
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ME2-NPC-KEN</x:v>
      </x:c>
      <x:c r="B12" s="7" t="str">
        <x:v>Kenneth Donnelly</x:v>
      </x:c>
      <x:c r="C12" s="15" t="str">
        <x:v>Défini</x:v>
      </x:c>
      <x:c r="D12" s="17" t="str">
        <x:v>Établi</x:v>
      </x:c>
      <x:c r="E12" s="17" t="str">
        <x:v>P1</x:v>
      </x:c>
      <x:c r="F12" s="7" t="str">
        <x:v>Technicien associé à la demande de coupleurs.</x:v>
      </x:c>
      <x:c r="G12" s="7" t="str">
        <x:v>Repère visuel des recherches mécaniques ; réplique originale déclenchée après livraison.</x:v>
      </x:c>
      <x:c r="H12" s="7" t="str">
        <x:v>Repère visuel des recherches mécaniques ; réplique originale déclenchée après livraison.</x:v>
      </x:c>
      <x:c r="I12" s="7" t="str">
        <x:v>Poste de maintenance et combinaison de service.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me2/npcs/ken ; rattacher les ressources et états cités à cet identifiant. Aucun fichier de jeu créé par ce catalogue.</x:v>
      </x:c>
      <x:c r="M12" s="7" t="str"/>
      <x:c r="N12" s="7" t="str">
        <x:v>Le livrable « Kenneth Donnelly » possède une scène ou un scénario de contrôle ; ses règles proposées, ses conditions et ses retours visuels sont vérifiables séparément.</x:v>
      </x:c>
      <x:c r="O12" s="7" t="str"/>
      <x:c r="P12" s="7" t="str">
        <x:v>Kenneth Donnelly</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ME2-NPC-GABBY</x:v>
      </x:c>
      <x:c r="B13" s="9" t="str">
        <x:v>Gabriella Daniels</x:v>
      </x:c>
      <x:c r="C13" s="15" t="str">
        <x:v>Défini</x:v>
      </x:c>
      <x:c r="D13" s="16" t="str">
        <x:v>Établi</x:v>
      </x:c>
      <x:c r="E13" s="16" t="str">
        <x:v>P1</x:v>
      </x:c>
      <x:c r="F13" s="9" t="str">
        <x:v>Technicienne liée aux coupleurs FBA.</x:v>
      </x:c>
      <x:c r="G13" s="9" t="str">
        <x:v>Dialogue d’atelier à deux interlocuteurs ; l’état de livraison ne doit se déclencher qu’une fois.</x:v>
      </x:c>
      <x:c r="H13" s="9" t="str">
        <x:v>Dialogue d’atelier à deux interlocuteurs ; l’état de livraison ne doit se déclencher qu’une fois.</x:v>
      </x:c>
      <x:c r="I13" s="9" t="str">
        <x:v>Silhouette humaine sur passerelle d’ingénierie.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me2/npcs/gabby ; rattacher les ressources et états cités à cet identifiant. Aucun fichier de jeu créé par ce catalogue.</x:v>
      </x:c>
      <x:c r="M13" s="9" t="str"/>
      <x:c r="N13" s="9" t="str">
        <x:v>Le livrable « Gabriella Daniels » possède une scène ou un scénario de contrôle ; ses règles proposées, ses conditions et ses retours visuels sont vérifiables séparément.</x:v>
      </x:c>
      <x:c r="O13" s="9" t="str"/>
      <x:c r="P13" s="9" t="str">
        <x:v>Gabriella Daniels</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ME2-NPC-GARDNER</x:v>
      </x:c>
      <x:c r="B14" s="7" t="str">
        <x:v>Rupert Gardner</x:v>
      </x:c>
      <x:c r="C14" s="15" t="str">
        <x:v>Défini</x:v>
      </x:c>
      <x:c r="D14" s="17" t="str">
        <x:v>Établi</x:v>
      </x:c>
      <x:c r="E14" s="17" t="str">
        <x:v>P1</x:v>
      </x:c>
      <x:c r="F14" s="7" t="str">
        <x:v>Demande des ingrédients pour le Normandy.</x:v>
      </x:c>
      <x:c r="G14" s="7" t="str">
        <x:v>Petit circuit d’approvisionnement sans combat obligatoire ; retour culinaire visible dans le mess.</x:v>
      </x:c>
      <x:c r="H14" s="7" t="str">
        <x:v>Petit circuit d’approvisionnement sans combat obligatoire ; retour culinaire visible dans le mess.</x:v>
      </x:c>
      <x:c r="I14" s="7" t="str">
        <x:v>Tablier de cuisine et poste multifonction.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me2/npcs/gardner ; rattacher les ressources et états cités à cet identifiant. Aucun fichier de jeu créé par ce catalogue.</x:v>
      </x:c>
      <x:c r="M14" s="7" t="str"/>
      <x:c r="N14" s="7" t="str">
        <x:v>Le livrable « Rupert Gardner » possède une scène ou un scénario de contrôle ; ses règles proposées, ses conditions et ses retours visuels sont vérifiables séparément.</x:v>
      </x:c>
      <x:c r="O14" s="7" t="str"/>
      <x:c r="P14" s="7" t="str">
        <x:v>Rupert Gardner</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ME2-NPC-ARIA</x:v>
      </x:c>
      <x:c r="B15" s="9" t="str">
        <x:v>Aria T’Loak</x:v>
      </x:c>
      <x:c r="C15" s="15" t="str">
        <x:v>Défini</x:v>
      </x:c>
      <x:c r="D15" s="16" t="str">
        <x:v>Établi</x:v>
      </x:c>
      <x:c r="E15" s="16" t="str">
        <x:v>P1</x:v>
      </x:c>
      <x:c r="F15" s="9" t="str">
        <x:v>Dirige Omega depuis Afterlife.</x:v>
      </x:c>
      <x:c r="G15" s="9" t="str">
        <x:v>Centre de renseignement : fournir plusieurs pistes sans forcer un ordre de recrutement.</x:v>
      </x:c>
      <x:c r="H15" s="9" t="str">
        <x:v>Centre de renseignement : fournir plusieurs pistes sans forcer un ordre de recrutement.</x:v>
      </x:c>
      <x:c r="I15" s="9" t="str">
        <x:v>Asari violette, tenue sombre et banquette surélevée.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me2/npcs/aria ; rattacher les ressources et états cités à cet identifiant. Aucun fichier de jeu créé par ce catalogue.</x:v>
      </x:c>
      <x:c r="M15" s="9" t="str"/>
      <x:c r="N15" s="9" t="str">
        <x:v>Le livrable « Aria T’Loak » possède une scène ou un scénario de contrôle ; ses règles proposées, ses conditions et ses retours visuels sont vérifiables séparément.</x:v>
      </x:c>
      <x:c r="O15" s="9" t="str"/>
      <x:c r="P15" s="9" t="str">
        <x:v>Aria T’Loak</x:v>
      </x:c>
      <x:c r="Q15" s="9" t="str">
        <x:v>ME2-SRC-OMEGA, ME2-SRC-PROF</x:v>
      </x:c>
      <x:c r="R15" s="9" t="str">
        <x:v>https://masseffect.fandom.com/wiki/Omega
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ME2-NPC-PATRIARCH</x:v>
      </x:c>
      <x:c r="B16" s="7" t="str">
        <x:v>Le Patriarche</x:v>
      </x:c>
      <x:c r="C16" s="15" t="str">
        <x:v>Défini</x:v>
      </x:c>
      <x:c r="D16" s="17" t="str">
        <x:v>Établi</x:v>
      </x:c>
      <x:c r="E16" s="17" t="str">
        <x:v>P1</x:v>
      </x:c>
      <x:c r="F16" s="7" t="str">
        <x:v>PNJ d’une affectation d’Omega.</x:v>
      </x:c>
      <x:c r="G16" s="7" t="str">
        <x:v>Entretien sur la protection personnelle ; choisir aide discrète ou confrontation annoncée.</x:v>
      </x:c>
      <x:c r="H16" s="7" t="str">
        <x:v>Entretien sur la protection personnelle ; choisir aide discrète ou confrontation annoncée.</x:v>
      </x:c>
      <x:c r="I16" s="7" t="str">
        <x:v>Krogan âgé assis dans un coin du club.</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me2/npcs/patriarch ; rattacher les ressources et états cités à cet identifiant. Aucun fichier de jeu créé par ce catalogue.</x:v>
      </x:c>
      <x:c r="M16" s="7" t="str"/>
      <x:c r="N16" s="7" t="str">
        <x:v>Le livrable « Le Patriarche » possède une scène ou un scénario de contrôle ; ses règles proposées, ses conditions et ses retours visuels sont vérifiables séparément.</x:v>
      </x:c>
      <x:c r="O16" s="7" t="str"/>
      <x:c r="P16" s="7" t="str">
        <x:v>Le Patriarche</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ME2-NPC-KENN</x:v>
      </x:c>
      <x:c r="B17" s="9" t="str">
        <x:v>Kenn</x:v>
      </x:c>
      <x:c r="C17" s="15" t="str">
        <x:v>Défini</x:v>
      </x:c>
      <x:c r="D17" s="16" t="str">
        <x:v>Établi</x:v>
      </x:c>
      <x:c r="E17" s="16" t="str">
        <x:v>P1</x:v>
      </x:c>
      <x:c r="F17" s="9" t="str">
        <x:v>Quarien de l’affectation Struggling Quarian.</x:v>
      </x:c>
      <x:c r="G17" s="9" t="str">
        <x:v>Marchand associé à une aide au départ ; prix et aide narrative restent deux états séparés.</x:v>
      </x:c>
      <x:c r="H17" s="9" t="str">
        <x:v>Marchand associé à une aide au départ ; prix et aide narrative restent deux états séparés.</x:v>
      </x:c>
      <x:c r="I17" s="9" t="str">
        <x:v>Combinaison quariène d’ouvrier et étal de récupération.</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me2/npcs/kenn ; rattacher les ressources et états cités à cet identifiant. Aucun fichier de jeu créé par ce catalogue.</x:v>
      </x:c>
      <x:c r="M17" s="9" t="str"/>
      <x:c r="N17" s="9" t="str">
        <x:v>Le livrable « Kenn » possède une scène ou un scénario de contrôle ; ses règles proposées, ses conditions et ses retours visuels sont vérifiables séparément.</x:v>
      </x:c>
      <x:c r="O17" s="9" t="str"/>
      <x:c r="P17" s="9" t="str">
        <x:v>Kenn</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ME2-NPC-ISH</x:v>
      </x:c>
      <x:c r="B18" s="7" t="str">
        <x:v>Ish</x:v>
      </x:c>
      <x:c r="C18" s="15" t="str">
        <x:v>Défini</x:v>
      </x:c>
      <x:c r="D18" s="17" t="str">
        <x:v>Établi</x:v>
      </x:c>
      <x:c r="E18" s="17" t="str">
        <x:v>P1</x:v>
      </x:c>
      <x:c r="F18" s="7" t="str">
        <x:v>Donneur de Packages for Ish.</x:v>
      </x:c>
      <x:c r="G18" s="7" t="str">
        <x:v>Remise de colis avec aperçu du destinataire ; laisser une issue de refus claire.</x:v>
      </x:c>
      <x:c r="H18" s="7" t="str">
        <x:v>Remise de colis avec aperçu du destinataire ; laisser une issue de refus claire.</x:v>
      </x:c>
      <x:c r="I18" s="7" t="str">
        <x:v>Salarien près d’une zone de transit.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me2/npcs/ish ; rattacher les ressources et états cités à cet identifiant. Aucun fichier de jeu créé par ce catalogue.</x:v>
      </x:c>
      <x:c r="M18" s="7" t="str"/>
      <x:c r="N18" s="7" t="str">
        <x:v>Le livrable « Ish » possède une scène ou un scénario de contrôle ; ses règles proposées, ses conditions et ses retours visuels sont vérifiables séparément.</x:v>
      </x:c>
      <x:c r="O18" s="7" t="str"/>
      <x:c r="P18" s="7" t="str">
        <x:v>Ish</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ME2-NPC-DANIEL</x:v>
      </x:c>
      <x:c r="B19" s="9" t="str">
        <x:v>Daniel Abrams</x:v>
      </x:c>
      <x:c r="C19" s="15" t="str">
        <x:v>Défini</x:v>
      </x:c>
      <x:c r="D19" s="16" t="str">
        <x:v>Établi</x:v>
      </x:c>
      <x:c r="E19" s="16" t="str">
        <x:v>P1</x:v>
      </x:c>
      <x:c r="F19" s="9" t="str">
        <x:v>Assistant de Mordin porté disparu.</x:v>
      </x:c>
      <x:c r="G19" s="9" t="str">
        <x:v>Résoudre un face-à-face de civils ; la sortie pacifique exige une lecture de la situation, pas une attaque.</x:v>
      </x:c>
      <x:c r="H19" s="9" t="str">
        <x:v>Résoudre un face-à-face de civils ; la sortie pacifique exige une lecture de la situation, pas une attaque.</x:v>
      </x:c>
      <x:c r="I19" s="9" t="str">
        <x:v>Tenue médicale au milieu d’un quartier hostile.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me2/npcs/daniel ; rattacher les ressources et états cités à cet identifiant. Aucun fichier de jeu créé par ce catalogue.</x:v>
      </x:c>
      <x:c r="M19" s="9" t="str"/>
      <x:c r="N19" s="9" t="str">
        <x:v>Le livrable « Daniel Abrams » possède une scène ou un scénario de contrôle ; ses règles proposées, ses conditions et ses retours visuels sont vérifiables séparément.</x:v>
      </x:c>
      <x:c r="O19" s="9" t="str"/>
      <x:c r="P19" s="9" t="str">
        <x:v>Daniel Abrams</x:v>
      </x:c>
      <x:c r="Q19" s="9" t="str">
        <x:v>ME2-SRC-PROF</x:v>
      </x:c>
      <x:c r="R19" s="9" t="str">
        <x:v>https://masseffect.fandom.com/wiki/Dossier%3A_The_Professor</x:v>
      </x:c>
      <x:c r="S19" s="9" t="str">
        <x:v>Spécification à réaliser. Les champs adaptation, gameplay, visual, animation, audio et implementation décrivent le fan game ; ils ne donnent pas des caractéristiques officielles de l’œuvre.</x:v>
      </x:c>
    </x:row>
    <x:row r="20" ht="68" customHeight="1">
      <x:c r="A20" s="19" t="str">
        <x:v>ME2-NPC-VEETOR</x:v>
      </x:c>
      <x:c r="B20" s="7" t="str">
        <x:v>Veetor’Nara</x:v>
      </x:c>
      <x:c r="C20" s="15" t="str">
        <x:v>Défini</x:v>
      </x:c>
      <x:c r="D20" s="17" t="str">
        <x:v>Établi</x:v>
      </x:c>
      <x:c r="E20" s="17" t="str">
        <x:v>P1</x:v>
      </x:c>
      <x:c r="F20" s="7" t="str">
        <x:v>Survivant retrouvé à Freedom’s Progress.</x:v>
      </x:c>
      <x:c r="G20" s="7" t="str">
        <x:v>Dialogue de stress avec espace et rythme contrôlés ; acquisition d’un témoignage sans combat contre lui.</x:v>
      </x:c>
      <x:c r="H20" s="7" t="str">
        <x:v>Dialogue de stress avec espace et rythme contrôlés ; acquisition d’un témoignage sans combat contre lui.</x:v>
      </x:c>
      <x:c r="I20" s="7" t="str">
        <x:v>Quarien entouré d’écrans de surveillance.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me2/npcs/veetor ; rattacher les ressources et états cités à cet identifiant. Aucun fichier de jeu créé par ce catalogue.</x:v>
      </x:c>
      <x:c r="M20" s="7" t="str"/>
      <x:c r="N20" s="7" t="str">
        <x:v>Le livrable « Veetor’Nara » possède une scène ou un scénario de contrôle ; ses règles proposées, ses conditions et ses retours visuels sont vérifiables séparément.</x:v>
      </x:c>
      <x:c r="O20" s="7" t="str"/>
      <x:c r="P20" s="7" t="str">
        <x:v>Veetor’Nara</x:v>
      </x:c>
      <x:c r="Q20" s="7" t="str">
        <x:v>ME2-SRC-FREEDOM</x:v>
      </x:c>
      <x:c r="R20" s="7" t="str">
        <x:v>https://masseffect.fandom.com/wiki/Freedom%27s_Progress_%28mission%29</x:v>
      </x:c>
      <x:c r="S20" s="7" t="str">
        <x:v>Spécification à réaliser. Les champs adaptation, gameplay, visual, animation, audio et implementation décrivent le fan game ; ils ne donnent pas des caractéristiques officielles de l’œuvre.</x:v>
      </x:c>
    </x:row>
    <x:row r="21" ht="68" customHeight="1">
      <x:c r="A21" s="18" t="str">
        <x:v>ME2-NPC-RENEGAR</x:v>
      </x:c>
      <x:c r="B21" s="9" t="str">
        <x:v>Kal’Reegar</x:v>
      </x:c>
      <x:c r="C21" s="15" t="str">
        <x:v>Défini</x:v>
      </x:c>
      <x:c r="D21" s="16" t="str">
        <x:v>Établi</x:v>
      </x:c>
      <x:c r="E21" s="16" t="str">
        <x:v>P1</x:v>
      </x:c>
      <x:c r="F21" s="9" t="str">
        <x:v>Soldat quarian présent à Haestrom.</x:v>
      </x:c>
      <x:c r="G21" s="9" t="str">
        <x:v>Soutien facultatif au Colosse ; afficher son exposition avant d’accepter son aide.</x:v>
      </x:c>
      <x:c r="H21" s="9" t="str">
        <x:v>Soutien facultatif au Colosse ; afficher son exposition avant d’accepter son aide.</x:v>
      </x:c>
      <x:c r="I21" s="9" t="str">
        <x:v>Armure quariène militaire ; arme lourde et blessures indiquées sobrement.</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me2/npcs/renegar ; rattacher les ressources et états cités à cet identifiant. Aucun fichier de jeu créé par ce catalogue.</x:v>
      </x:c>
      <x:c r="M21" s="9" t="str"/>
      <x:c r="N21" s="9" t="str">
        <x:v>Le livrable « Kal’Reegar » possède une scène ou un scénario de contrôle ; ses règles proposées, ses conditions et ses retours visuels sont vérifiables séparément.</x:v>
      </x:c>
      <x:c r="O21" s="9" t="str"/>
      <x:c r="P21" s="9" t="str">
        <x:v>Kal’Reegar</x:v>
      </x:c>
      <x:c r="Q21" s="9" t="str">
        <x:v>ME2-SRC-TALI</x:v>
      </x:c>
      <x:c r="R21" s="9" t="str">
        <x:v>https://masseffect.fandom.com/wiki/Dossier%3A_Tali</x:v>
      </x:c>
      <x:c r="S21" s="9" t="str">
        <x:v>Spécification à réaliser. Les champs adaptation, gameplay, visual, animation, audio et implementation décrivent le fan game ; ils ne donnent pas des caractéristiques officielles de l’œuvre.</x:v>
      </x:c>
    </x:row>
    <x:row r="22" ht="68" customHeight="1">
      <x:c r="A22" s="19" t="str">
        <x:v>ME2-NPC-OKEER</x:v>
      </x:c>
      <x:c r="B22" s="7" t="str">
        <x:v>Okeer</x:v>
      </x:c>
      <x:c r="C22" s="15" t="str">
        <x:v>Défini</x:v>
      </x:c>
      <x:c r="D22" s="17" t="str">
        <x:v>Établi</x:v>
      </x:c>
      <x:c r="E22" s="17" t="str">
        <x:v>P1</x:v>
      </x:c>
      <x:c r="F22" s="7" t="str">
        <x:v>Scientifique krogan à Korlus.</x:v>
      </x:c>
      <x:c r="G22" s="7" t="str">
        <x:v>Scène de laboratoire centrée sur son projet ; sa cuve constitue un résultat récupérable distinct du PNJ.</x:v>
      </x:c>
      <x:c r="H22" s="7" t="str">
        <x:v>Scène de laboratoire centrée sur son projet ; sa cuve constitue un résultat récupérable distinct du PNJ.</x:v>
      </x:c>
      <x:c r="I22" s="7" t="str">
        <x:v>Krogan âgé près de cuves de croissance.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me2/npcs/okeer ; rattacher les ressources et états cités à cet identifiant. Aucun fichier de jeu créé par ce catalogue.</x:v>
      </x:c>
      <x:c r="M22" s="7" t="str"/>
      <x:c r="N22" s="7" t="str">
        <x:v>Le livrable « Okeer » possède une scène ou un scénario de contrôle ; ses règles proposées, ses conditions et ses retours visuels sont vérifiables séparément.</x:v>
      </x:c>
      <x:c r="O22" s="7" t="str"/>
      <x:c r="P22" s="7" t="str">
        <x:v>Okeer</x:v>
      </x:c>
      <x:c r="Q22" s="7" t="str">
        <x:v>ME2-SRC-WARLORD</x:v>
      </x:c>
      <x:c r="R22" s="7" t="str">
        <x:v>https://masseffect.fandom.com/wiki/Dossier%3A_The_Warlord</x:v>
      </x:c>
      <x:c r="S22" s="7" t="str">
        <x:v>Spécification à réaliser. Les champs adaptation, gameplay, visual, animation, audio et implementation décrivent le fan game ; ils ne donnent pas des caractéristiques officielles de l’œuvre.</x:v>
      </x:c>
    </x:row>
    <x:row r="23" ht="68" customHeight="1">
      <x:c r="A23" s="18" t="str">
        <x:v>ME2-NPC-JEDORE</x:v>
      </x:c>
      <x:c r="B23" s="9" t="str">
        <x:v>Jedore</x:v>
      </x:c>
      <x:c r="C23" s="15" t="str">
        <x:v>Défini</x:v>
      </x:c>
      <x:c r="D23" s="16" t="str">
        <x:v>Établi</x:v>
      </x:c>
      <x:c r="E23" s="16" t="str">
        <x:v>P1</x:v>
      </x:c>
      <x:c r="F23" s="9" t="str">
        <x:v>Commande les mercenaires de Korlus.</x:v>
      </x:c>
      <x:c r="G23" s="9" t="str">
        <x:v>Antagoniste de rencontre : ordre de renfort lisible avant l’ouverture des cuves.</x:v>
      </x:c>
      <x:c r="H23" s="9" t="str">
        <x:v>Antagoniste de rencontre : ordre de renfort lisible avant l’ouverture des cuves.</x:v>
      </x:c>
      <x:c r="I23" s="9" t="str">
        <x:v>Officier humaine en position dominante.</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me2/npcs/jedore ; rattacher les ressources et états cités à cet identifiant. Aucun fichier de jeu créé par ce catalogue.</x:v>
      </x:c>
      <x:c r="M23" s="9" t="str"/>
      <x:c r="N23" s="9" t="str">
        <x:v>Le livrable « Jedore » possède une scène ou un scénario de contrôle ; ses règles proposées, ses conditions et ses retours visuels sont vérifiables séparément.</x:v>
      </x:c>
      <x:c r="O23" s="9" t="str"/>
      <x:c r="P23" s="9" t="str">
        <x:v>Jedore</x:v>
      </x:c>
      <x:c r="Q23" s="9" t="str">
        <x:v>ME2-SRC-WARLORD</x:v>
      </x:c>
      <x:c r="R23" s="9" t="str">
        <x:v>https://masseffect.fandom.com/wiki/Dossier%3A_The_Warlord</x:v>
      </x:c>
      <x:c r="S23" s="9" t="str">
        <x:v>Spécification à réaliser. Les champs adaptation, gameplay, visual, animation, audio et implementation décrivent le fan game ; ils ne donnent pas des caractéristiques officielles de l’œuvre.</x:v>
      </x:c>
    </x:row>
    <x:row r="24" ht="68" customHeight="1">
      <x:c r="A24" s="19" t="str">
        <x:v>ME2-NPC-KURIL</x:v>
      </x:c>
      <x:c r="B24" s="7" t="str">
        <x:v>Gardien Kuril</x:v>
      </x:c>
      <x:c r="C24" s="15" t="str">
        <x:v>Défini</x:v>
      </x:c>
      <x:c r="D24" s="17" t="str">
        <x:v>Établi</x:v>
      </x:c>
      <x:c r="E24" s="17" t="str">
        <x:v>P1</x:v>
      </x:c>
      <x:c r="F24" s="7" t="str">
        <x:v>Antagoniste de Purgatory.</x:v>
      </x:c>
      <x:c r="G24" s="7" t="str">
        <x:v>Mettre le marché de prisonnier et le combat sur deux états exclusifs ; l’hostilité ne débute qu’après la trahison.</x:v>
      </x:c>
      <x:c r="H24" s="7" t="str">
        <x:v>Mettre le marché de prisonnier et le combat sur deux états exclusifs ; l’hostilité ne débute qu’après la trahison.</x:v>
      </x:c>
      <x:c r="I24" s="7" t="str">
        <x:v>Turien en armure de garde et position de contrôle.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me2/npcs/kuril ; rattacher les ressources et états cités à cet identifiant. Aucun fichier de jeu créé par ce catalogue.</x:v>
      </x:c>
      <x:c r="M24" s="7" t="str"/>
      <x:c r="N24" s="7" t="str">
        <x:v>Le livrable « Gardien Kuril » possède une scène ou un scénario de contrôle ; ses règles proposées, ses conditions et ses retours visuels sont vérifiables séparément.</x:v>
      </x:c>
      <x:c r="O24" s="7" t="str"/>
      <x:c r="P24" s="7" t="str">
        <x:v>Gardien Kuril</x:v>
      </x:c>
      <x:c r="Q24" s="7" t="str">
        <x:v>ME2-SRC-CONVICT</x:v>
      </x:c>
      <x:c r="R24" s="7" t="str">
        <x:v>https://masseffect.fandom.com/wiki/Dossier%3A_The_Convict</x:v>
      </x:c>
      <x:c r="S24" s="7" t="str">
        <x:v>Spécification à réaliser. Les champs adaptation, gameplay, visual, animation, audio et implementation décrivent le fan game ; ils ne donnent pas des caractéristiques officielles de l’œuvre.</x:v>
      </x:c>
    </x:row>
    <x:row r="25" ht="68" customHeight="1">
      <x:c r="A25" s="18" t="str">
        <x:v>ME2-NPC-ANDERSON</x:v>
      </x:c>
      <x:c r="B25" s="9" t="str">
        <x:v>David Anderson</x:v>
      </x:c>
      <x:c r="C25" s="15" t="str">
        <x:v>Défini</x:v>
      </x:c>
      <x:c r="D25" s="16" t="str">
        <x:v>Établi</x:v>
      </x:c>
      <x:c r="E25" s="16" t="str">
        <x:v>P1</x:v>
      </x:c>
      <x:c r="F25" s="9" t="str">
        <x:v>Personnage de la rencontre au Conseil.</x:v>
      </x:c>
      <x:c r="G25" s="9" t="str">
        <x:v>Entretien de retrouvailles variable selon l’import ; aucun statut politique figé par défaut.</x:v>
      </x:c>
      <x:c r="H25" s="9" t="str">
        <x:v>Entretien de retrouvailles variable selon l’import ; aucun statut politique figé par défaut.</x:v>
      </x:c>
      <x:c r="I25" s="9" t="str">
        <x:v>Uniforme de l’Alliance, bureau Citadelle.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me2/npcs/anderson ; rattacher les ressources et états cités à cet identifiant. Aucun fichier de jeu créé par ce catalogue.</x:v>
      </x:c>
      <x:c r="M25" s="9" t="str">
        <x:v>Fonction exacte conditionnée par la sauvegarde.</x:v>
      </x:c>
      <x:c r="N25" s="9" t="str">
        <x:v>Le livrable « David Anderson » possède une scène ou un scénario de contrôle ; ses règles proposées, ses conditions et ses retours visuels sont vérifiables séparément.</x:v>
      </x:c>
      <x:c r="O25" s="9" t="str"/>
      <x:c r="P25" s="9" t="str">
        <x:v>David Anderson</x:v>
      </x:c>
      <x:c r="Q25" s="9" t="str">
        <x:v>ME2-SRC-MISSIONS, ME2-SRC-SAVE</x:v>
      </x:c>
      <x:c r="R25" s="9" t="str">
        <x:v>https://masseffect.fandom.com/wiki/Missions
https://masseffect.fandom.com/wiki/Save_File_Transfer</x:v>
      </x:c>
      <x:c r="S25" s="9" t="str">
        <x:v>Spécification à réaliser. Les champs adaptation, gameplay, visual, animation, audio et implementation décrivent le fan game ; ils ne donnent pas des caractéristiques officielles de l’œuvre.</x:v>
      </x:c>
    </x:row>
    <x:row r="26" ht="68" customHeight="1">
      <x:c r="A26" s="19" t="str">
        <x:v>ME2-NPC-BAILEY</x:v>
      </x:c>
      <x:c r="B26" s="7" t="str">
        <x:v>Capitaine Bailey</x:v>
      </x:c>
      <x:c r="C26" s="15" t="str">
        <x:v>Défini</x:v>
      </x:c>
      <x:c r="D26" s="17" t="str">
        <x:v>Établi</x:v>
      </x:c>
      <x:c r="E26" s="17" t="str">
        <x:v>P1</x:v>
      </x:c>
      <x:c r="F26" s="7" t="str">
        <x:v>Contact C-Sec des missions de Citadelle.</x:v>
      </x:c>
      <x:c r="G26" s="7" t="str">
        <x:v>Intermédiaire judiciaire : afficher ce qui relève de sa décision et ce qui relève de Shepard.</x:v>
      </x:c>
      <x:c r="H26" s="7" t="str">
        <x:v>Intermédiaire judiciaire : afficher ce qui relève de sa décision et ce qui relève de Shepard.</x:v>
      </x:c>
      <x:c r="I26" s="7" t="str">
        <x:v>Uniforme C-Sec, bureau aux écrans cyan.</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me2/npcs/bailey ; rattacher les ressources et états cités à cet identifiant. Aucun fichier de jeu créé par ce catalogue.</x:v>
      </x:c>
      <x:c r="M26" s="7" t="str"/>
      <x:c r="N26" s="7" t="str">
        <x:v>Le livrable « Capitaine Bailey » possède une scène ou un scénario de contrôle ; ses règles proposées, ses conditions et ses retours visuels sont vérifiables séparément.</x:v>
      </x:c>
      <x:c r="O26" s="7" t="str"/>
      <x:c r="P26" s="7" t="str">
        <x:v>Capitaine Bailey</x:v>
      </x:c>
      <x:c r="Q26" s="7" t="str">
        <x:v>ME2-SRC-MISSIONS, ME2-SRC-THANE</x:v>
      </x:c>
      <x:c r="R26" s="7" t="str">
        <x:v>https://masseffect.fandom.com/wiki/Missions
https://masseffect.fandom.com/wiki/Thane%3A_Sins_of_the_Father</x:v>
      </x:c>
      <x:c r="S26" s="7" t="str">
        <x:v>Spécification à réaliser. Les champs adaptation, gameplay, visual, animation, audio et implementation décrivent le fan game ; ils ne donnent pas des caractéristiques officielles de l’œuvre.</x:v>
      </x:c>
    </x:row>
    <x:row r="27" ht="68" customHeight="1">
      <x:c r="A27" s="18" t="str">
        <x:v>ME2-NPC-HARKIN</x:v>
      </x:c>
      <x:c r="B27" s="9" t="str">
        <x:v>Harkin / Fade</x:v>
      </x:c>
      <x:c r="C27" s="15" t="str">
        <x:v>Défini</x:v>
      </x:c>
      <x:c r="D27" s="16" t="str">
        <x:v>Établi</x:v>
      </x:c>
      <x:c r="E27" s="16" t="str">
        <x:v>P1</x:v>
      </x:c>
      <x:c r="F27" s="9" t="str">
        <x:v>Garrus cherche Fade pour atteindre Sidonis.</x:v>
      </x:c>
      <x:c r="G27" s="9" t="str">
        <x:v>Interrogatoire avec preuve et pression ; interaction pouvant exposer un chemin de service.</x:v>
      </x:c>
      <x:c r="H27" s="9" t="str">
        <x:v>Interrogatoire avec preuve et pression ; interaction pouvant exposer un chemin de service.</x:v>
      </x:c>
      <x:c r="I27" s="9" t="str">
        <x:v>Tenue civile usée dans le quartier industriel.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me2/npcs/harkin ; rattacher les ressources et états cités à cet identifiant. Aucun fichier de jeu créé par ce catalogue.</x:v>
      </x:c>
      <x:c r="M27" s="9" t="str"/>
      <x:c r="N27" s="9" t="str">
        <x:v>Le livrable « Harkin / Fade » possède une scène ou un scénario de contrôle ; ses règles proposées, ses conditions et ses retours visuels sont vérifiables séparément.</x:v>
      </x:c>
      <x:c r="O27" s="9" t="str"/>
      <x:c r="P27" s="9" t="str">
        <x:v>Harkin / Fade</x:v>
      </x:c>
      <x:c r="Q27" s="9" t="str">
        <x:v>ME2-SRC-GARRUS</x:v>
      </x:c>
      <x:c r="R27" s="9" t="str">
        <x:v>https://masseffect.fandom.com/wiki/Garrus%3A_Eye_for_an_Eye</x:v>
      </x:c>
      <x:c r="S27" s="9" t="str">
        <x:v>Spécification à réaliser. Les champs adaptation, gameplay, visual, animation, audio et implementation décrivent le fan game ; ils ne donnent pas des caractéristiques officielles de l’œuvre.</x:v>
      </x:c>
    </x:row>
    <x:row r="28" ht="68" customHeight="1">
      <x:c r="A28" s="19" t="str">
        <x:v>ME2-NPC-SIDONIS</x:v>
      </x:c>
      <x:c r="B28" s="7" t="str">
        <x:v>Sidonis</x:v>
      </x:c>
      <x:c r="C28" s="15" t="str">
        <x:v>Défini</x:v>
      </x:c>
      <x:c r="D28" s="17" t="str">
        <x:v>Établi</x:v>
      </x:c>
      <x:c r="E28" s="17" t="str">
        <x:v>P1</x:v>
      </x:c>
      <x:c r="F28" s="7" t="str">
        <x:v>Ancien membre de l’équipe de Garrus.</x:v>
      </x:c>
      <x:c r="G28" s="7" t="str">
        <x:v>Entretien dans une ligne de tir ; positionner Shepard entre la cible et le viseur avant le choix final.</x:v>
      </x:c>
      <x:c r="H28" s="7" t="str">
        <x:v>Entretien dans une ligne de tir ; positionner Shepard entre la cible et le viseur avant le choix final.</x:v>
      </x:c>
      <x:c r="I28" s="7" t="str">
        <x:v>Turien civil sur belvédère urbain.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me2/npcs/sidonis ; rattacher les ressources et états cités à cet identifiant. Aucun fichier de jeu créé par ce catalogue.</x:v>
      </x:c>
      <x:c r="M28" s="7" t="str"/>
      <x:c r="N28" s="7" t="str">
        <x:v>Le livrable « Sidonis » possède une scène ou un scénario de contrôle ; ses règles proposées, ses conditions et ses retours visuels sont vérifiables séparément.</x:v>
      </x:c>
      <x:c r="O28" s="7" t="str"/>
      <x:c r="P28" s="7" t="str">
        <x:v>Sidonis</x:v>
      </x:c>
      <x:c r="Q28" s="7" t="str">
        <x:v>ME2-SRC-GARRUS</x:v>
      </x:c>
      <x:c r="R28" s="7" t="str">
        <x:v>https://masseffect.fandom.com/wiki/Garrus%3A_Eye_for_an_Eye</x:v>
      </x:c>
      <x:c r="S28" s="7" t="str">
        <x:v>Spécification à réaliser. Les champs adaptation, gameplay, visual, animation, audio et implementation décrivent le fan game ; ils ne donnent pas des caractéristiques officielles de l’œuvre.</x:v>
      </x:c>
    </x:row>
    <x:row r="29" ht="68" customHeight="1">
      <x:c r="A29" s="18" t="str">
        <x:v>ME2-NPC-NIKET</x:v>
      </x:c>
      <x:c r="B29" s="9" t="str">
        <x:v>Niket</x:v>
      </x:c>
      <x:c r="C29" s="15" t="str">
        <x:v>Défini</x:v>
      </x:c>
      <x:c r="D29" s="16" t="str">
        <x:v>Établi</x:v>
      </x:c>
      <x:c r="E29" s="16" t="str">
        <x:v>P1</x:v>
      </x:c>
      <x:c r="F29" s="9" t="str">
        <x:v>Ami d’enfance impliqué dans l’arc de Miranda.</x:v>
      </x:c>
      <x:c r="G29" s="9" t="str">
        <x:v>Confrontation à plusieurs regards ; état de révélation sépare identité, intention et résolution.</x:v>
      </x:c>
      <x:c r="H29" s="9" t="str">
        <x:v>Confrontation à plusieurs regards ; état de révélation sépare identité, intention et résolution.</x:v>
      </x:c>
      <x:c r="I29" s="9" t="str">
        <x:v>Humain en costume dans le terminal de fret.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me2/npcs/niket ; rattacher les ressources et états cités à cet identifiant. Aucun fichier de jeu créé par ce catalogue.</x:v>
      </x:c>
      <x:c r="M29" s="9" t="str"/>
      <x:c r="N29" s="9" t="str">
        <x:v>Le livrable « Niket » possède une scène ou un scénario de contrôle ; ses règles proposées, ses conditions et ses retours visuels sont vérifiables séparément.</x:v>
      </x:c>
      <x:c r="O29" s="9" t="str"/>
      <x:c r="P29" s="9" t="str">
        <x:v>Niket</x:v>
      </x:c>
      <x:c r="Q29" s="9" t="str">
        <x:v>ME2-SRC-MIRANDA</x:v>
      </x:c>
      <x:c r="R29" s="9" t="str">
        <x:v>https://masseffect.fandom.com/wiki/Miranda%3A_The_Prodigal</x:v>
      </x:c>
      <x:c r="S29" s="9" t="str">
        <x:v>Spécification à réaliser. Les champs adaptation, gameplay, visual, animation, audio et implementation décrivent le fan game ; ils ne donnent pas des caractéristiques officielles de l’œuvre.</x:v>
      </x:c>
    </x:row>
    <x:row r="30" ht="68" customHeight="1">
      <x:c r="A30" s="19" t="str">
        <x:v>ME2-NPC-ORIANA</x:v>
      </x:c>
      <x:c r="B30" s="7" t="str">
        <x:v>Oriana Lawson</x:v>
      </x:c>
      <x:c r="C30" s="15" t="str">
        <x:v>Défini</x:v>
      </x:c>
      <x:c r="D30" s="17" t="str">
        <x:v>Établi</x:v>
      </x:c>
      <x:c r="E30" s="17" t="str">
        <x:v>P1</x:v>
      </x:c>
      <x:c r="F30" s="7" t="str">
        <x:v>Sœur de Miranda au cœur de sa loyauté.</x:v>
      </x:c>
      <x:c r="G30" s="7" t="str">
        <x:v>Brève scène familiale après sécurisation ; aucune escorte combattante artificielle.</x:v>
      </x:c>
      <x:c r="H30" s="7" t="str">
        <x:v>Brève scène familiale après sécurisation ; aucune escorte combattante artificielle.</x:v>
      </x:c>
      <x:c r="I30" s="7" t="str">
        <x:v>Civile et famille en zone sûre.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me2/npcs/oriana ; rattacher les ressources et états cités à cet identifiant. Aucun fichier de jeu créé par ce catalogue.</x:v>
      </x:c>
      <x:c r="M30" s="7" t="str"/>
      <x:c r="N30" s="7" t="str">
        <x:v>Le livrable « Oriana Lawson » possède une scène ou un scénario de contrôle ; ses règles proposées, ses conditions et ses retours visuels sont vérifiables séparément.</x:v>
      </x:c>
      <x:c r="O30" s="7" t="str"/>
      <x:c r="P30" s="7" t="str">
        <x:v>Oriana Lawson</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ME2-NPC-MAELON</x:v>
      </x:c>
      <x:c r="B31" s="9" t="str">
        <x:v>Maelon</x:v>
      </x:c>
      <x:c r="C31" s="15" t="str">
        <x:v>Défini</x:v>
      </x:c>
      <x:c r="D31" s="16" t="str">
        <x:v>Établi</x:v>
      </x:c>
      <x:c r="E31" s="16" t="str">
        <x:v>P1</x:v>
      </x:c>
      <x:c r="F31" s="9" t="str">
        <x:v>Ancien assistant de Mordin.</x:v>
      </x:c>
      <x:c r="G31" s="9" t="str">
        <x:v>Confrontation éthique : dissocier sort du chercheur et conservation de ses données.</x:v>
      </x:c>
      <x:c r="H31" s="9" t="str">
        <x:v>Confrontation éthique : dissocier sort du chercheur et conservation de ses données.</x:v>
      </x:c>
      <x:c r="I31" s="9" t="str">
        <x:v>Salarien dans un laboratoire dégradé.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me2/npcs/maelon ; rattacher les ressources et états cités à cet identifiant. Aucun fichier de jeu créé par ce catalogue.</x:v>
      </x:c>
      <x:c r="M31" s="9" t="str"/>
      <x:c r="N31" s="9" t="str">
        <x:v>Le livrable « Maelon » possède une scène ou un scénario de contrôle ; ses règles proposées, ses conditions et ses retours visuels sont vérifiables séparément.</x:v>
      </x:c>
      <x:c r="O31" s="9" t="str"/>
      <x:c r="P31" s="9" t="str">
        <x:v>Maelon</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ME2-NPC-RONALD</x:v>
      </x:c>
      <x:c r="B32" s="7" t="str">
        <x:v>Ronald Taylor</x:v>
      </x:c>
      <x:c r="C32" s="15" t="str">
        <x:v>Défini</x:v>
      </x:c>
      <x:c r="D32" s="17" t="str">
        <x:v>Établi</x:v>
      </x:c>
      <x:c r="E32" s="17" t="str">
        <x:v>P1</x:v>
      </x:c>
      <x:c r="F32" s="7" t="str">
        <x:v>Père de Jacob sur Aeia.</x:v>
      </x:c>
      <x:c r="G32" s="7" t="str">
        <x:v>Révélation des journaux avant jugement ; conserver une trace distincte du sort des survivants.</x:v>
      </x:c>
      <x:c r="H32" s="7" t="str">
        <x:v>Révélation des journaux avant jugement ; conserver une trace distincte du sort des survivants.</x:v>
      </x:c>
      <x:c r="I32" s="7" t="str">
        <x:v>Uniforme usé, installation de fortune et entourage armé.</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me2/npcs/ronald ; rattacher les ressources et états cités à cet identifiant. Aucun fichier de jeu créé par ce catalogue.</x:v>
      </x:c>
      <x:c r="M32" s="7" t="str"/>
      <x:c r="N32" s="7" t="str">
        <x:v>Le livrable « Ronald Taylor » possède une scène ou un scénario de contrôle ; ses règles proposées, ses conditions et ses retours visuels sont vérifiables séparément.</x:v>
      </x:c>
      <x:c r="O32" s="7" t="str"/>
      <x:c r="P32" s="7" t="str">
        <x:v>Ronald Taylor</x:v>
      </x:c>
      <x:c r="Q32" s="7" t="str">
        <x:v>ME2-SRC-JACOB</x:v>
      </x:c>
      <x:c r="R32" s="7" t="str">
        <x:v>https://masseffect.fandom.com/wiki/Jacob%3A_The_Gift_of_Greatness</x:v>
      </x:c>
      <x:c r="S32" s="7" t="str">
        <x:v>Spécification à réaliser. Les champs adaptation, gameplay, visual, animation, audio et implementation décrivent le fan game ; ils ne donnent pas des caractéristiques officielles de l’œuvre.</x:v>
      </x:c>
    </x:row>
    <x:row r="33" ht="68" customHeight="1">
      <x:c r="A33" s="18" t="str">
        <x:v>ME2-NPC-ARESH</x:v>
      </x:c>
      <x:c r="B33" s="9" t="str">
        <x:v>Aresh</x:v>
      </x:c>
      <x:c r="C33" s="15" t="str">
        <x:v>Défini</x:v>
      </x:c>
      <x:c r="D33" s="16" t="str">
        <x:v>Établi</x:v>
      </x:c>
      <x:c r="E33" s="16" t="str">
        <x:v>P1</x:v>
      </x:c>
      <x:c r="F33" s="9" t="str">
        <x:v>Rencontré pendant le retour de Jack.</x:v>
      </x:c>
      <x:c r="G33" s="9" t="str">
        <x:v>Dialogue de confrontation près de la charge ; interruption de désescalade lisible.</x:v>
      </x:c>
      <x:c r="H33" s="9" t="str">
        <x:v>Dialogue de confrontation près de la charge ; interruption de désescalade lisible.</x:v>
      </x:c>
      <x:c r="I33" s="9" t="str">
        <x:v>Humain isolé dans le centre de détention abandonné.</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me2/npcs/aresh ; rattacher les ressources et états cités à cet identifiant. Aucun fichier de jeu créé par ce catalogue.</x:v>
      </x:c>
      <x:c r="M33" s="9" t="str"/>
      <x:c r="N33" s="9" t="str">
        <x:v>Le livrable « Aresh » possède une scène ou un scénario de contrôle ; ses règles proposées, ses conditions et ses retours visuels sont vérifiables séparément.</x:v>
      </x:c>
      <x:c r="O33" s="9" t="str"/>
      <x:c r="P33" s="9" t="str">
        <x:v>Aresh</x:v>
      </x:c>
      <x:c r="Q33" s="9" t="str">
        <x:v>ME2-SRC-JACK, ME2-SRC-INTERRUPT</x:v>
      </x:c>
      <x:c r="R33" s="9" t="str">
        <x:v>https://masseffect.fandom.com/wiki/Jack%3A_Subject_Zero
https://masseffect.fandom.com/wiki/Interrupt</x:v>
      </x:c>
      <x:c r="S33" s="9" t="str">
        <x:v>Spécification à réaliser. Les champs adaptation, gameplay, visual, animation, audio et implementation décrivent le fan game ; ils ne donnent pas des caractéristiques officielles de l’œuvre.</x:v>
      </x:c>
    </x:row>
    <x:row r="34" ht="68" customHeight="1">
      <x:c r="A34" s="19" t="str">
        <x:v>ME2-NPC-KOLYAT</x:v>
      </x:c>
      <x:c r="B34" s="7" t="str">
        <x:v>Kolyat Krios</x:v>
      </x:c>
      <x:c r="C34" s="15" t="str">
        <x:v>Défini</x:v>
      </x:c>
      <x:c r="D34" s="17" t="str">
        <x:v>Établi</x:v>
      </x:c>
      <x:c r="E34" s="17" t="str">
        <x:v>P1</x:v>
      </x:c>
      <x:c r="F34" s="7" t="str">
        <x:v>Fils de Thane impliqué dans un contrat.</x:v>
      </x:c>
      <x:c r="G34" s="7" t="str">
        <x:v>Filature suivie d’une scène d’interception ; pas de combat requis pour réussir.</x:v>
      </x:c>
      <x:c r="H34" s="7" t="str">
        <x:v>Filature suivie d’une scène d’interception ; pas de combat requis pour réussir.</x:v>
      </x:c>
      <x:c r="I34" s="7" t="str">
        <x:v>Drell jeune, arme de poing ; silhouette distincte du père.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me2/npcs/kolyat ; rattacher les ressources et états cités à cet identifiant. Aucun fichier de jeu créé par ce catalogue.</x:v>
      </x:c>
      <x:c r="M34" s="7" t="str"/>
      <x:c r="N34" s="7" t="str">
        <x:v>Le livrable « Kolyat Krios » possède une scène ou un scénario de contrôle ; ses règles proposées, ses conditions et ses retours visuels sont vérifiables séparément.</x:v>
      </x:c>
      <x:c r="O34" s="7" t="str"/>
      <x:c r="P34" s="7" t="str">
        <x:v>Kolyat Krios</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ME2-NPC-TALID</x:v>
      </x:c>
      <x:c r="B35" s="9" t="str">
        <x:v>Joram Talid</x:v>
      </x:c>
      <x:c r="C35" s="15" t="str">
        <x:v>Défini</x:v>
      </x:c>
      <x:c r="D35" s="16" t="str">
        <x:v>Établi</x:v>
      </x:c>
      <x:c r="E35" s="16" t="str">
        <x:v>P1</x:v>
      </x:c>
      <x:c r="F35" s="9" t="str">
        <x:v>Cible du contrat de Kolyat.</x:v>
      </x:c>
      <x:c r="G35" s="9" t="str">
        <x:v>Personnage de filature avec arrêts lisibles ; ne pas lui attribuer des actions de combat inventées comme canon.</x:v>
      </x:c>
      <x:c r="H35" s="9" t="str">
        <x:v>Personnage de filature avec arrêts lisibles ; ne pas lui attribuer des actions de combat inventées comme canon.</x:v>
      </x:c>
      <x:c r="I35" s="9" t="str">
        <x:v>Turien en tenue politique et garde du corps.</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me2/npcs/talid ; rattacher les ressources et états cités à cet identifiant. Aucun fichier de jeu créé par ce catalogue.</x:v>
      </x:c>
      <x:c r="M35" s="9" t="str"/>
      <x:c r="N35" s="9" t="str">
        <x:v>Le livrable « Joram Talid » possède une scène ou un scénario de contrôle ; ses règles proposées, ses conditions et ses retours visuels sont vérifiables séparément.</x:v>
      </x:c>
      <x:c r="O35" s="9" t="str"/>
      <x:c r="P35" s="9" t="str">
        <x:v>Joram Talid</x:v>
      </x:c>
      <x:c r="Q35" s="9" t="str">
        <x:v>ME2-SRC-THANE</x:v>
      </x:c>
      <x:c r="R35" s="9" t="str">
        <x:v>https://masseffect.fandom.com/wiki/Thane%3A_Sins_of_the_Father</x:v>
      </x:c>
      <x:c r="S35" s="9" t="str">
        <x:v>Spécification à réaliser. Les champs adaptation, gameplay, visual, animation, audio et implementation décrivent le fan game ; ils ne donnent pas des caractéristiques officielles de l’œuvre.</x:v>
      </x:c>
    </x:row>
    <x:row r="36" ht="68" customHeight="1">
      <x:c r="A36" s="19" t="str">
        <x:v>ME2-NPC-RAAN</x:v>
      </x:c>
      <x:c r="B36" s="7" t="str">
        <x:v>Shala’Raan</x:v>
      </x:c>
      <x:c r="C36" s="15" t="str">
        <x:v>Défini</x:v>
      </x:c>
      <x:c r="D36" s="17" t="str">
        <x:v>Établi</x:v>
      </x:c>
      <x:c r="E36" s="17" t="str">
        <x:v>P1</x:v>
      </x:c>
      <x:c r="F36" s="7" t="str">
        <x:v>Amirale présente au procès de Tali.</x:v>
      </x:c>
      <x:c r="G36" s="7" t="str">
        <x:v>Interlocutrice de soutien ; afficher le rôle institutionnel indépendamment de l’affection.</x:v>
      </x:c>
      <x:c r="H36" s="7" t="str">
        <x:v>Interlocutrice de soutien ; afficher le rôle institutionnel indépendamment de l’affection.</x:v>
      </x:c>
      <x:c r="I36" s="7" t="str">
        <x:v>Combinaison quariène d’officier et lumière d’audience.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me2/npcs/raan ; rattacher les ressources et états cités à cet identifiant. Aucun fichier de jeu créé par ce catalogue.</x:v>
      </x:c>
      <x:c r="M36" s="7" t="str"/>
      <x:c r="N36" s="7" t="str">
        <x:v>Le livrable « Shala’Raan » possède une scène ou un scénario de contrôle ; ses règles proposées, ses conditions et ses retours visuels sont vérifiables séparément.</x:v>
      </x:c>
      <x:c r="O36" s="7" t="str"/>
      <x:c r="P36" s="7" t="str">
        <x:v>Shala’Raan</x:v>
      </x:c>
      <x:c r="Q36" s="7" t="str">
        <x:v>ME2-SRC-TREASON</x:v>
      </x:c>
      <x:c r="R36" s="7" t="str">
        <x:v>https://masseffect.fandom.com/wiki/Tali%3A_Treason</x:v>
      </x:c>
      <x:c r="S36" s="7" t="str">
        <x:v>Spécification à réaliser. Les champs adaptation, gameplay, visual, animation, audio et implementation décrivent le fan game ; ils ne donnent pas des caractéristiques officielles de l’œuvre.</x:v>
      </x:c>
    </x:row>
    <x:row r="37" ht="68" customHeight="1">
      <x:c r="A37" s="18" t="str">
        <x:v>ME2-NPC-KORIS</x:v>
      </x:c>
      <x:c r="B37" s="9" t="str">
        <x:v>Zaal’Koris</x:v>
      </x:c>
      <x:c r="C37" s="15" t="str">
        <x:v>Défini</x:v>
      </x:c>
      <x:c r="D37" s="16" t="str">
        <x:v>Établi</x:v>
      </x:c>
      <x:c r="E37" s="16" t="str">
        <x:v>P1</x:v>
      </x:c>
      <x:c r="F37" s="9" t="str">
        <x:v>Amiral du procès de Tali.</x:v>
      </x:c>
      <x:c r="G37" s="9" t="str">
        <x:v>Point de vue politique opposé à la guerre ; dialogue original appuyé sur les preuves disponibles.</x:v>
      </x:c>
      <x:c r="H37" s="9" t="str">
        <x:v>Point de vue politique opposé à la guerre ; dialogue original appuyé sur les preuves disponibles.</x:v>
      </x:c>
      <x:c r="I37" s="9" t="str">
        <x:v>Quarien aux signes d’amiral distincts.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me2/npcs/koris ; rattacher les ressources et états cités à cet identifiant. Aucun fichier de jeu créé par ce catalogue.</x:v>
      </x:c>
      <x:c r="M37" s="9" t="str"/>
      <x:c r="N37" s="9" t="str">
        <x:v>Le livrable « Zaal’Koris » possède une scène ou un scénario de contrôle ; ses règles proposées, ses conditions et ses retours visuels sont vérifiables séparément.</x:v>
      </x:c>
      <x:c r="O37" s="9" t="str"/>
      <x:c r="P37" s="9" t="str">
        <x:v>Zaal’Koris</x:v>
      </x:c>
      <x:c r="Q37" s="9" t="str">
        <x:v>ME2-SRC-TREASON</x:v>
      </x:c>
      <x:c r="R37" s="9" t="str">
        <x:v>https://masseffect.fandom.com/wiki/Tali%3A_Treason</x:v>
      </x:c>
      <x:c r="S37" s="9" t="str">
        <x:v>Spécification à réaliser. Les champs adaptation, gameplay, visual, animation, audio et implementation décrivent le fan game ; ils ne donnent pas des caractéristiques officielles de l’œuvre.</x:v>
      </x:c>
    </x:row>
    <x:row r="38" ht="68" customHeight="1">
      <x:c r="A38" s="19" t="str">
        <x:v>ME2-NPC-GERREL</x:v>
      </x:c>
      <x:c r="B38" s="7" t="str">
        <x:v>Han’Gerrel</x:v>
      </x:c>
      <x:c r="C38" s="15" t="str">
        <x:v>Défini</x:v>
      </x:c>
      <x:c r="D38" s="17" t="str">
        <x:v>Établi</x:v>
      </x:c>
      <x:c r="E38" s="17" t="str">
        <x:v>P1</x:v>
      </x:c>
      <x:c r="F38" s="7" t="str">
        <x:v>Amiral du procès de Tali.</x:v>
      </x:c>
      <x:c r="G38" s="7" t="str">
        <x:v>Position martiale du débat ; ses interventions ne remplacent pas le verdict.</x:v>
      </x:c>
      <x:c r="H38" s="7" t="str">
        <x:v>Position martiale du débat ; ses interventions ne remplacent pas le verdict.</x:v>
      </x:c>
      <x:c r="I38" s="7" t="str">
        <x:v>Quarien d’allure militaire.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me2/npcs/gerrel ; rattacher les ressources et états cités à cet identifiant. Aucun fichier de jeu créé par ce catalogue.</x:v>
      </x:c>
      <x:c r="M38" s="7" t="str"/>
      <x:c r="N38" s="7" t="str">
        <x:v>Le livrable « Han’Gerrel » possède une scène ou un scénario de contrôle ; ses règles proposées, ses conditions et ses retours visuels sont vérifiables séparément.</x:v>
      </x:c>
      <x:c r="O38" s="7" t="str"/>
      <x:c r="P38" s="7" t="str">
        <x:v>Han’Gerrel</x:v>
      </x:c>
      <x:c r="Q38" s="7" t="str">
        <x:v>ME2-SRC-TREASON</x:v>
      </x:c>
      <x:c r="R38" s="7" t="str">
        <x:v>https://masseffect.fandom.com/wiki/Tali%3A_Treason</x:v>
      </x:c>
      <x:c r="S38" s="7" t="str">
        <x:v>Spécification à réaliser. Les champs adaptation, gameplay, visual, animation, audio et implementation décrivent le fan game ; ils ne donnent pas des caractéristiques officielles de l’œuvre.</x:v>
      </x:c>
    </x:row>
    <x:row r="39" ht="68" customHeight="1">
      <x:c r="A39" s="18" t="str">
        <x:v>ME2-NPC-XEN</x:v>
      </x:c>
      <x:c r="B39" s="9" t="str">
        <x:v>Daro’Xen</x:v>
      </x:c>
      <x:c r="C39" s="15" t="str">
        <x:v>Défini</x:v>
      </x:c>
      <x:c r="D39" s="16" t="str">
        <x:v>Établi</x:v>
      </x:c>
      <x:c r="E39" s="16" t="str">
        <x:v>P1</x:v>
      </x:c>
      <x:c r="F39" s="9" t="str">
        <x:v>Amirale du procès de Tali.</x:v>
      </x:c>
      <x:c r="G39" s="9" t="str">
        <x:v>Perspective technologique ; questionner les preuves geth avec un volet de codex séparé.</x:v>
      </x:c>
      <x:c r="H39" s="9" t="str">
        <x:v>Perspective technologique ; questionner les preuves geth avec un volet de codex séparé.</x:v>
      </x:c>
      <x:c r="I39" s="9" t="str">
        <x:v>Capuche claire et gestes d’analyse.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me2/npcs/xen ; rattacher les ressources et états cités à cet identifiant. Aucun fichier de jeu créé par ce catalogue.</x:v>
      </x:c>
      <x:c r="M39" s="9" t="str"/>
      <x:c r="N39" s="9" t="str">
        <x:v>Le livrable « Daro’Xen » possède une scène ou un scénario de contrôle ; ses règles proposées, ses conditions et ses retours visuels sont vérifiables séparément.</x:v>
      </x:c>
      <x:c r="O39" s="9" t="str"/>
      <x:c r="P39" s="9" t="str">
        <x:v>Daro’Xen</x:v>
      </x:c>
      <x:c r="Q39" s="9" t="str">
        <x:v>ME2-SRC-TREASON</x:v>
      </x:c>
      <x:c r="R39" s="9" t="str">
        <x:v>https://masseffect.fandom.com/wiki/Tali%3A_Treason</x:v>
      </x:c>
      <x:c r="S39" s="9" t="str">
        <x:v>Spécification à réaliser. Les champs adaptation, gameplay, visual, animation, audio et implementation décrivent le fan game ; ils ne donnent pas des caractéristiques officielles de l’œuvre.</x:v>
      </x:c>
    </x:row>
    <x:row r="40" ht="68" customHeight="1">
      <x:c r="A40" s="19" t="str">
        <x:v>ME2-NPC-HOCK</x:v>
      </x:c>
      <x:c r="B40" s="7" t="str">
        <x:v>Donovan Hock</x:v>
      </x:c>
      <x:c r="C40" s="15" t="str">
        <x:v>Défini</x:v>
      </x:c>
      <x:c r="D40" s="17" t="str">
        <x:v>Établi</x:v>
      </x:c>
      <x:c r="E40" s="17" t="str">
        <x:v>P1</x:v>
      </x:c>
      <x:c r="F40" s="7" t="str">
        <x:v>Marchand d’armes visé par le cambriolage.</x:v>
      </x:c>
      <x:c r="G40" s="7" t="str">
        <x:v>Hôte social puis pilote de boss ; dissocier ses deux états dans le même identifiant narratif.</x:v>
      </x:c>
      <x:c r="H40" s="7" t="str">
        <x:v>Hôte social puis pilote de boss ; dissocier ses deux états dans le même identifiant narratif.</x:v>
      </x:c>
      <x:c r="I40" s="7" t="str">
        <x:v>Costume luxueux, manoir et aéronef.</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me2/npcs/hock ; rattacher les ressources et états cités à cet identifiant. Aucun fichier de jeu créé par ce catalogue.</x:v>
      </x:c>
      <x:c r="M40" s="7" t="str"/>
      <x:c r="N40" s="7" t="str">
        <x:v>Le livrable « Donovan Hock » possède une scène ou un scénario de contrôle ; ses règles proposées, ses conditions et ses retours visuels sont vérifiables séparément.</x:v>
      </x:c>
      <x:c r="O40" s="7" t="str"/>
      <x:c r="P40" s="7" t="str">
        <x:v>Donovan Hock</x:v>
      </x:c>
      <x:c r="Q40" s="7" t="str">
        <x:v>ME2-SRC-KASUMI</x:v>
      </x:c>
      <x:c r="R40" s="7" t="str">
        <x:v>https://masseffect.fandom.com/wiki/Kasumi%3A_Stealing_Memory</x:v>
      </x:c>
      <x:c r="S40" s="7" t="str">
        <x:v>Spécification à réaliser. Les champs adaptation, gameplay, visual, animation, audio et implementation décrivent le fan game ; ils ne donnent pas des caractéristiques officielles de l’œuvre.</x:v>
      </x:c>
    </x:row>
    <x:row r="41" ht="68" customHeight="1">
      <x:c r="A41" s="18" t="str">
        <x:v>ME2-NPC-KEIJI</x:v>
      </x:c>
      <x:c r="B41" s="9" t="str">
        <x:v>Keiji Okuda — enregistrement</x:v>
      </x:c>
      <x:c r="C41" s="15" t="str">
        <x:v>Défini</x:v>
      </x:c>
      <x:c r="D41" s="16" t="str">
        <x:v>Établi</x:v>
      </x:c>
      <x:c r="E41" s="16" t="str">
        <x:v>P1</x:v>
      </x:c>
      <x:c r="F41" s="9" t="str">
        <x:v>Partenaire disparu de Kasumi.</x:v>
      </x:c>
      <x:c r="G41" s="9" t="str">
        <x:v>Fragment mémoriel consultable avant le choix du graybox ; éviter toute réplique source longue.</x:v>
      </x:c>
      <x:c r="H41" s="9" t="str">
        <x:v>Fragment mémoriel consultable avant le choix du graybox ; éviter toute réplique source longue.</x:v>
      </x:c>
      <x:c r="I41" s="9" t="str">
        <x:v>Projection intime, données et portrait stylisés.</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me2/npcs/keiji ; rattacher les ressources et états cités à cet identifiant. Aucun fichier de jeu créé par ce catalogue.</x:v>
      </x:c>
      <x:c r="M41" s="9" t="str"/>
      <x:c r="N41" s="9" t="str">
        <x:v>Le livrable « Keiji Okuda — enregistrement » possède une scène ou un scénario de contrôle ; ses règles proposées, ses conditions et ses retours visuels sont vérifiables séparément.</x:v>
      </x:c>
      <x:c r="O41" s="9" t="str"/>
      <x:c r="P41" s="9" t="str">
        <x:v>Keiji Okuda — enregistrement</x:v>
      </x:c>
      <x:c r="Q41" s="9" t="str">
        <x:v>ME2-SRC-KASUMI</x:v>
      </x:c>
      <x:c r="R41" s="9" t="str">
        <x:v>https://masseffect.fandom.com/wiki/Kasumi%3A_Stealing_Memory</x:v>
      </x:c>
      <x:c r="S41" s="9" t="str">
        <x:v>Spécification à réaliser. Les champs adaptation, gameplay, visual, animation, audio et implementation décrivent le fan game ; ils ne donnent pas des caractéristiques officielles de l’œuvre.</x:v>
      </x:c>
    </x:row>
    <x:row r="42" ht="68" customHeight="1">
      <x:c r="A42" s="19" t="str">
        <x:v>ME2-NPC-GAVIN</x:v>
      </x:c>
      <x:c r="B42" s="7" t="str">
        <x:v>Gavin Archer</x:v>
      </x:c>
      <x:c r="C42" s="15" t="str">
        <x:v>Défini</x:v>
      </x:c>
      <x:c r="D42" s="17" t="str">
        <x:v>Établi</x:v>
      </x:c>
      <x:c r="E42" s="17" t="str">
        <x:v>P1</x:v>
      </x:c>
      <x:c r="F42" s="7" t="str">
        <x:v>Responsable du projet Overlord.</x:v>
      </x:c>
      <x:c r="G42" s="7" t="str">
        <x:v>Guide distant puis confrontation finale ; montrer la responsabilité dans le récit sans jeu de score moral simpliste.</x:v>
      </x:c>
      <x:c r="H42" s="7" t="str">
        <x:v>Guide distant puis confrontation finale ; montrer la responsabilité dans le récit sans jeu de score moral simpliste.</x:v>
      </x:c>
      <x:c r="I42" s="7" t="str">
        <x:v>Blouse Cerberus, écrans de contrôle.</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me2/npcs/gavin ; rattacher les ressources et états cités à cet identifiant. Aucun fichier de jeu créé par ce catalogue.</x:v>
      </x:c>
      <x:c r="M42" s="7" t="str"/>
      <x:c r="N42" s="7" t="str">
        <x:v>Le livrable « Gavin Archer » possède une scène ou un scénario de contrôle ; ses règles proposées, ses conditions et ses retours visuels sont vérifiables séparément.</x:v>
      </x:c>
      <x:c r="O42" s="7" t="str"/>
      <x:c r="P42" s="7" t="str">
        <x:v>Gavin Archer</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ME2-NPC-DAVID</x:v>
      </x:c>
      <x:c r="B43" s="9" t="str">
        <x:v>David Archer</x:v>
      </x:c>
      <x:c r="C43" s="15" t="str">
        <x:v>Défini</x:v>
      </x:c>
      <x:c r="D43" s="16" t="str">
        <x:v>Établi</x:v>
      </x:c>
      <x:c r="E43" s="16" t="str">
        <x:v>P1</x:v>
      </x:c>
      <x:c r="F43" s="9" t="str">
        <x:v>Relié de force au dispositif Overlord.</x:v>
      </x:c>
      <x:c r="G43" s="9" t="str">
        <x:v>Scène sensible centrée sur la libération et la personne ; pas de collectible ni récompense attachés à la souffrance.</x:v>
      </x:c>
      <x:c r="H43" s="9" t="str">
        <x:v>Scène sensible centrée sur la libération et la personne ; pas de collectible ni récompense attachés à la souffrance.</x:v>
      </x:c>
      <x:c r="I43" s="9" t="str">
        <x:v>Dispositif technique traité par cadrage sobre, visage et mains prioritaires.</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me2/npcs/david ; rattacher les ressources et états cités à cet identifiant. Aucun fichier de jeu créé par ce catalogue.</x:v>
      </x:c>
      <x:c r="M43" s="9" t="str"/>
      <x:c r="N43" s="9" t="str">
        <x:v>Le livrable « David Archer » possède une scène ou un scénario de contrôle ; ses règles proposées, ses conditions et ses retours visuels sont vérifiables séparément.</x:v>
      </x:c>
      <x:c r="O43" s="9" t="str"/>
      <x:c r="P43" s="9" t="str">
        <x:v>David Archer</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ME2-NPC-FERON</x:v>
      </x:c>
      <x:c r="B44" s="7" t="str">
        <x:v>Feron</x:v>
      </x:c>
      <x:c r="C44" s="15" t="str">
        <x:v>Défini</x:v>
      </x:c>
      <x:c r="D44" s="17" t="str">
        <x:v>Établi</x:v>
      </x:c>
      <x:c r="E44" s="17" t="str">
        <x:v>P1</x:v>
      </x:c>
      <x:c r="F44" s="7" t="str">
        <x:v>Captif que Liara cherche à récupérer.</x:v>
      </x:c>
      <x:c r="G44" s="7" t="str">
        <x:v>Rencontre après le combat ; dépendance à la libération et au nouveau rôle de Liara.</x:v>
      </x:c>
      <x:c r="H44" s="7" t="str">
        <x:v>Rencontre après le combat ; dépendance à la libération et au nouveau rôle de Liara.</x:v>
      </x:c>
      <x:c r="I44" s="7" t="str">
        <x:v>Drell marqué par la captivité, tenue sombre.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me2/npcs/feron ; rattacher les ressources et états cités à cet identifiant. Aucun fichier de jeu créé par ce catalogue.</x:v>
      </x:c>
      <x:c r="M44" s="7" t="str"/>
      <x:c r="N44" s="7" t="str">
        <x:v>Le livrable « Feron » possède une scène ou un scénario de contrôle ; ses règles proposées, ses conditions et ses retours visuels sont vérifiables séparément.</x:v>
      </x:c>
      <x:c r="O44" s="7" t="str"/>
      <x:c r="P44" s="7" t="str">
        <x:v>Feron</x:v>
      </x:c>
      <x:c r="Q44" s="7" t="str">
        <x:v>ME2-SRC-EA-SHADOW, ME2-SRC-SHADOW</x:v>
      </x:c>
      <x:c r="R44" s="7" t="str">
        <x:v>https://news.ea.com/press-releases/press-releases-details/2010/The-Battles-Rage-On-in-New-Downloadable-Content-for-BioWares-Dragon-Age-Origins-and-Mass-Effect-2/default.aspx
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ME2-NPC-VASIR</x:v>
      </x:c>
      <x:c r="B45" s="9" t="str">
        <x:v>Tela Vasir</x:v>
      </x:c>
      <x:c r="C45" s="15" t="str">
        <x:v>Défini</x:v>
      </x:c>
      <x:c r="D45" s="16" t="str">
        <x:v>Établi</x:v>
      </x:c>
      <x:c r="E45" s="16" t="str">
        <x:v>P1</x:v>
      </x:c>
      <x:c r="F45" s="9" t="str">
        <x:v>Spectre adverse dans Shadow Broker.</x:v>
      </x:c>
      <x:c r="G45" s="9" t="str">
        <x:v>Enquêtrice puis duel biotique ; son statut ne protège pas artificiellement des choix d’enquête.</x:v>
      </x:c>
      <x:c r="H45" s="9" t="str">
        <x:v>Enquêtrice puis duel biotique ; son statut ne protège pas artificiellement des choix d’enquête.</x:v>
      </x:c>
      <x:c r="I45" s="9" t="str">
        <x:v>Asari en armure bleue claire, posture de charge.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me2/npcs/vasir ; rattacher les ressources et états cités à cet identifiant. Aucun fichier de jeu créé par ce catalogue.</x:v>
      </x:c>
      <x:c r="M45" s="9" t="str"/>
      <x:c r="N45" s="9" t="str">
        <x:v>Le livrable « Tela Vasir » possède une scène ou un scénario de contrôle ; ses règles proposées, ses conditions et ses retours visuels sont vérifiables séparément.</x:v>
      </x:c>
      <x:c r="O45" s="9" t="str"/>
      <x:c r="P45" s="9" t="str">
        <x:v>Tela Vasir</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ME2-NPC-HACKETT</x:v>
      </x:c>
      <x:c r="B46" s="7" t="str">
        <x:v>Amiral Hackett</x:v>
      </x:c>
      <x:c r="C46" s="15" t="str">
        <x:v>Défini</x:v>
      </x:c>
      <x:c r="D46" s="17" t="str">
        <x:v>Établi</x:v>
      </x:c>
      <x:c r="E46" s="17" t="str">
        <x:v>P1</x:v>
      </x:c>
      <x:c r="F46" s="7" t="str">
        <x:v>Confie Arrival à Shepard.</x:v>
      </x:c>
      <x:c r="G46" s="7" t="str">
        <x:v>Briefing d’une mission solo et débriefing de conséquence ; séparer urgence narrative et choix jouable.</x:v>
      </x:c>
      <x:c r="H46" s="7" t="str">
        <x:v>Briefing d’une mission solo et débriefing de conséquence ; séparer urgence narrative et choix jouable.</x:v>
      </x:c>
      <x:c r="I46" s="7" t="str">
        <x:v>Hologramme Alliance et tenue d’officier.</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me2/npcs/hackett ; rattacher les ressources et états cités à cet identifiant. Aucun fichier de jeu créé par ce catalogue.</x:v>
      </x:c>
      <x:c r="M46" s="7" t="str"/>
      <x:c r="N46" s="7" t="str">
        <x:v>Le livrable « Amiral Hackett » possède une scène ou un scénario de contrôle ; ses règles proposées, ses conditions et ses retours visuels sont vérifiables séparément.</x:v>
      </x:c>
      <x:c r="O46" s="7" t="str"/>
      <x:c r="P46" s="7" t="str">
        <x:v>Amiral Hackett</x:v>
      </x:c>
      <x:c r="Q46" s="7" t="str">
        <x:v>ME2-SRC-ARRIVAL</x:v>
      </x:c>
      <x:c r="R46" s="7" t="str">
        <x:v>https://masseffect.fandom.com/wiki/Arrival_%28assignment%29</x:v>
      </x:c>
      <x:c r="S46" s="7" t="str">
        <x:v>Spécification à réaliser. Les champs adaptation, gameplay, visual, animation, audio et implementation décrivent le fan game ; ils ne donnent pas des caractéristiques officielles de l’œuvre.</x:v>
      </x:c>
    </x:row>
  </x:sheetData>
  <x:conditionalFormatting sqref="D7:D46">
    <x:cfRule type="cellIs" dxfId="4" priority="1" operator="equal">
      <x:formula>"À vérifier"</x:formula>
    </x:cfRule>
    <x:cfRule type="cellIs" dxfId="5" priority="2" operator="equal">
      <x:formula>"Extrapolation"</x:formula>
    </x:cfRule>
  </x:conditionalFormatting>
  <x:conditionalFormatting sqref="C7:C46">
    <x:cfRule type="cellIs" dxfId="6" priority="3" operator="equal">
      <x:formula>"Validé"</x:formula>
    </x:cfRule>
  </x:conditionalFormatting>
  <x:conditionalFormatting sqref="E7:E46">
    <x:cfRule type="cellIs" dxfId="7" priority="4" operator="equal">
      <x:formula>"P0"</x:formula>
    </x:cfRule>
  </x:conditionalFormatting>
  <x:dataValidations count="3">
    <x:dataValidation type="list" sqref="C7:C46">
      <x:formula1>"Défini,Prototype,Intégré,Validé"</x:formula1>
    </x:dataValidation>
    <x:dataValidation type="list" sqref="D7:D46">
      <x:formula1>"Établi,À vérifier,Extrapolation,Coupé attesté,Concept abandonné,Allégation écartée"</x:formula1>
    </x:dataValidation>
    <x:dataValidation type="list" sqref="E7:E46">
      <x:formula1>"P0,P1,P2"</x:formula1>
    </x:dataValidation>
  </x:dataValidations>
  <x:pageMargins left="0.7" right="0.7" top="0.75" bottom="0.75" header="0.3" footer="0.3"/>
  <x:tableParts count="1">
    <x:tablePart xmlns:r="http://schemas.openxmlformats.org/officeDocument/2006/relationships" r:id="Re1a8acee867a40fa"/>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2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ME2-LOR-CERBERUS</x:v>
      </x:c>
      <x:c r="B7" s="9" t="str">
        <x:v>Cerberus et alliance circonstancielle</x:v>
      </x:c>
      <x:c r="C7" s="15" t="str">
        <x:v>Défini</x:v>
      </x:c>
      <x:c r="D7" s="16" t="str">
        <x:v>Établi</x:v>
      </x:c>
      <x:c r="E7" s="16" t="str">
        <x:v>P1</x:v>
      </x:c>
      <x:c r="F7" s="9" t="str">
        <x:v>Cerberus finance la mission de Shepard.</x:v>
      </x:c>
      <x:c r="G7" s="9" t="str">
        <x:v>Glossaire à deux colonnes : objectif affiché et informations obtenues ; ne jamais confondre allégeance jouée et approbation.</x:v>
      </x:c>
      <x:c r="H7" s="9" t="str">
        <x:v>Glossaire à deux colonnes : objectif affiché et informations obtenues ; ne jamais confondre allégeance jouée et approbation.</x:v>
      </x:c>
      <x:c r="I7" s="9" t="str">
        <x:v>Logo Cerberus comme repère documentaire.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me2/lore/cerberus ; rattacher les ressources et états cités à cet identifiant. Aucun fichier de jeu créé par ce catalogue.</x:v>
      </x:c>
      <x:c r="M7" s="9" t="str"/>
      <x:c r="N7" s="9" t="str">
        <x:v>Le livrable « Cerberus et alliance circonstancielle » possède une scène ou un scénario de contrôle ; ses règles proposées, ses conditions et ses retours visuels sont vérifiables séparément.</x:v>
      </x:c>
      <x:c r="O7" s="9" t="str"/>
      <x:c r="P7" s="9" t="str">
        <x:v>Cerberus et alliance circonstancielle</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ME2-LOR-LAZARUS</x:v>
      </x:c>
      <x:c r="B8" s="7" t="str">
        <x:v>Projet Lazarus</x:v>
      </x:c>
      <x:c r="C8" s="15" t="str">
        <x:v>Défini</x:v>
      </x:c>
      <x:c r="D8" s="17" t="str">
        <x:v>Établi</x:v>
      </x:c>
      <x:c r="E8" s="17" t="str">
        <x:v>P1</x:v>
      </x:c>
      <x:c r="F8" s="7" t="str">
        <x:v>Le retour de Shepard ouvre ME2.</x:v>
      </x:c>
      <x:c r="G8" s="7" t="str">
        <x:v>Frise courte du réveil avec zones d’incertitude ; ne pas déduire une immortalité jouable.</x:v>
      </x:c>
      <x:c r="H8" s="7" t="str">
        <x:v>Frise courte du réveil avec zones d’incertitude ; ne pas déduire une immortalité jouable.</x:v>
      </x:c>
      <x:c r="I8" s="7" t="str">
        <x:v>Silhouette médicale et protocole de reconstruction.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me2/lore/lazarus ; rattacher les ressources et états cités à cet identifiant. Aucun fichier de jeu créé par ce catalogue.</x:v>
      </x:c>
      <x:c r="M8" s="7" t="str"/>
      <x:c r="N8" s="7" t="str">
        <x:v>Le livrable « Projet Lazarus » possède une scène ou un scénario de contrôle ; ses règles proposées, ses conditions et ses retours visuels sont vérifiables séparément.</x:v>
      </x:c>
      <x:c r="O8" s="7" t="str"/>
      <x:c r="P8" s="7" t="str">
        <x:v>Projet Lazarus</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ME2-LOR-COLLECTORS</x:v>
      </x:c>
      <x:c r="B9" s="9" t="str">
        <x:v>Collecteurs</x:v>
      </x:c>
      <x:c r="C9" s="15" t="str">
        <x:v>Défini</x:v>
      </x:c>
      <x:c r="D9" s="16" t="str">
        <x:v>Établi</x:v>
      </x:c>
      <x:c r="E9" s="16" t="str">
        <x:v>P1</x:v>
      </x:c>
      <x:c r="F9" s="9" t="str">
        <x:v>Ils enlèvent des colonies humaines.</x:v>
      </x:c>
      <x:c r="G9" s="9" t="str">
        <x:v>Bestiaire et dossier d’enquête progressifs ; informations avancées masquées avant révélation.</x:v>
      </x:c>
      <x:c r="H9" s="9" t="str">
        <x:v>Bestiaire et dossier d’enquête progressifs ; informations avancées masquées avant révélation.</x:v>
      </x:c>
      <x:c r="I9" s="9" t="str">
        <x:v>Chitine, essaims et technologie organique.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me2/lore/collectors ; rattacher les ressources et états cités à cet identifiant. Aucun fichier de jeu créé par ce catalogue.</x:v>
      </x:c>
      <x:c r="M9" s="9" t="str"/>
      <x:c r="N9" s="9" t="str">
        <x:v>Le livrable « Collecteurs » possède une scène ou un scénario de contrôle ; ses règles proposées, ses conditions et ses retours visuels sont vérifiables séparément.</x:v>
      </x:c>
      <x:c r="O9" s="9" t="str"/>
      <x:c r="P9" s="9" t="str">
        <x:v>Collecteurs</x:v>
      </x:c>
      <x:c r="Q9" s="9" t="str">
        <x:v>ME2-SRC-COLLECTOR</x:v>
      </x:c>
      <x:c r="R9" s="9" t="str">
        <x:v>https://masseffect.fandom.com/wiki/Collector</x:v>
      </x:c>
      <x:c r="S9" s="9" t="str">
        <x:v>Spécification à réaliser. Les champs adaptation, gameplay, visual, animation, audio et implementation décrivent le fan game ; ils ne donnent pas des caractéristiques officielles de l’œuvre.</x:v>
      </x:c>
    </x:row>
    <x:row r="10" ht="68" customHeight="1">
      <x:c r="A10" s="19" t="str">
        <x:v>ME2-LOR-COLLECTOR-ORIGIN</x:v>
      </x:c>
      <x:c r="B10" s="7" t="str">
        <x:v>Origine des Collecteurs</x:v>
      </x:c>
      <x:c r="C10" s="15" t="str">
        <x:v>Défini</x:v>
      </x:c>
      <x:c r="D10" s="17" t="str">
        <x:v>Établi</x:v>
      </x:c>
      <x:c r="E10" s="17" t="str">
        <x:v>P1</x:v>
      </x:c>
      <x:c r="F10" s="7" t="str">
        <x:v>La campagne révèle leur lien prothéen.</x:v>
      </x:c>
      <x:c r="G10" s="7" t="str">
        <x:v>Entrée de codex débloquée par le vaisseau ; conserver l’ordre de révélation.</x:v>
      </x:c>
      <x:c r="H10" s="7" t="str">
        <x:v>Entrée de codex débloquée par le vaisseau ; conserver l’ordre de révélation.</x:v>
      </x:c>
      <x:c r="I10" s="7" t="str">
        <x:v>Schéma symbolique d’altération, sans anatomie inventée.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me2/lore/collector-origin ; rattacher les ressources et états cités à cet identifiant. Aucun fichier de jeu créé par ce catalogue.</x:v>
      </x:c>
      <x:c r="M10" s="7" t="str"/>
      <x:c r="N10" s="7" t="str">
        <x:v>Le livrable « Origine des Collecteurs » possède une scène ou un scénario de contrôle ; ses règles proposées, ses conditions et ses retours visuels sont vérifiables séparément.</x:v>
      </x:c>
      <x:c r="O10" s="7" t="str"/>
      <x:c r="P10" s="7" t="str">
        <x:v>Origine des Collecteurs</x:v>
      </x:c>
      <x:c r="Q10" s="7" t="str">
        <x:v>ME2-SRC-SHIP</x:v>
      </x:c>
      <x:c r="R10" s="7" t="str">
        <x:v>https://masseffect.fandom.com/wiki/Collector_Ship_%28mission%29</x:v>
      </x:c>
      <x:c r="S10" s="7" t="str">
        <x:v>Spécification à réaliser. Les champs adaptation, gameplay, visual, animation, audio et implementation décrivent le fan game ; ils ne donnent pas des caractéristiques officielles de l’œuvre.</x:v>
      </x:c>
    </x:row>
    <x:row r="11" ht="68" customHeight="1">
      <x:c r="A11" s="18" t="str">
        <x:v>ME2-LOR-HARBINGER</x:v>
      </x:c>
      <x:c r="B11" s="9" t="str">
        <x:v>Harbinger et possession</x:v>
      </x:c>
      <x:c r="C11" s="15" t="str">
        <x:v>Défini</x:v>
      </x:c>
      <x:c r="D11" s="16" t="str">
        <x:v>Établi</x:v>
      </x:c>
      <x:c r="E11" s="16" t="str">
        <x:v>P1</x:v>
      </x:c>
      <x:c r="F11" s="9" t="str">
        <x:v>Harbinger agit par des Collecteurs.</x:v>
      </x:c>
      <x:c r="G11" s="9" t="str">
        <x:v>Décrire rôle de contrôle dans le codex ; adaptation par transfert de priorité ennemie.</x:v>
      </x:c>
      <x:c r="H11" s="9" t="str">
        <x:v>Décrire rôle de contrôle dans le codex ; adaptation par transfert de priorité ennemie.</x:v>
      </x:c>
      <x:c r="I11" s="9" t="str">
        <x:v>Halo orange sur l’hôte et faisceau de liaison.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me2/lore/harbinger ; rattacher les ressources et états cités à cet identifiant. Aucun fichier de jeu créé par ce catalogue.</x:v>
      </x:c>
      <x:c r="M11" s="9" t="str"/>
      <x:c r="N11" s="9" t="str">
        <x:v>Le livrable « Harbinger et possession » possède une scène ou un scénario de contrôle ; ses règles proposées, ses conditions et ses retours visuels sont vérifiables séparément.</x:v>
      </x:c>
      <x:c r="O11" s="9" t="str"/>
      <x:c r="P11" s="9" t="str">
        <x:v>Harbinger et possession</x:v>
      </x:c>
      <x:c r="Q11" s="9" t="str">
        <x:v>ME2-SRC-COLLECTOR</x:v>
      </x:c>
      <x:c r="R11" s="9" t="str">
        <x:v>https://masseffect.fandom.com/wiki/Collector</x:v>
      </x:c>
      <x:c r="S11" s="9" t="str">
        <x:v>Spécification à réaliser. Les champs adaptation, gameplay, visual, animation, audio et implementation décrivent le fan game ; ils ne donnent pas des caractéristiques officielles de l’œuvre.</x:v>
      </x:c>
    </x:row>
    <x:row r="12" ht="68" customHeight="1">
      <x:c r="A12" s="19" t="str">
        <x:v>ME2-LOR-SEEKERS</x:v>
      </x:c>
      <x:c r="B12" s="7" t="str">
        <x:v>Essaims de Seeker</x:v>
      </x:c>
      <x:c r="C12" s="15" t="str">
        <x:v>Défini</x:v>
      </x:c>
      <x:c r="D12" s="17" t="str">
        <x:v>Établi</x:v>
      </x:c>
      <x:c r="E12" s="17" t="str">
        <x:v>P1</x:v>
      </x:c>
      <x:c r="F12" s="7" t="str">
        <x:v>Les essaims participent aux enlèvements.</x:v>
      </x:c>
      <x:c r="G12" s="7" t="str">
        <x:v>Jauge de menace de zone liée au dispositif de protection ; ne pas donner d’origine précise non sourcée.</x:v>
      </x:c>
      <x:c r="H12" s="7" t="str">
        <x:v>Jauge de menace de zone liée au dispositif de protection ; ne pas donner d’origine précise non sourcée.</x:v>
      </x:c>
      <x:c r="I12" s="7" t="str">
        <x:v>Nuage d’insectes à contour animé.</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me2/lore/seekers ; rattacher les ressources et états cités à cet identifiant. Aucun fichier de jeu créé par ce catalogue.</x:v>
      </x:c>
      <x:c r="M12" s="7" t="str"/>
      <x:c r="N12" s="7" t="str">
        <x:v>Le livrable « Essaims de Seeker » possède une scène ou un scénario de contrôle ; ses règles proposées, ses conditions et ses retours visuels sont vérifiables séparément.</x:v>
      </x:c>
      <x:c r="O12" s="7" t="str"/>
      <x:c r="P12" s="7" t="str">
        <x:v>Essaims de Seeker</x:v>
      </x:c>
      <x:c r="Q12" s="7" t="str">
        <x:v>ME2-SRC-WALK</x:v>
      </x:c>
      <x:c r="R12" s="7" t="str">
        <x:v>https://masseffect.fandom.com/wiki/Collector_Base%3A_The_Long_Walk</x:v>
      </x:c>
      <x:c r="S12" s="7" t="str">
        <x:v>Spécification à réaliser. Les champs adaptation, gameplay, visual, animation, audio et implementation décrivent le fan game ; ils ne donnent pas des caractéristiques officielles de l’œuvre.</x:v>
      </x:c>
    </x:row>
    <x:row r="13" ht="68" customHeight="1">
      <x:c r="A13" s="18" t="str">
        <x:v>ME2-LOR-GENOPHAGE</x:v>
      </x:c>
      <x:c r="B13" s="9" t="str">
        <x:v>Génophage et recherche de Maelon</x:v>
      </x:c>
      <x:c r="C13" s="15" t="str">
        <x:v>Défini</x:v>
      </x:c>
      <x:c r="D13" s="16" t="str">
        <x:v>Établi</x:v>
      </x:c>
      <x:c r="E13" s="16" t="str">
        <x:v>P1</x:v>
      </x:c>
      <x:c r="F13" s="9" t="str">
        <x:v>La loyauté de Mordin interroge ces recherches.</x:v>
      </x:c>
      <x:c r="G13" s="9" t="str">
        <x:v>Codex avec témoignages séparés et état de données ; conserver les contradictions des interlocuteurs.</x:v>
      </x:c>
      <x:c r="H13" s="9" t="str">
        <x:v>Codex avec témoignages séparés et état de données ; conserver les contradictions des interlocuteurs.</x:v>
      </x:c>
      <x:c r="I13" s="9" t="str">
        <x:v>Documents médicaux et symboles krogan.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me2/lore/genophage ; rattacher les ressources et états cités à cet identifiant. Aucun fichier de jeu créé par ce catalogue.</x:v>
      </x:c>
      <x:c r="M13" s="9" t="str"/>
      <x:c r="N13" s="9" t="str">
        <x:v>Le livrable « Génophage et recherche de Maelon » possède une scène ou un scénario de contrôle ; ses règles proposées, ses conditions et ses retours visuels sont vérifiables séparément.</x:v>
      </x:c>
      <x:c r="O13" s="9" t="str"/>
      <x:c r="P13" s="9" t="str">
        <x:v>Génophage et recherche de Maelon</x:v>
      </x:c>
      <x:c r="Q13" s="9" t="str">
        <x:v>ME2-SRC-MORDIN</x:v>
      </x:c>
      <x:c r="R13" s="9" t="str">
        <x:v>https://masseffect.fandom.com/wiki/Mordin%3A_Old_Blood</x:v>
      </x:c>
      <x:c r="S13" s="9" t="str">
        <x:v>Spécification à réaliser. Les champs adaptation, gameplay, visual, animation, audio et implementation décrivent le fan game ; ils ne donnent pas des caractéristiques officielles de l’œuvre.</x:v>
      </x:c>
    </x:row>
    <x:row r="14" ht="68" customHeight="1">
      <x:c r="A14" s="19" t="str">
        <x:v>ME2-LOR-JUSTICAR</x:v>
      </x:c>
      <x:c r="B14" s="7" t="str">
        <x:v>Code des Justicari</x:v>
      </x:c>
      <x:c r="C14" s="15" t="str">
        <x:v>Défini</x:v>
      </x:c>
      <x:c r="D14" s="17" t="str">
        <x:v>Établi</x:v>
      </x:c>
      <x:c r="E14" s="17" t="str">
        <x:v>P1</x:v>
      </x:c>
      <x:c r="F14" s="7" t="str">
        <x:v>Le code guide Samara.</x:v>
      </x:c>
      <x:c r="G14" s="7" t="str">
        <x:v>Contrainte narrative affichée dans son dossier ; ne pas convertir tout désaccord en hostilité automatique.</x:v>
      </x:c>
      <x:c r="H14" s="7" t="str">
        <x:v>Contrainte narrative affichée dans son dossier ; ne pas convertir tout désaccord en hostilité automatique.</x:v>
      </x:c>
      <x:c r="I14" s="7" t="str">
        <x:v>Tablette de serment et portrait de Samara.</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me2/lore/justicar ; rattacher les ressources et états cités à cet identifiant. Aucun fichier de jeu créé par ce catalogue.</x:v>
      </x:c>
      <x:c r="M14" s="7" t="str"/>
      <x:c r="N14" s="7" t="str">
        <x:v>Le livrable « Code des Justicari » possède une scène ou un scénario de contrôle ; ses règles proposées, ses conditions et ses retours visuels sont vérifiables séparément.</x:v>
      </x:c>
      <x:c r="O14" s="7" t="str"/>
      <x:c r="P14" s="7" t="str">
        <x:v>Code des Justicari</x:v>
      </x:c>
      <x:c r="Q14" s="7" t="str">
        <x:v>ME2-SRC-JUSTICAR</x:v>
      </x:c>
      <x:c r="R14" s="7" t="str">
        <x:v>https://masseffect.fandom.com/wiki/Dossier%3A_The_Justicar</x:v>
      </x:c>
      <x:c r="S14" s="7" t="str">
        <x:v>Spécification à réaliser. Les champs adaptation, gameplay, visual, animation, audio et implementation décrivent le fan game ; ils ne donnent pas des caractéristiques officielles de l’œuvre.</x:v>
      </x:c>
    </x:row>
    <x:row r="15" ht="68" customHeight="1">
      <x:c r="A15" s="18" t="str">
        <x:v>ME2-LOR-ARDAT</x:v>
      </x:c>
      <x:c r="B15" s="9" t="str">
        <x:v>Ardat-Yakshi et Morinth</x:v>
      </x:c>
      <x:c r="C15" s="15" t="str">
        <x:v>Défini</x:v>
      </x:c>
      <x:c r="D15" s="16" t="str">
        <x:v>Établi</x:v>
      </x:c>
      <x:c r="E15" s="16" t="str">
        <x:v>P1</x:v>
      </x:c>
      <x:c r="F15" s="9" t="str">
        <x:v>Morinth est l’Ardat-Yakshi recherchée.</x:v>
      </x:c>
      <x:c r="G15" s="9" t="str">
        <x:v>Entrée débloquée lors de l’enquête ; séparer condition biologique et responsabilité individuelle.</x:v>
      </x:c>
      <x:c r="H15" s="9" t="str">
        <x:v>Entrée débloquée lors de l’enquête ; séparer condition biologique et responsabilité individuelle.</x:v>
      </x:c>
      <x:c r="I15" s="9" t="str">
        <x:v>Dossier clinique sobre et arbre familial partiel.</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me2/lore/ardat ; rattacher les ressources et états cités à cet identifiant. Aucun fichier de jeu créé par ce catalogue.</x:v>
      </x:c>
      <x:c r="M15" s="9" t="str"/>
      <x:c r="N15" s="9" t="str">
        <x:v>Le livrable « Ardat-Yakshi et Morinth » possède une scène ou un scénario de contrôle ; ses règles proposées, ses conditions et ses retours visuels sont vérifiables séparément.</x:v>
      </x:c>
      <x:c r="O15" s="9" t="str"/>
      <x:c r="P15" s="9" t="str">
        <x:v>Ardat-Yakshi et Morinth</x:v>
      </x:c>
      <x:c r="Q15" s="9" t="str">
        <x:v>ME2-SRC-SAMARA</x:v>
      </x:c>
      <x:c r="R15" s="9" t="str">
        <x:v>https://masseffect.fandom.com/wiki/Samara%3A_The_Ardat-Yakshi</x:v>
      </x:c>
      <x:c r="S15" s="9" t="str">
        <x:v>Spécification à réaliser. Les champs adaptation, gameplay, visual, animation, audio et implementation décrivent le fan game ; ils ne donnent pas des caractéristiques officielles de l’œuvre.</x:v>
      </x:c>
    </x:row>
    <x:row r="16" ht="68" customHeight="1">
      <x:c r="A16" s="19" t="str">
        <x:v>ME2-LOR-HERETICS</x:v>
      </x:c>
      <x:c r="B16" s="7" t="str">
        <x:v>Geth hérétiques</x:v>
      </x:c>
      <x:c r="C16" s="15" t="str">
        <x:v>Défini</x:v>
      </x:c>
      <x:c r="D16" s="17" t="str">
        <x:v>Établi</x:v>
      </x:c>
      <x:c r="E16" s="17" t="str">
        <x:v>P1</x:v>
      </x:c>
      <x:c r="F16" s="7" t="str">
        <x:v>Legion décrit une divergence geth.</x:v>
      </x:c>
      <x:c r="G16" s="7" t="str">
        <x:v>Interface de décision présentant destruction et réécriture comme conséquences différentes.</x:v>
      </x:c>
      <x:c r="H16" s="7" t="str">
        <x:v>Interface de décision présentant destruction et réécriture comme conséquences différentes.</x:v>
      </x:c>
      <x:c r="I16" s="7" t="str">
        <x:v>Nœuds de réseau avec deux chemins.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me2/lore/heretics ; rattacher les ressources et états cités à cet identifiant. Aucun fichier de jeu créé par ce catalogue.</x:v>
      </x:c>
      <x:c r="M16" s="7" t="str"/>
      <x:c r="N16" s="7" t="str">
        <x:v>Le livrable « Geth hérétiques » possède une scène ou un scénario de contrôle ; ses règles proposées, ses conditions et ses retours visuels sont vérifiables séparément.</x:v>
      </x:c>
      <x:c r="O16" s="7" t="str"/>
      <x:c r="P16" s="7" t="str">
        <x:v>Geth hérétiques</x:v>
      </x:c>
      <x:c r="Q16" s="7" t="str">
        <x:v>ME2-SRC-LEGION</x:v>
      </x:c>
      <x:c r="R16" s="7" t="str">
        <x:v>https://masseffect.fandom.com/wiki/Legion%3A_A_House_Divided</x:v>
      </x:c>
      <x:c r="S16" s="7" t="str">
        <x:v>Spécification à réaliser. Les champs adaptation, gameplay, visual, animation, audio et implementation décrivent le fan game ; ils ne donnent pas des caractéristiques officielles de l’œuvre.</x:v>
      </x:c>
    </x:row>
    <x:row r="17" ht="68" customHeight="1">
      <x:c r="A17" s="18" t="str">
        <x:v>ME2-LOR-FLOTILLA</x:v>
      </x:c>
      <x:c r="B17" s="9" t="str">
        <x:v>Flotte migrante et procès</x:v>
      </x:c>
      <x:c r="C17" s="15" t="str">
        <x:v>Défini</x:v>
      </x:c>
      <x:c r="D17" s="16" t="str">
        <x:v>Établi</x:v>
      </x:c>
      <x:c r="E17" s="16" t="str">
        <x:v>P1</x:v>
      </x:c>
      <x:c r="F17" s="9" t="str">
        <x:v>Le procès reflète des conflits quariens.</x:v>
      </x:c>
      <x:c r="G17" s="9" t="str">
        <x:v>Cartographier les arguments d’amiraux sans figer tous les quariens dans une seule position.</x:v>
      </x:c>
      <x:c r="H17" s="9" t="str">
        <x:v>Cartographier les arguments d’amiraux sans figer tous les quariens dans une seule position.</x:v>
      </x:c>
      <x:c r="I17" s="9" t="str">
        <x:v>Schéma de flotte et pupitres.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me2/lore/flotilla ; rattacher les ressources et états cités à cet identifiant. Aucun fichier de jeu créé par ce catalogue.</x:v>
      </x:c>
      <x:c r="M17" s="9" t="str"/>
      <x:c r="N17" s="9" t="str">
        <x:v>Le livrable « Flotte migrante et procès » possède une scène ou un scénario de contrôle ; ses règles proposées, ses conditions et ses retours visuels sont vérifiables séparément.</x:v>
      </x:c>
      <x:c r="O17" s="9" t="str"/>
      <x:c r="P17" s="9" t="str">
        <x:v>Flotte migrante et procès</x:v>
      </x:c>
      <x:c r="Q17" s="9" t="str">
        <x:v>ME2-SRC-TREASON</x:v>
      </x:c>
      <x:c r="R17" s="9" t="str">
        <x:v>https://masseffect.fandom.com/wiki/Tali%3A_Treason</x:v>
      </x:c>
      <x:c r="S17" s="9" t="str">
        <x:v>Spécification à réaliser. Les champs adaptation, gameplay, visual, animation, audio et implementation décrivent le fan game ; ils ne donnent pas des caractéristiques officielles de l’œuvre.</x:v>
      </x:c>
    </x:row>
    <x:row r="18" ht="68" customHeight="1">
      <x:c r="A18" s="19" t="str">
        <x:v>ME2-LOR-BROKER</x:v>
      </x:c>
      <x:c r="B18" s="7" t="str">
        <x:v>Réseau du Courtier</x:v>
      </x:c>
      <x:c r="C18" s="15" t="str">
        <x:v>Défini</x:v>
      </x:c>
      <x:c r="D18" s="17" t="str">
        <x:v>Établi</x:v>
      </x:c>
      <x:c r="E18" s="17" t="str">
        <x:v>P1</x:v>
      </x:c>
      <x:c r="F18" s="7" t="str">
        <x:v>Liara accède à son centre de renseignements.</x:v>
      </x:c>
      <x:c r="G18" s="7" t="str">
        <x:v>Dossiers facultatifs à provenances claires ; les informations privées ne deviennent pas une vue omnisciente de tout événement.</x:v>
      </x:c>
      <x:c r="H18" s="7" t="str">
        <x:v>Dossiers facultatifs à provenances claires ; les informations privées ne deviennent pas une vue omnisciente de tout événement.</x:v>
      </x:c>
      <x:c r="I18" s="7" t="str">
        <x:v>Écrans, index et segments occultés.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me2/lore/broker ; rattacher les ressources et états cités à cet identifiant. Aucun fichier de jeu créé par ce catalogue.</x:v>
      </x:c>
      <x:c r="M18" s="7" t="str"/>
      <x:c r="N18" s="7" t="str">
        <x:v>Le livrable « Réseau du Courtier » possède une scène ou un scénario de contrôle ; ses règles proposées, ses conditions et ses retours visuels sont vérifiables séparément.</x:v>
      </x:c>
      <x:c r="O18" s="7" t="str"/>
      <x:c r="P18" s="7" t="str">
        <x:v>Réseau du Courtier</x:v>
      </x:c>
      <x:c r="Q18" s="7" t="str">
        <x:v>ME2-SRC-EA-SHADOW</x:v>
      </x:c>
      <x:c r="R18" s="7" t="str">
        <x:v>https://news.ea.com/press-releases/press-releases-details/2010/The-Battles-Rage-On-in-New-Downloadable-Content-for-BioWares-Dragon-Age-Origins-and-Mass-Effect-2/default.aspx</x:v>
      </x:c>
      <x:c r="S18" s="7" t="str">
        <x:v>Spécification à réaliser. Les champs adaptation, gameplay, visual, animation, audio et implementation décrivent le fan game ; ils ne donnent pas des caractéristiques officielles de l’œuvre.</x:v>
      </x:c>
    </x:row>
    <x:row r="19" ht="68" customHeight="1">
      <x:c r="A19" s="18" t="str">
        <x:v>ME2-LOR-INDOCTRINATION</x:v>
      </x:c>
      <x:c r="B19" s="9" t="str">
        <x:v>Endoctrinement dans Arrival</x:v>
      </x:c>
      <x:c r="C19" s="15" t="str">
        <x:v>Défini</x:v>
      </x:c>
      <x:c r="D19" s="16" t="str">
        <x:v>Établi</x:v>
      </x:c>
      <x:c r="E19" s="16" t="str">
        <x:v>P1</x:v>
      </x:c>
      <x:c r="F19" s="9" t="str">
        <x:v>Kenson a subi l’influence de l’artefact.</x:v>
      </x:c>
      <x:c r="G19" s="9" t="str">
        <x:v>Marquer les indices rétrospectifs dans un codex déverrouillé ; conserver le doute pendant l’enquête.</x:v>
      </x:c>
      <x:c r="H19" s="9" t="str">
        <x:v>Marquer les indices rétrospectifs dans un codex déverrouillé ; conserver le doute pendant l’enquête.</x:v>
      </x:c>
      <x:c r="I19" s="9" t="str">
        <x:v>Artefact sombre et interférences de signal.</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me2/lore/indoctrination ; rattacher les ressources et états cités à cet identifiant. Aucun fichier de jeu créé par ce catalogue.</x:v>
      </x:c>
      <x:c r="M19" s="9" t="str"/>
      <x:c r="N19" s="9" t="str">
        <x:v>Le livrable « Endoctrinement dans Arrival » possède une scène ou un scénario de contrôle ; ses règles proposées, ses conditions et ses retours visuels sont vérifiables séparément.</x:v>
      </x:c>
      <x:c r="O19" s="9" t="str"/>
      <x:c r="P19" s="9" t="str">
        <x:v>Endoctrinement dans Arrival</x:v>
      </x:c>
      <x:c r="Q19" s="9" t="str">
        <x:v>ME2-SRC-ARRIVAL</x:v>
      </x:c>
      <x:c r="R19" s="9" t="str">
        <x:v>https://masseffect.fandom.com/wiki/Arrival_%28assignment%29</x:v>
      </x:c>
      <x:c r="S19" s="9" t="str">
        <x:v>Spécification à réaliser. Les champs adaptation, gameplay, visual, animation, audio et implementation décrivent le fan game ; ils ne donnent pas des caractéristiques officielles de l’œuvre.</x:v>
      </x:c>
    </x:row>
    <x:row r="20" ht="68" customHeight="1">
      <x:c r="A20" s="19" t="str">
        <x:v>ME2-LOR-NO-MULTI</x:v>
      </x:c>
      <x:c r="B20" s="7" t="str">
        <x:v>Périmètre solo de ME2</x:v>
      </x:c>
      <x:c r="C20" s="15" t="str">
        <x:v>Défini</x:v>
      </x:c>
      <x:c r="D20" s="17" t="str">
        <x:v>Établi</x:v>
      </x:c>
      <x:c r="E20" s="17" t="str">
        <x:v>P1</x:v>
      </x:c>
      <x:c r="F20" s="7" t="str">
        <x:v>La collection présente le contenu solo ME2.</x:v>
      </x:c>
      <x:c r="G20" s="7" t="str">
        <x:v>Exclure les personnages multijoueurs de ME3 des tables de recrutement ; un mode arène éventuel sera original.</x:v>
      </x:c>
      <x:c r="H20" s="7" t="str">
        <x:v>Exclure les personnages multijoueurs de ME3 des tables de recrutement ; un mode arène éventuel sera original.</x:v>
      </x:c>
      <x:c r="I20" s="7" t="str">
        <x:v>Étiquette de module et filtres de campagne.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me2/lore/no-multi ; rattacher les ressources et états cités à cet identifiant. Aucun fichier de jeu créé par ce catalogue.</x:v>
      </x:c>
      <x:c r="M20" s="7" t="str"/>
      <x:c r="N20" s="7" t="str">
        <x:v>Le livrable « Périmètre solo de ME2 » possède une scène ou un scénario de contrôle ; ses règles proposées, ses conditions et ses retours visuels sont vérifiables séparément.</x:v>
      </x:c>
      <x:c r="O20" s="7" t="str"/>
      <x:c r="P20" s="7" t="str">
        <x:v>Périmètre solo de ME2</x:v>
      </x:c>
      <x:c r="Q20" s="7" t="str">
        <x:v>ME2-SRC-EA-LE</x:v>
      </x:c>
      <x:c r="R20" s="7" t="str">
        <x:v>https://www.ea.com/fr/games/mass-effect/mass-effect-legendary-edition</x:v>
      </x:c>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 priority="1" operator="equal">
      <x:formula>"À vérifier"</x:formula>
    </x:cfRule>
    <x:cfRule type="cellIs" dxfId="9" priority="2" operator="equal">
      <x:formula>"Extrapolation"</x:formula>
    </x:cfRule>
  </x:conditionalFormatting>
  <x:conditionalFormatting sqref="C7:C20">
    <x:cfRule type="cellIs" dxfId="10" priority="3" operator="equal">
      <x:formula>"Validé"</x:formula>
    </x:cfRule>
  </x:conditionalFormatting>
  <x:conditionalFormatting sqref="E7:E20">
    <x:cfRule type="cellIs" dxfId="11"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c171e105cc544b4c"/>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2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ME2-WRL-OMEGA</x:v>
      </x:c>
      <x:c r="B7" s="9" t="str">
        <x:v>Omega</x:v>
      </x:c>
      <x:c r="C7" s="15" t="str">
        <x:v>Défini</x:v>
      </x:c>
      <x:c r="D7" s="16" t="str">
        <x:v>Établi</x:v>
      </x:c>
      <x:c r="E7" s="16" t="str">
        <x:v>P1</x:v>
      </x:c>
      <x:c r="F7" s="9" t="str">
        <x:v>Station principale des Systèmes Terminus.</x:v>
      </x:c>
      <x:c r="G7" s="9" t="str">
        <x:v>Hub vertical compact avec secteurs sociaux et accès vers deux recrutements ; risque local annoncé avant transition.</x:v>
      </x:c>
      <x:c r="H7" s="9" t="str">
        <x:v>Hub vertical compact avec secteurs sociaux et accès vers deux recrutements ; risque local annoncé avant transition.</x:v>
      </x:c>
      <x:c r="I7" s="9" t="str">
        <x:v>Métal usé, éclairages orange, néons et foule hétérogène.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me2/worlds/omega ; rattacher les ressources et états cités à cet identifiant. Aucun fichier de jeu créé par ce catalogue.</x:v>
      </x:c>
      <x:c r="M7" s="9" t="str"/>
      <x:c r="N7" s="9" t="str">
        <x:v>Le livrable « Omega » possède une scène ou un scénario de contrôle ; ses règles proposées, ses conditions et ses retours visuels sont vérifiables séparément.</x:v>
      </x:c>
      <x:c r="O7" s="9" t="str"/>
      <x:c r="P7" s="9" t="str">
        <x:v>Omega</x:v>
      </x:c>
      <x:c r="Q7" s="9" t="str">
        <x:v>ME2-SRC-OMEGA</x:v>
      </x:c>
      <x:c r="R7" s="9" t="str">
        <x:v>https://masseffect.fandom.com/wiki/Omega</x:v>
      </x:c>
      <x:c r="S7" s="9" t="str">
        <x:v>Spécification à réaliser. Les champs adaptation, gameplay, visual, animation, audio et implementation décrivent le fan game ; ils ne donnent pas des caractéristiques officielles de l’œuvre.</x:v>
      </x:c>
    </x:row>
    <x:row r="8" ht="68" customHeight="1">
      <x:c r="A8" s="19" t="str">
        <x:v>ME2-WRL-ILLIUM</x:v>
      </x:c>
      <x:c r="B8" s="7" t="str">
        <x:v>Illium / Nos Astra</x:v>
      </x:c>
      <x:c r="C8" s="15" t="str">
        <x:v>Défini</x:v>
      </x:c>
      <x:c r="D8" s="17" t="str">
        <x:v>Établi</x:v>
      </x:c>
      <x:c r="E8" s="17" t="str">
        <x:v>P1</x:v>
      </x:c>
      <x:c r="F8" s="7" t="str">
        <x:v>Hub des recrutements Samara et Thane.</x:v>
      </x:c>
      <x:c r="G8" s="7" t="str">
        <x:v>Centre commerçant à terrasses reliées ; journal de pistes par bâtiment et non par écran unique.</x:v>
      </x:c>
      <x:c r="H8" s="7" t="str">
        <x:v>Centre commerçant à terrasses reliées ; journal de pistes par bâtiment et non par écran unique.</x:v>
      </x:c>
      <x:c r="I8" s="7" t="str">
        <x:v>Tours lisses, verre, soleil chaud et transports aériens.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me2/worlds/illium ; rattacher les ressources et états cités à cet identifiant. Aucun fichier de jeu créé par ce catalogue.</x:v>
      </x:c>
      <x:c r="M8" s="7" t="str"/>
      <x:c r="N8" s="7" t="str">
        <x:v>Le livrable « Illium / Nos Astra » possède une scène ou un scénario de contrôle ; ses règles proposées, ses conditions et ses retours visuels sont vérifiables séparément.</x:v>
      </x:c>
      <x:c r="O8" s="7" t="str"/>
      <x:c r="P8" s="7" t="str">
        <x:v>Illium / Nos Astra</x:v>
      </x:c>
      <x:c r="Q8" s="7" t="str">
        <x:v>ME2-SRC-NOSASTRA</x:v>
      </x:c>
      <x:c r="R8" s="7" t="str">
        <x:v>https://masseffect.fandom.com/wiki/Nos_Astra</x:v>
      </x:c>
      <x:c r="S8" s="7" t="str">
        <x:v>Spécification à réaliser. Les champs adaptation, gameplay, visual, animation, audio et implementation décrivent le fan game ; ils ne donnent pas des caractéristiques officielles de l’œuvre.</x:v>
      </x:c>
    </x:row>
    <x:row r="9" ht="68" customHeight="1">
      <x:c r="A9" s="18" t="str">
        <x:v>ME2-WRL-CITADEL</x:v>
      </x:c>
      <x:c r="B9" s="9" t="str">
        <x:v>Citadelle — secteur ME2</x:v>
      </x:c>
      <x:c r="C9" s="15" t="str">
        <x:v>Défini</x:v>
      </x:c>
      <x:c r="D9" s="16" t="str">
        <x:v>Établi</x:v>
      </x:c>
      <x:c r="E9" s="16" t="str">
        <x:v>P1</x:v>
      </x:c>
      <x:c r="F9" s="9" t="str">
        <x:v>Hub de missions et de recrutement de Kasumi.</x:v>
      </x:c>
      <x:c r="G9" s="9" t="str">
        <x:v>Quartier de transit sur plusieurs étages, marché et bureaux ; itinéraires courts entre recherches.</x:v>
      </x:c>
      <x:c r="H9" s="9" t="str">
        <x:v>Quartier de transit sur plusieurs étages, marché et bureaux ; itinéraires courts entre recherches.</x:v>
      </x:c>
      <x:c r="I9" s="9" t="str">
        <x:v>Architecture blanche, lueurs bleues et jardins aperçus.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me2/worlds/citadel ; rattacher les ressources et états cités à cet identifiant. Aucun fichier de jeu créé par ce catalogue.</x:v>
      </x:c>
      <x:c r="M9" s="9" t="str"/>
      <x:c r="N9" s="9" t="str">
        <x:v>Le livrable « Citadelle — secteur ME2 » possède une scène ou un scénario de contrôle ; ses règles proposées, ses conditions et ses retours visuels sont vérifiables séparément.</x:v>
      </x:c>
      <x:c r="O9" s="9" t="str"/>
      <x:c r="P9" s="9" t="str">
        <x:v>Citadelle — secteur ME2</x:v>
      </x:c>
      <x:c r="Q9" s="9" t="str">
        <x:v>ME2-SRC-MISSIONS</x:v>
      </x:c>
      <x:c r="R9" s="9" t="str">
        <x:v>https://masseffect.fandom.com/wiki/Missions</x:v>
      </x:c>
      <x:c r="S9" s="9" t="str">
        <x:v>Spécification à réaliser. Les champs adaptation, gameplay, visual, animation, audio et implementation décrivent le fan game ; ils ne donnent pas des caractéristiques officielles de l’œuvre.</x:v>
      </x:c>
    </x:row>
    <x:row r="10" ht="68" customHeight="1">
      <x:c r="A10" s="19" t="str">
        <x:v>ME2-WRL-TUCHANKA</x:v>
      </x:c>
      <x:c r="B10" s="7" t="str">
        <x:v>Tuchanka</x:v>
      </x:c>
      <x:c r="C10" s="15" t="str">
        <x:v>Défini</x:v>
      </x:c>
      <x:c r="D10" s="17" t="str">
        <x:v>Établi</x:v>
      </x:c>
      <x:c r="E10" s="17" t="str">
        <x:v>P1</x:v>
      </x:c>
      <x:c r="F10" s="7" t="str">
        <x:v>Lieu des loyautés de Grunt et Mordin.</x:v>
      </x:c>
      <x:c r="G10" s="7" t="str">
        <x:v>Hub de clan conduisant à une arène et un hôpital ; routes de mission distinctes.</x:v>
      </x:c>
      <x:c r="H10" s="7" t="str">
        <x:v>Hub de clan conduisant à une arène et un hôpital ; routes de mission distinctes.</x:v>
      </x:c>
      <x:c r="I10" s="7" t="str">
        <x:v>Ruines, ciel sale et installations krogan.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me2/worlds/tuchanka ; rattacher les ressources et états cités à cet identifiant. Aucun fichier de jeu créé par ce catalogue.</x:v>
      </x:c>
      <x:c r="M10" s="7" t="str"/>
      <x:c r="N10" s="7" t="str">
        <x:v>Le livrable « Tuchanka » possède une scène ou un scénario de contrôle ; ses règles proposées, ses conditions et ses retours visuels sont vérifiables séparément.</x:v>
      </x:c>
      <x:c r="O10" s="7" t="str"/>
      <x:c r="P10" s="7" t="str">
        <x:v>Tuchanka</x:v>
      </x:c>
      <x:c r="Q10" s="7" t="str">
        <x:v>ME2-SRC-GRUNT, ME2-SRC-MORDIN</x:v>
      </x:c>
      <x:c r="R10" s="7" t="str">
        <x:v>https://masseffect.fandom.com/wiki/Grunt%3A_Rite_of_Passage
https://masseffect.fandom.com/wiki/Mordin%3A_Old_Blood</x:v>
      </x:c>
      <x:c r="S10" s="7" t="str">
        <x:v>Spécification à réaliser. Les champs adaptation, gameplay, visual, animation, audio et implementation décrivent le fan game ; ils ne donnent pas des caractéristiques officielles de l’œuvre.</x:v>
      </x:c>
    </x:row>
    <x:row r="11" ht="68" customHeight="1">
      <x:c r="A11" s="18" t="str">
        <x:v>ME2-WRL-HORIZON</x:v>
      </x:c>
      <x:c r="B11" s="9" t="str">
        <x:v>Horizon</x:v>
      </x:c>
      <x:c r="C11" s="15" t="str">
        <x:v>Défini</x:v>
      </x:c>
      <x:c r="D11" s="16" t="str">
        <x:v>Établi</x:v>
      </x:c>
      <x:c r="E11" s="16" t="str">
        <x:v>P1</x:v>
      </x:c>
      <x:c r="F11" s="9" t="str">
        <x:v>Colonie visée par les Collecteurs.</x:v>
      </x:c>
      <x:c r="G11" s="9" t="str">
        <x:v>Carte en quartiers dont la défense centrale demeure le point d’orientation.</x:v>
      </x:c>
      <x:c r="H11" s="9" t="str">
        <x:v>Carte en quartiers dont la défense centrale demeure le point d’orientation.</x:v>
      </x:c>
      <x:c r="I11" s="9" t="str">
        <x:v>Champs agricoles, préfabriqués et défenses orbitales.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me2/worlds/horizon ; rattacher les ressources et états cités à cet identifiant. Aucun fichier de jeu créé par ce catalogue.</x:v>
      </x:c>
      <x:c r="M11" s="9" t="str"/>
      <x:c r="N11" s="9" t="str">
        <x:v>Le livrable « Horizon » possède une scène ou un scénario de contrôle ; ses règles proposées, ses conditions et ses retours visuels sont vérifiables séparément.</x:v>
      </x:c>
      <x:c r="O11" s="9" t="str"/>
      <x:c r="P11" s="9" t="str">
        <x:v>Horizon</x:v>
      </x:c>
      <x:c r="Q11" s="9" t="str">
        <x:v>ME2-SRC-HORIZON</x:v>
      </x:c>
      <x:c r="R11" s="9" t="str">
        <x:v>https://masseffect.fandom.com/wiki/Horizon_%28mission%29</x:v>
      </x:c>
      <x:c r="S11" s="9" t="str">
        <x:v>Spécification à réaliser. Les champs adaptation, gameplay, visual, animation, audio et implementation décrivent le fan game ; ils ne donnent pas des caractéristiques officielles de l’œuvre.</x:v>
      </x:c>
    </x:row>
    <x:row r="12" ht="68" customHeight="1">
      <x:c r="A12" s="19" t="str">
        <x:v>ME2-WRL-FREEDOM</x:v>
      </x:c>
      <x:c r="B12" s="7" t="str">
        <x:v>Freedom’s Progress</x:v>
      </x:c>
      <x:c r="C12" s="15" t="str">
        <x:v>Défini</x:v>
      </x:c>
      <x:c r="D12" s="17" t="str">
        <x:v>Établi</x:v>
      </x:c>
      <x:c r="E12" s="17" t="str">
        <x:v>P1</x:v>
      </x:c>
      <x:c r="F12" s="7" t="str">
        <x:v>Colonie humaine désertée.</x:v>
      </x:c>
      <x:c r="G12" s="7" t="str">
        <x:v>Petit réseau d’habitations menant à la pièce de Veetor ; vie interrompue visible dans les détails.</x:v>
      </x:c>
      <x:c r="H12" s="7" t="str">
        <x:v>Petit réseau d’habitations menant à la pièce de Veetor ; vie interrompue visible dans les détails.</x:v>
      </x:c>
      <x:c r="I12" s="7" t="str">
        <x:v>Éclairage froid, habitations et escaliers extérieurs.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me2/worlds/freedom ; rattacher les ressources et états cités à cet identifiant. Aucun fichier de jeu créé par ce catalogue.</x:v>
      </x:c>
      <x:c r="M12" s="7" t="str"/>
      <x:c r="N12" s="7" t="str">
        <x:v>Le livrable « Freedom’s Progress » possède une scène ou un scénario de contrôle ; ses règles proposées, ses conditions et ses retours visuels sont vérifiables séparément.</x:v>
      </x:c>
      <x:c r="O12" s="7" t="str"/>
      <x:c r="P12" s="7" t="str">
        <x:v>Freedom’s Progress</x:v>
      </x:c>
      <x:c r="Q12" s="7" t="str">
        <x:v>ME2-SRC-FREEDOM</x:v>
      </x:c>
      <x:c r="R12" s="7" t="str">
        <x:v>https://masseffect.fandom.com/wiki/Freedom%27s_Progress_%28mission%29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ME2-WRL-KORLUS</x:v>
      </x:c>
      <x:c r="B13" s="9" t="str">
        <x:v>Korlus</x:v>
      </x:c>
      <x:c r="C13" s="15" t="str">
        <x:v>Défini</x:v>
      </x:c>
      <x:c r="D13" s="16" t="str">
        <x:v>Établi</x:v>
      </x:c>
      <x:c r="E13" s="16" t="str">
        <x:v>P1</x:v>
      </x:c>
      <x:c r="F13" s="9" t="str">
        <x:v>Monde de récupération du dossier Okeer.</x:v>
      </x:c>
      <x:c r="G13" s="9" t="str">
        <x:v>Labyrinthe de carcasses avec niveaux lisibles ; ne pas confondre décor de coque et sol praticable.</x:v>
      </x:c>
      <x:c r="H13" s="9" t="str">
        <x:v>Labyrinthe de carcasses avec niveaux lisibles ; ne pas confondre décor de coque et sol praticable.</x:v>
      </x:c>
      <x:c r="I13" s="9" t="str">
        <x:v>Fer rouillé, moteurs géants et brouillard industriel.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me2/worlds/korlus ; rattacher les ressources et états cités à cet identifiant. Aucun fichier de jeu créé par ce catalogue.</x:v>
      </x:c>
      <x:c r="M13" s="9" t="str"/>
      <x:c r="N13" s="9" t="str">
        <x:v>Le livrable « Korlus » possède une scène ou un scénario de contrôle ; ses règles proposées, ses conditions et ses retours visuels sont vérifiables séparément.</x:v>
      </x:c>
      <x:c r="O13" s="9" t="str"/>
      <x:c r="P13" s="9" t="str">
        <x:v>Korlus</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ME2-WRL-HAESTROM</x:v>
      </x:c>
      <x:c r="B14" s="7" t="str">
        <x:v>Haestrom</x:v>
      </x:c>
      <x:c r="C14" s="15" t="str">
        <x:v>Défini</x:v>
      </x:c>
      <x:c r="D14" s="17" t="str">
        <x:v>Établi</x:v>
      </x:c>
      <x:c r="E14" s="17" t="str">
        <x:v>P1</x:v>
      </x:c>
      <x:c r="F14" s="7" t="str">
        <x:v>Ancienne colonie quariène exposée à son soleil.</x:v>
      </x:c>
      <x:c r="G14" s="7" t="str">
        <x:v>Ombre comme ressource de déplacement ; obstacles d’abri lisibles en caméra fixe.</x:v>
      </x:c>
      <x:c r="H14" s="7" t="str">
        <x:v>Ombre comme ressource de déplacement ; obstacles d’abri lisibles en caméra fixe.</x:v>
      </x:c>
      <x:c r="I14" s="7" t="str">
        <x:v>Pierre claire, ombres dures et ruines geth.</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me2/worlds/haestrom ; rattacher les ressources et états cités à cet identifiant. Aucun fichier de jeu créé par ce catalogue.</x:v>
      </x:c>
      <x:c r="M14" s="7" t="str"/>
      <x:c r="N14" s="7" t="str">
        <x:v>Le livrable « Haestrom » possède une scène ou un scénario de contrôle ; ses règles proposées, ses conditions et ses retours visuels sont vérifiables séparément.</x:v>
      </x:c>
      <x:c r="O14" s="7" t="str"/>
      <x:c r="P14" s="7" t="str">
        <x:v>Haestrom</x:v>
      </x:c>
      <x:c r="Q14" s="7" t="str">
        <x:v>ME2-SRC-TALI</x:v>
      </x:c>
      <x:c r="R14" s="7" t="str">
        <x:v>https://masseffect.fandom.com/wiki/Dossier%3A_Tali</x:v>
      </x:c>
      <x:c r="S14" s="7" t="str">
        <x:v>Spécification à réaliser. Les champs adaptation, gameplay, visual, animation, audio et implementation décrivent le fan game ; ils ne donnent pas des caractéristiques officielles de l’œuvre.</x:v>
      </x:c>
    </x:row>
    <x:row r="15" ht="68" customHeight="1">
      <x:c r="A15" s="18" t="str">
        <x:v>ME2-WRL-PRAGIA</x:v>
      </x:c>
      <x:c r="B15" s="9" t="str">
        <x:v>Pragia</x:v>
      </x:c>
      <x:c r="C15" s="15" t="str">
        <x:v>Défini</x:v>
      </x:c>
      <x:c r="D15" s="16" t="str">
        <x:v>Établi</x:v>
      </x:c>
      <x:c r="E15" s="16" t="str">
        <x:v>P1</x:v>
      </x:c>
      <x:c r="F15" s="9" t="str">
        <x:v>Lieu du centre d’enfance de Jack.</x:v>
      </x:c>
      <x:c r="G15" s="9" t="str">
        <x:v>Exploration émotionnelle par salles et raccourcis ; combat périphérique autour des souvenirs.</x:v>
      </x:c>
      <x:c r="H15" s="9" t="str">
        <x:v>Exploration émotionnelle par salles et raccourcis ; combat périphérique autour des souvenirs.</x:v>
      </x:c>
      <x:c r="I15" s="9" t="str">
        <x:v>Pluie, jungle et béton laboratoire.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me2/worlds/pragia ; rattacher les ressources et états cités à cet identifiant. Aucun fichier de jeu créé par ce catalogue.</x:v>
      </x:c>
      <x:c r="M15" s="9" t="str"/>
      <x:c r="N15" s="9" t="str">
        <x:v>Le livrable « Pragia » possède une scène ou un scénario de contrôle ; ses règles proposées, ses conditions et ses retours visuels sont vérifiables séparément.</x:v>
      </x:c>
      <x:c r="O15" s="9" t="str"/>
      <x:c r="P15" s="9" t="str">
        <x:v>Pragia</x:v>
      </x:c>
      <x:c r="Q15" s="9" t="str">
        <x:v>ME2-SRC-JACK</x:v>
      </x:c>
      <x:c r="R15" s="9" t="str">
        <x:v>https://masseffect.fandom.com/wiki/Jack%3A_Subject_Zero</x:v>
      </x:c>
      <x:c r="S15" s="9" t="str">
        <x:v>Spécification à réaliser. Les champs adaptation, gameplay, visual, animation, audio et implementation décrivent le fan game ; ils ne donnent pas des caractéristiques officielles de l’œuvre.</x:v>
      </x:c>
    </x:row>
    <x:row r="16" ht="68" customHeight="1">
      <x:c r="A16" s="19" t="str">
        <x:v>ME2-WRL-AEIA</x:v>
      </x:c>
      <x:c r="B16" s="7" t="str">
        <x:v>2175 Aeia</x:v>
      </x:c>
      <x:c r="C16" s="15" t="str">
        <x:v>Défini</x:v>
      </x:c>
      <x:c r="D16" s="17" t="str">
        <x:v>Établi</x:v>
      </x:c>
      <x:c r="E16" s="17" t="str">
        <x:v>P1</x:v>
      </x:c>
      <x:c r="F16" s="7" t="str">
        <x:v>Monde du crash du Hugo Gernsback.</x:v>
      </x:c>
      <x:c r="G16" s="7" t="str">
        <x:v>Bande côtière en trois zones : épave, survivants, autorité ; indexer chaque preuve par provenance.</x:v>
      </x:c>
      <x:c r="H16" s="7" t="str">
        <x:v>Bande côtière en trois zones : épave, survivants, autorité ; indexer chaque preuve par provenance.</x:v>
      </x:c>
      <x:c r="I16" s="7" t="str">
        <x:v>Mer, végétation tropicale et camp improvisé.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me2/worlds/aeia ; rattacher les ressources et états cités à cet identifiant. Aucun fichier de jeu créé par ce catalogue.</x:v>
      </x:c>
      <x:c r="M16" s="7" t="str"/>
      <x:c r="N16" s="7" t="str">
        <x:v>Le livrable « 2175 Aeia » possède une scène ou un scénario de contrôle ; ses règles proposées, ses conditions et ses retours visuels sont vérifiables séparément.</x:v>
      </x:c>
      <x:c r="O16" s="7" t="str"/>
      <x:c r="P16" s="7" t="str">
        <x:v>2175 Aeia</x:v>
      </x:c>
      <x:c r="Q16" s="7" t="str">
        <x:v>ME2-SRC-JACOB</x:v>
      </x:c>
      <x:c r="R16" s="7" t="str">
        <x:v>https://masseffect.fandom.com/wiki/Jacob%3A_The_Gift_of_Greatness</x:v>
      </x:c>
      <x:c r="S16" s="7" t="str">
        <x:v>Spécification à réaliser. Les champs adaptation, gameplay, visual, animation, audio et implementation décrivent le fan game ; ils ne donnent pas des caractéristiques officielles de l’œuvre.</x:v>
      </x:c>
    </x:row>
    <x:row r="17" ht="68" customHeight="1">
      <x:c r="A17" s="18" t="str">
        <x:v>ME2-WRL-BEKENSTEIN</x:v>
      </x:c>
      <x:c r="B17" s="9" t="str">
        <x:v>Bekenstein</x:v>
      </x:c>
      <x:c r="C17" s="15" t="str">
        <x:v>Défini</x:v>
      </x:c>
      <x:c r="D17" s="16" t="str">
        <x:v>Établi</x:v>
      </x:c>
      <x:c r="E17" s="16" t="str">
        <x:v>P1</x:v>
      </x:c>
      <x:c r="F17" s="9" t="str">
        <x:v>Lieu du manoir de Hock.</x:v>
      </x:c>
      <x:c r="G17" s="9" t="str">
        <x:v>Hub fermé de réception donnant vers jardin, sécurité, coffre et terrasse de fuite.</x:v>
      </x:c>
      <x:c r="H17" s="9" t="str">
        <x:v>Hub fermé de réception donnant vers jardin, sécurité, coffre et terrasse de fuite.</x:v>
      </x:c>
      <x:c r="I17" s="9" t="str">
        <x:v>Villas luxueuses et skyline nocturne.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me2/worlds/bekenstein ; rattacher les ressources et états cités à cet identifiant. Aucun fichier de jeu créé par ce catalogue.</x:v>
      </x:c>
      <x:c r="M17" s="9" t="str"/>
      <x:c r="N17" s="9" t="str">
        <x:v>Le livrable « Bekenstein » possède une scène ou un scénario de contrôle ; ses règles proposées, ses conditions et ses retours visuels sont vérifiables séparément.</x:v>
      </x:c>
      <x:c r="O17" s="9" t="str"/>
      <x:c r="P17" s="9" t="str">
        <x:v>Bekenstein</x:v>
      </x:c>
      <x:c r="Q17" s="9" t="str">
        <x:v>ME2-SRC-KASUMI</x:v>
      </x:c>
      <x:c r="R17" s="9" t="str">
        <x:v>https://masseffect.fandom.com/wiki/Kasumi%3A_Stealing_Memory</x:v>
      </x:c>
      <x:c r="S17" s="9" t="str">
        <x:v>Spécification à réaliser. Les champs adaptation, gameplay, visual, animation, audio et implementation décrivent le fan game ; ils ne donnent pas des caractéristiques officielles de l’œuvre.</x:v>
      </x:c>
    </x:row>
    <x:row r="18" ht="68" customHeight="1">
      <x:c r="A18" s="19" t="str">
        <x:v>ME2-WRL-HAGALAZ</x:v>
      </x:c>
      <x:c r="B18" s="7" t="str">
        <x:v>Hagalaz</x:v>
      </x:c>
      <x:c r="C18" s="15" t="str">
        <x:v>Défini</x:v>
      </x:c>
      <x:c r="D18" s="17" t="str">
        <x:v>Établi</x:v>
      </x:c>
      <x:c r="E18" s="17" t="str">
        <x:v>P1</x:v>
      </x:c>
      <x:c r="F18" s="7" t="str">
        <x:v>La base du Courtier s’y dissimule.</x:v>
      </x:c>
      <x:c r="G18" s="7" t="str">
        <x:v>Coque mobile sous orage ; cycles de vent et antennes comme couverts temporaires.</x:v>
      </x:c>
      <x:c r="H18" s="7" t="str">
        <x:v>Coque mobile sous orage ; cycles de vent et antennes comme couverts temporaires.</x:v>
      </x:c>
      <x:c r="I18" s="7" t="str">
        <x:v>Nuages tourbillonnants, plaques métalliques et éclairs.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me2/worlds/hagalaz ; rattacher les ressources et états cités à cet identifiant. Aucun fichier de jeu créé par ce catalogue.</x:v>
      </x:c>
      <x:c r="M18" s="7" t="str"/>
      <x:c r="N18" s="7" t="str">
        <x:v>Le livrable « Hagalaz » possède une scène ou un scénario de contrôle ; ses règles proposées, ses conditions et ses retours visuels sont vérifiables séparément.</x:v>
      </x:c>
      <x:c r="O18" s="7" t="str"/>
      <x:c r="P18" s="7" t="str">
        <x:v>Hagalaz</x:v>
      </x:c>
      <x:c r="Q18" s="7" t="str">
        <x:v>ME2-SRC-SHADOW</x:v>
      </x:c>
      <x:c r="R18" s="7" t="str">
        <x:v>https://masseffect.fandom.com/wiki/Lair_of_the_Shadow_Broker_%28mission%29</x:v>
      </x:c>
      <x:c r="S18" s="7" t="str">
        <x:v>Spécification à réaliser. Les champs adaptation, gameplay, visual, animation, audio et implementation décrivent le fan game ; ils ne donnent pas des caractéristiques officielles de l’œuvre.</x:v>
      </x:c>
    </x:row>
    <x:row r="19" ht="68" customHeight="1">
      <x:c r="A19" s="18" t="str">
        <x:v>ME2-WRL-AITE</x:v>
      </x:c>
      <x:c r="B19" s="9" t="str">
        <x:v>Aite</x:v>
      </x:c>
      <x:c r="C19" s="15" t="str">
        <x:v>Défini</x:v>
      </x:c>
      <x:c r="D19" s="16" t="str">
        <x:v>Établi</x:v>
      </x:c>
      <x:c r="E19" s="16" t="str">
        <x:v>P1</x:v>
      </x:c>
      <x:c r="F19" s="9" t="str">
        <x:v>Monde de Project Overlord.</x:v>
      </x:c>
      <x:c r="G19" s="9" t="str">
        <x:v>Vallée Hammerhead reliant des stations de recherche ; chaque installation porte un code visuel propre.</x:v>
      </x:c>
      <x:c r="H19" s="9" t="str">
        <x:v>Vallée Hammerhead reliant des stations de recherche ; chaque installation porte un code visuel propre.</x:v>
      </x:c>
      <x:c r="I19" s="9" t="str">
        <x:v>Prairies, rochers, antennes et zones volcaniques.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me2/worlds/aite ; rattacher les ressources et états cités à cet identifiant. Aucun fichier de jeu créé par ce catalogue.</x:v>
      </x:c>
      <x:c r="M19" s="9" t="str"/>
      <x:c r="N19" s="9" t="str">
        <x:v>Le livrable « Aite » possède une scène ou un scénario de contrôle ; ses règles proposées, ses conditions et ses retours visuels sont vérifiables séparément.</x:v>
      </x:c>
      <x:c r="O19" s="9" t="str"/>
      <x:c r="P19" s="9" t="str">
        <x:v>Aite</x:v>
      </x:c>
      <x:c r="Q19" s="9" t="str">
        <x:v>ME2-SRC-ATLAS</x:v>
      </x:c>
      <x:c r="R19" s="9" t="str">
        <x:v>https://masseffect.fandom.com/wiki/Atlas_Station</x:v>
      </x:c>
      <x:c r="S19" s="9" t="str">
        <x:v>Spécification à réaliser. Les champs adaptation, gameplay, visual, animation, audio et implementation décrivent le fan game ; ils ne donnent pas des caractéristiques officielles de l’œuvre.</x:v>
      </x:c>
    </x:row>
    <x:row r="20" ht="68" customHeight="1">
      <x:c r="A20" s="19" t="str">
        <x:v>ME2-WRL-ARATOHT</x:v>
      </x:c>
      <x:c r="B20" s="7" t="str">
        <x:v>Aratoht</x:v>
      </x:c>
      <x:c r="C20" s="15" t="str">
        <x:v>Défini</x:v>
      </x:c>
      <x:c r="D20" s="17" t="str">
        <x:v>Établi</x:v>
      </x:c>
      <x:c r="E20" s="17" t="str">
        <x:v>P1</x:v>
      </x:c>
      <x:c r="F20" s="7" t="str">
        <x:v>Prison de départ d’Arrival.</x:v>
      </x:c>
      <x:c r="G20" s="7" t="str">
        <x:v>Niveau solo avec route furtive et route d’alerte ; navigation dans conduits et cellules.</x:v>
      </x:c>
      <x:c r="H20" s="7" t="str">
        <x:v>Niveau solo avec route furtive et route d’alerte ; navigation dans conduits et cellules.</x:v>
      </x:c>
      <x:c r="I20" s="7" t="str">
        <x:v>Roche, prison batarienne et éclairage ambré.</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me2/worlds/aratoht ; rattacher les ressources et états cités à cet identifiant. Aucun fichier de jeu créé par ce catalogue.</x:v>
      </x:c>
      <x:c r="M20" s="7" t="str"/>
      <x:c r="N20" s="7" t="str">
        <x:v>Le livrable « Aratoht » possède une scène ou un scénario de contrôle ; ses règles proposées, ses conditions et ses retours visuels sont vérifiables séparément.</x:v>
      </x:c>
      <x:c r="O20" s="7" t="str"/>
      <x:c r="P20" s="7" t="str">
        <x:v>Aratoht</x:v>
      </x:c>
      <x:c r="Q20" s="7" t="str">
        <x:v>ME2-SRC-ARRIVAL</x:v>
      </x:c>
      <x:c r="R20" s="7" t="str">
        <x:v>https://masseffect.fandom.com/wiki/Arrival_%28assignment%29</x:v>
      </x:c>
      <x:c r="S20" s="7" t="str">
        <x:v>Spécification à réaliser. Les champs adaptation, gameplay, visual, animation, audio et implementation décrivent le fan game ; ils ne donnent pas des caractéristiques officielles de l’œuvre.</x:v>
      </x:c>
    </x:row>
    <x:row r="21" ht="68" customHeight="1">
      <x:c r="A21" s="18" t="str">
        <x:v>ME2-WRL-BAHAK</x:v>
      </x:c>
      <x:c r="B21" s="9" t="str">
        <x:v>Bahak — système et projet</x:v>
      </x:c>
      <x:c r="C21" s="15" t="str">
        <x:v>Défini</x:v>
      </x:c>
      <x:c r="D21" s="16" t="str">
        <x:v>Établi</x:v>
      </x:c>
      <x:c r="E21" s="16" t="str">
        <x:v>P1</x:v>
      </x:c>
      <x:c r="F21" s="9" t="str">
        <x:v>Le relais Alpha est détruit avec le système.</x:v>
      </x:c>
      <x:c r="G21" s="9" t="str">
        <x:v>Carte de conséquence narrative ; ne pas traiter le système comme zone encore visitable après Arrival.</x:v>
      </x:c>
      <x:c r="H21" s="9" t="str">
        <x:v>Carte de conséquence narrative ; ne pas traiter le système comme zone encore visitable après Arrival.</x:v>
      </x:c>
      <x:c r="I21" s="9" t="str">
        <x:v>Astéroïde, relais et axe de collision.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me2/worlds/bahak ; rattacher les ressources et états cités à cet identifiant. Aucun fichier de jeu créé par ce catalogue.</x:v>
      </x:c>
      <x:c r="M21" s="9" t="str">
        <x:v>Après événement, destination verrouillée définitivement.</x:v>
      </x:c>
      <x:c r="N21" s="9" t="str">
        <x:v>Le livrable « Bahak — système et projet » possède une scène ou un scénario de contrôle ; ses règles proposées, ses conditions et ses retours visuels sont vérifiables séparément.</x:v>
      </x:c>
      <x:c r="O21" s="9" t="str"/>
      <x:c r="P21" s="9" t="str">
        <x:v>Bahak — système et projet</x:v>
      </x:c>
      <x:c r="Q21" s="9" t="str">
        <x:v>ME2-SRC-ARRIVAL</x:v>
      </x:c>
      <x:c r="R21" s="9" t="str">
        <x:v>https://masseffect.fandom.com/wiki/Arrival_%28assignment%29</x:v>
      </x:c>
      <x:c r="S21" s="9" t="str">
        <x:v>Spécification à réaliser. Les champs adaptation, gameplay, visual, animation, audio et implementation décrivent le fan game ; ils ne donnent pas des caractéristiques officielles de l’œuvre.</x:v>
      </x:c>
    </x:row>
    <x:row r="22" ht="68" customHeight="1">
      <x:c r="A22" s="19" t="str">
        <x:v>ME2-WRL-LATTESH</x:v>
      </x:c>
      <x:c r="B22" s="7" t="str">
        <x:v>Lattesh</x:v>
      </x:c>
      <x:c r="C22" s="15" t="str">
        <x:v>Défini</x:v>
      </x:c>
      <x:c r="D22" s="17" t="str">
        <x:v>Établi</x:v>
      </x:c>
      <x:c r="E22" s="17" t="str">
        <x:v>P1</x:v>
      </x:c>
      <x:c r="F22" s="7" t="str">
        <x:v>Planète froide de Firewalker.</x:v>
      </x:c>
      <x:c r="G22" s="7" t="str">
        <x:v>Circuit de sondes en véhicule ; planifier le détour avant de quitter une source de chaleur.</x:v>
      </x:c>
      <x:c r="H22" s="7" t="str">
        <x:v>Circuit de sondes en véhicule ; planifier le détour avant de quitter une source de chaleur.</x:v>
      </x:c>
      <x:c r="I22" s="7" t="str">
        <x:v>Glace bleue, canyon et balises rouges.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me2/worlds/lattesh ; rattacher les ressources et états cités à cet identifiant. Aucun fichier de jeu créé par ce catalogue.</x:v>
      </x:c>
      <x:c r="M22" s="7" t="str"/>
      <x:c r="N22" s="7" t="str">
        <x:v>Le livrable « Lattesh » possède une scène ou un scénario de contrôle ; ses règles proposées, ses conditions et ses retours visuels sont vérifiables séparément.</x:v>
      </x:c>
      <x:c r="O22" s="7" t="str"/>
      <x:c r="P22" s="7" t="str">
        <x:v>Lattesh</x:v>
      </x:c>
      <x:c r="Q22" s="7" t="str">
        <x:v>ME2-SRC-FIRE-COLD</x:v>
      </x:c>
      <x:c r="R22" s="7" t="str">
        <x:v>https://masseffect.fandom.com/wiki/Project_Firewalker%3A_Geth_Incursion</x:v>
      </x:c>
      <x:c r="S22" s="7" t="str">
        <x:v>Spécification à réaliser. Les champs adaptation, gameplay, visual, animation, audio et implementation décrivent le fan game ; ils ne donnent pas des caractéristiques officielles de l’œuvre.</x:v>
      </x:c>
    </x:row>
    <x:row r="23" ht="68" customHeight="1">
      <x:c r="A23" s="18" t="str">
        <x:v>ME2-WRL-ZEONA</x:v>
      </x:c>
      <x:c r="B23" s="9" t="str">
        <x:v>Zeona</x:v>
      </x:c>
      <x:c r="C23" s="15" t="str">
        <x:v>Défini</x:v>
      </x:c>
      <x:c r="D23" s="16" t="str">
        <x:v>Établi</x:v>
      </x:c>
      <x:c r="E23" s="16" t="str">
        <x:v>P1</x:v>
      </x:c>
      <x:c r="F23" s="9" t="str">
        <x:v>Site de récupération du Hammerhead.</x:v>
      </x:c>
      <x:c r="G23" s="9" t="str">
        <x:v>Terrain tutoriel sans piège létal non annoncé ; premiers prélèvements à faible pression.</x:v>
      </x:c>
      <x:c r="H23" s="9" t="str">
        <x:v>Terrain tutoriel sans piège létal non annoncé ; premiers prélèvements à faible pression.</x:v>
      </x:c>
      <x:c r="I23" s="9" t="str">
        <x:v>Roche et installation de recherche.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me2/worlds/zeona ; rattacher les ressources et états cités à cet identifiant. Aucun fichier de jeu créé par ce catalogue.</x:v>
      </x:c>
      <x:c r="M23" s="9" t="str">
        <x:v>Firewalker.</x:v>
      </x:c>
      <x:c r="N23" s="9" t="str">
        <x:v>Le livrable « Zeona » possède une scène ou un scénario de contrôle ; ses règles proposées, ses conditions et ses retours visuels sont vérifiables séparément.</x:v>
      </x:c>
      <x:c r="O23" s="9" t="str"/>
      <x:c r="P23" s="9" t="str">
        <x:v>Zeona</x:v>
      </x:c>
      <x:c r="Q23" s="9" t="str">
        <x:v>ME2-SRC-FIRE-START</x:v>
      </x:c>
      <x:c r="R23" s="9" t="str">
        <x:v>https://masseffect.fandom.com/wiki/Project_Firewalker%3A_Rosalie_Lost</x:v>
      </x:c>
      <x:c r="S23" s="9" t="str">
        <x:v>Spécification à réaliser. Les champs adaptation, gameplay, visual, animation, audio et implementation décrivent le fan game ; ils ne donnent pas des caractéristiques officielles de l’œuvre.</x:v>
      </x:c>
    </x:row>
    <x:row r="24" ht="68" customHeight="1">
      <x:c r="A24" s="19" t="str">
        <x:v>ME2-WRL-HERETIC</x:v>
      </x:c>
      <x:c r="B24" s="7" t="str">
        <x:v>Station hérétique</x:v>
      </x:c>
      <x:c r="C24" s="15" t="str">
        <x:v>Défini</x:v>
      </x:c>
      <x:c r="D24" s="17" t="str">
        <x:v>Établi</x:v>
      </x:c>
      <x:c r="E24" s="17" t="str">
        <x:v>P1</x:v>
      </x:c>
      <x:c r="F24" s="7" t="str">
        <x:v>Le virus geth y est préparé.</x:v>
      </x:c>
      <x:c r="G24" s="7" t="str">
        <x:v>Stations de serveur reliées par couloirs ; réseau technique visible sans espaces sociaux organiques.</x:v>
      </x:c>
      <x:c r="H24" s="7" t="str">
        <x:v>Stations de serveur reliées par couloirs ; réseau technique visible sans espaces sociaux organiques.</x:v>
      </x:c>
      <x:c r="I24" s="7" t="str">
        <x:v>Noir, vert et surfaces fonctionnelles.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me2/worlds/heretic ; rattacher les ressources et états cités à cet identifiant. Aucun fichier de jeu créé par ce catalogue.</x:v>
      </x:c>
      <x:c r="M24" s="7" t="str"/>
      <x:c r="N24" s="7" t="str">
        <x:v>Le livrable « Station hérétique » possède une scène ou un scénario de contrôle ; ses règles proposées, ses conditions et ses retours visuels sont vérifiables séparément.</x:v>
      </x:c>
      <x:c r="O24" s="7" t="str"/>
      <x:c r="P24" s="7" t="str">
        <x:v>Station hérétique</x:v>
      </x:c>
      <x:c r="Q24" s="7" t="str">
        <x:v>ME2-SRC-LEGION</x:v>
      </x:c>
      <x:c r="R24" s="7" t="str">
        <x:v>https://masseffect.fandom.com/wiki/Legion%3A_A_House_Divided</x:v>
      </x:c>
      <x:c r="S24" s="7" t="str">
        <x:v>Spécification à réaliser. Les champs adaptation, gameplay, visual, animation, audio et implementation décrivent le fan game ; ils ne donnent pas des caractéristiques officielles de l’œuvre.</x:v>
      </x:c>
    </x:row>
    <x:row r="25" ht="68" customHeight="1">
      <x:c r="A25" s="18" t="str">
        <x:v>ME2-WRL-COLLECTOR-BASE</x:v>
      </x:c>
      <x:c r="B25" s="9" t="str">
        <x:v>Base des Collecteurs</x:v>
      </x:c>
      <x:c r="C25" s="15" t="str">
        <x:v>Défini</x:v>
      </x:c>
      <x:c r="D25" s="16" t="str">
        <x:v>Établi</x:v>
      </x:c>
      <x:c r="E25" s="16" t="str">
        <x:v>P1</x:v>
      </x:c>
      <x:c r="F25" s="9" t="str">
        <x:v>Destination de la mission suicide.</x:v>
      </x:c>
      <x:c r="G25" s="9" t="str">
        <x:v>Macro-zone terminale à séquences verrouillées ; chaque transition conserve les pertes d’équipe.</x:v>
      </x:c>
      <x:c r="H25" s="9" t="str">
        <x:v>Macro-zone terminale à séquences verrouillées ; chaque transition conserve les pertes d’équipe.</x:v>
      </x:c>
      <x:c r="I25" s="9" t="str">
        <x:v>Biomatière, tubes et vide autour de la structure.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me2/worlds/collector-base ; rattacher les ressources et états cités à cet identifiant. Aucun fichier de jeu créé par ce catalogue.</x:v>
      </x:c>
      <x:c r="M25" s="9" t="str"/>
      <x:c r="N25" s="9" t="str">
        <x:v>Le livrable « Base des Collecteurs » possède une scène ou un scénario de contrôle ; ses règles proposées, ses conditions et ses retours visuels sont vérifiables séparément.</x:v>
      </x:c>
      <x:c r="O25" s="9" t="str"/>
      <x:c r="P25" s="9" t="str">
        <x:v>Base des Collecteurs</x:v>
      </x:c>
      <x:c r="Q25" s="9" t="str">
        <x:v>ME2-SRC-INFIL, ME2-SRC-WALK, ME2-SRC-FINAL</x:v>
      </x:c>
      <x:c r="R25" s="9" t="str">
        <x:v>https://masseffect.fandom.com/wiki/Collector_Base%3A_Infiltration
https://masseffect.fandom.com/wiki/Collector_Base%3A_The_Long_Walk
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12" priority="1" operator="equal">
      <x:formula>"À vérifier"</x:formula>
    </x:cfRule>
    <x:cfRule type="cellIs" dxfId="13" priority="2" operator="equal">
      <x:formula>"Extrapolation"</x:formula>
    </x:cfRule>
  </x:conditionalFormatting>
  <x:conditionalFormatting sqref="C7:C25">
    <x:cfRule type="cellIs" dxfId="14" priority="3" operator="equal">
      <x:formula>"Validé"</x:formula>
    </x:cfRule>
  </x:conditionalFormatting>
  <x:conditionalFormatting sqref="E7:E25">
    <x:cfRule type="cellIs" dxfId="15"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2067e911fef44e2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2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ME2-ZON-NORMANDY-CIC</x:v>
      </x:c>
      <x:c r="B7" s="9" t="str">
        <x:v>Normandy SR-2 — CIC</x:v>
      </x:c>
      <x:c r="C7" s="15" t="str">
        <x:v>Défini</x:v>
      </x:c>
      <x:c r="D7" s="16" t="str">
        <x:v>Établi</x:v>
      </x:c>
      <x:c r="E7" s="16" t="str">
        <x:v>P1</x:v>
      </x:c>
      <x:c r="F7" s="9" t="str">
        <x:v>Centre de commandement de Shepard.</x:v>
      </x:c>
      <x:c r="G7" s="9" t="str">
        <x:v>Boucle briefing, carte et contacts ; réserver la caméra d’action aux incursions narratives.</x:v>
      </x:c>
      <x:c r="H7" s="9" t="str">
        <x:v>Boucle briefing, carte et contacts ; réserver la caméra d’action aux incursions narratives.</x:v>
      </x:c>
      <x:c r="I7" s="9" t="str">
        <x:v>Passerelles, carte holographique et postes Cerberus.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me2/zones/normandy-cic ; rattacher les ressources et états cités à cet identifiant. Aucun fichier de jeu créé par ce catalogue.</x:v>
      </x:c>
      <x:c r="M7" s="9" t="str"/>
      <x:c r="N7" s="9" t="str">
        <x:v>Le livrable « Normandy SR-2 — CIC » possède une scène ou un scénario de contrôle ; ses règles proposées, ses conditions et ses retours visuels sont vérifiables séparément.</x:v>
      </x:c>
      <x:c r="O7" s="9" t="str"/>
      <x:c r="P7" s="9" t="str">
        <x:v>Normandy SR-2 — CIC</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ME2-ZON-NORMANDY-CABIN</x:v>
      </x:c>
      <x:c r="B8" s="7" t="str">
        <x:v>Normandy — cabine de Shepard</x:v>
      </x:c>
      <x:c r="C8" s="15" t="str">
        <x:v>Défini</x:v>
      </x:c>
      <x:c r="D8" s="17" t="str">
        <x:v>Établi</x:v>
      </x:c>
      <x:c r="E8" s="17" t="str">
        <x:v>P1</x:v>
      </x:c>
      <x:c r="F8" s="7" t="str">
        <x:v>Espace personnel du commandant.</x:v>
      </x:c>
      <x:c r="G8" s="7" t="str">
        <x:v>Équipement, messages personnels et souvenirs avec interaction proche du lit ou du bureau ; aucune jauge combat.</x:v>
      </x:c>
      <x:c r="H8" s="7" t="str">
        <x:v>Équipement, messages personnels et souvenirs avec interaction proche du lit ou du bureau ; aucune jauge combat.</x:v>
      </x:c>
      <x:c r="I8" s="7" t="str">
        <x:v>Bois sombre, baie spatiale et objets personnels.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me2/zones/normandy-cabin ; rattacher les ressources et états cités à cet identifiant. Aucun fichier de jeu créé par ce catalogue.</x:v>
      </x:c>
      <x:c r="M8" s="7" t="str"/>
      <x:c r="N8" s="7" t="str">
        <x:v>Le livrable « Normandy — cabine de Shepard » possède une scène ou un scénario de contrôle ; ses règles proposées, ses conditions et ses retours visuels sont vérifiables séparément.</x:v>
      </x:c>
      <x:c r="O8" s="7" t="str"/>
      <x:c r="P8" s="7" t="str">
        <x:v>Normandy — cabine de Shepard</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ME2-ZON-NORMANDY-LAB</x:v>
      </x:c>
      <x:c r="B9" s="9" t="str">
        <x:v>Normandy — laboratoire</x:v>
      </x:c>
      <x:c r="C9" s="15" t="str">
        <x:v>Défini</x:v>
      </x:c>
      <x:c r="D9" s="16" t="str">
        <x:v>Établi</x:v>
      </x:c>
      <x:c r="E9" s="16" t="str">
        <x:v>P1</x:v>
      </x:c>
      <x:c r="F9" s="9" t="str">
        <x:v>Mordin travaille au laboratoire.</x:v>
      </x:c>
      <x:c r="G9" s="9" t="str">
        <x:v>Regrouper recherche, consultation de ressources et conversation dans des points d’interaction séparés.</x:v>
      </x:c>
      <x:c r="H9" s="9" t="str">
        <x:v>Regrouper recherche, consultation de ressources et conversation dans des points d’interaction séparés.</x:v>
      </x:c>
      <x:c r="I9" s="9" t="str">
        <x:v>Tables claires, instruments et écran de recherche.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me2/zones/normandy-lab ; rattacher les ressources et états cités à cet identifiant. Aucun fichier de jeu créé par ce catalogue.</x:v>
      </x:c>
      <x:c r="M9" s="9" t="str"/>
      <x:c r="N9" s="9" t="str">
        <x:v>Le livrable « Normandy — laboratoire » possède une scène ou un scénario de contrôle ; ses règles proposées, ses conditions et ses retours visuels sont vérifiables séparément.</x:v>
      </x:c>
      <x:c r="O9" s="9" t="str"/>
      <x:c r="P9" s="9" t="str">
        <x:v>Normandy — laboratoire</x:v>
      </x:c>
      <x:c r="Q9" s="9" t="str">
        <x:v>ME2-SRC-PROF, ME2-SRC-UPGRADE</x:v>
      </x:c>
      <x:c r="R9" s="9" t="str">
        <x:v>https://masseffect.fandom.com/wiki/Dossier%3A_The_Professor
https://masseffect.fandom.com/wiki/Upgrade_Guide</x:v>
      </x:c>
      <x:c r="S9" s="9" t="str">
        <x:v>Spécification à réaliser. Les champs adaptation, gameplay, visual, animation, audio et implementation décrivent le fan game ; ils ne donnent pas des caractéristiques officielles de l’œuvre.</x:v>
      </x:c>
    </x:row>
    <x:row r="10" ht="68" customHeight="1">
      <x:c r="A10" s="19" t="str">
        <x:v>ME2-ZON-NORMANDY-ENGINE</x:v>
      </x:c>
      <x:c r="B10" s="7" t="str">
        <x:v>Normandy — ingénierie</x:v>
      </x:c>
      <x:c r="C10" s="15" t="str">
        <x:v>Défini</x:v>
      </x:c>
      <x:c r="D10" s="17" t="str">
        <x:v>Établi</x:v>
      </x:c>
      <x:c r="E10" s="17" t="str">
        <x:v>P1</x:v>
      </x:c>
      <x:c r="F10" s="7" t="str">
        <x:v>L’ingénierie accueille plusieurs membres d’équipage.</x:v>
      </x:c>
      <x:c r="G10" s="7" t="str">
        <x:v>Connecter passerelle technique, cœur et niches d’équipiers ; poser l’audio ambiant sous la parole.</x:v>
      </x:c>
      <x:c r="H10" s="7" t="str">
        <x:v>Connecter passerelle technique, cœur et niches d’équipiers ; poser l’audio ambiant sous la parole.</x:v>
      </x:c>
      <x:c r="I10" s="7" t="str">
        <x:v>Cœur bleu et réseaux de conduites.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me2/zones/normandy-engine ; rattacher les ressources et états cités à cet identifiant. Aucun fichier de jeu créé par ce catalogue.</x:v>
      </x:c>
      <x:c r="M10" s="7" t="str"/>
      <x:c r="N10" s="7" t="str">
        <x:v>Le livrable « Normandy — ingénierie » possède une scène ou un scénario de contrôle ; ses règles proposées, ses conditions et ses retours visuels sont vérifiables séparément.</x:v>
      </x:c>
      <x:c r="O10" s="7" t="str"/>
      <x:c r="P10" s="7" t="str">
        <x:v>Normandy — ingénierie</x:v>
      </x:c>
      <x:c r="Q10" s="7" t="str">
        <x:v>ME2-SRC-ASSIGN, ME2-SRC-SQUAD</x:v>
      </x:c>
      <x:c r="R10" s="7" t="str">
        <x:v>https://masseffect.fandom.com/wiki/Assignments
https://masseffect.fandom.com/wiki/Squad_Members_Guide_%28Mass_Effect_2%29</x:v>
      </x:c>
      <x:c r="S10" s="7" t="str">
        <x:v>Spécification à réaliser. Les champs adaptation, gameplay, visual, animation, audio et implementation décrivent le fan game ; ils ne donnent pas des caractéristiques officielles de l’œuvre.</x:v>
      </x:c>
    </x:row>
    <x:row r="11" ht="68" customHeight="1">
      <x:c r="A11" s="18" t="str">
        <x:v>ME2-ZON-NORMANDY-MESS</x:v>
      </x:c>
      <x:c r="B11" s="9" t="str">
        <x:v>Normandy — mess et infirmerie</x:v>
      </x:c>
      <x:c r="C11" s="15" t="str">
        <x:v>Défini</x:v>
      </x:c>
      <x:c r="D11" s="16" t="str">
        <x:v>Établi</x:v>
      </x:c>
      <x:c r="E11" s="16" t="str">
        <x:v>P1</x:v>
      </x:c>
      <x:c r="F11" s="9" t="str">
        <x:v>Vie quotidienne et soins à bord.</x:v>
      </x:c>
      <x:c r="G11" s="9" t="str">
        <x:v>Deux zones calmes permettant scènes d’équipage et traitement du medi-gel sans ouvrir le menu de combat.</x:v>
      </x:c>
      <x:c r="H11" s="9" t="str">
        <x:v>Deux zones calmes permettant scènes d’équipage et traitement du medi-gel sans ouvrir le menu de combat.</x:v>
      </x:c>
      <x:c r="I11" s="9" t="str">
        <x:v>Cuisine, tables et lits médicaux.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me2/zones/normandy-mess ; rattacher les ressources et états cités à cet identifiant. Aucun fichier de jeu créé par ce catalogue.</x:v>
      </x:c>
      <x:c r="M11" s="9" t="str"/>
      <x:c r="N11" s="9" t="str">
        <x:v>Le livrable « Normandy — mess et infirmerie » possède une scène ou un scénario de contrôle ; ses règles proposées, ses conditions et ses retours visuels sont vérifiables séparément.</x:v>
      </x:c>
      <x:c r="O11" s="9" t="str"/>
      <x:c r="P11" s="9" t="str">
        <x:v>Normandy — mess et infirmerie</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ME2-ZON-AFTERLIFE</x:v>
      </x:c>
      <x:c r="B12" s="7" t="str">
        <x:v>Afterlife</x:v>
      </x:c>
      <x:c r="C12" s="15" t="str">
        <x:v>Défini</x:v>
      </x:c>
      <x:c r="D12" s="17" t="str">
        <x:v>Établi</x:v>
      </x:c>
      <x:c r="E12" s="17" t="str">
        <x:v>P1</x:v>
      </x:c>
      <x:c r="F12" s="7" t="str">
        <x:v>Club d’Aria sur Omega.</x:v>
      </x:c>
      <x:c r="G12" s="7" t="str">
        <x:v>Plan social en deux niveaux ; l’accès VIP appartient au graphe d’enquête de Morinth.</x:v>
      </x:c>
      <x:c r="H12" s="7" t="str">
        <x:v>Plan social en deux niveaux ; l’accès VIP appartient au graphe d’enquête de Morinth.</x:v>
      </x:c>
      <x:c r="I12" s="7" t="str">
        <x:v>Néons orange, bar, scène et banquette haute.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me2/zones/afterlife ; rattacher les ressources et états cités à cet identifiant. Aucun fichier de jeu créé par ce catalogue.</x:v>
      </x:c>
      <x:c r="M12" s="7" t="str"/>
      <x:c r="N12" s="7" t="str">
        <x:v>Le livrable « Afterlife » possède une scène ou un scénario de contrôle ; ses règles proposées, ses conditions et ses retours visuels sont vérifiables séparément.</x:v>
      </x:c>
      <x:c r="O12" s="7" t="str"/>
      <x:c r="P12" s="7" t="str">
        <x:v>Afterlife</x:v>
      </x:c>
      <x:c r="Q12" s="7" t="str">
        <x:v>ME2-SRC-OMEGA, ME2-SRC-SAMARA</x:v>
      </x:c>
      <x:c r="R12" s="7" t="str">
        <x:v>https://masseffect.fandom.com/wiki/Omega
https://masseffect.fandom.com/wiki/Samara%3A_The_Ardat-Yakshi</x:v>
      </x:c>
      <x:c r="S12" s="7" t="str">
        <x:v>Spécification à réaliser. Les champs adaptation, gameplay, visual, animation, audio et implementation décrivent le fan game ; ils ne donnent pas des caractéristiques officielles de l’œuvre.</x:v>
      </x:c>
    </x:row>
    <x:row r="13" ht="68" customHeight="1">
      <x:c r="A13" s="18" t="str">
        <x:v>ME2-ZON-OMEGA-MARKET</x:v>
      </x:c>
      <x:c r="B13" s="9" t="str">
        <x:v>Omega — marché</x:v>
      </x:c>
      <x:c r="C13" s="15" t="str">
        <x:v>Défini</x:v>
      </x:c>
      <x:c r="D13" s="16" t="str">
        <x:v>Établi</x:v>
      </x:c>
      <x:c r="E13" s="16" t="str">
        <x:v>P1</x:v>
      </x:c>
      <x:c r="F13" s="9" t="str">
        <x:v>Hub de marchands et demandes locales.</x:v>
      </x:c>
      <x:c r="G13" s="9" t="str">
        <x:v>Parcours court entre vendeurs ; afficher le nom de boutique à l’approche avec filtre de quête.</x:v>
      </x:c>
      <x:c r="H13" s="9" t="str">
        <x:v>Parcours court entre vendeurs ; afficher le nom de boutique à l’approche avec filtre de quête.</x:v>
      </x:c>
      <x:c r="I13" s="9" t="str">
        <x:v>Étal de récupération, enseignes et canalisations.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me2/zones/omega-market ; rattacher les ressources et états cités à cet identifiant. Aucun fichier de jeu créé par ce catalogue.</x:v>
      </x:c>
      <x:c r="M13" s="9" t="str"/>
      <x:c r="N13" s="9" t="str">
        <x:v>Le livrable « Omega — marché » possède une scène ou un scénario de contrôle ; ses règles proposées, ses conditions et ses retours visuels sont vérifiables séparément.</x:v>
      </x:c>
      <x:c r="O13" s="9" t="str"/>
      <x:c r="P13" s="9" t="str">
        <x:v>Omega — marché</x:v>
      </x:c>
      <x:c r="Q13" s="9" t="str">
        <x:v>ME2-SRC-MERCHANTS</x:v>
      </x:c>
      <x:c r="R13" s="9" t="str">
        <x:v>https://masseffect.fandom.com/wiki/Merchants_Guide</x:v>
      </x:c>
      <x:c r="S13" s="9" t="str">
        <x:v>Spécification à réaliser. Les champs adaptation, gameplay, visual, animation, audio et implementation décrivent le fan game ; ils ne donnent pas des caractéristiques officielles de l’œuvre.</x:v>
      </x:c>
    </x:row>
    <x:row r="14" ht="68" customHeight="1">
      <x:c r="A14" s="19" t="str">
        <x:v>ME2-ZON-OMEGA-CLINIC</x:v>
      </x:c>
      <x:c r="B14" s="7" t="str">
        <x:v>Omega — clinique de Mordin</x:v>
      </x:c>
      <x:c r="C14" s="15" t="str">
        <x:v>Défini</x:v>
      </x:c>
      <x:c r="D14" s="17" t="str">
        <x:v>Établi</x:v>
      </x:c>
      <x:c r="E14" s="17" t="str">
        <x:v>P1</x:v>
      </x:c>
      <x:c r="F14" s="7" t="str">
        <x:v>Mordin soigne la quarantaine.</x:v>
      </x:c>
      <x:c r="G14" s="7" t="str">
        <x:v>Sanctuaire de conversation séparé des combats ; traiter les arrivées de civils après les décisions.</x:v>
      </x:c>
      <x:c r="H14" s="7" t="str">
        <x:v>Sanctuaire de conversation séparé des combats ; traiter les arrivées de civils après les décisions.</x:v>
      </x:c>
      <x:c r="I14" s="7" t="str">
        <x:v>Lumière blanche médicale au milieu du brun industriel.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me2/zones/omega-clinic ; rattacher les ressources et états cités à cet identifiant. Aucun fichier de jeu créé par ce catalogue.</x:v>
      </x:c>
      <x:c r="M14" s="7" t="str"/>
      <x:c r="N14" s="7" t="str">
        <x:v>Le livrable « Omega — clinique de Mordin » possède une scène ou un scénario de contrôle ; ses règles proposées, ses conditions et ses retours visuels sont vérifiables séparément.</x:v>
      </x:c>
      <x:c r="O14" s="7" t="str"/>
      <x:c r="P14" s="7" t="str">
        <x:v>Omega — clinique de Mordin</x:v>
      </x:c>
      <x:c r="Q14" s="7" t="str">
        <x:v>ME2-SRC-PROF</x:v>
      </x:c>
      <x:c r="R14" s="7" t="str">
        <x:v>https://masseffect.fandom.com/wiki/Dossier%3A_The_Professor</x:v>
      </x:c>
      <x:c r="S14" s="7" t="str">
        <x:v>Spécification à réaliser. Les champs adaptation, gameplay, visual, animation, audio et implementation décrivent le fan game ; ils ne donnent pas des caractéristiques officielles de l’œuvre.</x:v>
      </x:c>
    </x:row>
    <x:row r="15" ht="68" customHeight="1">
      <x:c r="A15" s="18" t="str">
        <x:v>ME2-ZON-OMEGA-VENT</x:v>
      </x:c>
      <x:c r="B15" s="9" t="str">
        <x:v>Omega — contrôle de ventilation</x:v>
      </x:c>
      <x:c r="C15" s="15" t="str">
        <x:v>Défini</x:v>
      </x:c>
      <x:c r="D15" s="16" t="str">
        <x:v>Établi</x:v>
      </x:c>
      <x:c r="E15" s="16" t="str">
        <x:v>P1</x:v>
      </x:c>
      <x:c r="F15" s="9" t="str">
        <x:v>La cure passe par la ventilation.</x:v>
      </x:c>
      <x:c r="G15" s="9" t="str">
        <x:v>Arène en éventail avec deux consoles ; l’activation nécessite une interruption de menace plutôt qu’un long canal aveugle.</x:v>
      </x:c>
      <x:c r="H15" s="9" t="str">
        <x:v>Arène en éventail avec deux consoles ; l’activation nécessite une interruption de menace plutôt qu’un long canal aveugle.</x:v>
      </x:c>
      <x:c r="I15" s="9" t="str">
        <x:v>Ventilateurs, conduits et passerelles.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me2/zones/omega-vent ; rattacher les ressources et états cités à cet identifiant. Aucun fichier de jeu créé par ce catalogue.</x:v>
      </x:c>
      <x:c r="M15" s="9" t="str"/>
      <x:c r="N15" s="9" t="str">
        <x:v>Le livrable « Omega — contrôle de ventilation » possède une scène ou un scénario de contrôle ; ses règles proposées, ses conditions et ses retours visuels sont vérifiables séparément.</x:v>
      </x:c>
      <x:c r="O15" s="9" t="str"/>
      <x:c r="P15" s="9" t="str">
        <x:v>Omega — contrôle de ventilation</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ME2-ZON-ARCHANGEL-HOUSE</x:v>
      </x:c>
      <x:c r="B16" s="7" t="str">
        <x:v>Omega — refuge d’Archangel</x:v>
      </x:c>
      <x:c r="C16" s="15" t="str">
        <x:v>Défini</x:v>
      </x:c>
      <x:c r="D16" s="17" t="str">
        <x:v>Établi</x:v>
      </x:c>
      <x:c r="E16" s="17" t="str">
        <x:v>P1</x:v>
      </x:c>
      <x:c r="F16" s="7" t="str">
        <x:v>Le refuge est assiégé.</x:v>
      </x:c>
      <x:c r="G16" s="7" t="str">
        <x:v>Deux étages et un pont ; l’arrière-garde peut fermer les accès pendant qu’un tireur protège le balcon.</x:v>
      </x:c>
      <x:c r="H16" s="7" t="str">
        <x:v>Deux étages et un pont ; l’arrière-garde peut fermer les accès pendant qu’un tireur protège le balcon.</x:v>
      </x:c>
      <x:c r="I16" s="7" t="str">
        <x:v>Murs éventrés et sacs de couverture.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me2/zones/archangel-house ; rattacher les ressources et états cités à cet identifiant. Aucun fichier de jeu créé par ce catalogue.</x:v>
      </x:c>
      <x:c r="M16" s="7" t="str"/>
      <x:c r="N16" s="7" t="str">
        <x:v>Le livrable « Omega — refuge d’Archangel » possède une scène ou un scénario de contrôle ; ses règles proposées, ses conditions et ses retours visuels sont vérifiables séparément.</x:v>
      </x:c>
      <x:c r="O16" s="7" t="str"/>
      <x:c r="P16" s="7" t="str">
        <x:v>Omega — refuge d’Archangel</x:v>
      </x:c>
      <x:c r="Q16" s="7" t="str">
        <x:v>ME2-SRC-ARCHANGEL</x:v>
      </x:c>
      <x:c r="R16" s="7" t="str">
        <x:v>https://masseffect.fandom.com/wiki/Dossier%3A_Archangel</x:v>
      </x:c>
      <x:c r="S16" s="7" t="str">
        <x:v>Spécification à réaliser. Les champs adaptation, gameplay, visual, animation, audio et implementation décrivent le fan game ; ils ne donnent pas des caractéristiques officielles de l’œuvre.</x:v>
      </x:c>
    </x:row>
    <x:row r="17" ht="68" customHeight="1">
      <x:c r="A17" s="18" t="str">
        <x:v>ME2-ZON-PURGATORY</x:v>
      </x:c>
      <x:c r="B17" s="9" t="str">
        <x:v>Purgatory — blocs de détention</x:v>
      </x:c>
      <x:c r="C17" s="15" t="str">
        <x:v>Défini</x:v>
      </x:c>
      <x:c r="D17" s="16" t="str">
        <x:v>Établi</x:v>
      </x:c>
      <x:c r="E17" s="16" t="str">
        <x:v>P1</x:v>
      </x:c>
      <x:c r="F17" s="9" t="str">
        <x:v>Jack est retenue dans le vaisseau prison.</x:v>
      </x:c>
      <x:c r="G17" s="9" t="str">
        <x:v>Succession inspection, cellules, couloirs cassés et commandement ; les portes changent de logique après alerte.</x:v>
      </x:c>
      <x:c r="H17" s="9" t="str">
        <x:v>Succession inspection, cellules, couloirs cassés et commandement ; les portes changent de logique après alerte.</x:v>
      </x:c>
      <x:c r="I17" s="9" t="str">
        <x:v>Cellules transparentes et générateurs blindés.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me2/zones/purgatory ; rattacher les ressources et états cités à cet identifiant. Aucun fichier de jeu créé par ce catalogue.</x:v>
      </x:c>
      <x:c r="M17" s="9" t="str"/>
      <x:c r="N17" s="9" t="str">
        <x:v>Le livrable « Purgatory — blocs de détention » possède une scène ou un scénario de contrôle ; ses règles proposées, ses conditions et ses retours visuels sont vérifiables séparément.</x:v>
      </x:c>
      <x:c r="O17" s="9" t="str"/>
      <x:c r="P17" s="9" t="str">
        <x:v>Purgatory — blocs de détention</x:v>
      </x:c>
      <x:c r="Q17" s="9" t="str">
        <x:v>ME2-SRC-CONVICT</x:v>
      </x:c>
      <x:c r="R17" s="9" t="str">
        <x:v>https://masseffect.fandom.com/wiki/Dossier%3A_The_Convict</x:v>
      </x:c>
      <x:c r="S17" s="9" t="str">
        <x:v>Spécification à réaliser. Les champs adaptation, gameplay, visual, animation, audio et implementation décrivent le fan game ; ils ne donnent pas des caractéristiques officielles de l’œuvre.</x:v>
      </x:c>
    </x:row>
    <x:row r="18" ht="68" customHeight="1">
      <x:c r="A18" s="19" t="str">
        <x:v>ME2-ZON-KORLUS-LAB</x:v>
      </x:c>
      <x:c r="B18" s="7" t="str">
        <x:v>Korlus — laboratoire d’Okeer</x:v>
      </x:c>
      <x:c r="C18" s="15" t="str">
        <x:v>Défini</x:v>
      </x:c>
      <x:c r="D18" s="17" t="str">
        <x:v>Établi</x:v>
      </x:c>
      <x:c r="E18" s="17" t="str">
        <x:v>P1</x:v>
      </x:c>
      <x:c r="F18" s="7" t="str">
        <x:v>La cuve de Grunt y est récupérée.</x:v>
      </x:c>
      <x:c r="G18" s="7" t="str">
        <x:v>Boss à renforts limités ; cuve protégée du ciblage et du loot de combat.</x:v>
      </x:c>
      <x:c r="H18" s="7" t="str">
        <x:v>Boss à renforts limités ; cuve protégée du ciblage et du loot de combat.</x:v>
      </x:c>
      <x:c r="I18" s="7" t="str">
        <x:v>Cuves vertes, métal récupéré et plateforme de commande.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me2/zones/korlus-lab ; rattacher les ressources et états cités à cet identifiant. Aucun fichier de jeu créé par ce catalogue.</x:v>
      </x:c>
      <x:c r="M18" s="7" t="str"/>
      <x:c r="N18" s="7" t="str">
        <x:v>Le livrable « Korlus — laboratoire d’Okeer » possède une scène ou un scénario de contrôle ; ses règles proposées, ses conditions et ses retours visuels sont vérifiables séparément.</x:v>
      </x:c>
      <x:c r="O18" s="7" t="str"/>
      <x:c r="P18" s="7" t="str">
        <x:v>Korlus — laboratoire d’Okeer</x:v>
      </x:c>
      <x:c r="Q18" s="7" t="str">
        <x:v>ME2-SRC-WARLORD</x:v>
      </x:c>
      <x:c r="R18" s="7" t="str">
        <x:v>https://masseffect.fandom.com/wiki/Dossier%3A_The_Warlord</x:v>
      </x:c>
      <x:c r="S18" s="7" t="str">
        <x:v>Spécification à réaliser. Les champs adaptation, gameplay, visual, animation, audio et implementation décrivent le fan game ; ils ne donnent pas des caractéristiques officielles de l’œuvre.</x:v>
      </x:c>
    </x:row>
    <x:row r="19" ht="68" customHeight="1">
      <x:c r="A19" s="18" t="str">
        <x:v>ME2-ZON-HORIZON-TURRETS</x:v>
      </x:c>
      <x:c r="B19" s="9" t="str">
        <x:v>Horizon — défenses de colonie</x:v>
      </x:c>
      <x:c r="C19" s="15" t="str">
        <x:v>Défini</x:v>
      </x:c>
      <x:c r="D19" s="16" t="str">
        <x:v>Établi</x:v>
      </x:c>
      <x:c r="E19" s="16" t="str">
        <x:v>P1</x:v>
      </x:c>
      <x:c r="F19" s="9" t="str">
        <x:v>Le combat culmine aux défenses.</x:v>
      </x:c>
      <x:c r="G19" s="9" t="str">
        <x:v>Anneau de couverture où le Praetorian menace progressivement les abris ; laisser une échappatoire continue.</x:v>
      </x:c>
      <x:c r="H19" s="9" t="str">
        <x:v>Anneau de couverture où le Praetorian menace progressivement les abris ; laisser une échappatoire continue.</x:v>
      </x:c>
      <x:c r="I19" s="9" t="str">
        <x:v>Canons et hangar agricole.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me2/zones/horizon-turrets ; rattacher les ressources et états cités à cet identifiant. Aucun fichier de jeu créé par ce catalogue.</x:v>
      </x:c>
      <x:c r="M19" s="9" t="str"/>
      <x:c r="N19" s="9" t="str">
        <x:v>Le livrable « Horizon — défenses de colonie » possède une scène ou un scénario de contrôle ; ses règles proposées, ses conditions et ses retours visuels sont vérifiables séparément.</x:v>
      </x:c>
      <x:c r="O19" s="9" t="str"/>
      <x:c r="P19" s="9" t="str">
        <x:v>Horizon — défenses de colonie</x:v>
      </x:c>
      <x:c r="Q19" s="9" t="str">
        <x:v>ME2-SRC-HORIZON</x:v>
      </x:c>
      <x:c r="R19" s="9" t="str">
        <x:v>https://masseffect.fandom.com/wiki/Horizon_%28mission%29</x:v>
      </x:c>
      <x:c r="S19" s="9" t="str">
        <x:v>Spécification à réaliser. Les champs adaptation, gameplay, visual, animation, audio et implementation décrivent le fan game ; ils ne donnent pas des caractéristiques officielles de l’œuvre.</x:v>
      </x:c>
    </x:row>
    <x:row r="20" ht="68" customHeight="1">
      <x:c r="A20" s="19" t="str">
        <x:v>ME2-ZON-DANTIUS</x:v>
      </x:c>
      <x:c r="B20" s="7" t="str">
        <x:v>Tours Dantius</x:v>
      </x:c>
      <x:c r="C20" s="15" t="str">
        <x:v>Défini</x:v>
      </x:c>
      <x:c r="D20" s="17" t="str">
        <x:v>Établi</x:v>
      </x:c>
      <x:c r="E20" s="17" t="str">
        <x:v>P1</x:v>
      </x:c>
      <x:c r="F20" s="7" t="str">
        <x:v>Lieu du recrutement de Thane.</x:v>
      </x:c>
      <x:c r="G20" s="7" t="str">
        <x:v>Ascension en trois étages et pont aérien ; l’ascenseur sert de respiration entre arènes.</x:v>
      </x:c>
      <x:c r="H20" s="7" t="str">
        <x:v>Ascension en trois étages et pont aérien ; l’ascenseur sert de respiration entre arènes.</x:v>
      </x:c>
      <x:c r="I20" s="7" t="str">
        <x:v>Verre, charpente blanche et vide urbain.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me2/zones/dantius ; rattacher les ressources et états cités à cet identifiant. Aucun fichier de jeu créé par ce catalogue.</x:v>
      </x:c>
      <x:c r="M20" s="7" t="str"/>
      <x:c r="N20" s="7" t="str">
        <x:v>Le livrable « Tours Dantius » possède une scène ou un scénario de contrôle ; ses règles proposées, ses conditions et ses retours visuels sont vérifiables séparément.</x:v>
      </x:c>
      <x:c r="O20" s="7" t="str"/>
      <x:c r="P20" s="7" t="str">
        <x:v>Tours Dantius</x:v>
      </x:c>
      <x:c r="Q20" s="7" t="str">
        <x:v>ME2-SRC-ASSASSIN</x:v>
      </x:c>
      <x:c r="R20" s="7" t="str">
        <x:v>https://masseffect.fandom.com/wiki/Dossier%3A_The_Assassin</x:v>
      </x:c>
      <x:c r="S20" s="7" t="str">
        <x:v>Spécification à réaliser. Les champs adaptation, gameplay, visual, animation, audio et implementation décrivent le fan game ; ils ne donnent pas des caractéristiques officielles de l’œuvre.</x:v>
      </x:c>
    </x:row>
    <x:row r="21" ht="68" customHeight="1">
      <x:c r="A21" s="18" t="str">
        <x:v>ME2-ZON-ILLIUM-DOCK</x:v>
      </x:c>
      <x:c r="B21" s="9" t="str">
        <x:v>Nos Astra — spatioport</x:v>
      </x:c>
      <x:c r="C21" s="15" t="str">
        <x:v>Défini</x:v>
      </x:c>
      <x:c r="D21" s="16" t="str">
        <x:v>Établi</x:v>
      </x:c>
      <x:c r="E21" s="16" t="str">
        <x:v>P1</x:v>
      </x:c>
      <x:c r="F21" s="9" t="str">
        <x:v>Samara enquête au spatioport.</x:v>
      </x:c>
      <x:c r="G21" s="9" t="str">
        <x:v>Boucle police, quai et entrepôt ; nouvelles preuves ouvrent les dialogues sans recharger toute la carte.</x:v>
      </x:c>
      <x:c r="H21" s="9" t="str">
        <x:v>Boucle police, quai et entrepôt ; nouvelles preuves ouvrent les dialogues sans recharger toute la carte.</x:v>
      </x:c>
      <x:c r="I21" s="9" t="str">
        <x:v>Docks, ruban de police et conteneurs.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me2/zones/illium-dock ; rattacher les ressources et états cités à cet identifiant. Aucun fichier de jeu créé par ce catalogue.</x:v>
      </x:c>
      <x:c r="M21" s="9" t="str"/>
      <x:c r="N21" s="9" t="str">
        <x:v>Le livrable « Nos Astra — spatioport » possède une scène ou un scénario de contrôle ; ses règles proposées, ses conditions et ses retours visuels sont vérifiables séparément.</x:v>
      </x:c>
      <x:c r="O21" s="9" t="str"/>
      <x:c r="P21" s="9" t="str">
        <x:v>Nos Astra — spatioport</x:v>
      </x:c>
      <x:c r="Q21" s="9" t="str">
        <x:v>ME2-SRC-JUSTICAR</x:v>
      </x:c>
      <x:c r="R21" s="9" t="str">
        <x:v>https://masseffect.fandom.com/wiki/Dossier%3A_The_Justicar</x:v>
      </x:c>
      <x:c r="S21" s="9" t="str">
        <x:v>Spécification à réaliser. Les champs adaptation, gameplay, visual, animation, audio et implementation décrivent le fan game ; ils ne donnent pas des caractéristiques officielles de l’œuvre.</x:v>
      </x:c>
    </x:row>
    <x:row r="22" ht="68" customHeight="1">
      <x:c r="A22" s="19" t="str">
        <x:v>ME2-ZON-ILLIUM-CARGO</x:v>
      </x:c>
      <x:c r="B22" s="7" t="str">
        <x:v>Illium — terminal de fret</x:v>
      </x:c>
      <x:c r="C22" s="15" t="str">
        <x:v>Défini</x:v>
      </x:c>
      <x:c r="D22" s="17" t="str">
        <x:v>Établi</x:v>
      </x:c>
      <x:c r="E22" s="17" t="str">
        <x:v>P1</x:v>
      </x:c>
      <x:c r="F22" s="7" t="str">
        <x:v>La loyauté de Miranda y conduit.</x:v>
      </x:c>
      <x:c r="G22" s="7" t="str">
        <x:v>Convoyeurs changeant l’angle de tir ; étages visibles avant de choisir une route.</x:v>
      </x:c>
      <x:c r="H22" s="7" t="str">
        <x:v>Convoyeurs changeant l’angle de tir ; étages visibles avant de choisir une route.</x:v>
      </x:c>
      <x:c r="I22" s="7" t="str">
        <x:v>Conteneurs et plateformes mécanisées.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me2/zones/illium-cargo ; rattacher les ressources et états cités à cet identifiant. Aucun fichier de jeu créé par ce catalogue.</x:v>
      </x:c>
      <x:c r="M22" s="7" t="str"/>
      <x:c r="N22" s="7" t="str">
        <x:v>Le livrable « Illium — terminal de fret » possède une scène ou un scénario de contrôle ; ses règles proposées, ses conditions et ses retours visuels sont vérifiables séparément.</x:v>
      </x:c>
      <x:c r="O22" s="7" t="str"/>
      <x:c r="P22" s="7" t="str">
        <x:v>Illium — terminal de fret</x:v>
      </x:c>
      <x:c r="Q22" s="7" t="str">
        <x:v>ME2-SRC-MIRANDA</x:v>
      </x:c>
      <x:c r="R22" s="7" t="str">
        <x:v>https://masseffect.fandom.com/wiki/Miranda%3A_The_Prodigal</x:v>
      </x:c>
      <x:c r="S22" s="7" t="str">
        <x:v>Spécification à réaliser. Les champs adaptation, gameplay, visual, animation, audio et implementation décrivent le fan game ; ils ne donnent pas des caractéristiques officielles de l’œuvre.</x:v>
      </x:c>
    </x:row>
    <x:row r="23" ht="68" customHeight="1">
      <x:c r="A23" s="18" t="str">
        <x:v>ME2-ZON-HAESTROM-COURT</x:v>
      </x:c>
      <x:c r="B23" s="9" t="str">
        <x:v>Haestrom — cour du Colosse</x:v>
      </x:c>
      <x:c r="C23" s="15" t="str">
        <x:v>Défini</x:v>
      </x:c>
      <x:c r="D23" s="16" t="str">
        <x:v>Établi</x:v>
      </x:c>
      <x:c r="E23" s="16" t="str">
        <x:v>P1</x:v>
      </x:c>
      <x:c r="F23" s="9" t="str">
        <x:v>Les geth protègent l’accès à Tali.</x:v>
      </x:c>
      <x:c r="G23" s="9" t="str">
        <x:v>Trois routes d’abri ; point de soutien de Kal’Reegar et console finale distincts.</x:v>
      </x:c>
      <x:c r="H23" s="9" t="str">
        <x:v>Trois routes d’abri ; point de soutien de Kal’Reegar et console finale distincts.</x:v>
      </x:c>
      <x:c r="I23" s="9" t="str">
        <x:v>Cour de ruines et passerelle centrale.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me2/zones/haestrom-court ; rattacher les ressources et états cités à cet identifiant. Aucun fichier de jeu créé par ce catalogue.</x:v>
      </x:c>
      <x:c r="M23" s="9" t="str"/>
      <x:c r="N23" s="9" t="str">
        <x:v>Le livrable « Haestrom — cour du Colosse » possède une scène ou un scénario de contrôle ; ses règles proposées, ses conditions et ses retours visuels sont vérifiables séparément.</x:v>
      </x:c>
      <x:c r="O23" s="9" t="str"/>
      <x:c r="P23" s="9" t="str">
        <x:v>Haestrom — cour du Colosse</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ME2-ZON-COLLECTOR-SHIP</x:v>
      </x:c>
      <x:c r="B24" s="7" t="str">
        <x:v>Vaisseau des Collecteurs</x:v>
      </x:c>
      <x:c r="C24" s="15" t="str">
        <x:v>Défini</x:v>
      </x:c>
      <x:c r="D24" s="17" t="str">
        <x:v>Établi</x:v>
      </x:c>
      <x:c r="E24" s="17" t="str">
        <x:v>P1</x:v>
      </x:c>
      <x:c r="F24" s="7" t="str">
        <x:v>Lieu de l’embuscade.</x:v>
      </x:c>
      <x:c r="G24" s="7" t="str">
        <x:v>Plateformes suspendues en poches de combat ; télégraphier chaque arrivée de segment.</x:v>
      </x:c>
      <x:c r="H24" s="7" t="str">
        <x:v>Plateformes suspendues en poches de combat ; télégraphier chaque arrivée de segment.</x:v>
      </x:c>
      <x:c r="I24" s="7" t="str">
        <x:v>Chitine sombre et lueurs orange.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me2/zones/collector-ship ; rattacher les ressources et états cités à cet identifiant. Aucun fichier de jeu créé par ce catalogue.</x:v>
      </x:c>
      <x:c r="M24" s="7" t="str"/>
      <x:c r="N24" s="7" t="str">
        <x:v>Le livrable « Vaisseau des Collecteurs » possède une scène ou un scénario de contrôle ; ses règles proposées, ses conditions et ses retours visuels sont vérifiables séparément.</x:v>
      </x:c>
      <x:c r="O24" s="7" t="str"/>
      <x:c r="P24" s="7" t="str">
        <x:v>Vaisseau des Collecteurs</x:v>
      </x:c>
      <x:c r="Q24" s="7" t="str">
        <x:v>ME2-SRC-SHIP</x:v>
      </x:c>
      <x:c r="R24" s="7" t="str">
        <x:v>https://masseffect.fandom.com/wiki/Collector_Ship_%28mission%29</x:v>
      </x:c>
      <x:c r="S24" s="7" t="str">
        <x:v>Spécification à réaliser. Les champs adaptation, gameplay, visual, animation, audio et implementation décrivent le fan game ; ils ne donnent pas des caractéristiques officielles de l’œuvre.</x:v>
      </x:c>
    </x:row>
    <x:row r="25" ht="68" customHeight="1">
      <x:c r="A25" s="18" t="str">
        <x:v>ME2-ZON-DERELICT</x:v>
      </x:c>
      <x:c r="B25" s="9" t="str">
        <x:v>Moissonneur abandonné</x:v>
      </x:c>
      <x:c r="C25" s="15" t="str">
        <x:v>Défini</x:v>
      </x:c>
      <x:c r="D25" s="16" t="str">
        <x:v>Établi</x:v>
      </x:c>
      <x:c r="E25" s="16" t="str">
        <x:v>P1</x:v>
      </x:c>
      <x:c r="F25" s="9" t="str">
        <x:v>Destination de l’opération IFF.</x:v>
      </x:c>
      <x:c r="G25" s="9" t="str">
        <x:v>Couloir de laboratoire puis plate-forme du cœur ; contrôler les grappes de husks par entrées annoncées.</x:v>
      </x:c>
      <x:c r="H25" s="9" t="str">
        <x:v>Couloir de laboratoire puis plate-forme du cœur ; contrôler les grappes de husks par entrées annoncées.</x:v>
      </x:c>
      <x:c r="I25" s="9" t="str">
        <x:v>Architecture organique noire et câbles rouges.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me2/zones/derelict ; rattacher les ressources et états cités à cet identifiant. Aucun fichier de jeu créé par ce catalogue.</x:v>
      </x:c>
      <x:c r="M25" s="9" t="str"/>
      <x:c r="N25" s="9" t="str">
        <x:v>Le livrable « Moissonneur abandonné » possède une scène ou un scénario de contrôle ; ses règles proposées, ses conditions et ses retours visuels sont vérifiables séparément.</x:v>
      </x:c>
      <x:c r="O25" s="9" t="str"/>
      <x:c r="P25" s="9" t="str">
        <x:v>Moissonneur abandonné</x:v>
      </x:c>
      <x:c r="Q25" s="9" t="str">
        <x:v>ME2-SRC-STOP</x:v>
      </x:c>
      <x:c r="R25" s="9" t="str">
        <x:v>https://masseffect.fandom.com/wiki/Stop_the_Collectors</x:v>
      </x:c>
      <x:c r="S25" s="9" t="str">
        <x:v>Spécification à réaliser. Les champs adaptation, gameplay, visual, animation, audio et implementation décrivent le fan game ; ils ne donnent pas des caractéristiques officielles de l’œuvre.</x:v>
      </x:c>
    </x:row>
    <x:row r="26" ht="68" customHeight="1">
      <x:c r="A26" s="19" t="str">
        <x:v>ME2-ZON-TUCH-HOSPITAL</x:v>
      </x:c>
      <x:c r="B26" s="7" t="str">
        <x:v>Tuchanka — hôpital de Maelon</x:v>
      </x:c>
      <x:c r="C26" s="15" t="str">
        <x:v>Défini</x:v>
      </x:c>
      <x:c r="D26" s="17" t="str">
        <x:v>Établi</x:v>
      </x:c>
      <x:c r="E26" s="17" t="str">
        <x:v>P1</x:v>
      </x:c>
      <x:c r="F26" s="7" t="str">
        <x:v>Le laboratoire de Maelon se trouve dans des ruines.</x:v>
      </x:c>
      <x:c r="G26" s="7" t="str">
        <x:v>Salles latérales de témoignages avant les objectifs ; combat de front gardant une route de retraite.</x:v>
      </x:c>
      <x:c r="H26" s="7" t="str">
        <x:v>Salles latérales de témoignages avant les objectifs ; combat de front gardant une route de retraite.</x:v>
      </x:c>
      <x:c r="I26" s="7" t="str">
        <x:v>Béton cassé, lits et instruments improvisés.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me2/zones/tuch-hospital ; rattacher les ressources et états cités à cet identifiant. Aucun fichier de jeu créé par ce catalogue.</x:v>
      </x:c>
      <x:c r="M26" s="7" t="str"/>
      <x:c r="N26" s="7" t="str">
        <x:v>Le livrable « Tuchanka — hôpital de Maelon » possède une scène ou un scénario de contrôle ; ses règles proposées, ses conditions et ses retours visuels sont vérifiables séparément.</x:v>
      </x:c>
      <x:c r="O26" s="7" t="str"/>
      <x:c r="P26" s="7" t="str">
        <x:v>Tuchanka — hôpital de Maelon</x:v>
      </x:c>
      <x:c r="Q26" s="7" t="str">
        <x:v>ME2-SRC-MORDIN</x:v>
      </x:c>
      <x:c r="R26" s="7" t="str">
        <x:v>https://masseffect.fandom.com/wiki/Mordin%3A_Old_Blood</x:v>
      </x:c>
      <x:c r="S26" s="7" t="str">
        <x:v>Spécification à réaliser. Les champs adaptation, gameplay, visual, animation, audio et implementation décrivent le fan game ; ils ne donnent pas des caractéristiques officielles de l’œuvre.</x:v>
      </x:c>
    </x:row>
    <x:row r="27" ht="68" customHeight="1">
      <x:c r="A27" s="18" t="str">
        <x:v>ME2-ZON-TUCH-RITE</x:v>
      </x:c>
      <x:c r="B27" s="9" t="str">
        <x:v>Tuchanka — arène du rite</x:v>
      </x:c>
      <x:c r="C27" s="15" t="str">
        <x:v>Défini</x:v>
      </x:c>
      <x:c r="D27" s="16" t="str">
        <x:v>Établi</x:v>
      </x:c>
      <x:c r="E27" s="16" t="str">
        <x:v>P1</x:v>
      </x:c>
      <x:c r="F27" s="9" t="str">
        <x:v>Grunt y réalise son passage.</x:v>
      </x:c>
      <x:c r="G27" s="9" t="str">
        <x:v>Arène ouverte à phases ; pylône de déclenchement protégé des tirs involontaires.</x:v>
      </x:c>
      <x:c r="H27" s="9" t="str">
        <x:v>Arène ouverte à phases ; pylône de déclenchement protégé des tirs involontaires.</x:v>
      </x:c>
      <x:c r="I27" s="9" t="str">
        <x:v>Stèle, cercle de pierre et sable.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me2/zones/tuch-rite ; rattacher les ressources et états cités à cet identifiant. Aucun fichier de jeu créé par ce catalogue.</x:v>
      </x:c>
      <x:c r="M27" s="9" t="str"/>
      <x:c r="N27" s="9" t="str">
        <x:v>Le livrable « Tuchanka — arène du rite » possède une scène ou un scénario de contrôle ; ses règles proposées, ses conditions et ses retours visuels sont vérifiables séparément.</x:v>
      </x:c>
      <x:c r="O27" s="9" t="str"/>
      <x:c r="P27" s="9" t="str">
        <x:v>Tuchanka — arène du rite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ME2-ZON-ALAREI</x:v>
      </x:c>
      <x:c r="B28" s="7" t="str">
        <x:v>Alarei</x:v>
      </x:c>
      <x:c r="C28" s="15" t="str">
        <x:v>Défini</x:v>
      </x:c>
      <x:c r="D28" s="17" t="str">
        <x:v>Établi</x:v>
      </x:c>
      <x:c r="E28" s="17" t="str">
        <x:v>P1</x:v>
      </x:c>
      <x:c r="F28" s="7" t="str">
        <x:v>Vaisseau inspecté pendant le procès de Tali.</x:v>
      </x:c>
      <x:c r="G28" s="7" t="str">
        <x:v>Explorer ponts geth puis salle de données ; preuves conservées même si l’équipe se replie.</x:v>
      </x:c>
      <x:c r="H28" s="7" t="str">
        <x:v>Explorer ponts geth puis salle de données ; preuves conservées même si l’équipe se replie.</x:v>
      </x:c>
      <x:c r="I28" s="7" t="str">
        <x:v>Vaisseau quarian, écrans d’urgence et passerelles.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me2/zones/alarei ; rattacher les ressources et états cités à cet identifiant. Aucun fichier de jeu créé par ce catalogue.</x:v>
      </x:c>
      <x:c r="M28" s="7" t="str"/>
      <x:c r="N28" s="7" t="str">
        <x:v>Le livrable « Alarei » possède une scène ou un scénario de contrôle ; ses règles proposées, ses conditions et ses retours visuels sont vérifiables séparément.</x:v>
      </x:c>
      <x:c r="O28" s="7" t="str"/>
      <x:c r="P28" s="7" t="str">
        <x:v>Alarei</x:v>
      </x:c>
      <x:c r="Q28" s="7" t="str">
        <x:v>ME2-SRC-TREASON</x:v>
      </x:c>
      <x:c r="R28" s="7" t="str">
        <x:v>https://masseffect.fandom.com/wiki/Tali%3A_Treason</x:v>
      </x:c>
      <x:c r="S28" s="7" t="str">
        <x:v>Spécification à réaliser. Les champs adaptation, gameplay, visual, animation, audio et implementation décrivent le fan game ; ils ne donnent pas des caractéristiques officielles de l’œuvre.</x:v>
      </x:c>
    </x:row>
    <x:row r="29" ht="68" customHeight="1">
      <x:c r="A29" s="18" t="str">
        <x:v>ME2-ZON-RAYYA</x:v>
      </x:c>
      <x:c r="B29" s="9" t="str">
        <x:v>Flotte migrante — salle d’audience</x:v>
      </x:c>
      <x:c r="C29" s="15" t="str">
        <x:v>Défini</x:v>
      </x:c>
      <x:c r="D29" s="16" t="str">
        <x:v>Établi</x:v>
      </x:c>
      <x:c r="E29" s="16" t="str">
        <x:v>P1</x:v>
      </x:c>
      <x:c r="F29" s="9" t="str">
        <x:v>Le procès de Tali s’y déroule.</x:v>
      </x:c>
      <x:c r="G29" s="9" t="str">
        <x:v>Disposition circulaire des amiraux ; caméra accompagne l’interlocuteur et garde le verdict visible.</x:v>
      </x:c>
      <x:c r="H29" s="9" t="str">
        <x:v>Disposition circulaire des amiraux ; caméra accompagne l’interlocuteur et garde le verdict visible.</x:v>
      </x:c>
      <x:c r="I29" s="9" t="str">
        <x:v>Passerelles quariènes et pupitres.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me2/zones/rayya ; rattacher les ressources et états cités à cet identifiant. Aucun fichier de jeu créé par ce catalogue.</x:v>
      </x:c>
      <x:c r="M29" s="9" t="str">
        <x:v>Nom exact du vaisseau à revérifier visuellement avant art final.</x:v>
      </x:c>
      <x:c r="N29" s="9" t="str">
        <x:v>Le livrable « Flotte migrante — salle d’audience » possède une scène ou un scénario de contrôle ; ses règles proposées, ses conditions et ses retours visuels sont vérifiables séparément.</x:v>
      </x:c>
      <x:c r="O29" s="9" t="str"/>
      <x:c r="P29" s="9" t="str">
        <x:v>Flotte migrante — salle d’audience</x:v>
      </x:c>
      <x:c r="Q29" s="9" t="str">
        <x:v>ME2-SRC-TREASON</x:v>
      </x:c>
      <x:c r="R29" s="9" t="str">
        <x:v>https://masseffect.fandom.com/wiki/Tali%3A_Treason</x:v>
      </x:c>
      <x:c r="S29" s="9" t="str">
        <x:v>Spécification à réaliser. Les champs adaptation, gameplay, visual, animation, audio et implementation décrivent le fan game ; ils ne donnent pas des caractéristiques officielles de l’œuvre.</x:v>
      </x:c>
    </x:row>
    <x:row r="30" ht="68" customHeight="1">
      <x:c r="A30" s="19" t="str">
        <x:v>ME2-ZON-PRAGIA-CENTER</x:v>
      </x:c>
      <x:c r="B30" s="7" t="str">
        <x:v>Pragia — centre Teltin</x:v>
      </x:c>
      <x:c r="C30" s="15" t="str">
        <x:v>Défini</x:v>
      </x:c>
      <x:c r="D30" s="17" t="str">
        <x:v>Établi</x:v>
      </x:c>
      <x:c r="E30" s="17" t="str">
        <x:v>P1</x:v>
      </x:c>
      <x:c r="F30" s="7" t="str">
        <x:v>Ancien centre de Cerberus lié à Jack.</x:v>
      </x:c>
      <x:c r="G30" s="7" t="str">
        <x:v>Carte mémorielle avec salles repérées par fonction ; ordonner le récit sans longues scènes forcées.</x:v>
      </x:c>
      <x:c r="H30" s="7" t="str">
        <x:v>Carte mémorielle avec salles repérées par fonction ; ordonner le récit sans longues scènes forcées.</x:v>
      </x:c>
      <x:c r="I30" s="7" t="str">
        <x:v>Lits, vitres de contrôle et végétation intrusive.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me2/zones/pragia-center ; rattacher les ressources et états cités à cet identifiant. Aucun fichier de jeu créé par ce catalogue.</x:v>
      </x:c>
      <x:c r="M30" s="7" t="str"/>
      <x:c r="N30" s="7" t="str">
        <x:v>Le livrable « Pragia — centre Teltin » possède une scène ou un scénario de contrôle ; ses règles proposées, ses conditions et ses retours visuels sont vérifiables séparément.</x:v>
      </x:c>
      <x:c r="O30" s="7" t="str"/>
      <x:c r="P30" s="7" t="str">
        <x:v>Pragia — centre Teltin</x:v>
      </x:c>
      <x:c r="Q30" s="7" t="str">
        <x:v>ME2-SRC-JACK</x:v>
      </x:c>
      <x:c r="R30" s="7" t="str">
        <x:v>https://masseffect.fandom.com/wiki/Jack%3A_Subject_Zero</x:v>
      </x:c>
      <x:c r="S30" s="7" t="str">
        <x:v>Spécification à réaliser. Les champs adaptation, gameplay, visual, animation, audio et implementation décrivent le fan game ; ils ne donnent pas des caractéristiques officielles de l’œuvre.</x:v>
      </x:c>
    </x:row>
    <x:row r="31" ht="68" customHeight="1">
      <x:c r="A31" s="18" t="str">
        <x:v>ME2-ZON-AEIA-CAMP</x:v>
      </x:c>
      <x:c r="B31" s="9" t="str">
        <x:v>Aeia — camp du Gernsback</x:v>
      </x:c>
      <x:c r="C31" s="15" t="str">
        <x:v>Défini</x:v>
      </x:c>
      <x:c r="D31" s="16" t="str">
        <x:v>Établi</x:v>
      </x:c>
      <x:c r="E31" s="16" t="str">
        <x:v>P1</x:v>
      </x:c>
      <x:c r="F31" s="9" t="str">
        <x:v>Les survivants y sont retrouvés.</x:v>
      </x:c>
      <x:c r="G31" s="9" t="str">
        <x:v>Positionner preuves et personnes en deux circuits pour éviter une accusation avant enquête.</x:v>
      </x:c>
      <x:c r="H31" s="9" t="str">
        <x:v>Positionner preuves et personnes en deux circuits pour éviter une accusation avant enquête.</x:v>
      </x:c>
      <x:c r="I31" s="9" t="str">
        <x:v>Tentes, épave et barrières de fortune.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me2/zones/aeia-camp ; rattacher les ressources et états cités à cet identifiant. Aucun fichier de jeu créé par ce catalogue.</x:v>
      </x:c>
      <x:c r="M31" s="9" t="str"/>
      <x:c r="N31" s="9" t="str">
        <x:v>Le livrable « Aeia — camp du Gernsback » possède une scène ou un scénario de contrôle ; ses règles proposées, ses conditions et ses retours visuels sont vérifiables séparément.</x:v>
      </x:c>
      <x:c r="O31" s="9" t="str"/>
      <x:c r="P31" s="9" t="str">
        <x:v>Aeia — camp du Gernsback</x:v>
      </x:c>
      <x:c r="Q31" s="9" t="str">
        <x:v>ME2-SRC-JACOB</x:v>
      </x:c>
      <x:c r="R31" s="9" t="str">
        <x:v>https://masseffect.fandom.com/wiki/Jacob%3A_The_Gift_of_Greatness</x:v>
      </x:c>
      <x:c r="S31" s="9" t="str">
        <x:v>Spécification à réaliser. Les champs adaptation, gameplay, visual, animation, audio et implementation décrivent le fan game ; ils ne donnent pas des caractéristiques officielles de l’œuvre.</x:v>
      </x:c>
    </x:row>
    <x:row r="32" ht="68" customHeight="1">
      <x:c r="A32" s="19" t="str">
        <x:v>ME2-ZON-CIT-FACTORY</x:v>
      </x:c>
      <x:c r="B32" s="7" t="str">
        <x:v>Citadelle — secteur de Fade</x:v>
      </x:c>
      <x:c r="C32" s="15" t="str">
        <x:v>Défini</x:v>
      </x:c>
      <x:c r="D32" s="17" t="str">
        <x:v>Établi</x:v>
      </x:c>
      <x:c r="E32" s="17" t="str">
        <x:v>P1</x:v>
      </x:c>
      <x:c r="F32" s="7" t="str">
        <x:v>Garrus y piste Sidonis.</x:v>
      </x:c>
      <x:c r="G32" s="7" t="str">
        <x:v>Arènes de manutention et ascenseurs ; revenir à une scène sociale clairement désarmée.</x:v>
      </x:c>
      <x:c r="H32" s="7" t="str">
        <x:v>Arènes de manutention et ascenseurs ; revenir à une scène sociale clairement désarmée.</x:v>
      </x:c>
      <x:c r="I32" s="7" t="str">
        <x:v>Bras de manutention, caisses et garde-corps.</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me2/zones/cit-factory ; rattacher les ressources et états cités à cet identifiant. Aucun fichier de jeu créé par ce catalogue.</x:v>
      </x:c>
      <x:c r="M32" s="7" t="str"/>
      <x:c r="N32" s="7" t="str">
        <x:v>Le livrable « Citadelle — secteur de Fade » possède une scène ou un scénario de contrôle ; ses règles proposées, ses conditions et ses retours visuels sont vérifiables séparément.</x:v>
      </x:c>
      <x:c r="O32" s="7" t="str"/>
      <x:c r="P32" s="7" t="str">
        <x:v>Citadelle — secteur de Fade</x:v>
      </x:c>
      <x:c r="Q32" s="7" t="str">
        <x:v>ME2-SRC-GARRUS</x:v>
      </x:c>
      <x:c r="R32" s="7" t="str">
        <x:v>https://masseffect.fandom.com/wiki/Garrus%3A_Eye_for_an_Eye</x:v>
      </x:c>
      <x:c r="S32" s="7" t="str">
        <x:v>Spécification à réaliser. Les champs adaptation, gameplay, visual, animation, audio et implementation décrivent le fan game ; ils ne donnent pas des caractéristiques officielles de l’œuvre.</x:v>
      </x:c>
    </x:row>
    <x:row r="33" ht="68" customHeight="1">
      <x:c r="A33" s="18" t="str">
        <x:v>ME2-ZON-CIT-CATWALK</x:v>
      </x:c>
      <x:c r="B33" s="9" t="str">
        <x:v>Citadelle — passerelles de filature</x:v>
      </x:c>
      <x:c r="C33" s="15" t="str">
        <x:v>Défini</x:v>
      </x:c>
      <x:c r="D33" s="16" t="str">
        <x:v>Établi</x:v>
      </x:c>
      <x:c r="E33" s="16" t="str">
        <x:v>P1</x:v>
      </x:c>
      <x:c r="F33" s="9" t="str">
        <x:v>Thane suit la cible de Kolyat.</x:v>
      </x:c>
      <x:c r="G33" s="9" t="str">
        <x:v>Chemin parallèle avec fenêtres de rapport ; grand marqueur de cible et mode sans pression proposé.</x:v>
      </x:c>
      <x:c r="H33" s="9" t="str">
        <x:v>Chemin parallèle avec fenêtres de rapport ; grand marqueur de cible et mode sans pression proposé.</x:v>
      </x:c>
      <x:c r="I33" s="9" t="str">
        <x:v>Passerelles au-dessus des rues.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me2/zones/cit-catwalk ; rattacher les ressources et états cités à cet identifiant. Aucun fichier de jeu créé par ce catalogue.</x:v>
      </x:c>
      <x:c r="M33" s="9" t="str"/>
      <x:c r="N33" s="9" t="str">
        <x:v>Le livrable « Citadelle — passerelles de filature » possède une scène ou un scénario de contrôle ; ses règles proposées, ses conditions et ses retours visuels sont vérifiables séparément.</x:v>
      </x:c>
      <x:c r="O33" s="9" t="str"/>
      <x:c r="P33" s="9" t="str">
        <x:v>Citadelle — passerelles de filature</x:v>
      </x:c>
      <x:c r="Q33" s="9" t="str">
        <x:v>ME2-SRC-THANE</x:v>
      </x:c>
      <x:c r="R33" s="9" t="str">
        <x:v>https://masseffect.fandom.com/wiki/Thane%3A_Sins_of_the_Father</x:v>
      </x:c>
      <x:c r="S33" s="9" t="str">
        <x:v>Spécification à réaliser. Les champs adaptation, gameplay, visual, animation, audio et implementation décrivent le fan game ; ils ne donnent pas des caractéristiques officielles de l’œuvre.</x:v>
      </x:c>
    </x:row>
    <x:row r="34" ht="68" customHeight="1">
      <x:c r="A34" s="19" t="str">
        <x:v>ME2-ZON-HOCK-MANSION</x:v>
      </x:c>
      <x:c r="B34" s="7" t="str">
        <x:v>Manoir Hock — réception</x:v>
      </x:c>
      <x:c r="C34" s="15" t="str">
        <x:v>Défini</x:v>
      </x:c>
      <x:c r="D34" s="17" t="str">
        <x:v>Établi</x:v>
      </x:c>
      <x:c r="E34" s="17" t="str">
        <x:v>P1</x:v>
      </x:c>
      <x:c r="F34" s="7" t="str">
        <x:v>Kasumi infiltre la propriété.</x:v>
      </x:c>
      <x:c r="G34" s="7" t="str">
        <x:v>Salle sociale avec itinéraires courts vers indices de sécurité ; portrait d’identité de couverture.</x:v>
      </x:c>
      <x:c r="H34" s="7" t="str">
        <x:v>Salle sociale avec itinéraires courts vers indices de sécurité ; portrait d’identité de couverture.</x:v>
      </x:c>
      <x:c r="I34" s="7" t="str">
        <x:v>Marbre, œuvres, jardin et lumière nocturne.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me2/zones/hock-mansion ; rattacher les ressources et états cités à cet identifiant. Aucun fichier de jeu créé par ce catalogue.</x:v>
      </x:c>
      <x:c r="M34" s="7" t="str"/>
      <x:c r="N34" s="7" t="str">
        <x:v>Le livrable « Manoir Hock — réception » possède une scène ou un scénario de contrôle ; ses règles proposées, ses conditions et ses retours visuels sont vérifiables séparément.</x:v>
      </x:c>
      <x:c r="O34" s="7" t="str"/>
      <x:c r="P34" s="7" t="str">
        <x:v>Manoir Hock — réception</x:v>
      </x:c>
      <x:c r="Q34" s="7" t="str">
        <x:v>ME2-SRC-KASUMI</x:v>
      </x:c>
      <x:c r="R34" s="7" t="str">
        <x:v>https://masseffect.fandom.com/wiki/Kasumi%3A_Stealing_Memory</x:v>
      </x:c>
      <x:c r="S34" s="7" t="str">
        <x:v>Spécification à réaliser. Les champs adaptation, gameplay, visual, animation, audio et implementation décrivent le fan game ; ils ne donnent pas des caractéristiques officielles de l’œuvre.</x:v>
      </x:c>
    </x:row>
    <x:row r="35" ht="68" customHeight="1">
      <x:c r="A35" s="18" t="str">
        <x:v>ME2-ZON-HOCK-VAULT</x:v>
      </x:c>
      <x:c r="B35" s="9" t="str">
        <x:v>Manoir Hock — coffre</x:v>
      </x:c>
      <x:c r="C35" s="15" t="str">
        <x:v>Défini</x:v>
      </x:c>
      <x:c r="D35" s="16" t="str">
        <x:v>Établi</x:v>
      </x:c>
      <x:c r="E35" s="16" t="str">
        <x:v>P1</x:v>
      </x:c>
      <x:c r="F35" s="9" t="str">
        <x:v>Le graybox est dans la collection.</x:v>
      </x:c>
      <x:c r="G35" s="9" t="str">
        <x:v>Zone d’examen avant embuscade ; armes récupérées par déclencheur de préparation visible.</x:v>
      </x:c>
      <x:c r="H35" s="9" t="str">
        <x:v>Zone d’examen avant embuscade ; armes récupérées par déclencheur de préparation visible.</x:v>
      </x:c>
      <x:c r="I35" s="9" t="str">
        <x:v>Collection hétéroclite, socles et coffre technologique.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me2/zones/hock-vault ; rattacher les ressources et états cités à cet identifiant. Aucun fichier de jeu créé par ce catalogue.</x:v>
      </x:c>
      <x:c r="M35" s="9" t="str"/>
      <x:c r="N35" s="9" t="str">
        <x:v>Le livrable « Manoir Hock — coffre » possède une scène ou un scénario de contrôle ; ses règles proposées, ses conditions et ses retours visuels sont vérifiables séparément.</x:v>
      </x:c>
      <x:c r="O35" s="9" t="str"/>
      <x:c r="P35" s="9" t="str">
        <x:v>Manoir Hock — coffre</x:v>
      </x:c>
      <x:c r="Q35" s="9" t="str">
        <x:v>ME2-SRC-KASUMI</x:v>
      </x:c>
      <x:c r="R35" s="9" t="str">
        <x:v>https://masseffect.fandom.com/wiki/Kasumi%3A_Stealing_Memory</x:v>
      </x:c>
      <x:c r="S35" s="9" t="str">
        <x:v>Spécification à réaliser. Les champs adaptation, gameplay, visual, animation, audio et implementation décrivent le fan game ; ils ne donnent pas des caractéristiques officielles de l’œuvre.</x:v>
      </x:c>
    </x:row>
    <x:row r="36" ht="68" customHeight="1">
      <x:c r="A36" s="19" t="str">
        <x:v>ME2-ZON-VASIR-ROOF</x:v>
      </x:c>
      <x:c r="B36" s="7" t="str">
        <x:v>Illium — poursuite de Vasir</x:v>
      </x:c>
      <x:c r="C36" s="15" t="str">
        <x:v>Défini</x:v>
      </x:c>
      <x:c r="D36" s="17" t="str">
        <x:v>Établi</x:v>
      </x:c>
      <x:c r="E36" s="17" t="str">
        <x:v>P1</x:v>
      </x:c>
      <x:c r="F36" s="7" t="str">
        <x:v>Vasir fuit puis affronte Shepard.</x:v>
      </x:c>
      <x:c r="G36" s="7" t="str">
        <x:v>Poursuite de véhicule convertie en sélection de route, puis duel à arcs de charge.</x:v>
      </x:c>
      <x:c r="H36" s="7" t="str">
        <x:v>Poursuite de véhicule convertie en sélection de route, puis duel à arcs de charge.</x:v>
      </x:c>
      <x:c r="I36" s="7" t="str">
        <x:v>Terrasse urbaine, véhicules et bassins.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me2/zones/vasir-roof ; rattacher les ressources et états cités à cet identifiant. Aucun fichier de jeu créé par ce catalogue.</x:v>
      </x:c>
      <x:c r="M36" s="7" t="str"/>
      <x:c r="N36" s="7" t="str">
        <x:v>Le livrable « Illium — poursuite de Vasir » possède une scène ou un scénario de contrôle ; ses règles proposées, ses conditions et ses retours visuels sont vérifiables séparément.</x:v>
      </x:c>
      <x:c r="O36" s="7" t="str"/>
      <x:c r="P36" s="7" t="str">
        <x:v>Illium — poursuite de Vasir</x:v>
      </x:c>
      <x:c r="Q36" s="7" t="str">
        <x:v>ME2-SRC-SHADOW</x:v>
      </x:c>
      <x:c r="R36" s="7" t="str">
        <x:v>https://masseffect.fandom.com/wiki/Lair_of_the_Shadow_Broker_%28mission%29</x:v>
      </x:c>
      <x:c r="S36" s="7" t="str">
        <x:v>Spécification à réaliser. Les champs adaptation, gameplay, visual, animation, audio et implementation décrivent le fan game ; ils ne donnent pas des caractéristiques officielles de l’œuvre.</x:v>
      </x:c>
    </x:row>
    <x:row r="37" ht="68" customHeight="1">
      <x:c r="A37" s="18" t="str">
        <x:v>ME2-ZON-HAGALAZ-HULL</x:v>
      </x:c>
      <x:c r="B37" s="9" t="str">
        <x:v>Hagalaz — coque extérieure</x:v>
      </x:c>
      <x:c r="C37" s="15" t="str">
        <x:v>Défini</x:v>
      </x:c>
      <x:c r="D37" s="16" t="str">
        <x:v>Établi</x:v>
      </x:c>
      <x:c r="E37" s="16" t="str">
        <x:v>P1</x:v>
      </x:c>
      <x:c r="F37" s="9" t="str">
        <x:v>L’assaut passe par l’extérieur du vaisseau.</x:v>
      </x:c>
      <x:c r="G37" s="9" t="str">
        <x:v>Parcours sous tempête ; condensateurs utilisables contre les renforts avec annonce du danger.</x:v>
      </x:c>
      <x:c r="H37" s="9" t="str">
        <x:v>Parcours sous tempête ; condensateurs utilisables contre les renforts avec annonce du danger.</x:v>
      </x:c>
      <x:c r="I37" s="9" t="str">
        <x:v>Coque courbe, antennes et flux de vent.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me2/zones/hagalaz-hull ; rattacher les ressources et états cités à cet identifiant. Aucun fichier de jeu créé par ce catalogue.</x:v>
      </x:c>
      <x:c r="M37" s="9" t="str"/>
      <x:c r="N37" s="9" t="str">
        <x:v>Le livrable « Hagalaz — coque extérieure » possède une scène ou un scénario de contrôle ; ses règles proposées, ses conditions et ses retours visuels sont vérifiables séparément.</x:v>
      </x:c>
      <x:c r="O37" s="9" t="str"/>
      <x:c r="P37" s="9" t="str">
        <x:v>Hagalaz — coque extérieure</x:v>
      </x:c>
      <x:c r="Q37" s="9" t="str">
        <x:v>ME2-SRC-SHADOW</x:v>
      </x:c>
      <x:c r="R37" s="9" t="str">
        <x:v>https://masseffect.fandom.com/wiki/Lair_of_the_Shadow_Broker_%28mission%29</x:v>
      </x:c>
      <x:c r="S37" s="9" t="str">
        <x:v>Spécification à réaliser. Les champs adaptation, gameplay, visual, animation, audio et implementation décrivent le fan game ; ils ne donnent pas des caractéristiques officielles de l’œuvre.</x:v>
      </x:c>
    </x:row>
    <x:row r="38" ht="68" customHeight="1">
      <x:c r="A38" s="19" t="str">
        <x:v>ME2-ZON-BROKER-OFFICE</x:v>
      </x:c>
      <x:c r="B38" s="7" t="str">
        <x:v>Bureau du Courtier</x:v>
      </x:c>
      <x:c r="C38" s="15" t="str">
        <x:v>Défini</x:v>
      </x:c>
      <x:c r="D38" s="17" t="str">
        <x:v>Établi</x:v>
      </x:c>
      <x:c r="E38" s="17" t="str">
        <x:v>P1</x:v>
      </x:c>
      <x:c r="F38" s="7" t="str">
        <x:v>Le Courtier yahg y est affronté.</x:v>
      </x:c>
      <x:c r="G38" s="7" t="str">
        <x:v>Boss concentré sur alternance distance/contact ; protéger la lisibilité du bouclier et de Liara.</x:v>
      </x:c>
      <x:c r="H38" s="7" t="str">
        <x:v>Boss concentré sur alternance distance/contact ; protéger la lisibilité du bouclier et de Liara.</x:v>
      </x:c>
      <x:c r="I38" s="7" t="str">
        <x:v>Grande salle sombre, bureau brisé et écrans suspendus.</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me2/zones/broker-office ; rattacher les ressources et états cités à cet identifiant. Aucun fichier de jeu créé par ce catalogue.</x:v>
      </x:c>
      <x:c r="M38" s="7" t="str"/>
      <x:c r="N38" s="7" t="str">
        <x:v>Le livrable « Bureau du Courtier » possède une scène ou un scénario de contrôle ; ses règles proposées, ses conditions et ses retours visuels sont vérifiables séparément.</x:v>
      </x:c>
      <x:c r="O38" s="7" t="str"/>
      <x:c r="P38" s="7" t="str">
        <x:v>Bureau du Courtier</x:v>
      </x:c>
      <x:c r="Q38" s="7" t="str">
        <x:v>ME2-SRC-SHADOW</x:v>
      </x:c>
      <x:c r="R38" s="7" t="str">
        <x:v>https://masseffect.fandom.com/wiki/Lair_of_the_Shadow_Broker_%28mission%29</x:v>
      </x:c>
      <x:c r="S38" s="7" t="str">
        <x:v>Spécification à réaliser. Les champs adaptation, gameplay, visual, animation, audio et implementation décrivent le fan game ; ils ne donnent pas des caractéristiques officielles de l’œuvre.</x:v>
      </x:c>
    </x:row>
    <x:row r="39" ht="68" customHeight="1">
      <x:c r="A39" s="18" t="str">
        <x:v>ME2-ZON-ATLAS-VR</x:v>
      </x:c>
      <x:c r="B39" s="9" t="str">
        <x:v>Atlas — environnement virtuel</x:v>
      </x:c>
      <x:c r="C39" s="15" t="str">
        <x:v>Défini</x:v>
      </x:c>
      <x:c r="D39" s="16" t="str">
        <x:v>Établi</x:v>
      </x:c>
      <x:c r="E39" s="16" t="str">
        <x:v>P1</x:v>
      </x:c>
      <x:c r="F39" s="9" t="str">
        <x:v>Le dispositif expose Shepard à une réalité virtuelle.</x:v>
      </x:c>
      <x:c r="G39" s="9" t="str">
        <x:v>Superposer un plan numérique aux couloirs physiques ; restaurer la vision réelle par étape de contrôle.</x:v>
      </x:c>
      <x:c r="H39" s="9" t="str">
        <x:v>Superposer un plan numérique aux couloirs physiques ; restaurer la vision réelle par étape de contrôle.</x:v>
      </x:c>
      <x:c r="I39" s="9" t="str">
        <x:v>Grille verte, surfaces fragmentées et signes de transfert.</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me2/zones/atlas-vr ; rattacher les ressources et états cités à cet identifiant. Aucun fichier de jeu créé par ce catalogue.</x:v>
      </x:c>
      <x:c r="M39" s="9" t="str"/>
      <x:c r="N39" s="9" t="str">
        <x:v>Le livrable « Atlas — environnement virtuel » possède une scène ou un scénario de contrôle ; ses règles proposées, ses conditions et ses retours visuels sont vérifiables séparément.</x:v>
      </x:c>
      <x:c r="O39" s="9" t="str"/>
      <x:c r="P39" s="9" t="str">
        <x:v>Atlas — environnement virtuel</x:v>
      </x:c>
      <x:c r="Q39" s="9" t="str">
        <x:v>ME2-SRC-ATLAS</x:v>
      </x:c>
      <x:c r="R39" s="9" t="str">
        <x:v>https://masseffect.fandom.com/wiki/Atlas_Station</x:v>
      </x:c>
      <x:c r="S39" s="9" t="str">
        <x:v>Spécification à réaliser. Les champs adaptation, gameplay, visual, animation, audio et implementation décrivent le fan game ; ils ne donnent pas des caractéristiques officielles de l’œuvre.</x:v>
      </x:c>
    </x:row>
    <x:row r="40" ht="68" customHeight="1">
      <x:c r="A40" s="19" t="str">
        <x:v>ME2-ZON-ARRIVAL-PRISON</x:v>
      </x:c>
      <x:c r="B40" s="7" t="str">
        <x:v>Aratoht — prison</x:v>
      </x:c>
      <x:c r="C40" s="15" t="str">
        <x:v>Défini</x:v>
      </x:c>
      <x:c r="D40" s="17" t="str">
        <x:v>Établi</x:v>
      </x:c>
      <x:c r="E40" s="17" t="str">
        <x:v>P1</x:v>
      </x:c>
      <x:c r="F40" s="7" t="str">
        <x:v>Shepard y délivre Kenson.</x:v>
      </x:c>
      <x:c r="G40" s="7" t="str">
        <x:v>Solo furtif : cônes de vision explicites et raccourcis ; l’alerte ne bloque pas la mission.</x:v>
      </x:c>
      <x:c r="H40" s="7" t="str">
        <x:v>Solo furtif : cônes de vision explicites et raccourcis ; l’alerte ne bloque pas la mission.</x:v>
      </x:c>
      <x:c r="I40" s="7" t="str">
        <x:v>Cellules, passerelles et circuits électriques.</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me2/zones/arrival-prison ; rattacher les ressources et états cités à cet identifiant. Aucun fichier de jeu créé par ce catalogue.</x:v>
      </x:c>
      <x:c r="M40" s="7" t="str"/>
      <x:c r="N40" s="7" t="str">
        <x:v>Le livrable « Aratoht — prison » possède une scène ou un scénario de contrôle ; ses règles proposées, ses conditions et ses retours visuels sont vérifiables séparément.</x:v>
      </x:c>
      <x:c r="O40" s="7" t="str"/>
      <x:c r="P40" s="7" t="str">
        <x:v>Aratoht — prison</x:v>
      </x:c>
      <x:c r="Q40" s="7" t="str">
        <x:v>ME2-SRC-ARRIVAL</x:v>
      </x:c>
      <x:c r="R40" s="7" t="str">
        <x:v>https://masseffect.fandom.com/wiki/Arrival_%28assignment%29</x:v>
      </x:c>
      <x:c r="S40" s="7" t="str">
        <x:v>Spécification à réaliser. Les champs adaptation, gameplay, visual, animation, audio et implementation décrivent le fan game ; ils ne donnent pas des caractéristiques officielles de l’œuvre.</x:v>
      </x:c>
    </x:row>
    <x:row r="41" ht="68" customHeight="1">
      <x:c r="A41" s="18" t="str">
        <x:v>ME2-ZON-ARRIVAL-PROJECT</x:v>
      </x:c>
      <x:c r="B41" s="9" t="str">
        <x:v>Arrival — installation de l’astéroïde</x:v>
      </x:c>
      <x:c r="C41" s="15" t="str">
        <x:v>Défini</x:v>
      </x:c>
      <x:c r="D41" s="16" t="str">
        <x:v>Établi</x:v>
      </x:c>
      <x:c r="E41" s="16" t="str">
        <x:v>P1</x:v>
      </x:c>
      <x:c r="F41" s="9" t="str">
        <x:v>Le projet vise le relais Alpha.</x:v>
      </x:c>
      <x:c r="G41" s="9" t="str">
        <x:v>Arène de défense puis reroutage et plateforme extérieure ; compteur lisible en unités de jeu proposées.</x:v>
      </x:c>
      <x:c r="H41" s="9" t="str">
        <x:v>Arène de défense puis reroutage et plateforme extérieure ; compteur lisible en unités de jeu proposées.</x:v>
      </x:c>
      <x:c r="I41" s="9" t="str">
        <x:v>Artefact, propulseurs et passerelles sous vide.</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me2/zones/arrival-project ; rattacher les ressources et états cités à cet identifiant. Aucun fichier de jeu créé par ce catalogue.</x:v>
      </x:c>
      <x:c r="M41" s="9" t="str"/>
      <x:c r="N41" s="9" t="str">
        <x:v>Le livrable « Arrival — installation de l’astéroïde » possède une scène ou un scénario de contrôle ; ses règles proposées, ses conditions et ses retours visuels sont vérifiables séparément.</x:v>
      </x:c>
      <x:c r="O41" s="9" t="str"/>
      <x:c r="P41" s="9" t="str">
        <x:v>Arrival — installation de l’astéroïde</x:v>
      </x:c>
      <x:c r="Q41" s="9" t="str">
        <x:v>ME2-SRC-ARRIVAL</x:v>
      </x:c>
      <x:c r="R41" s="9" t="str">
        <x:v>https://masseffect.fandom.com/wiki/Arrival_%28assignment%29</x:v>
      </x:c>
      <x:c r="S41" s="9" t="str">
        <x:v>Spécification à réaliser. Les champs adaptation, gameplay, visual, animation, audio et implementation décrivent le fan game ; ils ne donnent pas des caractéristiques officielles de l’œuvre.</x:v>
      </x:c>
    </x:row>
    <x:row r="42" ht="68" customHeight="1">
      <x:c r="A42" s="19" t="str">
        <x:v>ME2-ZON-COLLECTOR-VENTS</x:v>
      </x:c>
      <x:c r="B42" s="7" t="str">
        <x:v>Base — conduits d’infiltration</x:v>
      </x:c>
      <x:c r="C42" s="15" t="str">
        <x:v>Défini</x:v>
      </x:c>
      <x:c r="D42" s="17" t="str">
        <x:v>Établi</x:v>
      </x:c>
      <x:c r="E42" s="17" t="str">
        <x:v>P1</x:v>
      </x:c>
      <x:c r="F42" s="7" t="str">
        <x:v>Un spécialiste traverse les conduits.</x:v>
      </x:c>
      <x:c r="G42" s="7" t="str">
        <x:v>Valves comme objectifs tactiques ; jauge thermique gelée pendant un menu essentiel.</x:v>
      </x:c>
      <x:c r="H42" s="7" t="str">
        <x:v>Valves comme objectifs tactiques ; jauge thermique gelée pendant un menu essentiel.</x:v>
      </x:c>
      <x:c r="I42" s="7" t="str">
        <x:v>Tuyaux organiques et panneaux verts.</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me2/zones/collector-vents ; rattacher les ressources et états cités à cet identifiant. Aucun fichier de jeu créé par ce catalogue.</x:v>
      </x:c>
      <x:c r="M42" s="7" t="str"/>
      <x:c r="N42" s="7" t="str">
        <x:v>Le livrable « Base — conduits d’infiltration » possède une scène ou un scénario de contrôle ; ses règles proposées, ses conditions et ses retours visuels sont vérifiables séparément.</x:v>
      </x:c>
      <x:c r="O42" s="7" t="str"/>
      <x:c r="P42" s="7" t="str">
        <x:v>Base — conduits d’infiltration</x:v>
      </x:c>
      <x:c r="Q42" s="7" t="str">
        <x:v>ME2-SRC-INFIL</x:v>
      </x:c>
      <x:c r="R42" s="7" t="str">
        <x:v>https://masseffect.fandom.com/wiki/Collector_Base%3A_Infiltration</x:v>
      </x:c>
      <x:c r="S42" s="7" t="str">
        <x:v>Spécification à réaliser. Les champs adaptation, gameplay, visual, animation, audio et implementation décrivent le fan game ; ils ne donnent pas des caractéristiques officielles de l’œuvre.</x:v>
      </x:c>
    </x:row>
    <x:row r="43" ht="68" customHeight="1">
      <x:c r="A43" s="18" t="str">
        <x:v>ME2-ZON-COLLECTOR-PODS</x:v>
      </x:c>
      <x:c r="B43" s="9" t="str">
        <x:v>Base — pods et essaims</x:v>
      </x:c>
      <x:c r="C43" s="15" t="str">
        <x:v>Défini</x:v>
      </x:c>
      <x:c r="D43" s="16" t="str">
        <x:v>Établi</x:v>
      </x:c>
      <x:c r="E43" s="16" t="str">
        <x:v>P1</x:v>
      </x:c>
      <x:c r="F43" s="9" t="str">
        <x:v>Des captifs sont maintenus dans la base.</x:v>
      </x:c>
      <x:c r="G43" s="9" t="str">
        <x:v>Zone de révélations puis marche sous barrière ; appliquer le résultat des délais une seule fois.</x:v>
      </x:c>
      <x:c r="H43" s="9" t="str">
        <x:v>Zone de révélations puis marche sous barrière ; appliquer le résultat des délais une seule fois.</x:v>
      </x:c>
      <x:c r="I43" s="9" t="str">
        <x:v>Pods translucides, condensation et essaims.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me2/zones/collector-pods ; rattacher les ressources et états cités à cet identifiant. Aucun fichier de jeu créé par ce catalogue.</x:v>
      </x:c>
      <x:c r="M43" s="9" t="str"/>
      <x:c r="N43" s="9" t="str">
        <x:v>Le livrable « Base — pods et essaims » possède une scène ou un scénario de contrôle ; ses règles proposées, ses conditions et ses retours visuels sont vérifiables séparément.</x:v>
      </x:c>
      <x:c r="O43" s="9" t="str"/>
      <x:c r="P43" s="9" t="str">
        <x:v>Base — pods et essaims</x:v>
      </x:c>
      <x:c r="Q43" s="9" t="str">
        <x:v>ME2-SRC-WALK</x:v>
      </x:c>
      <x:c r="R43" s="9" t="str">
        <x:v>https://masseffect.fandom.com/wiki/Collector_Base%3A_The_Long_Walk</x:v>
      </x:c>
      <x:c r="S43" s="9" t="str">
        <x:v>Spécification à réaliser. Les champs adaptation, gameplay, visual, animation, audio et implementation décrivent le fan game ; ils ne donnent pas des caractéristiques officielles de l’œuvre.</x:v>
      </x:c>
    </x:row>
    <x:row r="44" ht="68" customHeight="1">
      <x:c r="A44" s="19" t="str">
        <x:v>ME2-ZON-COLLECTOR-CORE</x:v>
      </x:c>
      <x:c r="B44" s="7" t="str">
        <x:v>Base — chambre finale</x:v>
      </x:c>
      <x:c r="C44" s="15" t="str">
        <x:v>Défini</x:v>
      </x:c>
      <x:c r="D44" s="17" t="str">
        <x:v>Établi</x:v>
      </x:c>
      <x:c r="E44" s="17" t="str">
        <x:v>P1</x:v>
      </x:c>
      <x:c r="F44" s="7" t="str">
        <x:v>Lieu du Moissonneur humain.</x:v>
      </x:c>
      <x:c r="G44" s="7" t="str">
        <x:v>Plateforme en plusieurs bandes ; les mains du boss annoncent les zones de frappe.</x:v>
      </x:c>
      <x:c r="H44" s="7" t="str">
        <x:v>Plateforme en plusieurs bandes ; les mains du boss annoncent les zones de frappe.</x:v>
      </x:c>
      <x:c r="I44" s="7" t="str">
        <x:v>Structure inachevée et tubes d’alimentation.</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me2/zones/collector-core ; rattacher les ressources et états cités à cet identifiant. Aucun fichier de jeu créé par ce catalogue.</x:v>
      </x:c>
      <x:c r="M44" s="7" t="str"/>
      <x:c r="N44" s="7" t="str">
        <x:v>Le livrable « Base — chambre finale » possède une scène ou un scénario de contrôle ; ses règles proposées, ses conditions et ses retours visuels sont vérifiables séparément.</x:v>
      </x:c>
      <x:c r="O44" s="7" t="str"/>
      <x:c r="P44" s="7" t="str">
        <x:v>Base — chambre finale</x:v>
      </x:c>
      <x:c r="Q44" s="7" t="str">
        <x:v>ME2-SRC-FINAL</x:v>
      </x:c>
      <x:c r="R44" s="7" t="str">
        <x:v>https://masseffect.fandom.com/wiki/Collector_Base%3A_Final_Battle</x:v>
      </x:c>
      <x:c r="S44" s="7" t="str">
        <x:v>Spécification à réaliser. Les champs adaptation, gameplay, visual, animation, audio et implementation décrivent le fan game ; ils ne donnent pas des caractéristiques officielles de l’œuvre.</x:v>
      </x:c>
    </x:row>
  </x:sheetData>
  <x:conditionalFormatting sqref="D7:D44">
    <x:cfRule type="cellIs" dxfId="16" priority="1" operator="equal">
      <x:formula>"À vérifier"</x:formula>
    </x:cfRule>
    <x:cfRule type="cellIs" dxfId="17" priority="2" operator="equal">
      <x:formula>"Extrapolation"</x:formula>
    </x:cfRule>
  </x:conditionalFormatting>
  <x:conditionalFormatting sqref="C7:C44">
    <x:cfRule type="cellIs" dxfId="18" priority="3" operator="equal">
      <x:formula>"Validé"</x:formula>
    </x:cfRule>
  </x:conditionalFormatting>
  <x:conditionalFormatting sqref="E7:E44">
    <x:cfRule type="cellIs" dxfId="19" priority="4" operator="equal">
      <x:formula>"P0"</x:formula>
    </x:cfRule>
  </x:conditionalFormatting>
  <x:dataValidations count="3">
    <x:dataValidation type="list" sqref="C7:C44">
      <x:formula1>"Défini,Prototype,Intégré,Validé"</x:formula1>
    </x:dataValidation>
    <x:dataValidation type="list" sqref="D7:D44">
      <x:formula1>"Établi,À vérifier,Extrapolation,Coupé attesté,Concept abandonné,Allégation écartée"</x:formula1>
    </x:dataValidation>
    <x:dataValidation type="list" sqref="E7:E44">
      <x:formula1>"P0,P1,P2"</x:formula1>
    </x:dataValidation>
  </x:dataValidations>
  <x:pageMargins left="0.7" right="0.7" top="0.75" bottom="0.75" header="0.3" footer="0.3"/>
  <x:tableParts count="1">
    <x:tablePart xmlns:r="http://schemas.openxmlformats.org/officeDocument/2006/relationships" r:id="Re423ccdd01604a6f"/>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2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ME2-LNK-NORMANDY-HUBS</x:v>
      </x:c>
      <x:c r="B7" s="9" t="str">
        <x:v>Normandy ↔ hubs</x:v>
      </x:c>
      <x:c r="C7" s="15" t="str">
        <x:v>Défini</x:v>
      </x:c>
      <x:c r="D7" s="16" t="str">
        <x:v>Extrapolation</x:v>
      </x:c>
      <x:c r="E7" s="16" t="str">
        <x:v>P1</x:v>
      </x:c>
      <x:c r="F7" s="9" t="str">
        <x:v>Livrable original proposé : Normandy ↔ hubs.</x:v>
      </x:c>
      <x:c r="G7" s="9" t="str">
        <x:v>Routes de carte distinguant atterrissage, carburant et retour ; chaque hub conserve ses marchands et demandes.</x:v>
      </x:c>
      <x:c r="H7" s="9" t="str">
        <x:v>Routes de carte distinguant atterrissage, carburant et retour ; chaque hub conserve ses marchands et demandes.</x:v>
      </x:c>
      <x:c r="I7" s="9" t="str">
        <x:v>Lignes de transit simples et destination nommée.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me2/links/normandy-hubs ; rattacher les ressources et états cités à cet identifiant. Aucun fichier de jeu créé par ce catalogue.</x:v>
      </x:c>
      <x:c r="M7" s="9" t="str"/>
      <x:c r="N7" s="9" t="str">
        <x:v>Le livrable « Normandy ↔ hubs » possède une scène ou un scénario de contrôle ; ses règles proposées, ses conditions et ses retours visuels sont vérifiables séparément.</x:v>
      </x:c>
      <x:c r="O7" s="9" t="str">
        <x:v>ME2-ZON-NORMANDY-CIC, ME2-WRL-OMEGA, ME2-WRL-ILLIUM, ME2-WRL-CITADEL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ME2-LNK-OMEGA-PROF</x:v>
      </x:c>
      <x:c r="B8" s="7" t="str">
        <x:v>Marché Omega → quarantaine</x:v>
      </x:c>
      <x:c r="C8" s="15" t="str">
        <x:v>Défini</x:v>
      </x:c>
      <x:c r="D8" s="17" t="str">
        <x:v>Extrapolation</x:v>
      </x:c>
      <x:c r="E8" s="17" t="str">
        <x:v>P1</x:v>
      </x:c>
      <x:c r="F8" s="7" t="str">
        <x:v>Livrable original proposé : Marché Omega → quarantaine.</x:v>
      </x:c>
      <x:c r="G8" s="7" t="str">
        <x:v>Transition avec avertissement de mission et composition d’équipe ; retour à la clinique puis hub après le recrutement.</x:v>
      </x:c>
      <x:c r="H8" s="7" t="str">
        <x:v>Transition avec avertissement de mission et composition d’équipe ; retour à la clinique puis hub après le recrutement.</x:v>
      </x:c>
      <x:c r="I8" s="7" t="str">
        <x:v>Sas, garde et lumière médicale.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me2/links/omega-prof ; rattacher les ressources et états cités à cet identifiant. Aucun fichier de jeu créé par ce catalogue.</x:v>
      </x:c>
      <x:c r="M8" s="7" t="str"/>
      <x:c r="N8" s="7" t="str">
        <x:v>Le livrable « Marché Omega → quarantaine » possède une scène ou un scénario de contrôle ; ses règles proposées, ses conditions et ses retours visuels sont vérifiables séparément.</x:v>
      </x:c>
      <x:c r="O8" s="7" t="str">
        <x:v>ME2-ZON-OMEGA-MARKET, ME2-ZON-OMEGA-CLINIC</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ME2-LNK-OMEGA-ARCH</x:v>
      </x:c>
      <x:c r="B9" s="9" t="str">
        <x:v>Omega → siège d’Archangel</x:v>
      </x:c>
      <x:c r="C9" s="15" t="str">
        <x:v>Défini</x:v>
      </x:c>
      <x:c r="D9" s="16" t="str">
        <x:v>Extrapolation</x:v>
      </x:c>
      <x:c r="E9" s="16" t="str">
        <x:v>P1</x:v>
      </x:c>
      <x:c r="F9" s="9" t="str">
        <x:v>Livrable original proposé : Omega → siège d’Archangel.</x:v>
      </x:c>
      <x:c r="G9" s="9" t="str">
        <x:v>Taxi de mission ouvre le siège ; bloquer le retour libre pendant la défense tout en conservant la sauvegarde d’entrée.</x:v>
      </x:c>
      <x:c r="H9" s="9" t="str">
        <x:v>Taxi de mission ouvre le siège ; bloquer le retour libre pendant la défense tout en conservant la sauvegarde d’entrée.</x:v>
      </x:c>
      <x:c r="I9" s="9" t="str">
        <x:v>Navette et vue de pont.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me2/links/omega-arch ; rattacher les ressources et états cités à cet identifiant. Aucun fichier de jeu créé par ce catalogue.</x:v>
      </x:c>
      <x:c r="M9" s="9" t="str"/>
      <x:c r="N9" s="9" t="str">
        <x:v>Le livrable « Omega → siège d’Archangel » possède une scène ou un scénario de contrôle ; ses règles proposées, ses conditions et ses retours visuels sont vérifiables séparément.</x:v>
      </x:c>
      <x:c r="O9" s="9" t="str">
        <x:v>ME2-ZON-OMEGA-MARKET, ME2-ZON-ARCHANGEL-HOUSE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ME2-LNK-ILLIUM-DANTIUS</x:v>
      </x:c>
      <x:c r="B10" s="7" t="str">
        <x:v>Nos Astra → tours Dantius</x:v>
      </x:c>
      <x:c r="C10" s="15" t="str">
        <x:v>Défini</x:v>
      </x:c>
      <x:c r="D10" s="17" t="str">
        <x:v>Extrapolation</x:v>
      </x:c>
      <x:c r="E10" s="17" t="str">
        <x:v>P1</x:v>
      </x:c>
      <x:c r="F10" s="7" t="str">
        <x:v>Livrable original proposé : Nos Astra → tours Dantius.</x:v>
      </x:c>
      <x:c r="G10" s="7" t="str">
        <x:v>Navette séparant le hub de l’ascension ; expliquer que le recrutement s’effectue sur une carte de mission.</x:v>
      </x:c>
      <x:c r="H10" s="7" t="str">
        <x:v>Navette séparant le hub de l’ascension ; expliquer que le recrutement s’effectue sur une carte de mission.</x:v>
      </x:c>
      <x:c r="I10" s="7" t="str">
        <x:v>Skycar et tours jumelles.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me2/links/illium-dantius ; rattacher les ressources et états cités à cet identifiant. Aucun fichier de jeu créé par ce catalogue.</x:v>
      </x:c>
      <x:c r="M10" s="7" t="str"/>
      <x:c r="N10" s="7" t="str">
        <x:v>Le livrable « Nos Astra → tours Dantius » possède une scène ou un scénario de contrôle ; ses règles proposées, ses conditions et ses retours visuels sont vérifiables séparément.</x:v>
      </x:c>
      <x:c r="O10" s="7" t="str">
        <x:v>ME2-WRL-ILLIUM, ME2-ZON-DANTIUS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ME2-LNK-ILLIUM-POLICE</x:v>
      </x:c>
      <x:c r="B11" s="9" t="str">
        <x:v>Nos Astra → spatioport</x:v>
      </x:c>
      <x:c r="C11" s="15" t="str">
        <x:v>Défini</x:v>
      </x:c>
      <x:c r="D11" s="16" t="str">
        <x:v>Extrapolation</x:v>
      </x:c>
      <x:c r="E11" s="16" t="str">
        <x:v>P1</x:v>
      </x:c>
      <x:c r="F11" s="9" t="str">
        <x:v>Livrable original proposé : Nos Astra → spatioport.</x:v>
      </x:c>
      <x:c r="G11" s="9" t="str">
        <x:v>Passage sans coût de carburant ; les preuves de mission reviennent au bon bureau.</x:v>
      </x:c>
      <x:c r="H11" s="9" t="str">
        <x:v>Passage sans coût de carburant ; les preuves de mission reviennent au bon bureau.</x:v>
      </x:c>
      <x:c r="I11" s="9" t="str">
        <x:v>Ascenseur et panneaux de police.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me2/links/illium-police ; rattacher les ressources et états cités à cet identifiant. Aucun fichier de jeu créé par ce catalogue.</x:v>
      </x:c>
      <x:c r="M11" s="9" t="str"/>
      <x:c r="N11" s="9" t="str">
        <x:v>Le livrable « Nos Astra → spatioport » possède une scène ou un scénario de contrôle ; ses règles proposées, ses conditions et ses retours visuels sont vérifiables séparément.</x:v>
      </x:c>
      <x:c r="O11" s="9" t="str">
        <x:v>ME2-WRL-ILLIUM, ME2-ZON-ILLIUM-DOCK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ME2-LNK-ILLIUM-FRET</x:v>
      </x:c>
      <x:c r="B12" s="7" t="str">
        <x:v>Illium → fret de Miranda</x:v>
      </x:c>
      <x:c r="C12" s="15" t="str">
        <x:v>Défini</x:v>
      </x:c>
      <x:c r="D12" s="17" t="str">
        <x:v>Extrapolation</x:v>
      </x:c>
      <x:c r="E12" s="17" t="str">
        <x:v>P1</x:v>
      </x:c>
      <x:c r="F12" s="7" t="str">
        <x:v>Livrable original proposé : Illium → fret de Miranda.</x:v>
      </x:c>
      <x:c r="G12" s="7" t="str">
        <x:v>Transition verrouillée par sa présence ; ne pas permettre d’abandonner l’équipière sur place.</x:v>
      </x:c>
      <x:c r="H12" s="7" t="str">
        <x:v>Transition verrouillée par sa présence ; ne pas permettre d’abandonner l’équipière sur place.</x:v>
      </x:c>
      <x:c r="I12" s="7" t="str">
        <x:v>Navette au-dessus des conteneurs.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me2/links/illium-fret ; rattacher les ressources et états cités à cet identifiant. Aucun fichier de jeu créé par ce catalogue.</x:v>
      </x:c>
      <x:c r="M12" s="7" t="str"/>
      <x:c r="N12" s="7" t="str">
        <x:v>Le livrable « Illium → fret de Miranda » possède une scène ou un scénario de contrôle ; ses règles proposées, ses conditions et ses retours visuels sont vérifiables séparément.</x:v>
      </x:c>
      <x:c r="O12" s="7" t="str">
        <x:v>ME2-WRL-ILLIUM, ME2-ZON-ILLIUM-CARGO</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ME2-LNK-TUCH-RITE</x:v>
      </x:c>
      <x:c r="B13" s="9" t="str">
        <x:v>Clan Urdnot → arène</x:v>
      </x:c>
      <x:c r="C13" s="15" t="str">
        <x:v>Défini</x:v>
      </x:c>
      <x:c r="D13" s="16" t="str">
        <x:v>Extrapolation</x:v>
      </x:c>
      <x:c r="E13" s="16" t="str">
        <x:v>P1</x:v>
      </x:c>
      <x:c r="F13" s="9" t="str">
        <x:v>Livrable original proposé : Clan Urdnot → arène.</x:v>
      </x:c>
      <x:c r="G13" s="9" t="str">
        <x:v>Trajet de rite disponible après dialogue ; retour applique appartenance et loyauté séparément.</x:v>
      </x:c>
      <x:c r="H13" s="9" t="str">
        <x:v>Trajet de rite disponible après dialogue ; retour applique appartenance et loyauté séparément.</x:v>
      </x:c>
      <x:c r="I13" s="9" t="str">
        <x:v>Porte de clan et stèle rituelle.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me2/links/tuch-rite ; rattacher les ressources et états cités à cet identifiant. Aucun fichier de jeu créé par ce catalogue.</x:v>
      </x:c>
      <x:c r="M13" s="9" t="str"/>
      <x:c r="N13" s="9" t="str">
        <x:v>Le livrable « Clan Urdnot → arène » possède une scène ou un scénario de contrôle ; ses règles proposées, ses conditions et ses retours visuels sont vérifiables séparément.</x:v>
      </x:c>
      <x:c r="O13" s="9" t="str">
        <x:v>ME2-WRL-TUCHANKA, ME2-ZON-TUCH-RITE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ME2-LNK-TUCH-MED</x:v>
      </x:c>
      <x:c r="B14" s="7" t="str">
        <x:v>Clan Urdnot → hôpital</x:v>
      </x:c>
      <x:c r="C14" s="15" t="str">
        <x:v>Défini</x:v>
      </x:c>
      <x:c r="D14" s="17" t="str">
        <x:v>Extrapolation</x:v>
      </x:c>
      <x:c r="E14" s="17" t="str">
        <x:v>P1</x:v>
      </x:c>
      <x:c r="F14" s="7" t="str">
        <x:v>Livrable original proposé : Clan Urdnot → hôpital.</x:v>
      </x:c>
      <x:c r="G14" s="7" t="str">
        <x:v>Route de mission conservant l’éclaireur comme sous-objectif ; retour au clan n’efface pas la preuve de Maelon.</x:v>
      </x:c>
      <x:c r="H14" s="7" t="str">
        <x:v>Route de mission conservant l’éclaireur comme sous-objectif ; retour au clan n’efface pas la preuve de Maelon.</x:v>
      </x:c>
      <x:c r="I14" s="7" t="str">
        <x:v>Tunnel, ruines et hôpital.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me2/links/tuch-med ; rattacher les ressources et états cités à cet identifiant. Aucun fichier de jeu créé par ce catalogue.</x:v>
      </x:c>
      <x:c r="M14" s="7" t="str"/>
      <x:c r="N14" s="7" t="str">
        <x:v>Le livrable « Clan Urdnot → hôpital » possède une scène ou un scénario de contrôle ; ses règles proposées, ses conditions et ses retours visuels sont vérifiables séparément.</x:v>
      </x:c>
      <x:c r="O14" s="7" t="str">
        <x:v>ME2-WRL-TUCHANKA, ME2-ZON-TUCH-HOSPITAL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ME2-LNK-FLOTILLA</x:v>
      </x:c>
      <x:c r="B15" s="9" t="str">
        <x:v>Audience ↔ Alarei</x:v>
      </x:c>
      <x:c r="C15" s="15" t="str">
        <x:v>Défini</x:v>
      </x:c>
      <x:c r="D15" s="16" t="str">
        <x:v>Extrapolation</x:v>
      </x:c>
      <x:c r="E15" s="16" t="str">
        <x:v>P1</x:v>
      </x:c>
      <x:c r="F15" s="9" t="str">
        <x:v>Livrable original proposé : Audience ↔ Alarei.</x:v>
      </x:c>
      <x:c r="G15" s="9" t="str">
        <x:v>Deux voyages liés au procès ; la seconde audience s’ouvre même si certaines preuves sont refusées.</x:v>
      </x:c>
      <x:c r="H15" s="9" t="str">
        <x:v>Deux voyages liés au procès ; la seconde audience s’ouvre même si certaines preuves sont refusées.</x:v>
      </x:c>
      <x:c r="I15" s="9" t="str">
        <x:v>Navette entre coques quariènes.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me2/links/flotilla ; rattacher les ressources et états cités à cet identifiant. Aucun fichier de jeu créé par ce catalogue.</x:v>
      </x:c>
      <x:c r="M15" s="9" t="str"/>
      <x:c r="N15" s="9" t="str">
        <x:v>Le livrable « Audience ↔ Alarei » possède une scène ou un scénario de contrôle ; ses règles proposées, ses conditions et ses retours visuels sont vérifiables séparément.</x:v>
      </x:c>
      <x:c r="O15" s="9" t="str">
        <x:v>ME2-ZON-RAYYA, ME2-ZON-ALAREI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ME2-LNK-SHADOW-TRANSIT</x:v>
      </x:c>
      <x:c r="B16" s="7" t="str">
        <x:v>Illium → Hagalaz</x:v>
      </x:c>
      <x:c r="C16" s="15" t="str">
        <x:v>Défini</x:v>
      </x:c>
      <x:c r="D16" s="17" t="str">
        <x:v>Extrapolation</x:v>
      </x:c>
      <x:c r="E16" s="17" t="str">
        <x:v>P1</x:v>
      </x:c>
      <x:c r="F16" s="7" t="str">
        <x:v>Livrable original proposé : Illium → Hagalaz.</x:v>
      </x:c>
      <x:c r="G16" s="7" t="str">
        <x:v>Enchaînement d’extension et point de composition avant coque ; distinguer sortie narrative et voyage libre.</x:v>
      </x:c>
      <x:c r="H16" s="7" t="str">
        <x:v>Enchaînement d’extension et point de composition avant coque ; distinguer sortie narrative et voyage libre.</x:v>
      </x:c>
      <x:c r="I16" s="7" t="str">
        <x:v>Carte galactique, nuages et vaisseau.</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me2/links/shadow-transit ; rattacher les ressources et états cités à cet identifiant. Aucun fichier de jeu créé par ce catalogue.</x:v>
      </x:c>
      <x:c r="M16" s="7" t="str"/>
      <x:c r="N16" s="7" t="str">
        <x:v>Le livrable « Illium → Hagalaz » possède une scène ou un scénario de contrôle ; ses règles proposées, ses conditions et ses retours visuels sont vérifiables séparément.</x:v>
      </x:c>
      <x:c r="O16" s="7" t="str">
        <x:v>ME2-ZON-VASIR-ROOF, ME2-ZON-HAGALAZ-HULL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ME2-LNK-BROKER-IN</x:v>
      </x:c>
      <x:c r="B17" s="9" t="str">
        <x:v>Coque → bureau du Courtier</x:v>
      </x:c>
      <x:c r="C17" s="15" t="str">
        <x:v>Défini</x:v>
      </x:c>
      <x:c r="D17" s="16" t="str">
        <x:v>Extrapolation</x:v>
      </x:c>
      <x:c r="E17" s="16" t="str">
        <x:v>P1</x:v>
      </x:c>
      <x:c r="F17" s="9" t="str">
        <x:v>Livrable original proposé : Coque → bureau du Courtier.</x:v>
      </x:c>
      <x:c r="G17" s="9" t="str">
        <x:v>Sas de fin d’assaut avec restauration des seuls états autorisés ; conserver les ressources engagées.</x:v>
      </x:c>
      <x:c r="H17" s="9" t="str">
        <x:v>Sas de fin d’assaut avec restauration des seuls états autorisés ; conserver les ressources engagées.</x:v>
      </x:c>
      <x:c r="I17" s="9" t="str">
        <x:v>Porte épaisse et lumière du bureau.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me2/links/broker-in ; rattacher les ressources et états cités à cet identifiant. Aucun fichier de jeu créé par ce catalogue.</x:v>
      </x:c>
      <x:c r="M17" s="9" t="str"/>
      <x:c r="N17" s="9" t="str">
        <x:v>Le livrable « Coque → bureau du Courtier » possède une scène ou un scénario de contrôle ; ses règles proposées, ses conditions et ses retours visuels sont vérifiables séparément.</x:v>
      </x:c>
      <x:c r="O17" s="9" t="str">
        <x:v>ME2-ZON-HAGALAZ-HULL, ME2-ZON-BROKER-OFFICE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ME2-LNK-AITE-STATIONS</x:v>
      </x:c>
      <x:c r="B18" s="7" t="str">
        <x:v>Vallée d’Aite → stations</x:v>
      </x:c>
      <x:c r="C18" s="15" t="str">
        <x:v>Défini</x:v>
      </x:c>
      <x:c r="D18" s="17" t="str">
        <x:v>Extrapolation</x:v>
      </x:c>
      <x:c r="E18" s="17" t="str">
        <x:v>P1</x:v>
      </x:c>
      <x:c r="F18" s="7" t="str">
        <x:v>Livrable original proposé : Vallée d’Aite → stations.</x:v>
      </x:c>
      <x:c r="G18" s="7" t="str">
        <x:v>Réseau Hammerhead avec verrous Vulcan/Prometheus puis Atlas ; pas de liaison inventée vers un autre système.</x:v>
      </x:c>
      <x:c r="H18" s="7" t="str">
        <x:v>Réseau Hammerhead avec verrous Vulcan/Prometheus puis Atlas ; pas de liaison inventée vers un autre système.</x:v>
      </x:c>
      <x:c r="I18" s="7" t="str">
        <x:v>Carte des stations à pictogrammes.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me2/links/aite-stations ; rattacher les ressources et états cités à cet identifiant. Aucun fichier de jeu créé par ce catalogue.</x:v>
      </x:c>
      <x:c r="M18" s="7" t="str"/>
      <x:c r="N18" s="7" t="str">
        <x:v>Le livrable « Vallée d’Aite → stations » possède une scène ou un scénario de contrôle ; ses règles proposées, ses conditions et ses retours visuels sont vérifiables séparément.</x:v>
      </x:c>
      <x:c r="O18" s="7" t="str">
        <x:v>ME2-WRL-AITE, ME2-ZON-ATLAS-VR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ME2-LNK-ARRIVAL-TRANSIT</x:v>
      </x:c>
      <x:c r="B19" s="9" t="str">
        <x:v>Prison → projet d’Arrival</x:v>
      </x:c>
      <x:c r="C19" s="15" t="str">
        <x:v>Défini</x:v>
      </x:c>
      <x:c r="D19" s="16" t="str">
        <x:v>Extrapolation</x:v>
      </x:c>
      <x:c r="E19" s="16" t="str">
        <x:v>P1</x:v>
      </x:c>
      <x:c r="F19" s="9" t="str">
        <x:v>Livrable original proposé : Prison → projet d’Arrival.</x:v>
      </x:c>
      <x:c r="G19" s="9" t="str">
        <x:v>Voyage narratif après Kenson ; invalider l’ancienne route de retour sans retirer la sauvegarde d’avant-mission.</x:v>
      </x:c>
      <x:c r="H19" s="9" t="str">
        <x:v>Voyage narratif après Kenson ; invalider l’ancienne route de retour sans retirer la sauvegarde d’avant-mission.</x:v>
      </x:c>
      <x:c r="I19" s="9" t="str">
        <x:v>Navette et silhouette d’astéroïde.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me2/links/arrival-transit ; rattacher les ressources et états cités à cet identifiant. Aucun fichier de jeu créé par ce catalogue.</x:v>
      </x:c>
      <x:c r="M19" s="9" t="str"/>
      <x:c r="N19" s="9" t="str">
        <x:v>Le livrable « Prison → projet d’Arrival » possède une scène ou un scénario de contrôle ; ses règles proposées, ses conditions et ses retours visuels sont vérifiables séparément.</x:v>
      </x:c>
      <x:c r="O19" s="9" t="str">
        <x:v>ME2-ZON-ARRIVAL-PRISON, ME2-ZON-ARRIVAL-PROJECT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ME2-LNK-OMEGA4</x:v>
      </x:c>
      <x:c r="B20" s="7" t="str">
        <x:v>Normandy → base Collecteur</x:v>
      </x:c>
      <x:c r="C20" s="15" t="str">
        <x:v>Défini</x:v>
      </x:c>
      <x:c r="D20" s="17" t="str">
        <x:v>Extrapolation</x:v>
      </x:c>
      <x:c r="E20" s="17" t="str">
        <x:v>P1</x:v>
      </x:c>
      <x:c r="F20" s="7" t="str">
        <x:v>Livrable original proposé : Normandy → base Collecteur.</x:v>
      </x:c>
      <x:c r="G20" s="7" t="str">
        <x:v>Point de départ final avec résumé des préparatifs ; la confirmation crée un instantané des affectations.</x:v>
      </x:c>
      <x:c r="H20" s="7" t="str">
        <x:v>Point de départ final avec résumé des préparatifs ; la confirmation crée un instantané des affectations.</x:v>
      </x:c>
      <x:c r="I20" s="7" t="str">
        <x:v>Relais rouge et carte de destination.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me2/links/omega4 ; rattacher les ressources et états cités à cet identifiant. Aucun fichier de jeu créé par ce catalogue.</x:v>
      </x:c>
      <x:c r="M20" s="7" t="str"/>
      <x:c r="N20" s="7" t="str">
        <x:v>Le livrable « Normandy → base Collecteur » possède une scène ou un scénario de contrôle ; ses règles proposées, ses conditions et ses retours visuels sont vérifiables séparément.</x:v>
      </x:c>
      <x:c r="O20" s="7" t="str">
        <x:v>ME2-MQ-OMEGA4, ME2-WRL-COLLECTOR-BASE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ME2-LNK-COLLECTOR-SEQUENCE</x:v>
      </x:c>
      <x:c r="B21" s="9" t="str">
        <x:v>Conduits → pods → noyau</x:v>
      </x:c>
      <x:c r="C21" s="15" t="str">
        <x:v>Défini</x:v>
      </x:c>
      <x:c r="D21" s="16" t="str">
        <x:v>Extrapolation</x:v>
      </x:c>
      <x:c r="E21" s="16" t="str">
        <x:v>P1</x:v>
      </x:c>
      <x:c r="F21" s="9" t="str">
        <x:v>Livrable original proposé : Conduits → pods → noyau.</x:v>
      </x:c>
      <x:c r="G21" s="9" t="str">
        <x:v>Trois segments appliquant leurs pertes à l’entrée du suivant ; transitions atomiques à la sauvegarde.</x:v>
      </x:c>
      <x:c r="H21" s="9" t="str">
        <x:v>Trois segments appliquant leurs pertes à l’entrée du suivant ; transitions atomiques à la sauvegarde.</x:v>
      </x:c>
      <x:c r="I21" s="9" t="str">
        <x:v>Trois cartes imbriquées, lumières de progression.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me2/links/collector-sequence ; rattacher les ressources et états cités à cet identifiant. Aucun fichier de jeu créé par ce catalogue.</x:v>
      </x:c>
      <x:c r="M21" s="9" t="str"/>
      <x:c r="N21" s="9" t="str">
        <x:v>Le livrable « Conduits → pods → noyau » possède une scène ou un scénario de contrôle ; ses règles proposées, ses conditions et ses retours visuels sont vérifiables séparément.</x:v>
      </x:c>
      <x:c r="O21" s="9" t="str">
        <x:v>ME2-ZON-COLLECTOR-VENTS, ME2-ZON-COLLECTOR-PODS, ME2-ZON-COLLECTOR-CORE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ME2-LNK-POSTGAME</x:v>
      </x:c>
      <x:c r="B22" s="7" t="str">
        <x:v>Retour après mission suicide</x:v>
      </x:c>
      <x:c r="C22" s="15" t="str">
        <x:v>Défini</x:v>
      </x:c>
      <x:c r="D22" s="17" t="str">
        <x:v>Extrapolation</x:v>
      </x:c>
      <x:c r="E22" s="17" t="str">
        <x:v>P1</x:v>
      </x:c>
      <x:c r="F22" s="7" t="str">
        <x:v>Livrable original proposé : Retour après mission suicide.</x:v>
      </x:c>
      <x:c r="G22" s="7" t="str">
        <x:v>Retour conditionné à la survie de Shepard ; garder missions restantes jouables selon leurs propres prérequis.</x:v>
      </x:c>
      <x:c r="H22" s="7" t="str">
        <x:v>Retour conditionné à la survie de Shepard ; garder missions restantes jouables selon leurs propres prérequis.</x:v>
      </x:c>
      <x:c r="I22" s="7" t="str">
        <x:v>Normandy endommagé et vue de carte rétablie.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me2/links/postgame ; rattacher les ressources et états cités à cet identifiant. Aucun fichier de jeu créé par ce catalogue.</x:v>
      </x:c>
      <x:c r="M22" s="7" t="str"/>
      <x:c r="N22" s="7" t="str">
        <x:v>Le livrable « Retour après mission suicide » possède une scène ou un scénario de contrôle ; ses règles proposées, ses conditions et ses retours visuels sont vérifiables séparément.</x:v>
      </x:c>
      <x:c r="O22" s="7" t="str">
        <x:v>ME2-MQ-FINAL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853d80f3659c497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2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ME2-SCN-OMEGA-KIT</x:v>
      </x:c>
      <x:c r="B7" s="9" t="str">
        <x:v>Kit de rues Omega</x:v>
      </x:c>
      <x:c r="C7" s="15" t="str">
        <x:v>Défini</x:v>
      </x:c>
      <x:c r="D7" s="16" t="str">
        <x:v>Extrapolation</x:v>
      </x:c>
      <x:c r="E7" s="16" t="str">
        <x:v>P1</x:v>
      </x:c>
      <x:c r="F7" s="9" t="str">
        <x:v>Livrable original proposé : Kit de rues Omega.</x:v>
      </x:c>
      <x:c r="G7" s="9" t="str">
        <x:v>Construire murs métalliques, passerelles et conduits modulaires avec points de couverture distincts du décor.</x:v>
      </x:c>
      <x:c r="H7" s="9" t="str">
        <x:v>Construire murs métalliques, passerelles et conduits modulaires avec points de couverture distincts du décor.</x:v>
      </x:c>
      <x:c r="I7" s="9" t="str">
        <x:v>Orange sale, brun, câbles pendants et néons.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me2/scenery/omega-kit ; rattacher les ressources et états cités à cet identifiant. Aucun fichier de jeu créé par ce catalogue.</x:v>
      </x:c>
      <x:c r="M7" s="9" t="str">
        <x:v>Éviter les zones interactives noyées sous les enseignes.</x:v>
      </x:c>
      <x:c r="N7" s="9" t="str">
        <x:v>Le livrable « Kit de rues 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ME2-SCN-ILLIUM-KIT</x:v>
      </x:c>
      <x:c r="B8" s="7" t="str">
        <x:v>Kit architectural d’Illium</x:v>
      </x:c>
      <x:c r="C8" s="15" t="str">
        <x:v>Défini</x:v>
      </x:c>
      <x:c r="D8" s="17" t="str">
        <x:v>Extrapolation</x:v>
      </x:c>
      <x:c r="E8" s="17" t="str">
        <x:v>P1</x:v>
      </x:c>
      <x:c r="F8" s="7" t="str">
        <x:v>Livrable original proposé : Kit architectural d’Illium.</x:v>
      </x:c>
      <x:c r="G8" s="7" t="str">
        <x:v>Terrasses à garde-corps transparents et arrière-plans de tours ; retirer automatiquement les éléments qui cachent les sprites.</x:v>
      </x:c>
      <x:c r="H8" s="7" t="str">
        <x:v>Terrasses à garde-corps transparents et arrière-plans de tours ; retirer automatiquement les éléments qui cachent les sprites.</x:v>
      </x:c>
      <x:c r="I8" s="7" t="str">
        <x:v>Blanc chaud, cuivre et verre.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me2/scenery/illium-kit ; rattacher les ressources et états cités à cet identifiant. Aucun fichier de jeu créé par ce catalogue.</x:v>
      </x:c>
      <x:c r="M8" s="7" t="str">
        <x:v>Hauteur de couvert indiquée par profil.</x:v>
      </x:c>
      <x:c r="N8" s="7" t="str">
        <x:v>Le livrable « Kit architectural d’Illium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ME2-SCN-CITADEL-KIT</x:v>
      </x:c>
      <x:c r="B9" s="9" t="str">
        <x:v>Kit Zakera / Citadelle ME2</x:v>
      </x:c>
      <x:c r="C9" s="15" t="str">
        <x:v>Défini</x:v>
      </x:c>
      <x:c r="D9" s="16" t="str">
        <x:v>Extrapolation</x:v>
      </x:c>
      <x:c r="E9" s="16" t="str">
        <x:v>P1</x:v>
      </x:c>
      <x:c r="F9" s="9" t="str">
        <x:v>Livrable original proposé : Kit Zakera / Citadelle ME2.</x:v>
      </x:c>
      <x:c r="G9" s="9" t="str">
        <x:v>Galeries commerçantes en niveaux lisibles ; vues lointaines de station en plans non accessibles.</x:v>
      </x:c>
      <x:c r="H9" s="9" t="str">
        <x:v>Galeries commerçantes en niveaux lisibles ; vues lointaines de station en plans non accessibles.</x:v>
      </x:c>
      <x:c r="I9" s="9" t="str">
        <x:v>Blanc, bleu et plantes.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me2/scenery/citadel-kit ; rattacher les ressources et états cités à cet identifiant. Aucun fichier de jeu créé par ce catalogue.</x:v>
      </x:c>
      <x:c r="M9" s="9" t="str"/>
      <x:c r="N9" s="9" t="str">
        <x:v>Le livrable « Kit Zakera / Citadelle ME2 » possède une scène ou un scénario de contrôle ; ses règles proposées, ses conditions et ses retours visuels sont vérifiables séparément.</x:v>
      </x:c>
      <x:c r="O9" s="9" t="str">
        <x:v>ME2-WRL-CITADEL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ME2-SCN-TUCH-KIT</x:v>
      </x:c>
      <x:c r="B10" s="7" t="str">
        <x:v>Kit de ruines krogan</x:v>
      </x:c>
      <x:c r="C10" s="15" t="str">
        <x:v>Défini</x:v>
      </x:c>
      <x:c r="D10" s="17" t="str">
        <x:v>Extrapolation</x:v>
      </x:c>
      <x:c r="E10" s="17" t="str">
        <x:v>P1</x:v>
      </x:c>
      <x:c r="F10" s="7" t="str">
        <x:v>Livrable original proposé : Kit de ruines krogan.</x:v>
      </x:c>
      <x:c r="G10" s="7" t="str">
        <x:v>Bâtir un contraste entre pierre ancienne et ferraille fonctionnelle ; larges portes pour gabarits krogan.</x:v>
      </x:c>
      <x:c r="H10" s="7" t="str">
        <x:v>Bâtir un contraste entre pierre ancienne et ferraille fonctionnelle ; larges portes pour gabarits krogan.</x:v>
      </x:c>
      <x:c r="I10" s="7" t="str">
        <x:v>Ocre, gris cendre, bannières et tôles.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me2/scenery/tuch-kit ; rattacher les ressources et états cités à cet identifiant. Aucun fichier de jeu créé par ce catalogue.</x:v>
      </x:c>
      <x:c r="M10" s="7" t="str"/>
      <x:c r="N10" s="7" t="str">
        <x:v>Le livrable « Kit de ruines krogan » possède une scène ou un scénario de contrôle ; ses règles proposées, ses conditions et ses retours visuels sont vérifiables séparément.</x:v>
      </x:c>
      <x:c r="O10" s="7" t="str">
        <x:v>ME2-WRL-TUCHANKA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ME2-SCN-KORLUS-KIT</x:v>
      </x:c>
      <x:c r="B11" s="9" t="str">
        <x:v>Carcasses de Korlus</x:v>
      </x:c>
      <x:c r="C11" s="15" t="str">
        <x:v>Défini</x:v>
      </x:c>
      <x:c r="D11" s="16" t="str">
        <x:v>Extrapolation</x:v>
      </x:c>
      <x:c r="E11" s="16" t="str">
        <x:v>P1</x:v>
      </x:c>
      <x:c r="F11" s="9" t="str">
        <x:v>Livrable original proposé : Carcasses de Korlus.</x:v>
      </x:c>
      <x:c r="G11" s="9" t="str">
        <x:v>Assembler des coques en silhouettes de relief ; chaque marche praticable reçoit un liseré de sol.</x:v>
      </x:c>
      <x:c r="H11" s="9" t="str">
        <x:v>Assembler des coques en silhouettes de relief ; chaque marche praticable reçoit un liseré de sol.</x:v>
      </x:c>
      <x:c r="I11" s="9" t="str">
        <x:v>Rouille, fumée et énormes moteurs.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me2/scenery/korlus-kit ; rattacher les ressources et états cités à cet identifiant. Aucun fichier de jeu créé par ce catalogue.</x:v>
      </x:c>
      <x:c r="M11" s="9" t="str"/>
      <x:c r="N11" s="9" t="str">
        <x:v>Le livrable « Carcasses de Korlus » possède une scène ou un scénario de contrôle ; ses règles proposées, ses conditions et ses retours visuels sont vérifiables séparément.</x:v>
      </x:c>
      <x:c r="O11" s="9" t="str">
        <x:v>ME2-WRL-KORLUS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ME2-SCN-PRAGIA-KIT</x:v>
      </x:c>
      <x:c r="B12" s="7" t="str">
        <x:v>Laboratoire envahi de jungle</x:v>
      </x:c>
      <x:c r="C12" s="15" t="str">
        <x:v>Défini</x:v>
      </x:c>
      <x:c r="D12" s="17" t="str">
        <x:v>Extrapolation</x:v>
      </x:c>
      <x:c r="E12" s="17" t="str">
        <x:v>P1</x:v>
      </x:c>
      <x:c r="F12" s="7" t="str">
        <x:v>Livrable original proposé : Laboratoire envahi de jungle.</x:v>
      </x:c>
      <x:c r="G12" s="7" t="str">
        <x:v>Végétation en premier plan qui s’efface près des indices ; traces du centre visibles sans gore ajouté.</x:v>
      </x:c>
      <x:c r="H12" s="7" t="str">
        <x:v>Végétation en premier plan qui s’efface près des indices ; traces du centre visibles sans gore ajouté.</x:v>
      </x:c>
      <x:c r="I12" s="7" t="str">
        <x:v>Vert humide, béton et lampes mortes.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me2/scenery/pragia-kit ; rattacher les ressources et états cités à cet identifiant. Aucun fichier de jeu créé par ce catalogue.</x:v>
      </x:c>
      <x:c r="M12" s="7" t="str"/>
      <x:c r="N12" s="7" t="str">
        <x:v>Le livrable « Laboratoire envahi de jungle » possède une scène ou un scénario de contrôle ; ses règles proposées, ses conditions et ses retours visuels sont vérifiables séparément.</x:v>
      </x:c>
      <x:c r="O12" s="7" t="str">
        <x:v>ME2-WRL-PRAGIA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ME2-SCN-AEIA-KIT</x:v>
      </x:c>
      <x:c r="B13" s="9" t="str">
        <x:v>Camp côtier d’Aeia</x:v>
      </x:c>
      <x:c r="C13" s="15" t="str">
        <x:v>Défini</x:v>
      </x:c>
      <x:c r="D13" s="16" t="str">
        <x:v>Extrapolation</x:v>
      </x:c>
      <x:c r="E13" s="16" t="str">
        <x:v>P1</x:v>
      </x:c>
      <x:c r="F13" s="9" t="str">
        <x:v>Livrable original proposé : Camp côtier d’Aeia.</x:v>
      </x:c>
      <x:c r="G13" s="9" t="str">
        <x:v>Plage et épave en trois profondeurs ; habitat improvisé différencié de la zone de commandement.</x:v>
      </x:c>
      <x:c r="H13" s="9" t="str">
        <x:v>Plage et épave en trois profondeurs ; habitat improvisé différencié de la zone de commandement.</x:v>
      </x:c>
      <x:c r="I13" s="9" t="str">
        <x:v>Bleu marin, vert tropical et tissu usé.</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me2/scenery/aeia-kit ; rattacher les ressources et états cités à cet identifiant. Aucun fichier de jeu créé par ce catalogue.</x:v>
      </x:c>
      <x:c r="M13" s="9" t="str"/>
      <x:c r="N13" s="9" t="str">
        <x:v>Le livrable « Camp côtier d’Aeia » possède une scène ou un scénario de contrôle ; ses règles proposées, ses conditions et ses retours visuels sont vérifiables séparément.</x:v>
      </x:c>
      <x:c r="O13" s="9" t="str">
        <x:v>ME2-WRL-AEIA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ME2-SCN-HAESTROM-KIT</x:v>
      </x:c>
      <x:c r="B14" s="7" t="str">
        <x:v>Ruines à ombres utiles</x:v>
      </x:c>
      <x:c r="C14" s="15" t="str">
        <x:v>Défini</x:v>
      </x:c>
      <x:c r="D14" s="17" t="str">
        <x:v>Extrapolation</x:v>
      </x:c>
      <x:c r="E14" s="17" t="str">
        <x:v>P1</x:v>
      </x:c>
      <x:c r="F14" s="7" t="str">
        <x:v>Livrable original proposé : Ruines à ombres utiles.</x:v>
      </x:c>
      <x:c r="G14" s="7" t="str">
        <x:v>Générer des ombres cohérentes avec le soleil ; art et volume de danger partagent la même projection.</x:v>
      </x:c>
      <x:c r="H14" s="7" t="str">
        <x:v>Générer des ombres cohérentes avec le soleil ; art et volume de danger partagent la même projection.</x:v>
      </x:c>
      <x:c r="I14" s="7" t="str">
        <x:v>Sable clair et noir d’ombre tranché.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me2/scenery/haestrom-kit ; rattacher les ressources et états cités à cet identifiant. Aucun fichier de jeu créé par ce catalogue.</x:v>
      </x:c>
      <x:c r="M14" s="7" t="str"/>
      <x:c r="N14" s="7" t="str">
        <x:v>Le livrable « Ruines à ombres utiles » possède une scène ou un scénario de contrôle ; ses règles proposées, ses conditions et ses retours visuels sont vérifiables séparément.</x:v>
      </x:c>
      <x:c r="O14" s="7" t="str">
        <x:v>ME2-WRL-HAESTROM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ME2-SCN-HORIZON-KIT</x:v>
      </x:c>
      <x:c r="B15" s="9" t="str">
        <x:v>Colonie agricole interrompue</x:v>
      </x:c>
      <x:c r="C15" s="15" t="str">
        <x:v>Défini</x:v>
      </x:c>
      <x:c r="D15" s="16" t="str">
        <x:v>Extrapolation</x:v>
      </x:c>
      <x:c r="E15" s="16" t="str">
        <x:v>P1</x:v>
      </x:c>
      <x:c r="F15" s="9" t="str">
        <x:v>Livrable original proposé : Colonie agricole interrompue.</x:v>
      </x:c>
      <x:c r="G15" s="9" t="str">
        <x:v>Maisons, cultures et défense composent une carte habitée avant l’attaque ; les corps figés ne servent pas de couverts.</x:v>
      </x:c>
      <x:c r="H15" s="9" t="str">
        <x:v>Maisons, cultures et défense composent une carte habitée avant l’attaque ; les corps figés ne servent pas de couverts.</x:v>
      </x:c>
      <x:c r="I15" s="9" t="str">
        <x:v>Bois industriel, vert pâle et soleil jaune.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me2/scenery/horizon-kit ; rattacher les ressources et états cités à cet identifiant. Aucun fichier de jeu créé par ce catalogue.</x:v>
      </x:c>
      <x:c r="M15" s="9" t="str"/>
      <x:c r="N15" s="9" t="str">
        <x:v>Le livrable « Colonie agricole interrompue » possède une scène ou un scénario de contrôle ; ses règles proposées, ses conditions et ses retours visuels sont vérifiables séparément.</x:v>
      </x:c>
      <x:c r="O15" s="9" t="str">
        <x:v>ME2-WRL-HORIZON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ME2-SCN-COLLECTOR-KIT</x:v>
      </x:c>
      <x:c r="B16" s="7" t="str">
        <x:v>Architecture organique Collecteur</x:v>
      </x:c>
      <x:c r="C16" s="15" t="str">
        <x:v>Défini</x:v>
      </x:c>
      <x:c r="D16" s="17" t="str">
        <x:v>Extrapolation</x:v>
      </x:c>
      <x:c r="E16" s="17" t="str">
        <x:v>P1</x:v>
      </x:c>
      <x:c r="F16" s="7" t="str">
        <x:v>Livrable original proposé : Architecture organique Collecteur.</x:v>
      </x:c>
      <x:c r="G16" s="7" t="str">
        <x:v>Couloirs en alvéoles et plateformes de combat ; marquer les bords praticables pour ne pas perdre les sprites.</x:v>
      </x:c>
      <x:c r="H16" s="7" t="str">
        <x:v>Couloirs en alvéoles et plateformes de combat ; marquer les bords praticables pour ne pas perdre les sprites.</x:v>
      </x:c>
      <x:c r="I16" s="7" t="str">
        <x:v>Brun, ambre et tissus luisants.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me2/scenery/collector-kit ; rattacher les ressources et états cités à cet identifiant. Aucun fichier de jeu créé par ce catalogue.</x:v>
      </x:c>
      <x:c r="M16" s="7" t="str"/>
      <x:c r="N16" s="7" t="str">
        <x:v>Le livrable « Architecture organique Collecteur » possède une scène ou un scénario de contrôle ; ses règles proposées, ses conditions et ses retours visuels sont vérifiables séparément.</x:v>
      </x:c>
      <x:c r="O16" s="7" t="str">
        <x:v>ME2-WRL-COLLECTOR-BASE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ME2-SCN-REAPER-KIT</x:v>
      </x:c>
      <x:c r="B17" s="9" t="str">
        <x:v>Intérieur du Moissonneur</x:v>
      </x:c>
      <x:c r="C17" s="15" t="str">
        <x:v>Défini</x:v>
      </x:c>
      <x:c r="D17" s="16" t="str">
        <x:v>Extrapolation</x:v>
      </x:c>
      <x:c r="E17" s="16" t="str">
        <x:v>P1</x:v>
      </x:c>
      <x:c r="F17" s="9" t="str">
        <x:v>Livrable original proposé : Intérieur du Moissonneur.</x:v>
      </x:c>
      <x:c r="G17" s="9" t="str">
        <x:v>Volumes inclinés, conduits et laboratoire ajouté ; l’inclinaison décorative ne déforme pas la grille ATB.</x:v>
      </x:c>
      <x:c r="H17" s="9" t="str">
        <x:v>Volumes inclinés, conduits et laboratoire ajouté ; l’inclinaison décorative ne déforme pas la grille ATB.</x:v>
      </x:c>
      <x:c r="I17" s="9" t="str">
        <x:v>Noir bleuté et rouge discret.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me2/scenery/reaper-kit ; rattacher les ressources et états cités à cet identifiant. Aucun fichier de jeu créé par ce catalogue.</x:v>
      </x:c>
      <x:c r="M17" s="9" t="str"/>
      <x:c r="N17" s="9" t="str">
        <x:v>Le livrable « Intérieur du Moissonneur » possède une scène ou un scénario de contrôle ; ses règles proposées, ses conditions et ses retours visuels sont vérifiables séparément.</x:v>
      </x:c>
      <x:c r="O17" s="9" t="str">
        <x:v>ME2-ZON-DERELICT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ME2-SCN-QUARIAN-KIT</x:v>
      </x:c>
      <x:c r="B18" s="7" t="str">
        <x:v>Vaisseau quarian</x:v>
      </x:c>
      <x:c r="C18" s="15" t="str">
        <x:v>Défini</x:v>
      </x:c>
      <x:c r="D18" s="17" t="str">
        <x:v>Extrapolation</x:v>
      </x:c>
      <x:c r="E18" s="17" t="str">
        <x:v>P1</x:v>
      </x:c>
      <x:c r="F18" s="7" t="str">
        <x:v>Livrable original proposé : Vaisseau quarian.</x:v>
      </x:c>
      <x:c r="G18" s="7" t="str">
        <x:v>Coursives compactes à portes circulaires ; codes de fonction visibles au-dessus des accès.</x:v>
      </x:c>
      <x:c r="H18" s="7" t="str">
        <x:v>Coursives compactes à portes circulaires ; codes de fonction visibles au-dessus des accès.</x:v>
      </x:c>
      <x:c r="I18" s="7" t="str">
        <x:v>Gris, orange chaud et tissus techniques.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me2/scenery/quarian-kit ; rattacher les ressources et états cités à cet identifiant. Aucun fichier de jeu créé par ce catalogue.</x:v>
      </x:c>
      <x:c r="M18" s="7" t="str"/>
      <x:c r="N18" s="7" t="str">
        <x:v>Le livrable « Vaisseau quarian » possède une scène ou un scénario de contrôle ; ses règles proposées, ses conditions et ses retours visuels sont vérifiables séparément.</x:v>
      </x:c>
      <x:c r="O18" s="7" t="str">
        <x:v>ME2-ZON-ALAREI</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ME2-SCN-HOCK-KIT</x:v>
      </x:c>
      <x:c r="B19" s="9" t="str">
        <x:v>Réception et collection de Hock</x:v>
      </x:c>
      <x:c r="C19" s="15" t="str">
        <x:v>Défini</x:v>
      </x:c>
      <x:c r="D19" s="16" t="str">
        <x:v>Extrapolation</x:v>
      </x:c>
      <x:c r="E19" s="16" t="str">
        <x:v>P1</x:v>
      </x:c>
      <x:c r="F19" s="9" t="str">
        <x:v>Livrable original proposé : Réception et collection de Hock.</x:v>
      </x:c>
      <x:c r="G19" s="9" t="str">
        <x:v>Luxe posé en grands aplats pour rester lisible à basse résolution ; socles interactifs séparés de la décoration.</x:v>
      </x:c>
      <x:c r="H19" s="9" t="str">
        <x:v>Luxe posé en grands aplats pour rester lisible à basse résolution ; socles interactifs séparés de la décoration.</x:v>
      </x:c>
      <x:c r="I19" s="9" t="str">
        <x:v>Marbre, or discret et art hétérogène.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me2/scenery/hock-kit ; rattacher les ressources et états cités à cet identifiant. Aucun fichier de jeu créé par ce catalogue.</x:v>
      </x:c>
      <x:c r="M19" s="9" t="str"/>
      <x:c r="N19" s="9" t="str">
        <x:v>Le livrable « Réception et collection de Hock » possède une scène ou un scénario de contrôle ; ses règles proposées, ses conditions et ses retours visuels sont vérifiables séparément.</x:v>
      </x:c>
      <x:c r="O19" s="9" t="str">
        <x:v>ME2-ZON-HOCK-MANSION, ME2-ZON-HOCK-VAULT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ME2-SCN-HAGALAZ-KIT</x:v>
      </x:c>
      <x:c r="B20" s="7" t="str">
        <x:v>Coque sous tempête</x:v>
      </x:c>
      <x:c r="C20" s="15" t="str">
        <x:v>Défini</x:v>
      </x:c>
      <x:c r="D20" s="17" t="str">
        <x:v>Extrapolation</x:v>
      </x:c>
      <x:c r="E20" s="17" t="str">
        <x:v>P1</x:v>
      </x:c>
      <x:c r="F20" s="7" t="str">
        <x:v>Livrable original proposé : Coque sous tempête.</x:v>
      </x:c>
      <x:c r="G20" s="7" t="str">
        <x:v>Panneaux courbes et antennes avec masques de profondeur ; limiter l’orage derrière l’action.</x:v>
      </x:c>
      <x:c r="H20" s="7" t="str">
        <x:v>Panneaux courbes et antennes avec masques de profondeur ; limiter l’orage derrière l’action.</x:v>
      </x:c>
      <x:c r="I20" s="7" t="str">
        <x:v>Métal bleu-gris et éclairs blancs atténuables.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me2/scenery/hagalaz-kit ; rattacher les ressources et états cités à cet identifiant. Aucun fichier de jeu créé par ce catalogue.</x:v>
      </x:c>
      <x:c r="M20" s="7" t="str"/>
      <x:c r="N20" s="7" t="str">
        <x:v>Le livrable « Coque sous tempête » possède une scène ou un scénario de contrôle ; ses règles proposées, ses conditions et ses retours visuels sont vérifiables séparément.</x:v>
      </x:c>
      <x:c r="O20" s="7" t="str">
        <x:v>ME2-ZON-HAGALAZ-HULL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ME2-SCN-AITE-KIT</x:v>
      </x:c>
      <x:c r="B21" s="9" t="str">
        <x:v>Vallée de recherche d’Aite</x:v>
      </x:c>
      <x:c r="C21" s="15" t="str">
        <x:v>Défini</x:v>
      </x:c>
      <x:c r="D21" s="16" t="str">
        <x:v>Extrapolation</x:v>
      </x:c>
      <x:c r="E21" s="16" t="str">
        <x:v>P1</x:v>
      </x:c>
      <x:c r="F21" s="9" t="str">
        <x:v>Livrable original proposé : Vallée de recherche d’Aite.</x:v>
      </x:c>
      <x:c r="G21" s="9" t="str">
        <x:v>Terrain en terrasses compatible Hammerhead ; repères de navigation aux bifurcations de stations.</x:v>
      </x:c>
      <x:c r="H21" s="9" t="str">
        <x:v>Terrain en terrasses compatible Hammerhead ; repères de navigation aux bifurcations de stations.</x:v>
      </x:c>
      <x:c r="I21" s="9" t="str">
        <x:v>Herbe, roches et structures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me2/scenery/aite-kit ; rattacher les ressources et états cités à cet identifiant. Aucun fichier de jeu créé par ce catalogue.</x:v>
      </x:c>
      <x:c r="M21" s="9" t="str"/>
      <x:c r="N21" s="9" t="str">
        <x:v>Le livrable « Vallée de recherche d’Aite » possède une scène ou un scénario de contrôle ; ses règles proposées, ses conditions et ses retours visuels sont vérifiables séparément.</x:v>
      </x:c>
      <x:c r="O21" s="9" t="str">
        <x:v>ME2-WRL-AITE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ME2-SCN-ATLAS-KIT</x:v>
      </x:c>
      <x:c r="B22" s="7" t="str">
        <x:v>Atlas réel et virtuel</x:v>
      </x:c>
      <x:c r="C22" s="15" t="str">
        <x:v>Défini</x:v>
      </x:c>
      <x:c r="D22" s="17" t="str">
        <x:v>Extrapolation</x:v>
      </x:c>
      <x:c r="E22" s="17" t="str">
        <x:v>P1</x:v>
      </x:c>
      <x:c r="F22" s="7" t="str">
        <x:v>Livrable original proposé : Atlas réel et virtuel.</x:v>
      </x:c>
      <x:c r="G22" s="7" t="str">
        <x:v>Même géométrie de base dans les deux états ; remplacement progressif de matériaux sans déplacer le sol.</x:v>
      </x:c>
      <x:c r="H22" s="7" t="str">
        <x:v>Même géométrie de base dans les deux états ; remplacement progressif de matériaux sans déplacer le sol.</x:v>
      </x:c>
      <x:c r="I22" s="7" t="str">
        <x:v>Béton clinique puis grille verte.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me2/scenery/atlas-kit ; rattacher les ressources et états cités à cet identifiant. Aucun fichier de jeu créé par ce catalogue.</x:v>
      </x:c>
      <x:c r="M22" s="7" t="str"/>
      <x:c r="N22" s="7" t="str">
        <x:v>Le livrable « Atlas réel et virtuel » possède une scène ou un scénario de contrôle ; ses règles proposées, ses conditions et ses retours visuels sont vérifiables séparément.</x:v>
      </x:c>
      <x:c r="O22" s="7" t="str">
        <x:v>ME2-ZON-ATLAS-VR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ME2-SCN-PRISON-KIT</x:v>
      </x:c>
      <x:c r="B23" s="9" t="str">
        <x:v>Prison batarienne d’Aratoht</x:v>
      </x:c>
      <x:c r="C23" s="15" t="str">
        <x:v>Défini</x:v>
      </x:c>
      <x:c r="D23" s="16" t="str">
        <x:v>Extrapolation</x:v>
      </x:c>
      <x:c r="E23" s="16" t="str">
        <x:v>P1</x:v>
      </x:c>
      <x:c r="F23" s="9" t="str">
        <x:v>Livrable original proposé : Prison batarienne d’Aratoht.</x:v>
      </x:c>
      <x:c r="G23" s="9" t="str">
        <x:v>Passages de service lisibles depuis la route principale ; cellules comme rythme visuel et non petits labyrinthes.</x:v>
      </x:c>
      <x:c r="H23" s="9" t="str">
        <x:v>Passages de service lisibles depuis la route principale ; cellules comme rythme visuel et non petits labyrinthes.</x:v>
      </x:c>
      <x:c r="I23" s="9" t="str">
        <x:v>Bronze sombre et roche brute.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me2/scenery/prison-kit ; rattacher les ressources et états cités à cet identifiant. Aucun fichier de jeu créé par ce catalogue.</x:v>
      </x:c>
      <x:c r="M23" s="9" t="str"/>
      <x:c r="N23" s="9" t="str">
        <x:v>Le livrable « Prison batarienne d’Aratoht » possède une scène ou un scénario de contrôle ; ses règles proposées, ses conditions et ses retours visuels sont vérifiables séparément.</x:v>
      </x:c>
      <x:c r="O23" s="9" t="str">
        <x:v>ME2-ZON-ARRIVAL-PRISON</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ME2-SCN-ALCHERA-KIT</x:v>
      </x:c>
      <x:c r="B24" s="7" t="str">
        <x:v>Neige et débris du SR-1</x:v>
      </x:c>
      <x:c r="C24" s="15" t="str">
        <x:v>Défini</x:v>
      </x:c>
      <x:c r="D24" s="17" t="str">
        <x:v>Extrapolation</x:v>
      </x:c>
      <x:c r="E24" s="17" t="str">
        <x:v>P1</x:v>
      </x:c>
      <x:c r="F24" s="7" t="str">
        <x:v>Livrable original proposé : Neige et débris du SR-1.</x:v>
      </x:c>
      <x:c r="G24" s="7" t="str">
        <x:v>Scène mémorielle avec traces et brise légère ; les repères ne ressemblent pas à des ennemis.</x:v>
      </x:c>
      <x:c r="H24" s="7" t="str">
        <x:v>Scène mémorielle avec traces et brise légère ; les repères ne ressemblent pas à des ennemis.</x:v>
      </x:c>
      <x:c r="I24" s="7" t="str">
        <x:v>Blanc froid, noir de coque et ciel pâle.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me2/scenery/alchera-kit ; rattacher les ressources et états cités à cet identifiant. Aucun fichier de jeu créé par ce catalogue.</x:v>
      </x:c>
      <x:c r="M24" s="7" t="str"/>
      <x:c r="N24" s="7" t="str">
        <x:v>Le livrable « Neige et débris du SR-1 » possède une scène ou un scénario de contrôle ; ses règles proposées, ses conditions et ses retours visuels sont vérifiables séparément.</x:v>
      </x:c>
      <x:c r="O24" s="7" t="str">
        <x:v>ME2-SQ-CRASH-SITE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4" priority="1" operator="equal">
      <x:formula>"À vérifier"</x:formula>
    </x:cfRule>
    <x:cfRule type="cellIs" dxfId="25" priority="2" operator="equal">
      <x:formula>"Extrapolation"</x:formula>
    </x:cfRule>
  </x:conditionalFormatting>
  <x:conditionalFormatting sqref="C7:C24">
    <x:cfRule type="cellIs" dxfId="26" priority="3" operator="equal">
      <x:formula>"Validé"</x:formula>
    </x:cfRule>
  </x:conditionalFormatting>
  <x:conditionalFormatting sqref="E7:E24">
    <x:cfRule type="cellIs" dxfId="27"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2f62e87ad3004bd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2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ME2-PRP-IFF</x:v>
      </x:c>
      <x:c r="B7" s="9" t="str">
        <x:v>Transpondeur IFF</x:v>
      </x:c>
      <x:c r="C7" s="15" t="str">
        <x:v>Défini</x:v>
      </x:c>
      <x:c r="D7" s="16" t="str">
        <x:v>Extrapolation</x:v>
      </x:c>
      <x:c r="E7" s="16" t="str">
        <x:v>P1</x:v>
      </x:c>
      <x:c r="F7" s="9" t="str">
        <x:v>Livrable original proposé : Transpondeur IFF.</x:v>
      </x:c>
      <x:c r="G7" s="9" t="str">
        <x:v>Objet de quête non vendable ; inspection avant extraction, drapeau d’acquisition atomique au retour.</x:v>
      </x:c>
      <x:c r="H7" s="9" t="str">
        <x:v>Objet de quête non vendable ; inspection avant extraction, drapeau d’acquisition atomique au retour.</x:v>
      </x:c>
      <x:c r="I7" s="9" t="str">
        <x:v>Module de données fixé au cœur technique.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me2/props/iff ; rattacher les ressources et états cités à cet identifiant. Aucun fichier de jeu créé par ce catalogue.</x:v>
      </x:c>
      <x:c r="M7" s="9" t="str"/>
      <x:c r="N7" s="9" t="str">
        <x:v>Le livrable « Transpondeur IFF » possède une scène ou un scénario de contrôle ; ses règles proposées, ses conditions et ses retours visuels sont vérifiables séparément.</x:v>
      </x:c>
      <x:c r="O7" s="9" t="str">
        <x:v>ME2-MQ-IFF</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ME2-PRP-GRAYBOX</x:v>
      </x:c>
      <x:c r="B8" s="7" t="str">
        <x:v>Graybox de Keiji</x:v>
      </x:c>
      <x:c r="C8" s="15" t="str">
        <x:v>Défini</x:v>
      </x:c>
      <x:c r="D8" s="17" t="str">
        <x:v>Extrapolation</x:v>
      </x:c>
      <x:c r="E8" s="17" t="str">
        <x:v>P1</x:v>
      </x:c>
      <x:c r="F8" s="7" t="str">
        <x:v>Livrable original proposé : Graybox de Keiji.</x:v>
      </x:c>
      <x:c r="G8" s="7" t="str">
        <x:v>Modèle inspectable et états intact/effacé ; aucune copie persistante après le choix d’effacement.</x:v>
      </x:c>
      <x:c r="H8" s="7" t="str">
        <x:v>Modèle inspectable et états intact/effacé ; aucune copie persistante après le choix d’effacement.</x:v>
      </x:c>
      <x:c r="I8" s="7" t="str">
        <x:v>Boîtier neural compact et projection de souvenirs.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me2/props/graybox ; rattacher les ressources et états cités à cet identifiant. Aucun fichier de jeu créé par ce catalogue.</x:v>
      </x:c>
      <x:c r="M8" s="7" t="str"/>
      <x:c r="N8" s="7" t="str">
        <x:v>Le livrable « Graybox de Keiji » possède une scène ou un scénario de contrôle ; ses règles proposées, ses conditions et ses retours visuels sont vérifiables séparément.</x:v>
      </x:c>
      <x:c r="O8" s="7" t="str">
        <x:v>ME2-CHO-GRAYBOX</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ME2-PRP-GRUNT-TANK</x:v>
      </x:c>
      <x:c r="B9" s="9" t="str">
        <x:v>Cuve de Grunt</x:v>
      </x:c>
      <x:c r="C9" s="15" t="str">
        <x:v>Défini</x:v>
      </x:c>
      <x:c r="D9" s="16" t="str">
        <x:v>Extrapolation</x:v>
      </x:c>
      <x:c r="E9" s="16" t="str">
        <x:v>P1</x:v>
      </x:c>
      <x:c r="F9" s="9" t="str">
        <x:v>Livrable original proposé : Cuve de Grunt.</x:v>
      </x:c>
      <x:c r="G9" s="9" t="str">
        <x:v>États scellée, déverrouillée et ouverte ; interaction d’examen séparée de la commande d’ouverture.</x:v>
      </x:c>
      <x:c r="H9" s="9" t="str">
        <x:v>États scellée, déverrouillée et ouverte ; interaction d’examen séparée de la commande d’ouverture.</x:v>
      </x:c>
      <x:c r="I9" s="9" t="str">
        <x:v>Grand cylindre et silhouettes dans liquide.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me2/props/grunt-tank ; rattacher les ressources et états cités à cet identifiant. Aucun fichier de jeu créé par ce catalogue.</x:v>
      </x:c>
      <x:c r="M9" s="9" t="str"/>
      <x:c r="N9" s="9" t="str">
        <x:v>Le livrable « Cuve de Grunt » possède une scène ou un scénario de contrôle ; ses règles proposées, ses conditions et ses retours visuels sont vérifiables séparément.</x:v>
      </x:c>
      <x:c r="O9" s="9" t="str">
        <x:v>ME2-CHO-GRUNT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ME2-PRP-GENOPHAGE-DATA</x:v>
      </x:c>
      <x:c r="B10" s="7" t="str">
        <x:v>Recherche de Maelon</x:v>
      </x:c>
      <x:c r="C10" s="15" t="str">
        <x:v>Défini</x:v>
      </x:c>
      <x:c r="D10" s="17" t="str">
        <x:v>Extrapolation</x:v>
      </x:c>
      <x:c r="E10" s="17" t="str">
        <x:v>P1</x:v>
      </x:c>
      <x:c r="F10" s="7" t="str">
        <x:v>Livrable original proposé : Recherche de Maelon.</x:v>
      </x:c>
      <x:c r="G10" s="7" t="str">
        <x:v>Dossier de preuve à deux états irréversibles ; la fermeture d’écran ne confirme pas l’effacement.</x:v>
      </x:c>
      <x:c r="H10" s="7" t="str">
        <x:v>Dossier de preuve à deux états irréversibles ; la fermeture d’écran ne confirme pas l’effacement.</x:v>
      </x:c>
      <x:c r="I10" s="7" t="str">
        <x:v>Terminal médical et lignes de données abstraites.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me2/props/genophage-data ; rattacher les ressources et états cités à cet identifiant. Aucun fichier de jeu créé par ce catalogue.</x:v>
      </x:c>
      <x:c r="M10" s="7" t="str"/>
      <x:c r="N10" s="7" t="str">
        <x:v>Le livrable « Recherche de Maelon » possède une scène ou un scénario de contrôle ; ses règles proposées, ses conditions et ses retours visuels sont vérifiables séparément.</x:v>
      </x:c>
      <x:c r="O10" s="7" t="str">
        <x:v>ME2-CHO-MAELON-DATA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ME2-PRP-ALAREI-DATA</x:v>
      </x:c>
      <x:c r="B11" s="9" t="str">
        <x:v>Preuves de l’Alarei</x:v>
      </x:c>
      <x:c r="C11" s="15" t="str">
        <x:v>Défini</x:v>
      </x:c>
      <x:c r="D11" s="16" t="str">
        <x:v>Extrapolation</x:v>
      </x:c>
      <x:c r="E11" s="16" t="str">
        <x:v>P1</x:v>
      </x:c>
      <x:c r="F11" s="9" t="str">
        <x:v>Livrable original proposé : Preuves de l’Alarei.</x:v>
      </x:c>
      <x:c r="G11" s="9" t="str">
        <x:v>Objet de preuve distinct du témoignage et du verdict ; provenance visible dans le journal.</x:v>
      </x:c>
      <x:c r="H11" s="9" t="str">
        <x:v>Objet de preuve distinct du témoignage et du verdict ; provenance visible dans le journal.</x:v>
      </x:c>
      <x:c r="I11" s="9" t="str">
        <x:v>Enregistrement et icône de vaisseau.</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me2/props/alarei-data ; rattacher les ressources et états cités à cet identifiant. Aucun fichier de jeu créé par ce catalogue.</x:v>
      </x:c>
      <x:c r="M11" s="9" t="str"/>
      <x:c r="N11" s="9" t="str">
        <x:v>Le livrable « Preuves de l’Alarei » possède une scène ou un scénario de contrôle ; ses règles proposées, ses conditions et ses retours visuels sont vérifiables séparément.</x:v>
      </x:c>
      <x:c r="O11" s="9" t="str">
        <x:v>ME2-CHO-TALI-PROOF</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ME2-PRP-VENT-VALVE</x:v>
      </x:c>
      <x:c r="B12" s="7" t="str">
        <x:v>Commande de ventilation Collecteur</x:v>
      </x:c>
      <x:c r="C12" s="15" t="str">
        <x:v>Défini</x:v>
      </x:c>
      <x:c r="D12" s="17" t="str">
        <x:v>Extrapolation</x:v>
      </x:c>
      <x:c r="E12" s="17" t="str">
        <x:v>P1</x:v>
      </x:c>
      <x:c r="F12" s="7" t="str">
        <x:v>Livrable original proposé : Commande de ventilation Collecteur.</x:v>
      </x:c>
      <x:c r="G12" s="7" t="str">
        <x:v>Deux états très contrastés ; activation alignée sur la baisse thermique du technicien.</x:v>
      </x:c>
      <x:c r="H12" s="7" t="str">
        <x:v>Deux états très contrastés ; activation alignée sur la baisse thermique du technicien.</x:v>
      </x:c>
      <x:c r="I12" s="7" t="str">
        <x:v>Vanne organique à lumière verte.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me2/props/vent-valve ; rattacher les ressources et états cités à cet identifiant. Aucun fichier de jeu créé par ce catalogue.</x:v>
      </x:c>
      <x:c r="M12" s="7" t="str"/>
      <x:c r="N12" s="7" t="str">
        <x:v>Le livrable « Commande de ventilation Collecteur » possède une scène ou un scénario de contrôle ; ses règles proposées, ses conditions et ses retours visuels sont vérifiables séparément.</x:v>
      </x:c>
      <x:c r="O12" s="7" t="str">
        <x:v>ME2-MQ-INFILTRATION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ME2-PRP-AIR-CURE</x:v>
      </x:c>
      <x:c r="B13" s="9" t="str">
        <x:v>Diffuseur de cure d’Omega</x:v>
      </x:c>
      <x:c r="C13" s="15" t="str">
        <x:v>Défini</x:v>
      </x:c>
      <x:c r="D13" s="16" t="str">
        <x:v>Extrapolation</x:v>
      </x:c>
      <x:c r="E13" s="16" t="str">
        <x:v>P1</x:v>
      </x:c>
      <x:c r="F13" s="9" t="str">
        <x:v>Livrable original proposé : Diffuseur de cure d’Omega.</x:v>
      </x:c>
      <x:c r="G13" s="9" t="str">
        <x:v>Objet actif de mission : cure chargée, ventilation coupée puis rétablie ; ne pas disparaître au combat.</x:v>
      </x:c>
      <x:c r="H13" s="9" t="str">
        <x:v>Objet actif de mission : cure chargée, ventilation coupée puis rétablie ; ne pas disparaître au combat.</x:v>
      </x:c>
      <x:c r="I13" s="9" t="str">
        <x:v>Conduit, cartouche et témoin médical.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me2/props/air-cure ; rattacher les ressources et états cités à cet identifiant. Aucun fichier de jeu créé par ce catalogue.</x:v>
      </x:c>
      <x:c r="M13" s="9" t="str"/>
      <x:c r="N13" s="9" t="str">
        <x:v>Le livrable « Diffuseur de cure d’Omega » possède une scène ou un scénario de contrôle ; ses règles proposées, ses conditions et ses retours visuels sont vérifiables séparément.</x:v>
      </x:c>
      <x:c r="O13" s="9" t="str">
        <x:v>ME2-MQ-PROFESSOR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ME2-PRP-HORIZON-TURRET</x:v>
      </x:c>
      <x:c r="B14" s="7" t="str">
        <x:v>Console de défense d’Horizon</x:v>
      </x:c>
      <x:c r="C14" s="15" t="str">
        <x:v>Défini</x:v>
      </x:c>
      <x:c r="D14" s="17" t="str">
        <x:v>Extrapolation</x:v>
      </x:c>
      <x:c r="E14" s="17" t="str">
        <x:v>P1</x:v>
      </x:c>
      <x:c r="F14" s="7" t="str">
        <x:v>Livrable original proposé : Console de défense d’Horizon.</x:v>
      </x:c>
      <x:c r="G14" s="7" t="str">
        <x:v>Animation de réparation interrompable puis verrouillage de tir ; signaler la fin de la phase.</x:v>
      </x:c>
      <x:c r="H14" s="7" t="str">
        <x:v>Animation de réparation interrompable puis verrouillage de tir ; signaler la fin de la phase.</x:v>
      </x:c>
      <x:c r="I14" s="7" t="str">
        <x:v>Écran de ciblage et pylône.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me2/props/horizon-turret ; rattacher les ressources et états cités à cet identifiant. Aucun fichier de jeu créé par ce catalogue.</x:v>
      </x:c>
      <x:c r="M14" s="7" t="str"/>
      <x:c r="N14" s="7" t="str">
        <x:v>Le livrable « Console de défense d’Horizon » possède une scène ou un scénario de contrôle ; ses règles proposées, ses conditions et ses retours visuels sont vérifiables séparément.</x:v>
      </x:c>
      <x:c r="O14" s="7" t="str">
        <x:v>ME2-MQ-HORIZON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ME2-PRP-THERMAL-CLIP</x:v>
      </x:c>
      <x:c r="B15" s="9" t="str">
        <x:v>Clip thermique au sol</x:v>
      </x:c>
      <x:c r="C15" s="15" t="str">
        <x:v>Défini</x:v>
      </x:c>
      <x:c r="D15" s="16" t="str">
        <x:v>Extrapolation</x:v>
      </x:c>
      <x:c r="E15" s="16" t="str">
        <x:v>P1</x:v>
      </x:c>
      <x:c r="F15" s="9" t="str">
        <x:v>Livrable original proposé : Clip thermique au sol.</x:v>
      </x:c>
      <x:c r="G15" s="9" t="str">
        <x:v>Pickup original avec aimantation limitée ; couleur identique à l’icône de réserve, sans faux chargeur lourd.</x:v>
      </x:c>
      <x:c r="H15" s="9" t="str">
        <x:v>Pickup original avec aimantation limitée ; couleur identique à l’icône de réserve, sans faux chargeur lourd.</x:v>
      </x:c>
      <x:c r="I15" s="9" t="str">
        <x:v>Bloc fumant avec bord clair.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me2/props/thermal-clip ; rattacher les ressources et états cités à cet identifiant. Aucun fichier de jeu créé par ce catalogue.</x:v>
      </x:c>
      <x:c r="M15" s="9" t="str"/>
      <x:c r="N15" s="9" t="str">
        <x:v>Le livrable « Clip thermique au sol » possède une scène ou un scénario de contrôle ; ses règles proposées, ses conditions et ses retours visuels sont vérifiables séparément.</x:v>
      </x:c>
      <x:c r="O15" s="9" t="str">
        <x:v>ME2-EQP-THERMAL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ME2-PRP-POWER-CELL</x:v>
      </x:c>
      <x:c r="B16" s="7" t="str">
        <x:v>Cellule lourde au sol</x:v>
      </x:c>
      <x:c r="C16" s="15" t="str">
        <x:v>Défini</x:v>
      </x:c>
      <x:c r="D16" s="17" t="str">
        <x:v>Extrapolation</x:v>
      </x:c>
      <x:c r="E16" s="17" t="str">
        <x:v>P1</x:v>
      </x:c>
      <x:c r="F16" s="7" t="str">
        <x:v>Livrable original proposé : Cellule lourde au sol.</x:v>
      </x:c>
      <x:c r="G16" s="7" t="str">
        <x:v>Pickup avec aperçu de capacité ; le trop-plein suit une règle explicite et ne duplique pas au rechargement.</x:v>
      </x:c>
      <x:c r="H16" s="7" t="str">
        <x:v>Pickup avec aperçu de capacité ; le trop-plein suit une règle explicite et ne duplique pas au rechargement.</x:v>
      </x:c>
      <x:c r="I16" s="7" t="str">
        <x:v>Cube énergétique jaune.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me2/props/power-cell ; rattacher les ressources et états cités à cet identifiant. Aucun fichier de jeu créé par ce catalogue.</x:v>
      </x:c>
      <x:c r="M16" s="7" t="str"/>
      <x:c r="N16" s="7" t="str">
        <x:v>Le livrable « Cellule lourde au sol » possède une scène ou un scénario de contrôle ; ses règles proposées, ses conditions et ses retours visuels sont vérifiables séparément.</x:v>
      </x:c>
      <x:c r="O16" s="7" t="str">
        <x:v>ME2-EQP-CELLS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ME2-PRP-MED-STATION</x:v>
      </x:c>
      <x:c r="B17" s="9" t="str">
        <x:v>Station de medi-gel</x:v>
      </x:c>
      <x:c r="C17" s="15" t="str">
        <x:v>Défini</x:v>
      </x:c>
      <x:c r="D17" s="16" t="str">
        <x:v>Extrapolation</x:v>
      </x:c>
      <x:c r="E17" s="16" t="str">
        <x:v>P1</x:v>
      </x:c>
      <x:c r="F17" s="9" t="str">
        <x:v>Livrable original proposé : Station de medi-gel.</x:v>
      </x:c>
      <x:c r="G17" s="9" t="str">
        <x:v>Deux états de stock ; interdire la double prise par interaction et auto-loot simultanés.</x:v>
      </x:c>
      <x:c r="H17" s="9" t="str">
        <x:v>Deux états de stock ; interdire la double prise par interaction et auto-loot simultanés.</x:v>
      </x:c>
      <x:c r="I17" s="9" t="str">
        <x:v>Croix médicale bleue et porte transparente.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me2/props/med-station ; rattacher les ressources et états cités à cet identifiant. Aucun fichier de jeu créé par ce catalogue.</x:v>
      </x:c>
      <x:c r="M17" s="9" t="str"/>
      <x:c r="N17" s="9" t="str">
        <x:v>Le livrable « Station de medi-gel » possède une scène ou un scénario de contrôle ; ses règles proposées, ses conditions et ses retours visuels sont vérifiables séparément.</x:v>
      </x:c>
      <x:c r="O17" s="9" t="str">
        <x:v>ME2-EQP-MEDIGEL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ME2-PRP-FIREWALKER-PROBE</x:v>
      </x:c>
      <x:c r="B18" s="7" t="str">
        <x:v>Sonde de Lattesh</x:v>
      </x:c>
      <x:c r="C18" s="15" t="str">
        <x:v>Défini</x:v>
      </x:c>
      <x:c r="D18" s="17" t="str">
        <x:v>Extrapolation</x:v>
      </x:c>
      <x:c r="E18" s="17" t="str">
        <x:v>P1</x:v>
      </x:c>
      <x:c r="F18" s="7" t="str">
        <x:v>Livrable original proposé : Sonde de Lattesh.</x:v>
      </x:c>
      <x:c r="G18" s="7" t="str">
        <x:v>État non récolté visible à distance ; chaleur ajoutée une fois lors de capture complète.</x:v>
      </x:c>
      <x:c r="H18" s="7" t="str">
        <x:v>État non récolté visible à distance ; chaleur ajoutée une fois lors de capture complète.</x:v>
      </x:c>
      <x:c r="I18" s="7" t="str">
        <x:v>Colonne rouge et appareil enfoui.</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me2/props/firewalker-probe ; rattacher les ressources et états cités à cet identifiant. Aucun fichier de jeu créé par ce catalogue.</x:v>
      </x:c>
      <x:c r="M18" s="7" t="str"/>
      <x:c r="N18" s="7" t="str">
        <x:v>Le livrable « Sonde de Lattesh » possède une scène ou un scénario de contrôle ; ses règles proposées, ses conditions et ses retours visuels sont vérifiables séparément.</x:v>
      </x:c>
      <x:c r="O18" s="7" t="str">
        <x:v>ME2-SQ-FIRE-COLD</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ME2-PRP-OVERLORD-ANTENNA</x:v>
      </x:c>
      <x:c r="B19" s="9" t="str">
        <x:v>Relais de transfert Overlord</x:v>
      </x:c>
      <x:c r="C19" s="15" t="str">
        <x:v>Défini</x:v>
      </x:c>
      <x:c r="D19" s="16" t="str">
        <x:v>Extrapolation</x:v>
      </x:c>
      <x:c r="E19" s="16" t="str">
        <x:v>P1</x:v>
      </x:c>
      <x:c r="F19" s="9" t="str">
        <x:v>Livrable original proposé : Relais de transfert Overlord.</x:v>
      </x:c>
      <x:c r="G19" s="9" t="str">
        <x:v>Animation de charge avant envoi ; ordre de priorité lu depuis luminosité et numéro.</x:v>
      </x:c>
      <x:c r="H19" s="9" t="str">
        <x:v>Animation de charge avant envoi ; ordre de priorité lu depuis luminosité et numéro.</x:v>
      </x:c>
      <x:c r="I19" s="9" t="str">
        <x:v>Bras d’antenne, câbles verts et écran d’état.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me2/props/overlord-antenna ; rattacher les ressources et états cités à cet identifiant. Aucun fichier de jeu créé par ce catalogue.</x:v>
      </x:c>
      <x:c r="M19" s="9" t="str"/>
      <x:c r="N19" s="9" t="str">
        <x:v>Le livrable « Relais de transfert Overlord » possède une scène ou un scénario de contrôle ; ses règles proposées, ses conditions et ses retours visuels sont vérifiables séparément.</x:v>
      </x:c>
      <x:c r="O19" s="9" t="str">
        <x:v>ME2-ENM-OVERLORD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ME2-PRP-PROJECT-ARTIFACT</x:v>
      </x:c>
      <x:c r="B20" s="7" t="str">
        <x:v>Artefact d’Arrival</x:v>
      </x:c>
      <x:c r="C20" s="15" t="str">
        <x:v>Défini</x:v>
      </x:c>
      <x:c r="D20" s="17" t="str">
        <x:v>Extrapolation</x:v>
      </x:c>
      <x:c r="E20" s="17" t="str">
        <x:v>P1</x:v>
      </x:c>
      <x:c r="F20" s="7" t="str">
        <x:v>Livrable original proposé : Artefact d’Arrival.</x:v>
      </x:c>
      <x:c r="G20" s="7" t="str">
        <x:v>Objet narratif dangereux ; lumière subtile et champ d’influence sans mécanique d’inventaire portable.</x:v>
      </x:c>
      <x:c r="H20" s="7" t="str">
        <x:v>Objet narratif dangereux ; lumière subtile et champ d’influence sans mécanique d’inventaire portable.</x:v>
      </x:c>
      <x:c r="I20" s="7" t="str">
        <x:v>Masse sombre et halo rouge.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me2/props/project-artifact ; rattacher les ressources et états cités à cet identifiant. Aucun fichier de jeu créé par ce catalogue.</x:v>
      </x:c>
      <x:c r="M20" s="7" t="str"/>
      <x:c r="N20" s="7" t="str">
        <x:v>Le livrable « Artefact d’Arrival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ME2-PRP-PROJECT-THRUSTER</x:v>
      </x:c>
      <x:c r="B21" s="9" t="str">
        <x:v>Commande du projet</x:v>
      </x:c>
      <x:c r="C21" s="15" t="str">
        <x:v>Défini</x:v>
      </x:c>
      <x:c r="D21" s="16" t="str">
        <x:v>Extrapolation</x:v>
      </x:c>
      <x:c r="E21" s="16" t="str">
        <x:v>P1</x:v>
      </x:c>
      <x:c r="F21" s="9" t="str">
        <x:v>Livrable original proposé : Commande du projet.</x:v>
      </x:c>
      <x:c r="G21" s="9" t="str">
        <x:v>Écran d’axe de collision avec état armé ; une seule confirmation narrative engage le final.</x:v>
      </x:c>
      <x:c r="H21" s="9" t="str">
        <x:v>Écran d’axe de collision avec état armé ; une seule confirmation narrative engage le final.</x:v>
      </x:c>
      <x:c r="I21" s="9" t="str">
        <x:v>Console, carte du relais et jauges lisibles.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me2/props/project-thruster ; rattacher les ressources et états cités à cet identifiant. Aucun fichier de jeu créé par ce catalogue.</x:v>
      </x:c>
      <x:c r="M21" s="9" t="str"/>
      <x:c r="N21" s="9" t="str">
        <x:v>Le livrable « Commande du projet » possède une scène ou un scénario de contrôle ; ses règles proposées, ses conditions et ses retours visuels sont vérifiables séparément.</x:v>
      </x:c>
      <x:c r="O21" s="9" t="str">
        <x:v>ME2-MQ-ARRIVAL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ME2-PRP-MEMORIAL</x:v>
      </x:c>
      <x:c r="B22" s="7" t="str">
        <x:v>Mémorial du Normandy</x:v>
      </x:c>
      <x:c r="C22" s="15" t="str">
        <x:v>Défini</x:v>
      </x:c>
      <x:c r="D22" s="17" t="str">
        <x:v>Extrapolation</x:v>
      </x:c>
      <x:c r="E22" s="17" t="str">
        <x:v>P1</x:v>
      </x:c>
      <x:c r="F22" s="7" t="str">
        <x:v>Livrable original proposé : Mémorial du Normandy.</x:v>
      </x:c>
      <x:c r="G22" s="7" t="str">
        <x:v>Placement dans un point désigné ; inspection après pose conserve l’état de commémoration.</x:v>
      </x:c>
      <x:c r="H22" s="7" t="str">
        <x:v>Placement dans un point désigné ; inspection après pose conserve l’état de commémoration.</x:v>
      </x:c>
      <x:c r="I22" s="7" t="str">
        <x:v>Plaque et débris de coque.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me2/props/memorial ; rattacher les ressources et états cités à cet identifiant. Aucun fichier de jeu créé par ce catalogue.</x:v>
      </x:c>
      <x:c r="M22" s="7" t="str"/>
      <x:c r="N22" s="7" t="str">
        <x:v>Le livrable « Mémorial du Normandy » possède une scène ou un scénario de contrôle ; ses règles proposées, ses conditions et ses retours visuels sont vérifiables séparément.</x:v>
      </x:c>
      <x:c r="O22" s="7" t="str">
        <x:v>ME2-SQ-CRASH-SITE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ME2-PRP-DOGTAGS</x:v>
      </x:c>
      <x:c r="B23" s="9" t="str">
        <x:v>Traces de l’équipage du SR-1</x:v>
      </x:c>
      <x:c r="C23" s="15" t="str">
        <x:v>Défini</x:v>
      </x:c>
      <x:c r="D23" s="16" t="str">
        <x:v>Extrapolation</x:v>
      </x:c>
      <x:c r="E23" s="16" t="str">
        <x:v>P1</x:v>
      </x:c>
      <x:c r="F23" s="9" t="str">
        <x:v>Livrable original proposé : Traces de l’équipage du SR-1.</x:v>
      </x:c>
      <x:c r="G23" s="9" t="str">
        <x:v>Collectibles commémoratifs inventoriés avec provenance ; ne pas donner de bonus d’attaque aux souvenirs.</x:v>
      </x:c>
      <x:c r="H23" s="9" t="str">
        <x:v>Collectibles commémoratifs inventoriés avec provenance ; ne pas donner de bonus d’attaque aux souvenirs.</x:v>
      </x:c>
      <x:c r="I23" s="9" t="str">
        <x:v>Plaquettes identitaires discrètes dans la neige.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me2/props/dogtags ; rattacher les ressources et états cités à cet identifiant. Aucun fichier de jeu créé par ce catalogue.</x:v>
      </x:c>
      <x:c r="M23" s="9" t="str"/>
      <x:c r="N23" s="9" t="str">
        <x:v>Le livrable « Traces de l’équipage du SR-1 » possède une scène ou un scénario de contrôle ; ses règles proposées, ses conditions et ses retours visuels sont vérifiables séparément.</x:v>
      </x:c>
      <x:c r="O23" s="9" t="str">
        <x:v>ME2-SQ-CRASH-SITE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ME2-PRP-HOCK-SECURITY</x:v>
      </x:c>
      <x:c r="B24" s="7" t="str">
        <x:v>Sécurité du coffre Hock</x:v>
      </x:c>
      <x:c r="C24" s="15" t="str">
        <x:v>Défini</x:v>
      </x:c>
      <x:c r="D24" s="17" t="str">
        <x:v>Extrapolation</x:v>
      </x:c>
      <x:c r="E24" s="17" t="str">
        <x:v>P1</x:v>
      </x:c>
      <x:c r="F24" s="7" t="str">
        <x:v>Livrable original proposé : Sécurité du coffre Hock.</x:v>
      </x:c>
      <x:c r="G24" s="7" t="str">
        <x:v>Trois types d’accès représentés par objets différents ; un état manquant indique sa catégorie sans révéler la solution.</x:v>
      </x:c>
      <x:c r="H24" s="7" t="str">
        <x:v>Trois types d’accès représentés par objets différents ; un état manquant indique sa catégorie sans révéler la solution.</x:v>
      </x:c>
      <x:c r="I24" s="7" t="str">
        <x:v>Scanner biométrique, micros et ligne d’alimentation.</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me2/props/hock-security ; rattacher les ressources et états cités à cet identifiant. Aucun fichier de jeu créé par ce catalogue.</x:v>
      </x:c>
      <x:c r="M24" s="7" t="str"/>
      <x:c r="N24" s="7" t="str">
        <x:v>Le livrable « Sécurité du coffre Hock » possède une scène ou un scénario de contrôle ; ses règles proposées, ses conditions et ses retours visuels sont vérifiables séparément.</x:v>
      </x:c>
      <x:c r="O24" s="7" t="str">
        <x:v>ME2-MQ-KASUMI-HEIST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ME2-PRP-TUCH-KEYSTONE</x:v>
      </x:c>
      <x:c r="B25" s="9" t="str">
        <x:v>Stèle du rite de Grunt</x:v>
      </x:c>
      <x:c r="C25" s="15" t="str">
        <x:v>Défini</x:v>
      </x:c>
      <x:c r="D25" s="16" t="str">
        <x:v>Extrapolation</x:v>
      </x:c>
      <x:c r="E25" s="16" t="str">
        <x:v>P1</x:v>
      </x:c>
      <x:c r="F25" s="9" t="str">
        <x:v>Livrable original proposé : Stèle du rite de Grunt.</x:v>
      </x:c>
      <x:c r="G25" s="9" t="str">
        <x:v>Déclencheur par interaction volontaire hors combat ; verrou après lancement d’une phase.</x:v>
      </x:c>
      <x:c r="H25" s="9" t="str">
        <x:v>Déclencheur par interaction volontaire hors combat ; verrou après lancement d’une phase.</x:v>
      </x:c>
      <x:c r="I25" s="9" t="str">
        <x:v>Pierre gravée et poussière.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me2/props/tuch-keystone ; rattacher les ressources et états cités à cet identifiant. Aucun fichier de jeu créé par ce catalogue.</x:v>
      </x:c>
      <x:c r="M25" s="9" t="str"/>
      <x:c r="N25" s="9" t="str">
        <x:v>Le livrable « Stèle du rite de Grunt » possède une scène ou un scénario de contrôle ; ses règles proposées, ses conditions et ses retours visuels sont vérifiables séparément.</x:v>
      </x:c>
      <x:c r="O25" s="9" t="str">
        <x:v>ME2-MQ-LOY-GRUNT</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ME2-PRP-BROKER-TERMINAL</x:v>
      </x:c>
      <x:c r="B26" s="7" t="str">
        <x:v>Terminal de renseignements</x:v>
      </x:c>
      <x:c r="C26" s="15" t="str">
        <x:v>Défini</x:v>
      </x:c>
      <x:c r="D26" s="17" t="str">
        <x:v>Extrapolation</x:v>
      </x:c>
      <x:c r="E26" s="17" t="str">
        <x:v>P1</x:v>
      </x:c>
      <x:c r="F26" s="7" t="str">
        <x:v>Livrable original proposé : Terminal de renseignements.</x:v>
      </x:c>
      <x:c r="G26" s="7" t="str">
        <x:v>Index documentaire avec lecture marquée et liens de provenance ; chaque dossier reste optionnel.</x:v>
      </x:c>
      <x:c r="H26" s="7" t="str">
        <x:v>Index documentaire avec lecture marquée et liens de provenance ; chaque dossier reste optionnel.</x:v>
      </x:c>
      <x:c r="I26" s="7" t="str">
        <x:v>Écrans suspendus et pupitre sombre.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me2/props/broker-terminal ; rattacher les ressources et états cités à cet identifiant. Aucun fichier de jeu créé par ce catalogue.</x:v>
      </x:c>
      <x:c r="M26" s="7" t="str"/>
      <x:c r="N26" s="7" t="str">
        <x:v>Le livrable « Terminal de renseignements » possède une scène ou un scénario de contrôle ; ses règles proposées, ses conditions et ses retours visuels sont vérifiables séparément.</x:v>
      </x:c>
      <x:c r="O26" s="7" t="str">
        <x:v>ME2-LOR-BROKER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28" priority="1" operator="equal">
      <x:formula>"À vérifier"</x:formula>
    </x:cfRule>
    <x:cfRule type="cellIs" dxfId="29" priority="2" operator="equal">
      <x:formula>"Extrapolation"</x:formula>
    </x:cfRule>
  </x:conditionalFormatting>
  <x:conditionalFormatting sqref="C7:C26">
    <x:cfRule type="cellIs" dxfId="30" priority="3" operator="equal">
      <x:formula>"Validé"</x:formula>
    </x:cfRule>
  </x:conditionalFormatting>
  <x:conditionalFormatting sqref="E7:E26">
    <x:cfRule type="cellIs" dxfId="31"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c564999def694b0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2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ME2-ENM-BS-TROOPER</x:v>
      </x:c>
      <x:c r="B7" s="9" t="str">
        <x:v>Blue Suns Trooper</x:v>
      </x:c>
      <x:c r="C7" s="15" t="str">
        <x:v>Défini</x:v>
      </x:c>
      <x:c r="D7" s="16" t="str">
        <x:v>Établi</x:v>
      </x:c>
      <x:c r="E7" s="16" t="str">
        <x:v>P1</x:v>
      </x:c>
      <x:c r="F7" s="9" t="str">
        <x:v>Mercenaire Blue Suns.</x:v>
      </x:c>
      <x:c r="G7" s="9" t="str">
        <x:v>Archétype à adapter autour de « Rafale croisée ». Donner un rôle distinct dans les compositions de rencontre.</x:v>
      </x:c>
      <x:c r="H7" s="9" t="str">
        <x:v>Vise la dernière position connue ; un déplacement latéral ou un écran biotique rompt le tir.</x:v>
      </x:c>
      <x:c r="I7" s="9" t="str">
        <x:v>Armure bleue, fusil et visière rectiligne.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me2/enemies/bs-trooper ; rattacher les ressources et états cités à cet identifiant. Aucun fichier de jeu créé par ce catalogue.</x:v>
      </x:c>
      <x:c r="M7" s="9" t="str"/>
      <x:c r="N7" s="9" t="str">
        <x:v>Le livrable « Blue Suns Trooper » possède une scène ou un scénario de contrôle ; ses règles proposées, ses conditions et ses retours visuels sont vérifiables séparément.</x:v>
      </x:c>
      <x:c r="O7" s="9" t="str"/>
      <x:c r="P7" s="9" t="str">
        <x:v>Bestiaire ME2 / rencontres associées</x:v>
      </x:c>
      <x:c r="Q7" s="9" t="str">
        <x:v>ME2-SRC-ENEMIES</x:v>
      </x:c>
      <x:c r="R7" s="9" t="str">
        <x:v>https://masseffect.fandom.com/wiki/Prison_Guard</x:v>
      </x:c>
      <x:c r="S7" s="9" t="str">
        <x:v>Spécification à réaliser. Les champs adaptation, gameplay, visual, animation, audio et implementation décrivent le fan game ; ils ne donnent pas des caractéristiques officielles de l’œuvre.</x:v>
      </x:c>
    </x:row>
    <x:row r="8" ht="68" customHeight="1">
      <x:c r="A8" s="19" t="str">
        <x:v>ME2-ENM-BS-HEAVY</x:v>
      </x:c>
      <x:c r="B8" s="7" t="str">
        <x:v>Blue Suns Heavy</x:v>
      </x:c>
      <x:c r="C8" s="15" t="str">
        <x:v>Défini</x:v>
      </x:c>
      <x:c r="D8" s="17" t="str">
        <x:v>Établi</x:v>
      </x:c>
      <x:c r="E8" s="17" t="str">
        <x:v>P1</x:v>
      </x:c>
      <x:c r="F8" s="7" t="str">
        <x:v>Mercenaire Blue Suns.</x:v>
      </x:c>
      <x:c r="G8" s="7" t="str">
        <x:v>Archétype à adapter autour de « Roquette annoncée ». Donner un rôle distinct dans les compositions de rencontre.</x:v>
      </x:c>
      <x:c r="H8" s="7" t="str">
        <x:v>Pose un marqueur au sol avant départ ; quitter le couvert ciblé ou interrompre le tireur.</x:v>
      </x:c>
      <x:c r="I8" s="7" t="str">
        <x:v>Tube de roquette haut sur l’épaule.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me2/enemies/bs-heavy ; rattacher les ressources et états cités à cet identifiant. Aucun fichier de jeu créé par ce catalogue.</x:v>
      </x:c>
      <x:c r="M8" s="7" t="str"/>
      <x:c r="N8" s="7" t="str">
        <x:v>Le livrable « Blue Suns Heavy » possède une scène ou un scénario de contrôle ; ses règles proposées, ses conditions et ses retours visuels sont vérifiables séparément.</x:v>
      </x:c>
      <x:c r="O8" s="7" t="str"/>
      <x:c r="P8" s="7" t="str">
        <x:v>Bestiaire ME2 / rencontres associées</x:v>
      </x:c>
      <x:c r="Q8" s="7" t="str">
        <x:v>ME2-SRC-ENEMIES</x:v>
      </x:c>
      <x:c r="R8" s="7" t="str">
        <x:v>https://masseffect.fandom.com/wiki/Prison_Guard</x:v>
      </x:c>
      <x:c r="S8" s="7" t="str">
        <x:v>Spécification à réaliser. Les champs adaptation, gameplay, visual, animation, audio et implementation décrivent le fan game ; ils ne donnent pas des caractéristiques officielles de l’œuvre.</x:v>
      </x:c>
    </x:row>
    <x:row r="9" ht="68" customHeight="1">
      <x:c r="A9" s="18" t="str">
        <x:v>ME2-ENM-BS-CENTURION</x:v>
      </x:c>
      <x:c r="B9" s="9" t="str">
        <x:v>Blue Suns Centurion</x:v>
      </x:c>
      <x:c r="C9" s="15" t="str">
        <x:v>Défini</x:v>
      </x:c>
      <x:c r="D9" s="16" t="str">
        <x:v>Établi</x:v>
      </x:c>
      <x:c r="E9" s="16" t="str">
        <x:v>P1</x:v>
      </x:c>
      <x:c r="F9" s="9" t="str">
        <x:v>Mercenaire Blue Suns.</x:v>
      </x:c>
      <x:c r="G9" s="9" t="str">
        <x:v>Archétype à adapter autour de « Ordre de concentration ». Donner un rôle distinct dans les compositions de rencontre.</x:v>
      </x:c>
      <x:c r="H9" s="9" t="str">
        <x:v>Désigne un allié à harceler ; casser sa ligne de vue annule le bonus d’équipe proposé.</x:v>
      </x:c>
      <x:c r="I9" s="9" t="str">
        <x:v>Armure bleue renforcée et signe d’officier.</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me2/enemies/bs-centurion ; rattacher les ressources et états cités à cet identifiant. Aucun fichier de jeu créé par ce catalogue.</x:v>
      </x:c>
      <x:c r="M9" s="9" t="str"/>
      <x:c r="N9" s="9" t="str">
        <x:v>Le livrable « Blue Suns Centurion » possède une scène ou un scénario de contrôle ; ses règles proposées, ses conditions et ses retours visuels sont vérifiables séparément.</x:v>
      </x:c>
      <x:c r="O9" s="9" t="str"/>
      <x:c r="P9" s="9" t="str">
        <x:v>Bestiaire ME2 / rencontres associées</x:v>
      </x:c>
      <x:c r="Q9" s="9" t="str">
        <x:v>ME2-SRC-ENEMIES</x:v>
      </x:c>
      <x:c r="R9" s="9" t="str">
        <x:v>https://masseffect.fandom.com/wiki/Prison_Guard</x:v>
      </x:c>
      <x:c r="S9" s="9" t="str">
        <x:v>Spécification à réaliser. Les champs adaptation, gameplay, visual, animation, audio et implementation décrivent le fan game ; ils ne donnent pas des caractéristiques officielles de l’œuvre.</x:v>
      </x:c>
    </x:row>
    <x:row r="10" ht="68" customHeight="1">
      <x:c r="A10" s="19" t="str">
        <x:v>ME2-ENM-BS-LEGION</x:v>
      </x:c>
      <x:c r="B10" s="7" t="str">
        <x:v>Blue Suns Legionnaire</x:v>
      </x:c>
      <x:c r="C10" s="15" t="str">
        <x:v>Défini</x:v>
      </x:c>
      <x:c r="D10" s="17" t="str">
        <x:v>Établi</x:v>
      </x:c>
      <x:c r="E10" s="17" t="str">
        <x:v>P1</x:v>
      </x:c>
      <x:c r="F10" s="7" t="str">
        <x:v>Mercenaire Blue Suns.</x:v>
      </x:c>
      <x:c r="G10" s="7" t="str">
        <x:v>Archétype à adapter autour de « Avancée sous bouclier ». Donner un rôle distinct dans les compositions de rencontre.</x:v>
      </x:c>
      <x:c r="H10" s="7" t="str">
        <x:v>Progresse d’un abri à l’autre ; Surcharge ouvre une fenêtre de recul.</x:v>
      </x:c>
      <x:c r="I10" s="7" t="str">
        <x:v>Silhouette blindée et forte protection frontale.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me2/enemies/bs-legion ; rattacher les ressources et états cités à cet identifiant. Aucun fichier de jeu créé par ce catalogue.</x:v>
      </x:c>
      <x:c r="M10" s="7" t="str"/>
      <x:c r="N10" s="7" t="str">
        <x:v>Le livrable « Blue Suns Legionnaire » possède une scène ou un scénario de contrôle ; ses règles proposées, ses conditions et ses retours visuels sont vérifiables séparément.</x:v>
      </x:c>
      <x:c r="O10" s="7" t="str"/>
      <x:c r="P10" s="7" t="str">
        <x:v>Bestiaire ME2 / rencontres associées</x:v>
      </x:c>
      <x:c r="Q10" s="7" t="str">
        <x:v>ME2-SRC-ENEMIES</x:v>
      </x:c>
      <x:c r="R10" s="7" t="str">
        <x:v>https://masseffect.fandom.com/wiki/Prison_Guard</x:v>
      </x:c>
      <x:c r="S10" s="7" t="str">
        <x:v>Spécification à réaliser. Les champs adaptation, gameplay, visual, animation, audio et implementation décrivent le fan game ; ils ne donnent pas des caractéristiques officielles de l’œuvre.</x:v>
      </x:c>
    </x:row>
    <x:row r="11" ht="68" customHeight="1">
      <x:c r="A11" s="18" t="str">
        <x:v>ME2-ENM-EC-TROOPER</x:v>
      </x:c>
      <x:c r="B11" s="9" t="str">
        <x:v>Eclipse Trooper</x:v>
      </x:c>
      <x:c r="C11" s="15" t="str">
        <x:v>Défini</x:v>
      </x:c>
      <x:c r="D11" s="16" t="str">
        <x:v>Établi</x:v>
      </x:c>
      <x:c r="E11" s="16" t="str">
        <x:v>P1</x:v>
      </x:c>
      <x:c r="F11" s="9" t="str">
        <x:v>Mercenaire Eclipse.</x:v>
      </x:c>
      <x:c r="G11" s="9" t="str">
        <x:v>Archétype à adapter autour de « Tir de maintien ». Donner un rôle distinct dans les compositions de rencontre.</x:v>
      </x:c>
      <x:c r="H11" s="9" t="str">
        <x:v>Couvre un corridor ; le détour latéral force un changement de position coûteux.</x:v>
      </x:c>
      <x:c r="I11" s="9" t="str">
        <x:v>Armure jaune et noire, arme légère.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me2/enemies/ec-trooper ; rattacher les ressources et états cités à cet identifiant. Aucun fichier de jeu créé par ce catalogue.</x:v>
      </x:c>
      <x:c r="M11" s="9" t="str"/>
      <x:c r="N11" s="9" t="str">
        <x:v>Le livrable « Eclipse Trooper » possède une scène ou un scénario de contrôle ; ses règles proposées, ses conditions et ses retours visuels sont vérifiables séparément.</x:v>
      </x:c>
      <x:c r="O11" s="9" t="str"/>
      <x:c r="P11" s="9" t="str">
        <x:v>Bestiaire ME2 / rencontres associées</x:v>
      </x:c>
      <x:c r="Q11" s="9" t="str">
        <x:v>ME2-SRC-ENEMIES</x:v>
      </x:c>
      <x:c r="R11" s="9" t="str">
        <x:v>https://masseffect.fandom.com/wiki/Prison_Guard</x:v>
      </x:c>
      <x:c r="S11" s="9" t="str">
        <x:v>Spécification à réaliser. Les champs adaptation, gameplay, visual, animation, audio et implementation décrivent le fan game ; ils ne donnent pas des caractéristiques officielles de l’œuvre.</x:v>
      </x:c>
    </x:row>
    <x:row r="12" ht="68" customHeight="1">
      <x:c r="A12" s="19" t="str">
        <x:v>ME2-ENM-EC-HEAVY</x:v>
      </x:c>
      <x:c r="B12" s="7" t="str">
        <x:v>Eclipse Heavy</x:v>
      </x:c>
      <x:c r="C12" s="15" t="str">
        <x:v>Défini</x:v>
      </x:c>
      <x:c r="D12" s="17" t="str">
        <x:v>Établi</x:v>
      </x:c>
      <x:c r="E12" s="17" t="str">
        <x:v>P1</x:v>
      </x:c>
      <x:c r="F12" s="7" t="str">
        <x:v>Mercenaire Eclipse.</x:v>
      </x:c>
      <x:c r="G12" s="7" t="str">
        <x:v>Archétype à adapter autour de « Salve de zone ». Donner un rôle distinct dans les compositions de rencontre.</x:v>
      </x:c>
      <x:c r="H12" s="7" t="str">
        <x:v>Prépare une explosion derrière l’abri ; le joueur peut tirer sur le projectile ou sortir de la zone.</x:v>
      </x:c>
      <x:c r="I12" s="7" t="str">
        <x:v>Lanceur et bandes jaunes larges.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me2/enemies/ec-heavy ; rattacher les ressources et états cités à cet identifiant. Aucun fichier de jeu créé par ce catalogue.</x:v>
      </x:c>
      <x:c r="M12" s="7" t="str"/>
      <x:c r="N12" s="7" t="str">
        <x:v>Le livrable « Eclipse Heavy » possède une scène ou un scénario de contrôle ; ses règles proposées, ses conditions et ses retours visuels sont vérifiables séparément.</x:v>
      </x:c>
      <x:c r="O12" s="7" t="str"/>
      <x:c r="P12" s="7" t="str">
        <x:v>Bestiaire ME2 / rencontres associées</x:v>
      </x:c>
      <x:c r="Q12" s="7" t="str">
        <x:v>ME2-SRC-ENEMIES</x:v>
      </x:c>
      <x:c r="R12" s="7" t="str">
        <x:v>https://masseffect.fandom.com/wiki/Prison_Guard</x:v>
      </x:c>
      <x:c r="S12" s="7" t="str">
        <x:v>Spécification à réaliser. Les champs adaptation, gameplay, visual, animation, audio et implementation décrivent le fan game ; ils ne donnent pas des caractéristiques officielles de l’œuvre.</x:v>
      </x:c>
    </x:row>
    <x:row r="13" ht="68" customHeight="1">
      <x:c r="A13" s="18" t="str">
        <x:v>ME2-ENM-EC-ENGINEER</x:v>
      </x:c>
      <x:c r="B13" s="9" t="str">
        <x:v>Eclipse Engineer</x:v>
      </x:c>
      <x:c r="C13" s="15" t="str">
        <x:v>Défini</x:v>
      </x:c>
      <x:c r="D13" s="16" t="str">
        <x:v>Établi</x:v>
      </x:c>
      <x:c r="E13" s="16" t="str">
        <x:v>P1</x:v>
      </x:c>
      <x:c r="F13" s="9" t="str">
        <x:v>Ingénieur Eclipse.</x:v>
      </x:c>
      <x:c r="G13" s="9" t="str">
        <x:v>Archétype à adapter autour de « Déploiement de drone ». Donner un rôle distinct dans les compositions de rencontre.</x:v>
      </x:c>
      <x:c r="H13" s="9" t="str">
        <x:v>Un point de construction apparaît ; interrompre la pose ou pirater le drone déjà actif.</x:v>
      </x:c>
      <x:c r="I13" s="9" t="str">
        <x:v>Omni-outil et équipement jaune technique.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me2/enemies/ec-engineer ; rattacher les ressources et états cités à cet identifiant. Aucun fichier de jeu créé par ce catalogue.</x:v>
      </x:c>
      <x:c r="M13" s="9" t="str"/>
      <x:c r="N13" s="9" t="str">
        <x:v>Le livrable « Eclipse Engineer » possède une scène ou un scénario de contrôle ; ses règles proposées, ses conditions et ses retours visuels sont vérifiables séparément.</x:v>
      </x:c>
      <x:c r="O13" s="9" t="str"/>
      <x:c r="P13" s="9" t="str">
        <x:v>Bestiaire ME2 / rencontres associées</x:v>
      </x:c>
      <x:c r="Q13" s="9" t="str">
        <x:v>ME2-SRC-ENEMIES</x:v>
      </x:c>
      <x:c r="R13" s="9" t="str">
        <x:v>https://masseffect.fandom.com/wiki/Prison_Guard</x:v>
      </x:c>
      <x:c r="S13" s="9" t="str">
        <x:v>Spécification à réaliser. Les champs adaptation, gameplay, visual, animation, audio et implementation décrivent le fan game ; ils ne donnent pas des caractéristiques officielles de l’œuvre.</x:v>
      </x:c>
    </x:row>
    <x:row r="14" ht="68" customHeight="1">
      <x:c r="A14" s="19" t="str">
        <x:v>ME2-ENM-EC-VANGUARD</x:v>
      </x:c>
      <x:c r="B14" s="7" t="str">
        <x:v>Eclipse Vanguard</x:v>
      </x:c>
      <x:c r="C14" s="15" t="str">
        <x:v>Défini</x:v>
      </x:c>
      <x:c r="D14" s="17" t="str">
        <x:v>Établi</x:v>
      </x:c>
      <x:c r="E14" s="17" t="str">
        <x:v>P1</x:v>
      </x:c>
      <x:c r="F14" s="7" t="str">
        <x:v>Biotique Eclipse.</x:v>
      </x:c>
      <x:c r="G14" s="7" t="str">
        <x:v>Archétype à adapter autour de « Poussée de proximité ». Donner un rôle distinct dans les compositions de rencontre.</x:v>
      </x:c>
      <x:c r="H14" s="7" t="str">
        <x:v>Chargement des mains puis projection en cône ; se placer derrière ou casser sa barrière.</x:v>
      </x:c>
      <x:c r="I14" s="7" t="str">
        <x:v>Halo biotique et posture penchée.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me2/enemies/ec-vanguard ; rattacher les ressources et états cités à cet identifiant. Aucun fichier de jeu créé par ce catalogue.</x:v>
      </x:c>
      <x:c r="M14" s="7" t="str"/>
      <x:c r="N14" s="7" t="str">
        <x:v>Le livrable « Eclipse Vanguard » possède une scène ou un scénario de contrôle ; ses règles proposées, ses conditions et ses retours visuels sont vérifiables séparément.</x:v>
      </x:c>
      <x:c r="O14" s="7" t="str"/>
      <x:c r="P14" s="7" t="str">
        <x:v>Bestiaire ME2 / rencontres associées</x:v>
      </x:c>
      <x:c r="Q14" s="7" t="str">
        <x:v>ME2-SRC-ENEMIES</x:v>
      </x:c>
      <x:c r="R14" s="7" t="str">
        <x:v>https://masseffect.fandom.com/wiki/Prison_Guard</x:v>
      </x:c>
      <x:c r="S14" s="7" t="str">
        <x:v>Spécification à réaliser. Les champs adaptation, gameplay, visual, animation, audio et implementation décrivent le fan game ; ils ne donnent pas des caractéristiques officielles de l’œuvre.</x:v>
      </x:c>
    </x:row>
    <x:row r="15" ht="68" customHeight="1">
      <x:c r="A15" s="18" t="str">
        <x:v>ME2-ENM-EC-COMMANDO</x:v>
      </x:c>
      <x:c r="B15" s="9" t="str">
        <x:v>Eclipse Commando</x:v>
      </x:c>
      <x:c r="C15" s="15" t="str">
        <x:v>Défini</x:v>
      </x:c>
      <x:c r="D15" s="16" t="str">
        <x:v>Établi</x:v>
      </x:c>
      <x:c r="E15" s="16" t="str">
        <x:v>P1</x:v>
      </x:c>
      <x:c r="F15" s="9" t="str">
        <x:v>Combattante Eclipse.</x:v>
      </x:c>
      <x:c r="G15" s="9" t="str">
        <x:v>Archétype à adapter autour de « Barrière offensive ». Donner un rôle distinct dans les compositions de rencontre.</x:v>
      </x:c>
      <x:c r="H15" s="9" t="str">
        <x:v>Alterne protection et décharge ; le pouvoir anti-barrière permet un contre pendant la récupération.</x:v>
      </x:c>
      <x:c r="I15" s="9" t="str">
        <x:v>Asari en armure jaune, bulle bleu-violet.</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me2/enemies/ec-commando ; rattacher les ressources et états cités à cet identifiant. Aucun fichier de jeu créé par ce catalogue.</x:v>
      </x:c>
      <x:c r="M15" s="9" t="str"/>
      <x:c r="N15" s="9" t="str">
        <x:v>Le livrable « Eclipse Commando » possède une scène ou un scénario de contrôle ; ses règles proposées, ses conditions et ses retours visuels sont vérifiables séparément.</x:v>
      </x:c>
      <x:c r="O15" s="9" t="str"/>
      <x:c r="P15" s="9" t="str">
        <x:v>Bestiaire ME2 / rencontres associées</x:v>
      </x:c>
      <x:c r="Q15" s="9" t="str">
        <x:v>ME2-SRC-ENEMIES</x:v>
      </x:c>
      <x:c r="R15" s="9" t="str">
        <x:v>https://masseffect.fandom.com/wiki/Prison_Guard</x:v>
      </x:c>
      <x:c r="S15" s="9" t="str">
        <x:v>Spécification à réaliser. Les champs adaptation, gameplay, visual, animation, audio et implementation décrivent le fan game ; ils ne donnent pas des caractéristiques officielles de l’œuvre.</x:v>
      </x:c>
    </x:row>
    <x:row r="16" ht="68" customHeight="1">
      <x:c r="A16" s="19" t="str">
        <x:v>ME2-ENM-BP-TROOPER</x:v>
      </x:c>
      <x:c r="B16" s="7" t="str">
        <x:v>Blood Pack Trooper</x:v>
      </x:c>
      <x:c r="C16" s="15" t="str">
        <x:v>Défini</x:v>
      </x:c>
      <x:c r="D16" s="17" t="str">
        <x:v>Établi</x:v>
      </x:c>
      <x:c r="E16" s="17" t="str">
        <x:v>P1</x:v>
      </x:c>
      <x:c r="F16" s="7" t="str">
        <x:v>Combattant Blood Pack.</x:v>
      </x:c>
      <x:c r="G16" s="7" t="str">
        <x:v>Archétype à adapter autour de « Ruée désordonnée ». Donner un rôle distinct dans les compositions de rencontre.</x:v>
      </x:c>
      <x:c r="H16" s="7" t="str">
        <x:v>Attaque par courtes courses ; contrôler les premières lignes empêche l’encerclement.</x:v>
      </x:c>
      <x:c r="I16" s="7" t="str">
        <x:v>Vorcha rougeâtre et plaques mal ajustées.</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me2/enemies/bp-trooper ; rattacher les ressources et états cités à cet identifiant. Aucun fichier de jeu créé par ce catalogue.</x:v>
      </x:c>
      <x:c r="M16" s="7" t="str"/>
      <x:c r="N16" s="7" t="str">
        <x:v>Le livrable « Blood Pack Trooper » possède une scène ou un scénario de contrôle ; ses règles proposées, ses conditions et ses retours visuels sont vérifiables séparément.</x:v>
      </x:c>
      <x:c r="O16" s="7" t="str"/>
      <x:c r="P16" s="7" t="str">
        <x:v>Bestiaire ME2 / rencontres associées</x:v>
      </x:c>
      <x:c r="Q16" s="7" t="str">
        <x:v>ME2-SRC-ENEMIES</x:v>
      </x:c>
      <x:c r="R16" s="7" t="str">
        <x:v>https://masseffect.fandom.com/wiki/Prison_Guard</x:v>
      </x:c>
      <x:c r="S16" s="7" t="str">
        <x:v>Spécification à réaliser. Les champs adaptation, gameplay, visual, animation, audio et implementation décrivent le fan game ; ils ne donnent pas des caractéristiques officielles de l’œuvre.</x:v>
      </x:c>
    </x:row>
    <x:row r="17" ht="68" customHeight="1">
      <x:c r="A17" s="18" t="str">
        <x:v>ME2-ENM-BP-WARRIOR</x:v>
      </x:c>
      <x:c r="B17" s="9" t="str">
        <x:v>Blood Pack Warrior</x:v>
      </x:c>
      <x:c r="C17" s="15" t="str">
        <x:v>Défini</x:v>
      </x:c>
      <x:c r="D17" s="16" t="str">
        <x:v>Établi</x:v>
      </x:c>
      <x:c r="E17" s="16" t="str">
        <x:v>P1</x:v>
      </x:c>
      <x:c r="F17" s="9" t="str">
        <x:v>Krogan du Blood Pack.</x:v>
      </x:c>
      <x:c r="G17" s="9" t="str">
        <x:v>Archétype à adapter autour de « Charge lourde ». Donner un rôle distinct dans les compositions de rencontre.</x:v>
      </x:c>
      <x:c r="H17" s="9" t="str">
        <x:v>Pied planté et tête baissée annoncent l’assaut ; esquive latérale puis attaque du dos.</x:v>
      </x:c>
      <x:c r="I17" s="9" t="str">
        <x:v>Grande silhouette krogan rouge sombre.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me2/enemies/bp-warrior ; rattacher les ressources et états cités à cet identifiant. Aucun fichier de jeu créé par ce catalogue.</x:v>
      </x:c>
      <x:c r="M17" s="9" t="str"/>
      <x:c r="N17" s="9" t="str">
        <x:v>Le livrable « Blood Pack Warrior » possède une scène ou un scénario de contrôle ; ses règles proposées, ses conditions et ses retours visuels sont vérifiables séparément.</x:v>
      </x:c>
      <x:c r="O17" s="9" t="str"/>
      <x:c r="P17" s="9" t="str">
        <x:v>Bestiaire ME2 / rencontres associées</x:v>
      </x:c>
      <x:c r="Q17" s="9" t="str">
        <x:v>ME2-SRC-ENEMIES</x:v>
      </x:c>
      <x:c r="R17" s="9" t="str">
        <x:v>https://masseffect.fandom.com/wiki/Prison_Guard</x:v>
      </x:c>
      <x:c r="S17" s="9" t="str">
        <x:v>Spécification à réaliser. Les champs adaptation, gameplay, visual, animation, audio et implementation décrivent le fan game ; ils ne donnent pas des caractéristiques officielles de l’œuvre.</x:v>
      </x:c>
    </x:row>
    <x:row r="18" ht="68" customHeight="1">
      <x:c r="A18" s="19" t="str">
        <x:v>ME2-ENM-BP-PYRO</x:v>
      </x:c>
      <x:c r="B18" s="7" t="str">
        <x:v>Blood Pack Pyro</x:v>
      </x:c>
      <x:c r="C18" s="15" t="str">
        <x:v>Défini</x:v>
      </x:c>
      <x:c r="D18" s="17" t="str">
        <x:v>Établi</x:v>
      </x:c>
      <x:c r="E18" s="17" t="str">
        <x:v>P1</x:v>
      </x:c>
      <x:c r="F18" s="7" t="str">
        <x:v>Unité incendiaire Blood Pack.</x:v>
      </x:c>
      <x:c r="G18" s="7" t="str">
        <x:v>Archétype à adapter autour de « Balayage de flammes ». Donner un rôle distinct dans les compositions de rencontre.</x:v>
      </x:c>
      <x:c r="H18" s="7" t="str">
        <x:v>Trace un arc continu de portée courte ; sortir du cône et viser le réservoir après anticipation.</x:v>
      </x:c>
      <x:c r="I18" s="7" t="str">
        <x:v>Réservoir dorsal et brûleur.</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me2/enemies/bp-pyro ; rattacher les ressources et états cités à cet identifiant. Aucun fichier de jeu créé par ce catalogue.</x:v>
      </x:c>
      <x:c r="M18" s="7" t="str"/>
      <x:c r="N18" s="7" t="str">
        <x:v>Le livrable « Blood Pack Pyro » possède une scène ou un scénario de contrôle ; ses règles proposées, ses conditions et ses retours visuels sont vérifiables séparément.</x:v>
      </x:c>
      <x:c r="O18" s="7" t="str"/>
      <x:c r="P18" s="7" t="str">
        <x:v>Bestiaire ME2 / rencontres associées</x:v>
      </x:c>
      <x:c r="Q18" s="7" t="str">
        <x:v>ME2-SRC-ENEMIES</x:v>
      </x:c>
      <x:c r="R18" s="7" t="str">
        <x:v>https://masseffect.fandom.com/wiki/Prison_Guard</x:v>
      </x:c>
      <x:c r="S18" s="7" t="str">
        <x:v>Spécification à réaliser. Les champs adaptation, gameplay, visual, animation, audio et implementation décrivent le fan game ; ils ne donnent pas des caractéristiques officielles de l’œuvre.</x:v>
      </x:c>
    </x:row>
    <x:row r="19" ht="68" customHeight="1">
      <x:c r="A19" s="18" t="str">
        <x:v>ME2-ENM-BP-BOOM</x:v>
      </x:c>
      <x:c r="B19" s="9" t="str">
        <x:v>Blood Pack Boom-Squad</x:v>
      </x:c>
      <x:c r="C19" s="15" t="str">
        <x:v>Défini</x:v>
      </x:c>
      <x:c r="D19" s="16" t="str">
        <x:v>Établi</x:v>
      </x:c>
      <x:c r="E19" s="16" t="str">
        <x:v>P1</x:v>
      </x:c>
      <x:c r="F19" s="9" t="str">
        <x:v>Unité Blood Pack.</x:v>
      </x:c>
      <x:c r="G19" s="9" t="str">
        <x:v>Archétype à adapter autour de « Tir explosif ». Donner un rôle distinct dans les compositions de rencontre.</x:v>
      </x:c>
      <x:c r="H19" s="9" t="str">
        <x:v>Prend appui avant d’arroser une bande de terrain ; couverts épais ou déplacement interrompent l’exposition.</x:v>
      </x:c>
      <x:c r="I19" s="9" t="str">
        <x:v>Lanceur volumineux et appui large.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me2/enemies/bp-boom ; rattacher les ressources et états cités à cet identifiant. Aucun fichier de jeu créé par ce catalogue.</x:v>
      </x:c>
      <x:c r="M19" s="9" t="str"/>
      <x:c r="N19" s="9" t="str">
        <x:v>Le livrable « Blood Pack Boom-Squad » possède une scène ou un scénario de contrôle ; ses règles proposées, ses conditions et ses retours visuels sont vérifiables séparément.</x:v>
      </x:c>
      <x:c r="O19" s="9" t="str"/>
      <x:c r="P19" s="9" t="str">
        <x:v>Bestiaire ME2 / rencontres associées</x:v>
      </x:c>
      <x:c r="Q19" s="9" t="str">
        <x:v>ME2-SRC-ENEMIES</x:v>
      </x:c>
      <x:c r="R19" s="9" t="str">
        <x:v>https://masseffect.fandom.com/wiki/Prison_Guard</x:v>
      </x:c>
      <x:c r="S19" s="9" t="str">
        <x:v>Spécification à réaliser. Les champs adaptation, gameplay, visual, animation, audio et implementation décrivent le fan game ; ils ne donnent pas des caractéristiques officielles de l’œuvre.</x:v>
      </x:c>
    </x:row>
    <x:row r="20" ht="68" customHeight="1">
      <x:c r="A20" s="19" t="str">
        <x:v>ME2-ENM-LOKI</x:v>
      </x:c>
      <x:c r="B20" s="7" t="str">
        <x:v>LOKI Mech</x:v>
      </x:c>
      <x:c r="C20" s="15" t="str">
        <x:v>Défini</x:v>
      </x:c>
      <x:c r="D20" s="17" t="str">
        <x:v>Établi</x:v>
      </x:c>
      <x:c r="E20" s="17" t="str">
        <x:v>P1</x:v>
      </x:c>
      <x:c r="F20" s="7" t="str">
        <x:v>Méca de sécurité.</x:v>
      </x:c>
      <x:c r="G20" s="7" t="str">
        <x:v>Archétype à adapter autour de « Acquisition lente ». Donner un rôle distinct dans les compositions de rencontre.</x:v>
      </x:c>
      <x:c r="H20" s="7" t="str">
        <x:v>Laser bref puis tir ; le gel ou piratage interrompt l’acquisition.</x:v>
      </x:c>
      <x:c r="I20" s="7" t="str">
        <x:v>Humanoïde blanc, articulations fines et optique rouge.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me2/enemies/loki ; rattacher les ressources et états cités à cet identifiant. Aucun fichier de jeu créé par ce catalogue.</x:v>
      </x:c>
      <x:c r="M20" s="7" t="str"/>
      <x:c r="N20" s="7" t="str">
        <x:v>Le livrable « LOKI Mech » possède une scène ou un scénario de contrôle ; ses règles proposées, ses conditions et ses retours visuels sont vérifiables séparément.</x:v>
      </x:c>
      <x:c r="O20" s="7" t="str"/>
      <x:c r="P20" s="7" t="str">
        <x:v>Bestiaire ME2 / rencontres associées</x:v>
      </x:c>
      <x:c r="Q20" s="7" t="str">
        <x:v>ME2-SRC-ENEMIES</x:v>
      </x:c>
      <x:c r="R20" s="7" t="str">
        <x:v>https://masseffect.fandom.com/wiki/Prison_Guard</x:v>
      </x:c>
      <x:c r="S20" s="7" t="str">
        <x:v>Spécification à réaliser. Les champs adaptation, gameplay, visual, animation, audio et implementation décrivent le fan game ; ils ne donnent pas des caractéristiques officielles de l’œuvre.</x:v>
      </x:c>
    </x:row>
    <x:row r="21" ht="68" customHeight="1">
      <x:c r="A21" s="18" t="str">
        <x:v>ME2-ENM-FENRIS</x:v>
      </x:c>
      <x:c r="B21" s="9" t="str">
        <x:v>FENRIS Mech</x:v>
      </x:c>
      <x:c r="C21" s="15" t="str">
        <x:v>Défini</x:v>
      </x:c>
      <x:c r="D21" s="16" t="str">
        <x:v>Établi</x:v>
      </x:c>
      <x:c r="E21" s="16" t="str">
        <x:v>P1</x:v>
      </x:c>
      <x:c r="F21" s="9" t="str">
        <x:v>Méca quadrupède.</x:v>
      </x:c>
      <x:c r="G21" s="9" t="str">
        <x:v>Archétype à adapter autour de « Bond de morsure ». Donner un rôle distinct dans les compositions de rencontre.</x:v>
      </x:c>
      <x:c r="H21" s="9" t="str">
        <x:v>Pattes arrière comprimées puis bond ; repousser ou esquiver, éviter de camper le même abri.</x:v>
      </x:c>
      <x:c r="I21" s="9" t="str">
        <x:v>Châssis canin métallique.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me2/enemies/fenris ; rattacher les ressources et états cités à cet identifiant. Aucun fichier de jeu créé par ce catalogue.</x:v>
      </x:c>
      <x:c r="M21" s="9" t="str"/>
      <x:c r="N21" s="9" t="str">
        <x:v>Le livrable « FENRIS Mech » possède une scène ou un scénario de contrôle ; ses règles proposées, ses conditions et ses retours visuels sont vérifiables séparément.</x:v>
      </x:c>
      <x:c r="O21" s="9" t="str"/>
      <x:c r="P21" s="9" t="str">
        <x:v>Bestiaire ME2 / rencontres associées</x:v>
      </x:c>
      <x:c r="Q21" s="9" t="str">
        <x:v>ME2-SRC-ENEMIES</x:v>
      </x:c>
      <x:c r="R21" s="9" t="str">
        <x:v>https://masseffect.fandom.com/wiki/Prison_Guard</x:v>
      </x:c>
      <x:c r="S21" s="9" t="str">
        <x:v>Spécification à réaliser. Les champs adaptation, gameplay, visual, animation, audio et implementation décrivent le fan game ; ils ne donnent pas des caractéristiques officielles de l’œuvre.</x:v>
      </x:c>
    </x:row>
    <x:row r="22" ht="68" customHeight="1">
      <x:c r="A22" s="19" t="str">
        <x:v>ME2-ENM-YMIR</x:v>
      </x:c>
      <x:c r="B22" s="7" t="str">
        <x:v>YMIR Mech</x:v>
      </x:c>
      <x:c r="C22" s="15" t="str">
        <x:v>Défini</x:v>
      </x:c>
      <x:c r="D22" s="17" t="str">
        <x:v>Établi</x:v>
      </x:c>
      <x:c r="E22" s="17" t="str">
        <x:v>P1</x:v>
      </x:c>
      <x:c r="F22" s="7" t="str">
        <x:v>Méca lourd.</x:v>
      </x:c>
      <x:c r="G22" s="7" t="str">
        <x:v>Archétype à adapter autour de « Saturation alternée ». Donner un rôle distinct dans les compositions de rencontre.</x:v>
      </x:c>
      <x:c r="H22" s="7" t="str">
        <x:v>Alterner mitrailleuse et roquette ; l’optique passe au rouge avant la salve de zone.</x:v>
      </x:c>
      <x:c r="I22" s="7" t="str">
        <x:v>Buste massif, bras d’armes et pas lourds.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me2/enemies/ymir ; rattacher les ressources et états cités à cet identifiant. Aucun fichier de jeu créé par ce catalogue.</x:v>
      </x:c>
      <x:c r="M22" s="7" t="str"/>
      <x:c r="N22" s="7" t="str">
        <x:v>Le livrable « YMIR Mech » possède une scène ou un scénario de contrôle ; ses règles proposées, ses conditions et ses retours visuels sont vérifiables séparément.</x:v>
      </x:c>
      <x:c r="O22" s="7" t="str"/>
      <x:c r="P22" s="7" t="str">
        <x:v>Bestiaire ME2 / rencontres associées</x:v>
      </x:c>
      <x:c r="Q22" s="7" t="str">
        <x:v>ME2-SRC-ENEMIES</x:v>
      </x:c>
      <x:c r="R22" s="7" t="str">
        <x:v>https://masseffect.fandom.com/wiki/Prison_Guard</x:v>
      </x:c>
      <x:c r="S22" s="7" t="str">
        <x:v>Spécification à réaliser. Les champs adaptation, gameplay, visual, animation, audio et implementation décrivent le fan game ; ils ne donnent pas des caractéristiques officielles de l’œuvre.</x:v>
      </x:c>
    </x:row>
    <x:row r="23" ht="68" customHeight="1">
      <x:c r="A23" s="18" t="str">
        <x:v>ME2-ENM-GETH-TROOPER</x:v>
      </x:c>
      <x:c r="B23" s="9" t="str">
        <x:v>Geth Trooper</x:v>
      </x:c>
      <x:c r="C23" s="15" t="str">
        <x:v>Défini</x:v>
      </x:c>
      <x:c r="D23" s="16" t="str">
        <x:v>Établi</x:v>
      </x:c>
      <x:c r="E23" s="16" t="str">
        <x:v>P1</x:v>
      </x:c>
      <x:c r="F23" s="9" t="str">
        <x:v>Infanterie geth.</x:v>
      </x:c>
      <x:c r="G23" s="9" t="str">
        <x:v>Archétype à adapter autour de « Rafale calculée ». Donner un rôle distinct dans les compositions de rencontre.</x:v>
      </x:c>
      <x:c r="H23" s="9" t="str">
        <x:v>Tir à intervalle régulier ; surcharge puis déplacement empêchent l’alignement de plusieurs unités.</x:v>
      </x:c>
      <x:c r="I23" s="9" t="str">
        <x:v>Optique unique et châssis synthétique fin.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me2/enemies/geth-trooper ; rattacher les ressources et états cités à cet identifiant. Aucun fichier de jeu créé par ce catalogue.</x:v>
      </x:c>
      <x:c r="M23" s="9" t="str"/>
      <x:c r="N23" s="9" t="str">
        <x:v>Le livrable « Geth Trooper » possède une scène ou un scénario de contrôle ; ses règles proposées, ses conditions et ses retours visuels sont vérifiables séparément.</x:v>
      </x:c>
      <x:c r="O23" s="9" t="str"/>
      <x:c r="P23" s="9" t="str">
        <x:v>Bestiaire ME2 / rencontres associées</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ME2-ENM-GETH-ROCKET</x:v>
      </x:c>
      <x:c r="B24" s="7" t="str">
        <x:v>Geth Rocket Trooper</x:v>
      </x:c>
      <x:c r="C24" s="15" t="str">
        <x:v>Défini</x:v>
      </x:c>
      <x:c r="D24" s="17" t="str">
        <x:v>Établi</x:v>
      </x:c>
      <x:c r="E24" s="17" t="str">
        <x:v>P1</x:v>
      </x:c>
      <x:c r="F24" s="7" t="str">
        <x:v>Unité geth à roquettes.</x:v>
      </x:c>
      <x:c r="G24" s="7" t="str">
        <x:v>Archétype à adapter autour de « Verrou de cible ». Donner un rôle distinct dans les compositions de rencontre.</x:v>
      </x:c>
      <x:c r="H24" s="7" t="str">
        <x:v>Un trait annonce l’axe ; rompre le verrou ou contourner par l’abri opposé.</x:v>
      </x:c>
      <x:c r="I24" s="7" t="str">
        <x:v>Tube d’arme et lumière d’optique nette.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me2/enemies/geth-rocket ; rattacher les ressources et états cités à cet identifiant. Aucun fichier de jeu créé par ce catalogue.</x:v>
      </x:c>
      <x:c r="M24" s="7" t="str"/>
      <x:c r="N24" s="7" t="str">
        <x:v>Le livrable « Geth Rocket Trooper » possède une scène ou un scénario de contrôle ; ses règles proposées, ses conditions et ses retours visuels sont vérifiables séparément.</x:v>
      </x:c>
      <x:c r="O24" s="7" t="str"/>
      <x:c r="P24" s="7" t="str">
        <x:v>Bestiaire ME2 / rencontres associées</x:v>
      </x:c>
      <x:c r="Q24" s="7" t="str">
        <x:v>ME2-SRC-TALI</x:v>
      </x:c>
      <x:c r="R24" s="7" t="str">
        <x:v>https://masseffect.fandom.com/wiki/Dossier%3A_Tali</x:v>
      </x:c>
      <x:c r="S24" s="7" t="str">
        <x:v>Spécification à réaliser. Les champs adaptation, gameplay, visual, animation, audio et implementation décrivent le fan game ; ils ne donnent pas des caractéristiques officielles de l’œuvre.</x:v>
      </x:c>
    </x:row>
    <x:row r="25" ht="68" customHeight="1">
      <x:c r="A25" s="18" t="str">
        <x:v>ME2-ENM-GETH-HUNTER</x:v>
      </x:c>
      <x:c r="B25" s="9" t="str">
        <x:v>Geth Hunter</x:v>
      </x:c>
      <x:c r="C25" s="15" t="str">
        <x:v>Défini</x:v>
      </x:c>
      <x:c r="D25" s="16" t="str">
        <x:v>Établi</x:v>
      </x:c>
      <x:c r="E25" s="16" t="str">
        <x:v>P1</x:v>
      </x:c>
      <x:c r="F25" s="9" t="str">
        <x:v>Unité geth camouflée.</x:v>
      </x:c>
      <x:c r="G25" s="9" t="str">
        <x:v>Archétype à adapter autour de « Approche masquée ». Donner un rôle distinct dans les compositions de rencontre.</x:v>
      </x:c>
      <x:c r="H25" s="9" t="str">
        <x:v>Brève distorsion au départ, pas détectables et silhouette au tir ; révéler par effet de zone.</x:v>
      </x:c>
      <x:c r="I25" s="9" t="str">
        <x:v>Châssis sombre semi-transparent, optique temporaire.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me2/enemies/geth-hunter ; rattacher les ressources et états cités à cet identifiant. Aucun fichier de jeu créé par ce catalogue.</x:v>
      </x:c>
      <x:c r="M25" s="9" t="str"/>
      <x:c r="N25" s="9" t="str">
        <x:v>Le livrable « Geth Hunter » possède une scène ou un scénario de contrôle ; ses règles proposées, ses conditions et ses retours visuels sont vérifiables séparément.</x:v>
      </x:c>
      <x:c r="O25" s="9" t="str"/>
      <x:c r="P25" s="9" t="str">
        <x:v>Bestiaire ME2 / rencontres associées</x:v>
      </x:c>
      <x:c r="Q25" s="9" t="str">
        <x:v>ME2-SRC-TALI</x:v>
      </x:c>
      <x:c r="R25" s="9" t="str">
        <x:v>https://masseffect.fandom.com/wiki/Dossier%3A_Tali</x:v>
      </x:c>
      <x:c r="S25" s="9" t="str">
        <x:v>Spécification à réaliser. Les champs adaptation, gameplay, visual, animation, audio et implementation décrivent le fan game ; ils ne donnent pas des caractéristiques officielles de l’œuvre.</x:v>
      </x:c>
    </x:row>
    <x:row r="26" ht="68" customHeight="1">
      <x:c r="A26" s="19" t="str">
        <x:v>ME2-ENM-GETH-DESTROYER</x:v>
      </x:c>
      <x:c r="B26" s="7" t="str">
        <x:v>Geth Destroyer</x:v>
      </x:c>
      <x:c r="C26" s="15" t="str">
        <x:v>Défini</x:v>
      </x:c>
      <x:c r="D26" s="17" t="str">
        <x:v>Établi</x:v>
      </x:c>
      <x:c r="E26" s="17" t="str">
        <x:v>P1</x:v>
      </x:c>
      <x:c r="F26" s="7" t="str">
        <x:v>Unité geth rencontrée à Haestrom.</x:v>
      </x:c>
      <x:c r="G26" s="7" t="str">
        <x:v>Archétype à adapter autour de « Pression rapprochée ». Donner un rôle distinct dans les compositions de rencontre.</x:v>
      </x:c>
      <x:c r="H26" s="7" t="str">
        <x:v>Réduit l’espace avec une menace courte ; geler la progression après avoir retiré ses défenses.</x:v>
      </x:c>
      <x:c r="I26" s="7" t="str">
        <x:v>Geth robuste et arme à effet continu.</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me2/enemies/geth-destroyer ; rattacher les ressources et états cités à cet identifiant. Aucun fichier de jeu créé par ce catalogue.</x:v>
      </x:c>
      <x:c r="M26" s="7" t="str"/>
      <x:c r="N26" s="7" t="str">
        <x:v>Le livrable « Geth Destroyer » possède une scène ou un scénario de contrôle ; ses règles proposées, ses conditions et ses retours visuels sont vérifiables séparément.</x:v>
      </x:c>
      <x:c r="O26" s="7" t="str"/>
      <x:c r="P26" s="7" t="str">
        <x:v>Bestiaire ME2 / rencontres associées</x:v>
      </x:c>
      <x:c r="Q26" s="7" t="str">
        <x:v>ME2-SRC-TALI</x:v>
      </x:c>
      <x:c r="R26" s="7" t="str">
        <x:v>https://masseffect.fandom.com/wiki/Dossier%3A_Tali</x:v>
      </x:c>
      <x:c r="S26" s="7" t="str">
        <x:v>Spécification à réaliser. Les champs adaptation, gameplay, visual, animation, audio et implementation décrivent le fan game ; ils ne donnent pas des caractéristiques officielles de l’œuvre.</x:v>
      </x:c>
    </x:row>
    <x:row r="27" ht="68" customHeight="1">
      <x:c r="A27" s="18" t="str">
        <x:v>ME2-ENM-GETH-PRIME</x:v>
      </x:c>
      <x:c r="B27" s="9" t="str">
        <x:v>Geth Prime</x:v>
      </x:c>
      <x:c r="C27" s="15" t="str">
        <x:v>Défini</x:v>
      </x:c>
      <x:c r="D27" s="16" t="str">
        <x:v>Établi</x:v>
      </x:c>
      <x:c r="E27" s="16" t="str">
        <x:v>P1</x:v>
      </x:c>
      <x:c r="F27" s="9" t="str">
        <x:v>Unité geth lourde.</x:v>
      </x:c>
      <x:c r="G27" s="9" t="str">
        <x:v>Archétype à adapter autour de « Commandement de réseau ». Donner un rôle distinct dans les compositions de rencontre.</x:v>
      </x:c>
      <x:c r="H27" s="9" t="str">
        <x:v>Une impulsion renforce ses proches ; éliminer les soutiens avant d’exposer le noyau.</x:v>
      </x:c>
      <x:c r="I27" s="9" t="str">
        <x:v>Grand châssis rouge et blanc, large torse.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me2/enemies/geth-prime ; rattacher les ressources et états cités à cet identifiant. Aucun fichier de jeu créé par ce catalogue.</x:v>
      </x:c>
      <x:c r="M27" s="9" t="str"/>
      <x:c r="N27" s="9" t="str">
        <x:v>Le livrable « Geth Prime » possède une scène ou un scénario de contrôle ; ses règles proposées, ses conditions et ses retours visuels sont vérifiables séparément.</x:v>
      </x:c>
      <x:c r="O27" s="9" t="str"/>
      <x:c r="P27" s="9" t="str">
        <x:v>Bestiaire ME2 / rencontres associées</x:v>
      </x:c>
      <x:c r="Q27" s="9" t="str">
        <x:v>ME2-SRC-TALI</x:v>
      </x:c>
      <x:c r="R27" s="9" t="str">
        <x:v>https://masseffect.fandom.com/wiki/Dossier%3A_Tali</x:v>
      </x:c>
      <x:c r="S27" s="9" t="str">
        <x:v>Spécification à réaliser. Les champs adaptation, gameplay, visual, animation, audio et implementation décrivent le fan game ; ils ne donnent pas des caractéristiques officielles de l’œuvre.</x:v>
      </x:c>
    </x:row>
    <x:row r="28" ht="68" customHeight="1">
      <x:c r="A28" s="19" t="str">
        <x:v>ME2-ENM-GETH-COLOSSUS</x:v>
      </x:c>
      <x:c r="B28" s="7" t="str">
        <x:v>Geth Colossus</x:v>
      </x:c>
      <x:c r="C28" s="15" t="str">
        <x:v>Défini</x:v>
      </x:c>
      <x:c r="D28" s="17" t="str">
        <x:v>Établi</x:v>
      </x:c>
      <x:c r="E28" s="17" t="str">
        <x:v>P1</x:v>
      </x:c>
      <x:c r="F28" s="7" t="str">
        <x:v>Boss geth de Haestrom.</x:v>
      </x:c>
      <x:c r="G28" s="7" t="str">
        <x:v>Archétype à adapter autour de « Canon et réparation ». Donner un rôle distinct dans les compositions de rencontre.</x:v>
      </x:c>
      <x:c r="H28" s="7" t="str">
        <x:v>Charge lumineuse visible, tir sur bande puis phase de réparation ; flanquer pour stopper la reprise.</x:v>
      </x:c>
      <x:c r="I28" s="7" t="str">
        <x:v>Quadrupède colossal sur cour surélevée.</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me2/enemies/geth-colossus ; rattacher les ressources et états cités à cet identifiant. Aucun fichier de jeu créé par ce catalogue.</x:v>
      </x:c>
      <x:c r="M28" s="7" t="str"/>
      <x:c r="N28" s="7" t="str">
        <x:v>Le livrable « Geth Colossus » possède une scène ou un scénario de contrôle ; ses règles proposées, ses conditions et ses retours visuels sont vérifiables séparément.</x:v>
      </x:c>
      <x:c r="O28" s="7" t="str"/>
      <x:c r="P28" s="7" t="str">
        <x:v>Bestiaire ME2 / rencontres associées</x:v>
      </x:c>
      <x:c r="Q28" s="7" t="str">
        <x:v>ME2-SRC-TALI</x:v>
      </x:c>
      <x:c r="R28" s="7" t="str">
        <x:v>https://masseffect.fandom.com/wiki/Dossier%3A_Tali</x:v>
      </x:c>
      <x:c r="S28" s="7" t="str">
        <x:v>Spécification à réaliser. Les champs adaptation, gameplay, visual, animation, audio et implementation décrivent le fan game ; ils ne donnent pas des caractéristiques officielles de l’œuvre.</x:v>
      </x:c>
    </x:row>
    <x:row r="29" ht="68" customHeight="1">
      <x:c r="A29" s="18" t="str">
        <x:v>ME2-ENM-GETH-DRONE</x:v>
      </x:c>
      <x:c r="B29" s="9" t="str">
        <x:v>Geth Recon Drone</x:v>
      </x:c>
      <x:c r="C29" s="15" t="str">
        <x:v>Défini</x:v>
      </x:c>
      <x:c r="D29" s="16" t="str">
        <x:v>Établi</x:v>
      </x:c>
      <x:c r="E29" s="16" t="str">
        <x:v>P1</x:v>
      </x:c>
      <x:c r="F29" s="9" t="str">
        <x:v>Drone rencontré à Haestrom.</x:v>
      </x:c>
      <x:c r="G29" s="9" t="str">
        <x:v>Archétype à adapter autour de « Passage aérien ». Donner un rôle distinct dans les compositions de rencontre.</x:v>
      </x:c>
      <x:c r="H29" s="9" t="str">
        <x:v>Annonce son trajet par moteur et ombre ; tire en ligne puis s’expose au retour.</x:v>
      </x:c>
      <x:c r="I29" s="9" t="str">
        <x:v>Petit drone volant et optique.</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me2/enemies/geth-drone ; rattacher les ressources et états cités à cet identifiant. Aucun fichier de jeu créé par ce catalogue.</x:v>
      </x:c>
      <x:c r="M29" s="9" t="str"/>
      <x:c r="N29" s="9" t="str">
        <x:v>Le livrable « Geth Recon Drone » possède une scène ou un scénario de contrôle ; ses règles proposées, ses conditions et ses retours visuels sont vérifiables séparément.</x:v>
      </x:c>
      <x:c r="O29" s="9" t="str"/>
      <x:c r="P29" s="9" t="str">
        <x:v>Bestiaire ME2 / rencontres associées</x:v>
      </x:c>
      <x:c r="Q29" s="9" t="str">
        <x:v>ME2-SRC-TALI</x:v>
      </x:c>
      <x:c r="R29" s="9" t="str">
        <x:v>https://masseffect.fandom.com/wiki/Dossier%3A_Tali</x:v>
      </x:c>
      <x:c r="S29" s="9" t="str">
        <x:v>Spécification à réaliser. Les champs adaptation, gameplay, visual, animation, audio et implementation décrivent le fan game ; ils ne donnent pas des caractéristiques officielles de l’œuvre.</x:v>
      </x:c>
    </x:row>
    <x:row r="30" ht="68" customHeight="1">
      <x:c r="A30" s="19" t="str">
        <x:v>ME2-ENM-HUSK</x:v>
      </x:c>
      <x:c r="B30" s="7" t="str">
        <x:v>Husk</x:v>
      </x:c>
      <x:c r="C30" s="15" t="str">
        <x:v>Défini</x:v>
      </x:c>
      <x:c r="D30" s="17" t="str">
        <x:v>Établi</x:v>
      </x:c>
      <x:c r="E30" s="17" t="str">
        <x:v>P1</x:v>
      </x:c>
      <x:c r="F30" s="7" t="str">
        <x:v>Créature des rencontres Collecteurs.</x:v>
      </x:c>
      <x:c r="G30" s="7" t="str">
        <x:v>Archétype à adapter autour de « Agrippement de groupe ». Donner un rôle distinct dans les compositions de rencontre.</x:v>
      </x:c>
      <x:c r="H30" s="7" t="str">
        <x:v>Approche en meute ; pousser le premier brise temporairement la chaîne d’assaut.</x:v>
      </x:c>
      <x:c r="I30" s="7" t="str">
        <x:v>Humanoïde cybernétique bleu, posture courbée.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me2/enemies/husk ; rattacher les ressources et états cités à cet identifiant. Aucun fichier de jeu créé par ce catalogue.</x:v>
      </x:c>
      <x:c r="M30" s="7" t="str"/>
      <x:c r="N30" s="7" t="str">
        <x:v>Le livrable « Husk » possède une scène ou un scénario de contrôle ; ses règles proposées, ses conditions et ses retours visuels sont vérifiables séparément.</x:v>
      </x:c>
      <x:c r="O30" s="7" t="str"/>
      <x:c r="P30" s="7" t="str">
        <x:v>Bestiaire ME2 / rencontres associées</x:v>
      </x:c>
      <x:c r="Q30" s="7" t="str">
        <x:v>ME2-SRC-COLLECTOR</x:v>
      </x:c>
      <x:c r="R30" s="7" t="str">
        <x:v>https://masseffect.fandom.com/wiki/Collector</x:v>
      </x:c>
      <x:c r="S30" s="7" t="str">
        <x:v>Spécification à réaliser. Les champs adaptation, gameplay, visual, animation, audio et implementation décrivent le fan game ; ils ne donnent pas des caractéristiques officielles de l’œuvre.</x:v>
      </x:c>
    </x:row>
    <x:row r="31" ht="68" customHeight="1">
      <x:c r="A31" s="18" t="str">
        <x:v>ME2-ENM-ABOMINATION</x:v>
      </x:c>
      <x:c r="B31" s="9" t="str">
        <x:v>Abomination</x:v>
      </x:c>
      <x:c r="C31" s="15" t="str">
        <x:v>Défini</x:v>
      </x:c>
      <x:c r="D31" s="16" t="str">
        <x:v>Établi</x:v>
      </x:c>
      <x:c r="E31" s="16" t="str">
        <x:v>P1</x:v>
      </x:c>
      <x:c r="F31" s="9" t="str">
        <x:v>Variante du bestiaire Collecteurs.</x:v>
      </x:c>
      <x:c r="G31" s="9" t="str">
        <x:v>Archétype à adapter autour de « Explosion de proximité ». Donner un rôle distinct dans les compositions de rencontre.</x:v>
      </x:c>
      <x:c r="H31" s="9" t="str">
        <x:v>Lueur et contraction signalent l’explosion ; éloigner la cible avant de l’éliminer.</x:v>
      </x:c>
      <x:c r="I31" s="9" t="str">
        <x:v>Husk rouge-orangé très contrasté.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me2/enemies/abomination ; rattacher les ressources et états cités à cet identifiant. Aucun fichier de jeu créé par ce catalogue.</x:v>
      </x:c>
      <x:c r="M31" s="9" t="str"/>
      <x:c r="N31" s="9" t="str">
        <x:v>Le livrable « Abomination » possède une scène ou un scénario de contrôle ; ses règles proposées, ses conditions et ses retours visuels sont vérifiables séparément.</x:v>
      </x:c>
      <x:c r="O31" s="9" t="str"/>
      <x:c r="P31" s="9" t="str">
        <x:v>Bestiaire ME2 / rencontres associées</x:v>
      </x:c>
      <x:c r="Q31" s="9" t="str">
        <x:v>ME2-SRC-COLLECTOR</x:v>
      </x:c>
      <x:c r="R31" s="9" t="str">
        <x:v>https://masseffect.fandom.com/wiki/Collector</x:v>
      </x:c>
      <x:c r="S31" s="9" t="str">
        <x:v>Spécification à réaliser. Les champs adaptation, gameplay, visual, animation, audio et implementation décrivent le fan game ; ils ne donnent pas des caractéristiques officielles de l’œuvre.</x:v>
      </x:c>
    </x:row>
    <x:row r="32" ht="68" customHeight="1">
      <x:c r="A32" s="19" t="str">
        <x:v>ME2-ENM-SCION</x:v>
      </x:c>
      <x:c r="B32" s="7" t="str">
        <x:v>Scion</x:v>
      </x:c>
      <x:c r="C32" s="15" t="str">
        <x:v>Défini</x:v>
      </x:c>
      <x:c r="D32" s="17" t="str">
        <x:v>Établi</x:v>
      </x:c>
      <x:c r="E32" s="17" t="str">
        <x:v>P1</x:v>
      </x:c>
      <x:c r="F32" s="7" t="str">
        <x:v>Unité lourde du bestiaire Collecteurs.</x:v>
      </x:c>
      <x:c r="G32" s="7" t="str">
        <x:v>Archétype à adapter autour de « Onde au sol ». Donner un rôle distinct dans les compositions de rencontre.</x:v>
      </x:c>
      <x:c r="H32" s="7" t="str">
        <x:v>Bras et corps chargent une ligne d’onde ; changer de bande ou stopper la préparation.</x:v>
      </x:c>
      <x:c r="I32" s="7" t="str">
        <x:v>Masse tordue, bras-canon et silhouette asymétrique.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me2/enemies/scion ; rattacher les ressources et états cités à cet identifiant. Aucun fichier de jeu créé par ce catalogue.</x:v>
      </x:c>
      <x:c r="M32" s="7" t="str"/>
      <x:c r="N32" s="7" t="str">
        <x:v>Le livrable « Scion » possède une scène ou un scénario de contrôle ; ses règles proposées, ses conditions et ses retours visuels sont vérifiables séparément.</x:v>
      </x:c>
      <x:c r="O32" s="7" t="str"/>
      <x:c r="P32" s="7" t="str">
        <x:v>Bestiaire ME2 / rencontres associées</x:v>
      </x:c>
      <x:c r="Q32" s="7" t="str">
        <x:v>ME2-SRC-COLLECTOR</x:v>
      </x:c>
      <x:c r="R32" s="7" t="str">
        <x:v>https://masseffect.fandom.com/wiki/Collector</x:v>
      </x:c>
      <x:c r="S32" s="7" t="str">
        <x:v>Spécification à réaliser. Les champs adaptation, gameplay, visual, animation, audio et implementation décrivent le fan game ; ils ne donnent pas des caractéristiques officielles de l’œuvre.</x:v>
      </x:c>
    </x:row>
    <x:row r="33" ht="68" customHeight="1">
      <x:c r="A33" s="18" t="str">
        <x:v>ME2-ENM-COLLECTOR-DRONE</x:v>
      </x:c>
      <x:c r="B33" s="9" t="str">
        <x:v>Collector Drone</x:v>
      </x:c>
      <x:c r="C33" s="15" t="str">
        <x:v>Défini</x:v>
      </x:c>
      <x:c r="D33" s="16" t="str">
        <x:v>Établi</x:v>
      </x:c>
      <x:c r="E33" s="16" t="str">
        <x:v>P1</x:v>
      </x:c>
      <x:c r="F33" s="9" t="str">
        <x:v>Infanterie des Collecteurs.</x:v>
      </x:c>
      <x:c r="G33" s="9" t="str">
        <x:v>Archétype à adapter autour de « Rafale organique ». Donner un rôle distinct dans les compositions de rencontre.</x:v>
      </x:c>
      <x:c r="H33" s="9" t="str">
        <x:v>Tir depuis couvert et repositionnement ailé ; les tirs de suppression bloquent le vol proposé.</x:v>
      </x:c>
      <x:c r="I33" s="9" t="str">
        <x:v>Chitine brune, aile repliée et arme organique.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me2/enemies/collector-drone ; rattacher les ressources et états cités à cet identifiant. Aucun fichier de jeu créé par ce catalogue.</x:v>
      </x:c>
      <x:c r="M33" s="9" t="str"/>
      <x:c r="N33" s="9" t="str">
        <x:v>Le livrable « Collector Drone » possède une scène ou un scénario de contrôle ; ses règles proposées, ses conditions et ses retours visuels sont vérifiables séparément.</x:v>
      </x:c>
      <x:c r="O33" s="9" t="str"/>
      <x:c r="P33" s="9" t="str">
        <x:v>Bestiaire ME2 / rencontres associées</x:v>
      </x:c>
      <x:c r="Q33" s="9" t="str">
        <x:v>ME2-SRC-COLLECTOR</x:v>
      </x:c>
      <x:c r="R33" s="9" t="str">
        <x:v>https://masseffect.fandom.com/wiki/Collector</x:v>
      </x:c>
      <x:c r="S33" s="9" t="str">
        <x:v>Spécification à réaliser. Les champs adaptation, gameplay, visual, animation, audio et implementation décrivent le fan game ; ils ne donnent pas des caractéristiques officielles de l’œuvre.</x:v>
      </x:c>
    </x:row>
    <x:row r="34" ht="68" customHeight="1">
      <x:c r="A34" s="19" t="str">
        <x:v>ME2-ENM-COLLECTOR-GUARDIAN</x:v>
      </x:c>
      <x:c r="B34" s="7" t="str">
        <x:v>Collector Guardian</x:v>
      </x:c>
      <x:c r="C34" s="15" t="str">
        <x:v>Défini</x:v>
      </x:c>
      <x:c r="D34" s="17" t="str">
        <x:v>Établi</x:v>
      </x:c>
      <x:c r="E34" s="17" t="str">
        <x:v>P1</x:v>
      </x:c>
      <x:c r="F34" s="7" t="str">
        <x:v>Unité protectrice des Collecteurs.</x:v>
      </x:c>
      <x:c r="G34" s="7" t="str">
        <x:v>Archétype à adapter autour de « Écran de passage ». Donner un rôle distinct dans les compositions de rencontre.</x:v>
      </x:c>
      <x:c r="H34" s="7" t="str">
        <x:v>Place une protection sur une voie ; contourner ou employer un pouvoir anti-barrière.</x:v>
      </x:c>
      <x:c r="I34" s="7" t="str">
        <x:v>Silhouette de Collecteur et lueur de projection.</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me2/enemies/collector-guardian ; rattacher les ressources et états cités à cet identifiant. Aucun fichier de jeu créé par ce catalogue.</x:v>
      </x:c>
      <x:c r="M34" s="7" t="str"/>
      <x:c r="N34" s="7" t="str">
        <x:v>Le livrable « Collector Guardian » possède une scène ou un scénario de contrôle ; ses règles proposées, ses conditions et ses retours visuels sont vérifiables séparément.</x:v>
      </x:c>
      <x:c r="O34" s="7" t="str"/>
      <x:c r="P34" s="7" t="str">
        <x:v>Bestiaire ME2 / rencontres associées</x:v>
      </x:c>
      <x:c r="Q34" s="7" t="str">
        <x:v>ME2-SRC-COLLECTOR</x:v>
      </x:c>
      <x:c r="R34" s="7" t="str">
        <x:v>https://masseffect.fandom.com/wiki/Collector</x:v>
      </x:c>
      <x:c r="S34" s="7" t="str">
        <x:v>Spécification à réaliser. Les champs adaptation, gameplay, visual, animation, audio et implementation décrivent le fan game ; ils ne donnent pas des caractéristiques officielles de l’œuvre.</x:v>
      </x:c>
    </x:row>
    <x:row r="35" ht="68" customHeight="1">
      <x:c r="A35" s="18" t="str">
        <x:v>ME2-ENM-COLLECTOR-ASSASSIN</x:v>
      </x:c>
      <x:c r="B35" s="9" t="str">
        <x:v>Collector Assassin</x:v>
      </x:c>
      <x:c r="C35" s="15" t="str">
        <x:v>Défini</x:v>
      </x:c>
      <x:c r="D35" s="16" t="str">
        <x:v>Établi</x:v>
      </x:c>
      <x:c r="E35" s="16" t="str">
        <x:v>P1</x:v>
      </x:c>
      <x:c r="F35" s="9" t="str">
        <x:v>Tireur des Collecteurs.</x:v>
      </x:c>
      <x:c r="G35" s="9" t="str">
        <x:v>Archétype à adapter autour de « Rayon de précision ». Donner un rôle distinct dans les compositions de rencontre.</x:v>
      </x:c>
      <x:c r="H35" s="9" t="str">
        <x:v>Canal lumineux fixe une cible ; passer derrière un couvert épais ou interrompre le canal.</x:v>
      </x:c>
      <x:c r="I35" s="9" t="str">
        <x:v>Arme-faisceau et visée stable.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me2/enemies/collector-assassin ; rattacher les ressources et états cités à cet identifiant. Aucun fichier de jeu créé par ce catalogue.</x:v>
      </x:c>
      <x:c r="M35" s="9" t="str"/>
      <x:c r="N35" s="9" t="str">
        <x:v>Le livrable « Collector Assassin » possède une scène ou un scénario de contrôle ; ses règles proposées, ses conditions et ses retours visuels sont vérifiables séparément.</x:v>
      </x:c>
      <x:c r="O35" s="9" t="str"/>
      <x:c r="P35" s="9" t="str">
        <x:v>Bestiaire ME2 / rencontres associées</x:v>
      </x:c>
      <x:c r="Q35" s="9" t="str">
        <x:v>ME2-SRC-COLLECTOR</x:v>
      </x:c>
      <x:c r="R35" s="9" t="str">
        <x:v>https://masseffect.fandom.com/wiki/Collector</x:v>
      </x:c>
      <x:c r="S35" s="9" t="str">
        <x:v>Spécification à réaliser. Les champs adaptation, gameplay, visual, animation, audio et implementation décrivent le fan game ; ils ne donnent pas des caractéristiques officielles de l’œuvre.</x:v>
      </x:c>
    </x:row>
    <x:row r="36" ht="68" customHeight="1">
      <x:c r="A36" s="19" t="str">
        <x:v>ME2-ENM-HARBINGER</x:v>
      </x:c>
      <x:c r="B36" s="7" t="str">
        <x:v>Collecteur possédé par Harbinger</x:v>
      </x:c>
      <x:c r="C36" s="15" t="str">
        <x:v>Défini</x:v>
      </x:c>
      <x:c r="D36" s="17" t="str">
        <x:v>Établi</x:v>
      </x:c>
      <x:c r="E36" s="17" t="str">
        <x:v>P1</x:v>
      </x:c>
      <x:c r="F36" s="7" t="str">
        <x:v>Harbinger prend le contrôle d’hôtes.</x:v>
      </x:c>
      <x:c r="G36" s="7" t="str">
        <x:v>Archétype à adapter autour de « Transfert d’autorité ». Donner un rôle distinct dans les compositions de rencontre.</x:v>
      </x:c>
      <x:c r="H36" s="7" t="str">
        <x:v>L’hôte brûle puis avance ; neutraliser ses soutiens limite les prochaines prises de contrôle.</x:v>
      </x:c>
      <x:c r="I36" s="7" t="str">
        <x:v>Chitine embrasée et tête éclairée.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me2/enemies/harbinger ; rattacher les ressources et états cités à cet identifiant. Aucun fichier de jeu créé par ce catalogue.</x:v>
      </x:c>
      <x:c r="M36" s="7" t="str"/>
      <x:c r="N36" s="7" t="str">
        <x:v>Le livrable « Collecteur possédé par Harbinger » possède une scène ou un scénario de contrôle ; ses règles proposées, ses conditions et ses retours visuels sont vérifiables séparément.</x:v>
      </x:c>
      <x:c r="O36" s="7" t="str"/>
      <x:c r="P36" s="7" t="str">
        <x:v>Bestiaire ME2 / rencontres associées</x:v>
      </x:c>
      <x:c r="Q36" s="7" t="str">
        <x:v>ME2-SRC-COLLECTOR</x:v>
      </x:c>
      <x:c r="R36" s="7" t="str">
        <x:v>https://masseffect.fandom.com/wiki/Collector</x:v>
      </x:c>
      <x:c r="S36" s="7" t="str">
        <x:v>Spécification à réaliser. Les champs adaptation, gameplay, visual, animation, audio et implementation décrivent le fan game ; ils ne donnent pas des caractéristiques officielles de l’œuvre.</x:v>
      </x:c>
    </x:row>
    <x:row r="37" ht="68" customHeight="1">
      <x:c r="A37" s="18" t="str">
        <x:v>ME2-ENM-PRAETORIAN</x:v>
      </x:c>
      <x:c r="B37" s="9" t="str">
        <x:v>Praetorian</x:v>
      </x:c>
      <x:c r="C37" s="15" t="str">
        <x:v>Défini</x:v>
      </x:c>
      <x:c r="D37" s="16" t="str">
        <x:v>Établi</x:v>
      </x:c>
      <x:c r="E37" s="16" t="str">
        <x:v>P1</x:v>
      </x:c>
      <x:c r="F37" s="9" t="str">
        <x:v>Boss volant des rencontres Collecteurs.</x:v>
      </x:c>
      <x:c r="G37" s="9" t="str">
        <x:v>Archétype à adapter autour de « Poursuite et atterrissage ». Donner un rôle distinct dans les compositions de rencontre.</x:v>
      </x:c>
      <x:c r="H37" s="9" t="str">
        <x:v>Faisceau pendant poursuite, onde autour de l’atterrissage ; maintenir un pilier entre lui et la cible puis reculer.</x:v>
      </x:c>
      <x:c r="I37" s="9" t="str">
        <x:v>Carapace noire, membres pendants, plusieurs visages regroupés.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me2/enemies/praetorian ; rattacher les ressources et états cités à cet identifiant. Aucun fichier de jeu créé par ce catalogue.</x:v>
      </x:c>
      <x:c r="M37" s="9" t="str"/>
      <x:c r="N37" s="9" t="str">
        <x:v>Le livrable « Praetorian » possède une scène ou un scénario de contrôle ; ses règles proposées, ses conditions et ses retours visuels sont vérifiables séparément.</x:v>
      </x:c>
      <x:c r="O37" s="9" t="str"/>
      <x:c r="P37" s="9" t="str">
        <x:v>Bestiaire ME2 / rencontres associées</x:v>
      </x:c>
      <x:c r="Q37" s="9" t="str">
        <x:v>ME2-SRC-PRAETORIAN</x:v>
      </x:c>
      <x:c r="R37" s="9" t="str">
        <x:v>https://masseffect.fandom.com/wiki/Praetorian</x:v>
      </x:c>
      <x:c r="S37" s="9" t="str">
        <x:v>Spécification à réaliser. Les champs adaptation, gameplay, visual, animation, audio et implementation décrivent le fan game ; ils ne donnent pas des caractéristiques officielles de l’œuvre.</x:v>
      </x:c>
    </x:row>
    <x:row r="38" ht="68" customHeight="1">
      <x:c r="A38" s="19" t="str">
        <x:v>ME2-ENM-OCULUS</x:v>
      </x:c>
      <x:c r="B38" s="7" t="str">
        <x:v>Oculus</x:v>
      </x:c>
      <x:c r="C38" s="15" t="str">
        <x:v>Défini</x:v>
      </x:c>
      <x:c r="D38" s="17" t="str">
        <x:v>Établi</x:v>
      </x:c>
      <x:c r="E38" s="17" t="str">
        <x:v>P1</x:v>
      </x:c>
      <x:c r="F38" s="7" t="str">
        <x:v>Drone des abords de la base Collecteur.</x:v>
      </x:c>
      <x:c r="G38" s="7" t="str">
        <x:v>Archétype à adapter autour de « Percée de coque ». Donner un rôle distinct dans les compositions de rencontre.</x:v>
      </x:c>
      <x:c r="H38" s="7" t="str">
        <x:v>Entrée annoncée, balayage puis recul ; le groupe rejoint le couvert opposé à son iris.</x:v>
      </x:c>
      <x:c r="I38" s="7" t="str">
        <x:v>Sphère mécanique à iris central.</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me2/enemies/oculus ; rattacher les ressources et états cités à cet identifiant. Aucun fichier de jeu créé par ce catalogue.</x:v>
      </x:c>
      <x:c r="M38" s="7" t="str"/>
      <x:c r="N38" s="7" t="str">
        <x:v>Le livrable « Oculus » possède une scène ou un scénario de contrôle ; ses règles proposées, ses conditions et ses retours visuels sont vérifiables séparément.</x:v>
      </x:c>
      <x:c r="O38" s="7" t="str"/>
      <x:c r="P38" s="7" t="str">
        <x:v>Bestiaire ME2 / rencontres associées</x:v>
      </x:c>
      <x:c r="Q38" s="7" t="str">
        <x:v>ME2-SRC-COLLECTOR</x:v>
      </x:c>
      <x:c r="R38" s="7" t="str">
        <x:v>https://masseffect.fandom.com/wiki/Collector</x:v>
      </x:c>
      <x:c r="S38" s="7" t="str">
        <x:v>Spécification à réaliser. Les champs adaptation, gameplay, visual, animation, audio et implementation décrivent le fan game ; ils ne donnent pas des caractéristiques officielles de l’œuvre.</x:v>
      </x:c>
    </x:row>
    <x:row r="39" ht="68" customHeight="1">
      <x:c r="A39" s="18" t="str">
        <x:v>ME2-ENM-HUMAN-REAPER</x:v>
      </x:c>
      <x:c r="B39" s="9" t="str">
        <x:v>Moissonneur humain</x:v>
      </x:c>
      <x:c r="C39" s="15" t="str">
        <x:v>Défini</x:v>
      </x:c>
      <x:c r="D39" s="16" t="str">
        <x:v>Établi</x:v>
      </x:c>
      <x:c r="E39" s="16" t="str">
        <x:v>P1</x:v>
      </x:c>
      <x:c r="F39" s="9" t="str">
        <x:v>Boss final de ME2.</x:v>
      </x:c>
      <x:c r="G39" s="9" t="str">
        <x:v>Archétype à adapter autour de « Bras et tubes ». Donner un rôle distinct dans les compositions de rencontre.</x:v>
      </x:c>
      <x:c r="H39" s="9" t="str">
        <x:v>Attaques de bandes puis exposition de points faibles ; détruire des alimentations sans confondre décor et cibles.</x:v>
      </x:c>
      <x:c r="I39" s="9" t="str">
        <x:v>Immense torse humanoïde métallique, yeux et tubes éclairés.</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me2/enemies/human-reaper ; rattacher les ressources et états cités à cet identifiant. Aucun fichier de jeu créé par ce catalogue.</x:v>
      </x:c>
      <x:c r="M39" s="9" t="str"/>
      <x:c r="N39" s="9" t="str">
        <x:v>Le livrable « Moissonneur humain » possède une scène ou un scénario de contrôle ; ses règles proposées, ses conditions et ses retours visuels sont vérifiables séparément.</x:v>
      </x:c>
      <x:c r="O39" s="9" t="str"/>
      <x:c r="P39" s="9" t="str">
        <x:v>Bestiaire ME2 / rencontres associées</x:v>
      </x:c>
      <x:c r="Q39" s="9" t="str">
        <x:v>ME2-SRC-FINAL</x:v>
      </x:c>
      <x:c r="R39" s="9" t="str">
        <x:v>https://masseffect.fandom.com/wiki/Collector_Base%3A_Final_Battle</x:v>
      </x:c>
      <x:c r="S39" s="9" t="str">
        <x:v>Spécification à réaliser. Les champs adaptation, gameplay, visual, animation, audio et implementation décrivent le fan game ; ils ne donnent pas des caractéristiques officielles de l’œuvre.</x:v>
      </x:c>
    </x:row>
    <x:row r="40" ht="68" customHeight="1">
      <x:c r="A40" s="19" t="str">
        <x:v>ME2-ENM-VARRREN</x:v>
      </x:c>
      <x:c r="B40" s="7" t="str">
        <x:v>Varren</x:v>
      </x:c>
      <x:c r="C40" s="15" t="str">
        <x:v>Défini</x:v>
      </x:c>
      <x:c r="D40" s="17" t="str">
        <x:v>Établi</x:v>
      </x:c>
      <x:c r="E40" s="17" t="str">
        <x:v>P1</x:v>
      </x:c>
      <x:c r="F40" s="7" t="str">
        <x:v>Faune hostile de ME2.</x:v>
      </x:c>
      <x:c r="G40" s="7" t="str">
        <x:v>Archétype à adapter autour de « Morsure en tenaille ». Donner un rôle distinct dans les compositions de rencontre.</x:v>
      </x:c>
      <x:c r="H40" s="7" t="str">
        <x:v>Deux approches décalées ; garde au contact ou projection empêchent d’être encerclé.</x:v>
      </x:c>
      <x:c r="I40" s="7" t="str">
        <x:v>Quadrupède trapu, gueule large, peau écailleuse.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me2/enemies/varrren ; rattacher les ressources et états cités à cet identifiant. Aucun fichier de jeu créé par ce catalogue.</x:v>
      </x:c>
      <x:c r="M40" s="7" t="str"/>
      <x:c r="N40" s="7" t="str">
        <x:v>Le livrable « Varren » possède une scène ou un scénario de contrôle ; ses règles proposées, ses conditions et ses retours visuels sont vérifiables séparément.</x:v>
      </x:c>
      <x:c r="O40" s="7" t="str"/>
      <x:c r="P40" s="7" t="str">
        <x:v>Bestiaire ME2 / rencontres associées</x:v>
      </x:c>
      <x:c r="Q40" s="7" t="str">
        <x:v>ME2-SRC-PROF</x:v>
      </x:c>
      <x:c r="R40" s="7" t="str">
        <x:v>https://masseffect.fandom.com/wiki/Dossier%3A_The_Professor</x:v>
      </x:c>
      <x:c r="S40" s="7" t="str">
        <x:v>Spécification à réaliser. Les champs adaptation, gameplay, visual, animation, audio et implementation décrivent le fan game ; ils ne donnent pas des caractéristiques officielles de l’œuvre.</x:v>
      </x:c>
    </x:row>
    <x:row r="41" ht="68" customHeight="1">
      <x:c r="A41" s="18" t="str">
        <x:v>ME2-ENM-THRESHER</x:v>
      </x:c>
      <x:c r="B41" s="9" t="str">
        <x:v>Dévoreur du rite</x:v>
      </x:c>
      <x:c r="C41" s="15" t="str">
        <x:v>Défini</x:v>
      </x:c>
      <x:c r="D41" s="16" t="str">
        <x:v>Établi</x:v>
      </x:c>
      <x:c r="E41" s="16" t="str">
        <x:v>P1</x:v>
      </x:c>
      <x:c r="F41" s="9" t="str">
        <x:v>Rencontré lors du rite de Grunt.</x:v>
      </x:c>
      <x:c r="G41" s="9" t="str">
        <x:v>Archétype à adapter autour de « Émergence et projection ». Donner un rôle distinct dans les compositions de rencontre.</x:v>
      </x:c>
      <x:c r="H41" s="9" t="str">
        <x:v>Sol secoué avant sortie ; dissocier esquive et visée puis garder une marge de déplacement.</x:v>
      </x:c>
      <x:c r="I41" s="9" t="str">
        <x:v>Ver géant, bouche segmentée et poussière.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me2/enemies/thresher ; rattacher les ressources et états cités à cet identifiant. Aucun fichier de jeu créé par ce catalogue.</x:v>
      </x:c>
      <x:c r="M41" s="9" t="str"/>
      <x:c r="N41" s="9" t="str">
        <x:v>Le livrable « Dévoreur du rite » possède une scène ou un scénario de contrôle ; ses règles proposées, ses conditions et ses retours visuels sont vérifiables séparément.</x:v>
      </x:c>
      <x:c r="O41" s="9" t="str"/>
      <x:c r="P41" s="9" t="str">
        <x:v>Bestiaire ME2 / rencontres associées</x:v>
      </x:c>
      <x:c r="Q41" s="9" t="str">
        <x:v>ME2-SRC-GRUNT</x:v>
      </x:c>
      <x:c r="R41" s="9" t="str">
        <x:v>https://masseffect.fandom.com/wiki/Grunt%3A_Rite_of_Passage</x:v>
      </x:c>
      <x:c r="S41" s="9" t="str">
        <x:v>Spécification à réaliser. Les champs adaptation, gameplay, visual, animation, audio et implementation décrivent le fan game ; ils ne donnent pas des caractéristiques officielles de l’œuvre.</x:v>
      </x:c>
    </x:row>
    <x:row r="42" ht="68" customHeight="1">
      <x:c r="A42" s="19" t="str">
        <x:v>ME2-ENM-GUNSHIP</x:v>
      </x:c>
      <x:c r="B42" s="7" t="str">
        <x:v>Aéronef de combat</x:v>
      </x:c>
      <x:c r="C42" s="15" t="str">
        <x:v>Défini</x:v>
      </x:c>
      <x:c r="D42" s="17" t="str">
        <x:v>Établi</x:v>
      </x:c>
      <x:c r="E42" s="17" t="str">
        <x:v>P1</x:v>
      </x:c>
      <x:c r="F42" s="7" t="str">
        <x:v>Des aéronefs servent de boss.</x:v>
      </x:c>
      <x:c r="G42" s="7" t="str">
        <x:v>Archétype à adapter autour de « Passe de mitraillage ». Donner un rôle distinct dans les compositions de rencontre.</x:v>
      </x:c>
      <x:c r="H42" s="7" t="str">
        <x:v>Ombre annonçant le secteur balayé ; changer d’abri puis attaquer pendant le demi-tour.</x:v>
      </x:c>
      <x:c r="I42" s="7" t="str">
        <x:v>Coque de gunship, canons et moteurs latéraux.</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me2/enemies/gunship ; rattacher les ressources et états cités à cet identifiant. Aucun fichier de jeu créé par ce catalogue.</x:v>
      </x:c>
      <x:c r="M42" s="7" t="str"/>
      <x:c r="N42" s="7" t="str">
        <x:v>Le livrable « Aéronef de combat » possède une scène ou un scénario de contrôle ; ses règles proposées, ses conditions et ses retours visuels sont vérifiables séparément.</x:v>
      </x:c>
      <x:c r="O42" s="7" t="str"/>
      <x:c r="P42" s="7" t="str">
        <x:v>Bestiaire ME2 / rencontres associées</x:v>
      </x:c>
      <x:c r="Q42" s="7" t="str">
        <x:v>ME2-SRC-ARCHANGEL, ME2-SRC-KASUMI</x:v>
      </x:c>
      <x:c r="R42" s="7" t="str">
        <x:v>https://masseffect.fandom.com/wiki/Dossier%3A_Archangel
https://masseffect.fandom.com/wiki/Kasumi%3A_Stealing_Memory</x:v>
      </x:c>
      <x:c r="S42" s="7" t="str">
        <x:v>Spécification à réaliser. Les champs adaptation, gameplay, visual, animation, audio et implementation décrivent le fan game ; ils ne donnent pas des caractéristiques officielles de l’œuvre.</x:v>
      </x:c>
    </x:row>
    <x:row r="43" ht="68" customHeight="1">
      <x:c r="A43" s="18" t="str">
        <x:v>ME2-ENM-BROKER-AGENT</x:v>
      </x:c>
      <x:c r="B43" s="9" t="str">
        <x:v>Shadow Broker Agent</x:v>
      </x:c>
      <x:c r="C43" s="15" t="str">
        <x:v>Défini</x:v>
      </x:c>
      <x:c r="D43" s="16" t="str">
        <x:v>Établi</x:v>
      </x:c>
      <x:c r="E43" s="16" t="str">
        <x:v>P1</x:v>
      </x:c>
      <x:c r="F43" s="9" t="str">
        <x:v>Unité du réseau du Courtier.</x:v>
      </x:c>
      <x:c r="G43" s="9" t="str">
        <x:v>Archétype à adapter autour de « Grenade d’éblouissement ». Donner un rôle distinct dans les compositions de rencontre.</x:v>
      </x:c>
      <x:c r="H43" s="9" t="str">
        <x:v>Objet lancé et icône de délai ; se couvrir ou viser le lanceur avant émission.</x:v>
      </x:c>
      <x:c r="I43" s="9" t="str">
        <x:v>Armure sombre et visière opaque.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me2/enemies/broker-agent ; rattacher les ressources et états cités à cet identifiant. Aucun fichier de jeu créé par ce catalogue.</x:v>
      </x:c>
      <x:c r="M43" s="9" t="str"/>
      <x:c r="N43" s="9" t="str">
        <x:v>Le livrable « Shadow Broker Agent » possède une scène ou un scénario de contrôle ; ses règles proposées, ses conditions et ses retours visuels sont vérifiables séparément.</x:v>
      </x:c>
      <x:c r="O43" s="9" t="str"/>
      <x:c r="P43" s="9" t="str">
        <x:v>Bestiaire ME2 / rencontres associées</x:v>
      </x:c>
      <x:c r="Q43" s="9" t="str">
        <x:v>ME2-SRC-SHADOW</x:v>
      </x:c>
      <x:c r="R43" s="9" t="str">
        <x:v>https://masseffect.fandom.com/wiki/Lair_of_the_Shadow_Broker_%28mission%29</x:v>
      </x:c>
      <x:c r="S43" s="9" t="str">
        <x:v>Spécification à réaliser. Les champs adaptation, gameplay, visual, animation, audio et implementation décrivent le fan game ; ils ne donnent pas des caractéristiques officielles de l’œuvre.</x:v>
      </x:c>
    </x:row>
    <x:row r="44" ht="68" customHeight="1">
      <x:c r="A44" s="19" t="str">
        <x:v>ME2-ENM-BROKER-VANGUARD</x:v>
      </x:c>
      <x:c r="B44" s="7" t="str">
        <x:v>Shadow Broker Vanguard</x:v>
      </x:c>
      <x:c r="C44" s="15" t="str">
        <x:v>Défini</x:v>
      </x:c>
      <x:c r="D44" s="17" t="str">
        <x:v>Établi</x:v>
      </x:c>
      <x:c r="E44" s="17" t="str">
        <x:v>P1</x:v>
      </x:c>
      <x:c r="F44" s="7" t="str">
        <x:v>Biotique du Courtier.</x:v>
      </x:c>
      <x:c r="G44" s="7" t="str">
        <x:v>Archétype à adapter autour de « Charge oblique ». Donner un rôle distinct dans les compositions de rencontre.</x:v>
      </x:c>
      <x:c r="H44" s="7" t="str">
        <x:v>Marqueur d’arrivée avant déplacement ; esquive latérale et contre anti-barrière.</x:v>
      </x:c>
      <x:c r="I44" s="7" t="str">
        <x:v>Armure noire et énergie bleue.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me2/enemies/broker-vanguard ; rattacher les ressources et états cités à cet identifiant. Aucun fichier de jeu créé par ce catalogue.</x:v>
      </x:c>
      <x:c r="M44" s="7" t="str"/>
      <x:c r="N44" s="7" t="str">
        <x:v>Le livrable « Shadow Broker Vanguard » possède une scène ou un scénario de contrôle ; ses règles proposées, ses conditions et ses retours visuels sont vérifiables séparément.</x:v>
      </x:c>
      <x:c r="O44" s="7" t="str"/>
      <x:c r="P44" s="7" t="str">
        <x:v>Bestiaire ME2 / rencontres associées</x:v>
      </x:c>
      <x:c r="Q44" s="7" t="str">
        <x:v>ME2-SRC-SHADOW</x:v>
      </x:c>
      <x:c r="R44" s="7" t="str">
        <x:v>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ME2-ENM-VASIR</x:v>
      </x:c>
      <x:c r="B45" s="9" t="str">
        <x:v>Tela Vasir — boss</x:v>
      </x:c>
      <x:c r="C45" s="15" t="str">
        <x:v>Défini</x:v>
      </x:c>
      <x:c r="D45" s="16" t="str">
        <x:v>Établi</x:v>
      </x:c>
      <x:c r="E45" s="16" t="str">
        <x:v>P1</x:v>
      </x:c>
      <x:c r="F45" s="9" t="str">
        <x:v>Vasir combat Shepard et Liara.</x:v>
      </x:c>
      <x:c r="G45" s="9" t="str">
        <x:v>Archétype à adapter autour de « Chaîne de charges ». Donner un rôle distinct dans les compositions de rencontre.</x:v>
      </x:c>
      <x:c r="H45" s="9" t="str">
        <x:v>Tracer plusieurs segments avant résolution ; casser une phase en exploitant sa récupération.</x:v>
      </x:c>
      <x:c r="I45" s="9" t="str">
        <x:v>Asari en armure, traînée biotique et posture d’élan.</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me2/enemies/vasir ; rattacher les ressources et états cités à cet identifiant. Aucun fichier de jeu créé par ce catalogue.</x:v>
      </x:c>
      <x:c r="M45" s="9" t="str"/>
      <x:c r="N45" s="9" t="str">
        <x:v>Le livrable « Tela Vasir — boss » possède une scène ou un scénario de contrôle ; ses règles proposées, ses conditions et ses retours visuels sont vérifiables séparément.</x:v>
      </x:c>
      <x:c r="O45" s="9" t="str"/>
      <x:c r="P45" s="9" t="str">
        <x:v>Bestiaire ME2 / rencontres associées</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ME2-ENM-BROKER</x:v>
      </x:c>
      <x:c r="B46" s="7" t="str">
        <x:v>Courtier de l’Ombre — yahg</x:v>
      </x:c>
      <x:c r="C46" s="15" t="str">
        <x:v>Défini</x:v>
      </x:c>
      <x:c r="D46" s="17" t="str">
        <x:v>Établi</x:v>
      </x:c>
      <x:c r="E46" s="17" t="str">
        <x:v>P1</x:v>
      </x:c>
      <x:c r="F46" s="7" t="str">
        <x:v>Le Courtier affronté est un yahg.</x:v>
      </x:c>
      <x:c r="G46" s="7" t="str">
        <x:v>Archétype à adapter autour de « Bouclier et coup lourd ». Donner un rôle distinct dans les compositions de rencontre.</x:v>
      </x:c>
      <x:c r="H46" s="7" t="str">
        <x:v>Alterner tir, mêlée et coordination de Liara ; le côté protégé reste signalé.</x:v>
      </x:c>
      <x:c r="I46" s="7" t="str">
        <x:v>Yahg massif, yeux multiples et bouclier de grande taille.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me2/enemies/broker ; rattacher les ressources et états cités à cet identifiant. Aucun fichier de jeu créé par ce catalogue.</x:v>
      </x:c>
      <x:c r="M46" s="7" t="str"/>
      <x:c r="N46" s="7" t="str">
        <x:v>Le livrable « Courtier de l’Ombre — yahg » possède une scène ou un scénario de contrôle ; ses règles proposées, ses conditions et ses retours visuels sont vérifiables séparément.</x:v>
      </x:c>
      <x:c r="O46" s="7" t="str"/>
      <x:c r="P46" s="7" t="str">
        <x:v>Bestiaire ME2 / rencontres associées</x:v>
      </x:c>
      <x:c r="Q46" s="7" t="str">
        <x:v>ME2-SRC-SHADOW</x:v>
      </x:c>
      <x:c r="R46" s="7" t="str">
        <x:v>https://masseffect.fandom.com/wiki/Lair_of_the_Shadow_Broker_%28mission%29</x:v>
      </x:c>
      <x:c r="S46" s="7" t="str">
        <x:v>Spécification à réaliser. Les champs adaptation, gameplay, visual, animation, audio et implementation décrivent le fan game ; ils ne donnent pas des caractéristiques officielles de l’œuvre.</x:v>
      </x:c>
    </x:row>
    <x:row r="47" ht="68" customHeight="1">
      <x:c r="A47" s="18" t="str">
        <x:v>ME2-ENM-OVERLORD</x:v>
      </x:c>
      <x:c r="B47" s="9" t="str">
        <x:v>Dispositif VI Overlord</x:v>
      </x:c>
      <x:c r="C47" s="15" t="str">
        <x:v>Défini</x:v>
      </x:c>
      <x:c r="D47" s="16" t="str">
        <x:v>Établi</x:v>
      </x:c>
      <x:c r="E47" s="16" t="str">
        <x:v>P1</x:v>
      </x:c>
      <x:c r="F47" s="9" t="str">
        <x:v>Le dispositif tente un transfert.</x:v>
      </x:c>
      <x:c r="G47" s="9" t="str">
        <x:v>Archétype à adapter autour de « Transfert par relais ». Donner un rôle distinct dans les compositions de rencontre.</x:v>
      </x:c>
      <x:c r="H47" s="9" t="str">
        <x:v>Nœuds activés successivement ; prioriser le relais qui annonce l’envoi sans attaquer la personne captive.</x:v>
      </x:c>
      <x:c r="I47" s="9" t="str">
        <x:v>Visage numérique vert et câbles de laboratoire.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me2/enemies/overlord ; rattacher les ressources et états cités à cet identifiant. Aucun fichier de jeu créé par ce catalogue.</x:v>
      </x:c>
      <x:c r="M47" s="9" t="str"/>
      <x:c r="N47" s="9" t="str">
        <x:v>Le livrable « Dispositif VI Overlord » possède une scène ou un scénario de contrôle ; ses règles proposées, ses conditions et ses retours visuels sont vérifiables séparément.</x:v>
      </x:c>
      <x:c r="O47" s="9" t="str"/>
      <x:c r="P47" s="9" t="str">
        <x:v>Bestiaire ME2 / rencontres associées</x:v>
      </x:c>
      <x:c r="Q47" s="9" t="str">
        <x:v>ME2-SRC-ATLAS</x:v>
      </x:c>
      <x:c r="R47" s="9" t="str">
        <x:v>https://masseffect.fandom.com/wiki/Atlas_Station</x:v>
      </x:c>
      <x:c r="S47" s="9" t="str">
        <x:v>Spécification à réaliser. Les champs adaptation, gameplay, visual, animation, audio et implementation décrivent le fan game ; ils ne donnent pas des caractéristiques officielles de l’œuvre.</x:v>
      </x:c>
    </x:row>
    <x:row r="48" ht="68" customHeight="1">
      <x:c r="A48" s="19" t="str">
        <x:v>ME2-ENM-PROJECT-GUARD</x:v>
      </x:c>
      <x:c r="B48" s="7" t="str">
        <x:v>Project Guard</x:v>
      </x:c>
      <x:c r="C48" s="15" t="str">
        <x:v>Défini</x:v>
      </x:c>
      <x:c r="D48" s="17" t="str">
        <x:v>Établi</x:v>
      </x:c>
      <x:c r="E48" s="17" t="str">
        <x:v>P1</x:v>
      </x:c>
      <x:c r="F48" s="7" t="str">
        <x:v>Garde hostile dans Arrival.</x:v>
      </x:c>
      <x:c r="G48" s="7" t="str">
        <x:v>Archétype à adapter autour de « Verrouillage de couloir ». Donner un rôle distinct dans les compositions de rencontre.</x:v>
      </x:c>
      <x:c r="H48" s="7" t="str">
        <x:v>Avance après une grenade ; l’interface avertit du changement de couverture.</x:v>
      </x:c>
      <x:c r="I48" s="7" t="str">
        <x:v>Tenue technique et arme Cerberus.</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me2/enemies/project-guard ; rattacher les ressources et états cités à cet identifiant. Aucun fichier de jeu créé par ce catalogue.</x:v>
      </x:c>
      <x:c r="M48" s="7" t="str"/>
      <x:c r="N48" s="7" t="str">
        <x:v>Le livrable « Project Guard » possède une scène ou un scénario de contrôle ; ses règles proposées, ses conditions et ses retours visuels sont vérifiables séparément.</x:v>
      </x:c>
      <x:c r="O48" s="7" t="str"/>
      <x:c r="P48" s="7" t="str">
        <x:v>Bestiaire ME2 / rencontres associées</x:v>
      </x:c>
      <x:c r="Q48" s="7" t="str">
        <x:v>ME2-SRC-ARRIVAL</x:v>
      </x:c>
      <x:c r="R48" s="7" t="str">
        <x:v>https://masseffect.fandom.com/wiki/Arrival_%28assignment%29</x:v>
      </x:c>
      <x:c r="S48" s="7" t="str">
        <x:v>Spécification à réaliser. Les champs adaptation, gameplay, visual, animation, audio et implementation décrivent le fan game ; ils ne donnent pas des caractéristiques officielles de l’œuvre.</x:v>
      </x:c>
    </x:row>
    <x:row r="49" ht="68" customHeight="1">
      <x:c r="A49" s="18" t="str">
        <x:v>ME2-ENM-PROJECT-PYRO</x:v>
      </x:c>
      <x:c r="B49" s="9" t="str">
        <x:v>Project Pyro</x:v>
      </x:c>
      <x:c r="C49" s="15" t="str">
        <x:v>Défini</x:v>
      </x:c>
      <x:c r="D49" s="16" t="str">
        <x:v>Établi</x:v>
      </x:c>
      <x:c r="E49" s="16" t="str">
        <x:v>P1</x:v>
      </x:c>
      <x:c r="F49" s="9" t="str">
        <x:v>Unité incendiaire d’Arrival.</x:v>
      </x:c>
      <x:c r="G49" s="9" t="str">
        <x:v>Archétype à adapter autour de « Nettoyage de sas ». Donner un rôle distinct dans les compositions de rencontre.</x:v>
      </x:c>
      <x:c r="H49" s="9" t="str">
        <x:v>Brûleur le long d’un corridor ; détour court disponible et réservoir exposé après tir.</x:v>
      </x:c>
      <x:c r="I49" s="9" t="str">
        <x:v>Tenue de projet, réservoir et flammes.</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me2/enemies/project-pyro ; rattacher les ressources et états cités à cet identifiant. Aucun fichier de jeu créé par ce catalogue.</x:v>
      </x:c>
      <x:c r="M49" s="9" t="str"/>
      <x:c r="N49" s="9" t="str">
        <x:v>Le livrable « Project Pyro » possède une scène ou un scénario de contrôle ; ses règles proposées, ses conditions et ses retours visuels sont vérifiables séparément.</x:v>
      </x:c>
      <x:c r="O49" s="9" t="str"/>
      <x:c r="P49" s="9" t="str">
        <x:v>Bestiaire ME2 / rencontres associées</x:v>
      </x:c>
      <x:c r="Q49" s="9" t="str">
        <x:v>ME2-SRC-ARRIVAL</x:v>
      </x:c>
      <x:c r="R49" s="9" t="str">
        <x:v>https://masseffect.fandom.com/wiki/Arrival_%28assignment%29</x:v>
      </x:c>
      <x:c r="S49" s="9" t="str">
        <x:v>Spécification à réaliser. Les champs adaptation, gameplay, visual, animation, audio et implementation décrivent le fan game ; ils ne donnent pas des caractéristiques officielles de l’œuvre.</x:v>
      </x:c>
    </x:row>
    <x:row r="50" ht="68" customHeight="1">
      <x:c r="A50" s="19" t="str">
        <x:v>ME2-ENM-PRISON-GUARD</x:v>
      </x:c>
      <x:c r="B50" s="7" t="str">
        <x:v>Prison Guard</x:v>
      </x:c>
      <x:c r="C50" s="15" t="str">
        <x:v>Défini</x:v>
      </x:c>
      <x:c r="D50" s="17" t="str">
        <x:v>Établi</x:v>
      </x:c>
      <x:c r="E50" s="17" t="str">
        <x:v>P1</x:v>
      </x:c>
      <x:c r="F50" s="7" t="str">
        <x:v>Garde batarien d’Arrival.</x:v>
      </x:c>
      <x:c r="G50" s="7" t="str">
        <x:v>Archétype à adapter autour de « Alerte par témoin ». Donner un rôle distinct dans les compositions de rencontre.</x:v>
      </x:c>
      <x:c r="H50" s="7" t="str">
        <x:v>Observe, enquête puis transmet ; neutraliser la transmission ou choisir l’affrontement.</x:v>
      </x:c>
      <x:c r="I50" s="7" t="str">
        <x:v>Batarien armé dans la prison.</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me2/enemies/prison-guard ; rattacher les ressources et états cités à cet identifiant. Aucun fichier de jeu créé par ce catalogue.</x:v>
      </x:c>
      <x:c r="M50" s="7" t="str"/>
      <x:c r="N50" s="7" t="str">
        <x:v>Le livrable « Prison Guard » possède une scène ou un scénario de contrôle ; ses règles proposées, ses conditions et ses retours visuels sont vérifiables séparément.</x:v>
      </x:c>
      <x:c r="O50" s="7" t="str"/>
      <x:c r="P50" s="7" t="str">
        <x:v>Bestiaire ME2 / rencontres associées</x:v>
      </x:c>
      <x:c r="Q50" s="7" t="str">
        <x:v>ME2-SRC-ARRIVAL</x:v>
      </x:c>
      <x:c r="R50" s="7" t="str">
        <x:v>https://masseffect.fandom.com/wiki/Arrival_%28assignment%29</x:v>
      </x:c>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32" priority="1" operator="equal">
      <x:formula>"À vérifier"</x:formula>
    </x:cfRule>
    <x:cfRule type="cellIs" dxfId="33" priority="2" operator="equal">
      <x:formula>"Extrapolation"</x:formula>
    </x:cfRule>
  </x:conditionalFormatting>
  <x:conditionalFormatting sqref="C7:C50">
    <x:cfRule type="cellIs" dxfId="34" priority="3" operator="equal">
      <x:formula>"Validé"</x:formula>
    </x:cfRule>
  </x:conditionalFormatting>
  <x:conditionalFormatting sqref="E7:E50">
    <x:cfRule type="cellIs" dxfId="3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05ecef35de054c0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2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ME2-MQ-SAVE-JOKER</x:v>
      </x:c>
      <x:c r="B7" s="9" t="str">
        <x:v>Prologue: Save Joker</x:v>
      </x:c>
      <x:c r="C7" s="15" t="str">
        <x:v>Défini</x:v>
      </x:c>
      <x:c r="D7" s="16" t="str">
        <x:v>Établi</x:v>
      </x:c>
      <x:c r="E7" s="16" t="str">
        <x:v>P0</x:v>
      </x:c>
      <x:c r="F7" s="9" t="str">
        <x:v>Prologue sur le Normandy attaqué.</x:v>
      </x:c>
      <x:c r="G7" s="9" t="str">
        <x:v>Tutoriel d’exploration en urgence : progression vers Joker, cloisons brûlantes et sortie ; commandes de dialogue conservées.</x:v>
      </x:c>
      <x:c r="H7" s="9" t="str">
        <x:v>Tutoriel d’exploration en urgence : progression vers Joker, cloisons brûlantes et sortie ; commandes de dialogue conservées.</x:v>
      </x:c>
      <x:c r="I7" s="9" t="str">
        <x:v>Coursives brisées, fumée basse, espace au-delà de la passerelle.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me2/main_quests/save-joker ; rattacher les ressources et états cités à cet identifiant. Aucun fichier de jeu créé par ce catalogue.</x:v>
      </x:c>
      <x:c r="M7" s="9" t="str">
        <x:v>Introduction.</x:v>
      </x:c>
      <x:c r="N7" s="9" t="str">
        <x:v>Le livrable « Prologue: Save Joker » possède une scène ou un scénario de contrôle ; ses règles proposées, ses conditions et ses retours visuels sont vérifiables séparément.</x:v>
      </x:c>
      <x:c r="O7" s="9" t="str"/>
      <x:c r="P7" s="9" t="str">
        <x:v>Prologue: Save Joker</x:v>
      </x:c>
      <x:c r="Q7" s="9" t="str">
        <x:v>ME2-SRC-GUIDE</x:v>
      </x:c>
      <x:c r="R7" s="9" t="str">
        <x:v>https://masseffect.fandom.com/wiki/Mass_Effect_2_Guide</x:v>
      </x:c>
      <x:c r="S7" s="9" t="str">
        <x:v>Spécification à réaliser. Les champs adaptation, gameplay, visual, animation, audio et implementation décrivent le fan game ; ils ne donnent pas des caractéristiques officielles de l’œuvre.</x:v>
      </x:c>
    </x:row>
    <x:row r="8" ht="68" customHeight="1">
      <x:c r="A8" s="19" t="str">
        <x:v>ME2-MQ-AWAKENING</x:v>
      </x:c>
      <x:c r="B8" s="7" t="str">
        <x:v>Prologue: Awakening</x:v>
      </x:c>
      <x:c r="C8" s="15" t="str">
        <x:v>Défini</x:v>
      </x:c>
      <x:c r="D8" s="17" t="str">
        <x:v>Établi</x:v>
      </x:c>
      <x:c r="E8" s="17" t="str">
        <x:v>P0</x:v>
      </x:c>
      <x:c r="F8" s="7" t="str">
        <x:v>Shepard se réveille dans une installation Cerberus.</x:v>
      </x:c>
      <x:c r="G8" s="7" t="str">
        <x:v>Introduire tir, couverture, pouvoir et recrutement séparément pendant l’évacuation.</x:v>
      </x:c>
      <x:c r="H8" s="7" t="str">
        <x:v>Introduire tir, couverture, pouvoir et recrutement séparément pendant l’évacuation.</x:v>
      </x:c>
      <x:c r="I8" s="7" t="str">
        <x:v>Laboratoire clinique, alarmes et vitrages fissurés.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me2/main_quests/awakening ; rattacher les ressources et états cités à cet identifiant. Aucun fichier de jeu créé par ce catalogue.</x:v>
      </x:c>
      <x:c r="M8" s="7" t="str">
        <x:v>Après le prologue.</x:v>
      </x:c>
      <x:c r="N8" s="7" t="str">
        <x:v>Le livrable « Prologue: Awakening » possède une scène ou un scénario de contrôle ; ses règles proposées, ses conditions et ses retours visuels sont vérifiables séparément.</x:v>
      </x:c>
      <x:c r="O8" s="7" t="str"/>
      <x:c r="P8" s="7" t="str">
        <x:v>Prologue: Awakening</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ME2-MQ-FREEDOM</x:v>
      </x:c>
      <x:c r="B9" s="9" t="str">
        <x:v>Freedom’s Progress</x:v>
      </x:c>
      <x:c r="C9" s="15" t="str">
        <x:v>Défini</x:v>
      </x:c>
      <x:c r="D9" s="16" t="str">
        <x:v>Établi</x:v>
      </x:c>
      <x:c r="E9" s="16" t="str">
        <x:v>P0</x:v>
      </x:c>
      <x:c r="F9" s="9" t="str">
        <x:v>Enquête sur une colonie disparue.</x:v>
      </x:c>
      <x:c r="G9" s="9" t="str">
        <x:v>Construire trois arènes de mécas puis un entretien avec Veetor ; permettre de préserver les munitions avant le YMIR.</x:v>
      </x:c>
      <x:c r="H9" s="9" t="str">
        <x:v>Construire trois arènes de mécas puis un entretien avec Veetor ; permettre de préserver les munitions avant le YMIR.</x:v>
      </x:c>
      <x:c r="I9" s="9" t="str">
        <x:v>Préfabriqués vides, éclairage froid et écrans de surveillance.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me2/main_quests/freedom ; rattacher les ressources et états cités à cet identifiant. Aucun fichier de jeu créé par ce catalogue.</x:v>
      </x:c>
      <x:c r="M9" s="9" t="str">
        <x:v>Après Awakening.</x:v>
      </x:c>
      <x:c r="N9" s="9" t="str">
        <x:v>Le livrable « Freedom’s Progress » possède une scène ou un scénario de contrôle ; ses règles proposées, ses conditions et ses retours visuels sont vérifiables séparément.</x:v>
      </x:c>
      <x:c r="O9" s="9" t="str"/>
      <x:c r="P9" s="9" t="str">
        <x:v>Freedom’s Progress</x:v>
      </x:c>
      <x:c r="Q9" s="9" t="str">
        <x:v>ME2-SRC-FREEDOM</x:v>
      </x:c>
      <x:c r="R9" s="9" t="str">
        <x:v>https://masseffect.fandom.com/wiki/Freedom%27s_Progress_%28mission%29</x:v>
      </x:c>
      <x:c r="S9" s="9" t="str">
        <x:v>Spécification à réaliser. Les champs adaptation, gameplay, visual, animation, audio et implementation décrivent le fan game ; ils ne donnent pas des caractéristiques officielles de l’œuvre.</x:v>
      </x:c>
    </x:row>
    <x:row r="10" ht="68" customHeight="1">
      <x:c r="A10" s="19" t="str">
        <x:v>ME2-MQ-PROFESSOR</x:v>
      </x:c>
      <x:c r="B10" s="7" t="str">
        <x:v>Dossier: The Professor</x:v>
      </x:c>
      <x:c r="C10" s="15" t="str">
        <x:v>Défini</x:v>
      </x:c>
      <x:c r="D10" s="17" t="str">
        <x:v>Établi</x:v>
      </x:c>
      <x:c r="E10" s="17" t="str">
        <x:v>P0</x:v>
      </x:c>
      <x:c r="F10" s="7" t="str">
        <x:v>Mordin soigne une peste à Omega.</x:v>
      </x:c>
      <x:c r="G10" s="7" t="str">
        <x:v>Traverser quarantaine, clinique puis ventilation ; phase finale de protection des commandes d’air.</x:v>
      </x:c>
      <x:c r="H10" s="7" t="str">
        <x:v>Traverser quarantaine, clinique puis ventilation ; phase finale de protection des commandes d’air.</x:v>
      </x:c>
      <x:c r="I10" s="7" t="str">
        <x:v>Taudis enfumés, clinique claire, turbines industrielles.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me2/main_quests/professor ; rattacher les ressources et états cités à cet identifiant. Aucun fichier de jeu créé par ce catalogue.</x:v>
      </x:c>
      <x:c r="M10" s="7" t="str">
        <x:v>Premier lot de dossiers.</x:v>
      </x:c>
      <x:c r="N10" s="7" t="str">
        <x:v>Le livrable « Dossier: The Professor » possède une scène ou un scénario de contrôle ; ses règles proposées, ses conditions et ses retours visuels sont vérifiables séparément.</x:v>
      </x:c>
      <x:c r="O10" s="7" t="str"/>
      <x:c r="P10" s="7" t="str">
        <x:v>Dossier: The Professor</x:v>
      </x:c>
      <x:c r="Q10" s="7" t="str">
        <x:v>ME2-SRC-PROF</x:v>
      </x:c>
      <x:c r="R10" s="7" t="str">
        <x:v>https://masseffect.fandom.com/wiki/Dossier%3A_The_Professor</x:v>
      </x:c>
      <x:c r="S10" s="7" t="str">
        <x:v>Spécification à réaliser. Les champs adaptation, gameplay, visual, animation, audio et implementation décrivent le fan game ; ils ne donnent pas des caractéristiques officielles de l’œuvre.</x:v>
      </x:c>
    </x:row>
    <x:row r="11" ht="68" customHeight="1">
      <x:c r="A11" s="18" t="str">
        <x:v>ME2-MQ-ARCHANGEL</x:v>
      </x:c>
      <x:c r="B11" s="9" t="str">
        <x:v>Dossier: Archangel</x:v>
      </x:c>
      <x:c r="C11" s="15" t="str">
        <x:v>Défini</x:v>
      </x:c>
      <x:c r="D11" s="16" t="str">
        <x:v>Établi</x:v>
      </x:c>
      <x:c r="E11" s="16" t="str">
        <x:v>P0</x:v>
      </x:c>
      <x:c r="F11" s="9" t="str">
        <x:v>Garrus affronte plusieurs groupes mercenaires.</x:v>
      </x:c>
      <x:c r="G11" s="9" t="str">
        <x:v>Défense étagée : saboter les préparatifs, couvrir le pont puis verrouiller les accès inférieurs.</x:v>
      </x:c>
      <x:c r="H11" s="9" t="str">
        <x:v>Défense étagée : saboter les préparatifs, couvrir le pont puis verrouiller les accès inférieurs.</x:v>
      </x:c>
      <x:c r="I11" s="9" t="str">
        <x:v>Planque criblée, balcon et pont exposé.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me2/main_quests/archangel ; rattacher les ressources et états cités à cet identifiant. Aucun fichier de jeu créé par ce catalogue.</x:v>
      </x:c>
      <x:c r="M11" s="9" t="str">
        <x:v>Premier lot de dossiers.</x:v>
      </x:c>
      <x:c r="N11" s="9" t="str">
        <x:v>Le livrable « Dossier: Archangel » possède une scène ou un scénario de contrôle ; ses règles proposées, ses conditions et ses retours visuels sont vérifiables séparément.</x:v>
      </x:c>
      <x:c r="O11" s="9" t="str"/>
      <x:c r="P11" s="9" t="str">
        <x:v>Dossier: Archangel</x:v>
      </x:c>
      <x:c r="Q11" s="9" t="str">
        <x:v>ME2-SRC-ARCHANGEL</x:v>
      </x:c>
      <x:c r="R11" s="9" t="str">
        <x:v>https://masseffect.fandom.com/wiki/Dossier%3A_Archangel</x:v>
      </x:c>
      <x:c r="S11" s="9" t="str">
        <x:v>Spécification à réaliser. Les champs adaptation, gameplay, visual, animation, audio et implementation décrivent le fan game ; ils ne donnent pas des caractéristiques officielles de l’œuvre.</x:v>
      </x:c>
    </x:row>
    <x:row r="12" ht="68" customHeight="1">
      <x:c r="A12" s="19" t="str">
        <x:v>ME2-MQ-CONVICT</x:v>
      </x:c>
      <x:c r="B12" s="7" t="str">
        <x:v>Dossier: The Convict</x:v>
      </x:c>
      <x:c r="C12" s="15" t="str">
        <x:v>Défini</x:v>
      </x:c>
      <x:c r="D12" s="17" t="str">
        <x:v>Établi</x:v>
      </x:c>
      <x:c r="E12" s="17" t="str">
        <x:v>P0</x:v>
      </x:c>
      <x:c r="F12" s="7" t="str">
        <x:v>Jack est retenue sur Purgatory.</x:v>
      </x:c>
      <x:c r="G12" s="7" t="str">
        <x:v>Ouvrir par une inspection calme, faire basculer les systèmes puis relier libération et fuite tactique.</x:v>
      </x:c>
      <x:c r="H12" s="7" t="str">
        <x:v>Ouvrir par une inspection calme, faire basculer les systèmes puis relier libération et fuite tactique.</x:v>
      </x:c>
      <x:c r="I12" s="7" t="str">
        <x:v>Coursives carcérales, cellules et générateurs de protection.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me2/main_quests/convict ; rattacher les ressources et états cités à cet identifiant. Aucun fichier de jeu créé par ce catalogue.</x:v>
      </x:c>
      <x:c r="M12" s="7" t="str">
        <x:v>Premier lot de dossiers.</x:v>
      </x:c>
      <x:c r="N12" s="7" t="str">
        <x:v>Le livrable « Dossier: The Convict » possède une scène ou un scénario de contrôle ; ses règles proposées, ses conditions et ses retours visuels sont vérifiables séparément.</x:v>
      </x:c>
      <x:c r="O12" s="7" t="str"/>
      <x:c r="P12" s="7" t="str">
        <x:v>Dossier: The Convict</x:v>
      </x:c>
      <x:c r="Q12" s="7" t="str">
        <x:v>ME2-SRC-CONVICT</x:v>
      </x:c>
      <x:c r="R12" s="7" t="str">
        <x:v>https://masseffect.fandom.com/wiki/Dossier%3A_The_Convict</x:v>
      </x:c>
      <x:c r="S12" s="7" t="str">
        <x:v>Spécification à réaliser. Les champs adaptation, gameplay, visual, animation, audio et implementation décrivent le fan game ; ils ne donnent pas des caractéristiques officielles de l’œuvre.</x:v>
      </x:c>
    </x:row>
    <x:row r="13" ht="68" customHeight="1">
      <x:c r="A13" s="18" t="str">
        <x:v>ME2-MQ-WARLORD</x:v>
      </x:c>
      <x:c r="B13" s="9" t="str">
        <x:v>Dossier: The Warlord</x:v>
      </x:c>
      <x:c r="C13" s="15" t="str">
        <x:v>Défini</x:v>
      </x:c>
      <x:c r="D13" s="16" t="str">
        <x:v>Établi</x:v>
      </x:c>
      <x:c r="E13" s="16" t="str">
        <x:v>P0</x:v>
      </x:c>
      <x:c r="F13" s="9" t="str">
        <x:v>Okeer travaille dans un camp de Korlus.</x:v>
      </x:c>
      <x:c r="G13" s="9" t="str">
        <x:v>Progression de ferraille en hauteur ; combat de cuves et récupération du conteneur krogan.</x:v>
      </x:c>
      <x:c r="H13" s="9" t="str">
        <x:v>Progression de ferraille en hauteur ; combat de cuves et récupération du conteneur krogan.</x:v>
      </x:c>
      <x:c r="I13" s="9" t="str">
        <x:v>Carcasses de vaisseaux, ascenseurs, laboratoire provisoire.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me2/main_quests/warlord ; rattacher les ressources et états cités à cet identifiant. Aucun fichier de jeu créé par ce catalogue.</x:v>
      </x:c>
      <x:c r="M13" s="9" t="str">
        <x:v>Premier lot de dossiers.</x:v>
      </x:c>
      <x:c r="N13" s="9" t="str">
        <x:v>Le livrable « Dossier: The Warlord » possède une scène ou un scénario de contrôle ; ses règles proposées, ses conditions et ses retours visuels sont vérifiables séparément.</x:v>
      </x:c>
      <x:c r="O13" s="9" t="str"/>
      <x:c r="P13" s="9" t="str">
        <x:v>Dossier: The Warlord</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ME2-MQ-GRUNT-TANK</x:v>
      </x:c>
      <x:c r="B14" s="7" t="str">
        <x:v>Dr. Okeer’s Legacy</x:v>
      </x:c>
      <x:c r="C14" s="15" t="str">
        <x:v>Défini</x:v>
      </x:c>
      <x:c r="D14" s="17" t="str">
        <x:v>Établi</x:v>
      </x:c>
      <x:c r="E14" s="17" t="str">
        <x:v>P0</x:v>
      </x:c>
      <x:c r="F14" s="7" t="str">
        <x:v>L’activation de Grunt reste une décision.</x:v>
      </x:c>
      <x:c r="G14" s="7" t="str">
        <x:v>Interaction de cuve hors combat ; expliquer le risque narratif sans imposer une loyauté automatique.</x:v>
      </x:c>
      <x:c r="H14" s="7" t="str">
        <x:v>Interaction de cuve hors combat ; expliquer le risque narratif sans imposer une loyauté automatique.</x:v>
      </x:c>
      <x:c r="I14" s="7" t="str">
        <x:v>Soute du Normandy et cuve translucide.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me2/main_quests/grunt-tank ; rattacher les ressources et états cités à cet identifiant. Aucun fichier de jeu créé par ce catalogue.</x:v>
      </x:c>
      <x:c r="M14" s="7" t="str">
        <x:v>Après récupération de la cuve.</x:v>
      </x:c>
      <x:c r="N14" s="7" t="str">
        <x:v>Le livrable « Dr. Okeer’s Legacy » possède une scène ou un scénario de contrôle ; ses règles proposées, ses conditions et ses retours visuels sont vérifiables séparément.</x:v>
      </x:c>
      <x:c r="O14" s="7" t="str"/>
      <x:c r="P14" s="7" t="str">
        <x:v>Dr. Okeer’s Legacy</x:v>
      </x:c>
      <x:c r="Q14" s="7" t="str">
        <x:v>ME2-SRC-WARLORD</x:v>
      </x:c>
      <x:c r="R14" s="7" t="str">
        <x:v>https://masseffect.fandom.com/wiki/Dossier%3A_The_Warlord</x:v>
      </x:c>
      <x:c r="S14" s="7" t="str">
        <x:v>Spécification à réaliser. Les champs adaptation, gameplay, visual, animation, audio et implementation décrivent le fan game ; ils ne donnent pas des caractéristiques officielles de l’œuvre.</x:v>
      </x:c>
    </x:row>
    <x:row r="15" ht="68" customHeight="1">
      <x:c r="A15" s="18" t="str">
        <x:v>ME2-MQ-HORIZON</x:v>
      </x:c>
      <x:c r="B15" s="9" t="str">
        <x:v>Horizon</x:v>
      </x:c>
      <x:c r="C15" s="15" t="str">
        <x:v>Défini</x:v>
      </x:c>
      <x:c r="D15" s="16" t="str">
        <x:v>Établi</x:v>
      </x:c>
      <x:c r="E15" s="16" t="str">
        <x:v>P0</x:v>
      </x:c>
      <x:c r="F15" s="9" t="str">
        <x:v>La colonie subit une attaque des Collecteurs.</x:v>
      </x:c>
      <x:c r="G15" s="9" t="str">
        <x:v>Alternance sauvetage, réparation de défense et survie contre un Praetorian ; conserver des abris après les renforts.</x:v>
      </x:c>
      <x:c r="H15" s="9" t="str">
        <x:v>Alternance sauvetage, réparation de défense et survie contre un Praetorian ; conserver des abris après les renforts.</x:v>
      </x:c>
      <x:c r="I15" s="9" t="str">
        <x:v>Colonie agricole, tourelles et cocons lumineux.</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me2/main_quests/horizon ; rattacher les ressources et états cités à cet identifiant. Aucun fichier de jeu créé par ce catalogue.</x:v>
      </x:c>
      <x:c r="M15" s="9" t="str">
        <x:v>Seuil de campagne déclenché par les dossiers initiaux.</x:v>
      </x:c>
      <x:c r="N15" s="9" t="str">
        <x:v>Le livrable « Horizon » possède une scène ou un scénario de contrôle ; ses règles proposées, ses conditions et ses retours visuels sont vérifiables séparément.</x:v>
      </x:c>
      <x:c r="O15" s="9" t="str"/>
      <x:c r="P15" s="9" t="str">
        <x:v>Horizon</x:v>
      </x:c>
      <x:c r="Q15" s="9" t="str">
        <x:v>ME2-SRC-HORIZON, ME2-SRC-GUIDE</x:v>
      </x:c>
      <x:c r="R15" s="9" t="str">
        <x:v>https://masseffect.fandom.com/wiki/Horizon_%28mission%29
https://masseffect.fandom.com/wiki/Mass_Effect_2_Guide</x:v>
      </x:c>
      <x:c r="S15" s="9" t="str">
        <x:v>Spécification à réaliser. Les champs adaptation, gameplay, visual, animation, audio et implementation décrivent le fan game ; ils ne donnent pas des caractéristiques officielles de l’œuvre.</x:v>
      </x:c>
    </x:row>
    <x:row r="16" ht="68" customHeight="1">
      <x:c r="A16" s="19" t="str">
        <x:v>ME2-MQ-TALI</x:v>
      </x:c>
      <x:c r="B16" s="7" t="str">
        <x:v>Dossier: Tali</x:v>
      </x:c>
      <x:c r="C16" s="15" t="str">
        <x:v>Défini</x:v>
      </x:c>
      <x:c r="D16" s="17" t="str">
        <x:v>Établi</x:v>
      </x:c>
      <x:c r="E16" s="17" t="str">
        <x:v>P0</x:v>
      </x:c>
      <x:c r="F16" s="7" t="str">
        <x:v>Tali opère sur Haestrom sous les tirs geth.</x:v>
      </x:c>
      <x:c r="G16" s="7" t="str">
        <x:v>Zones d’ombre matérialisées ; détruire les obstacles, rejoindre Kal’Reegar puis aborder le Colosse par plusieurs routes.</x:v>
      </x:c>
      <x:c r="H16" s="7" t="str">
        <x:v>Zones d’ombre matérialisées ; détruire les obstacles, rejoindre Kal’Reegar puis aborder le Colosse par plusieurs routes.</x:v>
      </x:c>
      <x:c r="I16" s="7" t="str">
        <x:v>Ruines quariènes, soleil dur, abris noirs.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me2/main_quests/tali ; rattacher les ressources et états cités à cet identifiant. Aucun fichier de jeu créé par ce catalogue.</x:v>
      </x:c>
      <x:c r="M16" s="7" t="str">
        <x:v>Après Horizon.</x:v>
      </x:c>
      <x:c r="N16" s="7" t="str">
        <x:v>Le livrable « Dossier: Tali » possède une scène ou un scénario de contrôle ; ses règles proposées, ses conditions et ses retours visuels sont vérifiables séparément.</x:v>
      </x:c>
      <x:c r="O16" s="7" t="str"/>
      <x:c r="P16" s="7" t="str">
        <x:v>Dossier: Tali</x:v>
      </x:c>
      <x:c r="Q16" s="7" t="str">
        <x:v>ME2-SRC-TALI</x:v>
      </x:c>
      <x:c r="R16" s="7" t="str">
        <x:v>https://masseffect.fandom.com/wiki/Dossier%3A_Tali</x:v>
      </x:c>
      <x:c r="S16" s="7" t="str">
        <x:v>Spécification à réaliser. Les champs adaptation, gameplay, visual, animation, audio et implementation décrivent le fan game ; ils ne donnent pas des caractéristiques officielles de l’œuvre.</x:v>
      </x:c>
    </x:row>
    <x:row r="17" ht="68" customHeight="1">
      <x:c r="A17" s="18" t="str">
        <x:v>ME2-MQ-ASSASSIN</x:v>
      </x:c>
      <x:c r="B17" s="9" t="str">
        <x:v>Dossier: The Assassin</x:v>
      </x:c>
      <x:c r="C17" s="15" t="str">
        <x:v>Défini</x:v>
      </x:c>
      <x:c r="D17" s="16" t="str">
        <x:v>Établi</x:v>
      </x:c>
      <x:c r="E17" s="16" t="str">
        <x:v>P0</x:v>
      </x:c>
      <x:c r="F17" s="9" t="str">
        <x:v>Thane poursuit une cible dans les tours Dantius.</x:v>
      </x:c>
      <x:c r="G17" s="9" t="str">
        <x:v>Ascension par paliers et sauvetage de travailleurs ; terminer par une scène de recrutement après la cible.</x:v>
      </x:c>
      <x:c r="H17" s="9" t="str">
        <x:v>Ascension par paliers et sauvetage de travailleurs ; terminer par une scène de recrutement après la cible.</x:v>
      </x:c>
      <x:c r="I17" s="9" t="str">
        <x:v>Tour inachevée, verre et vide urbain.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me2/main_quests/assassin ; rattacher les ressources et états cités à cet identifiant. Aucun fichier de jeu créé par ce catalogue.</x:v>
      </x:c>
      <x:c r="M17" s="9" t="str">
        <x:v>Après Horizon.</x:v>
      </x:c>
      <x:c r="N17" s="9" t="str">
        <x:v>Le livrable « Dossier: The Assassin » possède une scène ou un scénario de contrôle ; ses règles proposées, ses conditions et ses retours visuels sont vérifiables séparément.</x:v>
      </x:c>
      <x:c r="O17" s="9" t="str"/>
      <x:c r="P17" s="9" t="str">
        <x:v>Dossier: The Assassin</x:v>
      </x:c>
      <x:c r="Q17" s="9" t="str">
        <x:v>ME2-SRC-ASSASSIN</x:v>
      </x:c>
      <x:c r="R17" s="9" t="str">
        <x:v>https://masseffect.fandom.com/wiki/Dossier%3A_The_Assassin</x:v>
      </x:c>
      <x:c r="S17" s="9" t="str">
        <x:v>Spécification à réaliser. Les champs adaptation, gameplay, visual, animation, audio et implementation décrivent le fan game ; ils ne donnent pas des caractéristiques officielles de l’œuvre.</x:v>
      </x:c>
    </x:row>
    <x:row r="18" ht="68" customHeight="1">
      <x:c r="A18" s="19" t="str">
        <x:v>ME2-MQ-JUSTICAR</x:v>
      </x:c>
      <x:c r="B18" s="7" t="str">
        <x:v>Dossier: The Justicar</x:v>
      </x:c>
      <x:c r="C18" s="15" t="str">
        <x:v>Défini</x:v>
      </x:c>
      <x:c r="D18" s="17" t="str">
        <x:v>Établi</x:v>
      </x:c>
      <x:c r="E18" s="17" t="str">
        <x:v>P0</x:v>
      </x:c>
      <x:c r="F18" s="7" t="str">
        <x:v>Samara enquête sur Illium.</x:v>
      </x:c>
      <x:c r="G18" s="7" t="str">
        <x:v>Enquête au spatioport puis entrepôts Eclipse ; l’information sur le vaisseau débloque le recrutement.</x:v>
      </x:c>
      <x:c r="H18" s="7" t="str">
        <x:v>Enquête au spatioport puis entrepôts Eclipse ; l’information sur le vaisseau débloque le recrutement.</x:v>
      </x:c>
      <x:c r="I18" s="7" t="str">
        <x:v>Police asari, fret industriel et nuages chimiques.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me2/main_quests/justicar ; rattacher les ressources et états cités à cet identifiant. Aucun fichier de jeu créé par ce catalogue.</x:v>
      </x:c>
      <x:c r="M18" s="7" t="str">
        <x:v>Après Horizon.</x:v>
      </x:c>
      <x:c r="N18" s="7" t="str">
        <x:v>Le livrable « Dossier: The Justicar » possède une scène ou un scénario de contrôle ; ses règles proposées, ses conditions et ses retours visuels sont vérifiables séparément.</x:v>
      </x:c>
      <x:c r="O18" s="7" t="str"/>
      <x:c r="P18" s="7" t="str">
        <x:v>Dossier: The Justicar</x:v>
      </x:c>
      <x:c r="Q18" s="7" t="str">
        <x:v>ME2-SRC-JUSTICAR</x:v>
      </x:c>
      <x:c r="R18" s="7" t="str">
        <x:v>https://masseffect.fandom.com/wiki/Dossier%3A_The_Justicar</x:v>
      </x:c>
      <x:c r="S18" s="7" t="str">
        <x:v>Spécification à réaliser. Les champs adaptation, gameplay, visual, animation, audio et implementation décrivent le fan game ; ils ne donnent pas des caractéristiques officielles de l’œuvre.</x:v>
      </x:c>
    </x:row>
    <x:row r="19" ht="68" customHeight="1">
      <x:c r="A19" s="18" t="str">
        <x:v>ME2-MQ-COLLECTOR-SHIP</x:v>
      </x:c>
      <x:c r="B19" s="9" t="str">
        <x:v>Collector Ship</x:v>
      </x:c>
      <x:c r="C19" s="15" t="str">
        <x:v>Défini</x:v>
      </x:c>
      <x:c r="D19" s="16" t="str">
        <x:v>Établi</x:v>
      </x:c>
      <x:c r="E19" s="16" t="str">
        <x:v>P0</x:v>
      </x:c>
      <x:c r="F19" s="9" t="str">
        <x:v>Une exploration tourne à l’embuscade.</x:v>
      </x:c>
      <x:c r="G19" s="9" t="str">
        <x:v>Arènes de plateformes en mouvement ; signaler les débarquements avant de retirer des zones de couverture.</x:v>
      </x:c>
      <x:c r="H19" s="9" t="str">
        <x:v>Arènes de plateformes en mouvement ; signaler les débarquements avant de retirer des zones de couverture.</x:v>
      </x:c>
      <x:c r="I19" s="9" t="str">
        <x:v>Biomatière, couloirs alvéolés et plateformes suspendues.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me2/main_quests/collector-ship ; rattacher les ressources et états cités à cet identifiant. Aucun fichier de jeu créé par ce catalogue.</x:v>
      </x:c>
      <x:c r="M19" s="9" t="str">
        <x:v>Déclenchement de campagne à contrôler par états, pas par horloge réelle.</x:v>
      </x:c>
      <x:c r="N19" s="9" t="str">
        <x:v>Le livrable « Collector Ship » possède une scène ou un scénario de contrôle ; ses règles proposées, ses conditions et ses retours visuels sont vérifiables séparément.</x:v>
      </x:c>
      <x:c r="O19" s="9" t="str"/>
      <x:c r="P19" s="9" t="str">
        <x:v>Collector Ship</x:v>
      </x:c>
      <x:c r="Q19" s="9" t="str">
        <x:v>ME2-SRC-SHIP, ME2-SRC-GUIDE</x:v>
      </x:c>
      <x:c r="R19" s="9" t="str">
        <x:v>https://masseffect.fandom.com/wiki/Collector_Ship_%28mission%29
https://masseffect.fandom.com/wiki/Mass_Effect_2_Guide</x:v>
      </x:c>
      <x:c r="S19" s="9" t="str">
        <x:v>Spécification à réaliser. Les champs adaptation, gameplay, visual, animation, audio et implementation décrivent le fan game ; ils ne donnent pas des caractéristiques officielles de l’œuvre.</x:v>
      </x:c>
    </x:row>
    <x:row r="20" ht="68" customHeight="1">
      <x:c r="A20" s="19" t="str">
        <x:v>ME2-MQ-IFF</x:v>
      </x:c>
      <x:c r="B20" s="7" t="str">
        <x:v>Reaper IFF</x:v>
      </x:c>
      <x:c r="C20" s="15" t="str">
        <x:v>Défini</x:v>
      </x:c>
      <x:c r="D20" s="17" t="str">
        <x:v>Établi</x:v>
      </x:c>
      <x:c r="E20" s="17" t="str">
        <x:v>P0</x:v>
      </x:c>
      <x:c r="F20" s="7" t="str">
        <x:v>L’IFF est récupéré sur un Moissonneur abandonné.</x:v>
      </x:c>
      <x:c r="G20" s="7" t="str">
        <x:v>Exploration de laboratoire contaminé, poussée de husks puis cœur exposé ; réserver un temps de choix pour Legion.</x:v>
      </x:c>
      <x:c r="H20" s="7" t="str">
        <x:v>Exploration de laboratoire contaminé, poussée de husks puis cœur exposé ; réserver un temps de choix pour Legion.</x:v>
      </x:c>
      <x:c r="I20" s="7" t="str">
        <x:v>Matière noire, câbles organiques et cœur de masse.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me2/main_quests/iff ; rattacher les ressources et états cités à cet identifiant. Aucun fichier de jeu créé par ce catalogue.</x:v>
      </x:c>
      <x:c r="M20" s="7" t="str">
        <x:v>Point stratégique qui engage la séquence finale.</x:v>
      </x:c>
      <x:c r="N20" s="7" t="str">
        <x:v>Le livrable « Reaper IFF » possède une scène ou un scénario de contrôle ; ses règles proposées, ses conditions et ses retours visuels sont vérifiables séparément.</x:v>
      </x:c>
      <x:c r="O20" s="7" t="str"/>
      <x:c r="P20" s="7" t="str">
        <x:v>Reaper IFF</x:v>
      </x:c>
      <x:c r="Q20" s="7" t="str">
        <x:v>ME2-SRC-STOP</x:v>
      </x:c>
      <x:c r="R20" s="7" t="str">
        <x:v>https://masseffect.fandom.com/wiki/Stop_the_Collectors</x:v>
      </x:c>
      <x:c r="S20" s="7" t="str">
        <x:v>Spécification à réaliser. Les champs adaptation, gameplay, visual, animation, audio et implementation décrivent le fan game ; ils ne donnent pas des caractéristiques officielles de l’œuvre.</x:v>
      </x:c>
    </x:row>
    <x:row r="21" ht="68" customHeight="1">
      <x:c r="A21" s="18" t="str">
        <x:v>ME2-MQ-ABDUCTION</x:v>
      </x:c>
      <x:c r="B21" s="9" t="str">
        <x:v>Attaque du Normandy — séquence Joker</x:v>
      </x:c>
      <x:c r="C21" s="15" t="str">
        <x:v>Défini</x:v>
      </x:c>
      <x:c r="D21" s="16" t="str">
        <x:v>Établi</x:v>
      </x:c>
      <x:c r="E21" s="16" t="str">
        <x:v>P0</x:v>
      </x:c>
      <x:c r="F21" s="9" t="str">
        <x:v>Les Collecteurs enlèvent l’équipage.</x:v>
      </x:c>
      <x:c r="G21" s="9" t="str">
        <x:v>Parcours de survie sans arsenal pour Joker ; EDI annonce des abris et ouvertures sûres.</x:v>
      </x:c>
      <x:c r="H21" s="9" t="str">
        <x:v>Parcours de survie sans arsenal pour Joker ; EDI annonce des abris et ouvertures sûres.</x:v>
      </x:c>
      <x:c r="I21" s="9" t="str">
        <x:v>Normandy envahi, portes déformées et silhouettes ennemies.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me2/main_quests/abduction ; rattacher les ressources et états cités à cet identifiant. Aucun fichier de jeu créé par ce catalogue.</x:v>
      </x:c>
      <x:c r="M21" s="9" t="str">
        <x:v>Après installation de l’IFF selon progression.</x:v>
      </x:c>
      <x:c r="N21" s="9" t="str">
        <x:v>Le livrable « Attaque du Normandy — séquence Joker » possède une scène ou un scénario de contrôle ; ses règles proposées, ses conditions et ses retours visuels sont vérifiables séparément.</x:v>
      </x:c>
      <x:c r="O21" s="9" t="str"/>
      <x:c r="P21" s="9" t="str">
        <x:v>Attaque du Normandy — séquence Joker</x:v>
      </x:c>
      <x:c r="Q21" s="9" t="str">
        <x:v>ME2-SRC-STORY, ME2-SRC-STOP</x:v>
      </x:c>
      <x:c r="R21" s="9" t="str">
        <x:v>https://masseffect.fandom.com/wiki/Storyline_II
https://masseffect.fandom.com/wiki/Stop_the_Collectors</x:v>
      </x:c>
      <x:c r="S21" s="9" t="str">
        <x:v>Spécification à réaliser. Les champs adaptation, gameplay, visual, animation, audio et implementation décrivent le fan game ; ils ne donnent pas des caractéristiques officielles de l’œuvre.</x:v>
      </x:c>
    </x:row>
    <x:row r="22" ht="68" customHeight="1">
      <x:c r="A22" s="19" t="str">
        <x:v>ME2-MQ-OMEGA4</x:v>
      </x:c>
      <x:c r="B22" s="7" t="str">
        <x:v>Passage du relais Omega-4</x:v>
      </x:c>
      <x:c r="C22" s="15" t="str">
        <x:v>Défini</x:v>
      </x:c>
      <x:c r="D22" s="17" t="str">
        <x:v>Établi</x:v>
      </x:c>
      <x:c r="E22" s="17" t="str">
        <x:v>P0</x:v>
      </x:c>
      <x:c r="F22" s="7" t="str">
        <x:v>Le relais conduit à la base des Collecteurs.</x:v>
      </x:c>
      <x:c r="G22" s="7" t="str">
        <x:v>Séquence spatiale résolue par améliorations et états du vaisseau ; présenter les raisons des dégâts.</x:v>
      </x:c>
      <x:c r="H22" s="7" t="str">
        <x:v>Séquence spatiale résolue par améliorations et états du vaisseau ; présenter les raisons des dégâts.</x:v>
      </x:c>
      <x:c r="I22" s="7" t="str">
        <x:v>Épaves dans le vide, attaques Oculus et approche organique.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me2/main_quests/omega4 ; rattacher les ressources et états cités à cet identifiant. Aucun fichier de jeu créé par ce catalogue.</x:v>
      </x:c>
      <x:c r="M22" s="7" t="str">
        <x:v>Départ volontaire après activation IFF.</x:v>
      </x:c>
      <x:c r="N22" s="7" t="str">
        <x:v>Le livrable « Passage du relais Omega-4 » possède une scène ou un scénario de contrôle ; ses règles proposées, ses conditions et ses retours visuels sont vérifiables séparément.</x:v>
      </x:c>
      <x:c r="O22" s="7" t="str"/>
      <x:c r="P22" s="7" t="str">
        <x:v>Passage du relais Omega-4</x:v>
      </x:c>
      <x:c r="Q22" s="7" t="str">
        <x:v>ME2-SRC-GUIDE</x:v>
      </x:c>
      <x:c r="R22" s="7" t="str">
        <x:v>https://masseffect.fandom.com/wiki/Mass_Effect_2_Guide</x:v>
      </x:c>
      <x:c r="S22" s="7" t="str">
        <x:v>Spécification à réaliser. Les champs adaptation, gameplay, visual, animation, audio et implementation décrivent le fan game ; ils ne donnent pas des caractéristiques officielles de l’œuvre.</x:v>
      </x:c>
    </x:row>
    <x:row r="23" ht="68" customHeight="1">
      <x:c r="A23" s="18" t="str">
        <x:v>ME2-MQ-INFILTRATION</x:v>
      </x:c>
      <x:c r="B23" s="9" t="str">
        <x:v>Collector Base: Infiltration</x:v>
      </x:c>
      <x:c r="C23" s="15" t="str">
        <x:v>Défini</x:v>
      </x:c>
      <x:c r="D23" s="16" t="str">
        <x:v>Établi</x:v>
      </x:c>
      <x:c r="E23" s="16" t="str">
        <x:v>P0</x:v>
      </x:c>
      <x:c r="F23" s="9" t="str">
        <x:v>L’équipe se divise autour d’un spécialiste.</x:v>
      </x:c>
      <x:c r="G23" s="9" t="str">
        <x:v>Ordres de chef et technicien avant combat ; valves à activer pendant que le groupe protège le conduit.</x:v>
      </x:c>
      <x:c r="H23" s="9" t="str">
        <x:v>Ordres de chef et technicien avant combat ; valves à activer pendant que le groupe protège le conduit.</x:v>
      </x:c>
      <x:c r="I23" s="9" t="str">
        <x:v>Ventilations chaudes, ponts et panneaux de sécurité.</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me2/main_quests/infiltration ; rattacher les ressources et états cités à cet identifiant. Aucun fichier de jeu créé par ce catalogue.</x:v>
      </x:c>
      <x:c r="M23" s="9" t="str">
        <x:v>Compétence et loyauté des affectations influencent l’issue.</x:v>
      </x:c>
      <x:c r="N23" s="9" t="str">
        <x:v>Le livrable « Collector Base: Infiltration » possède une scène ou un scénario de contrôle ; ses règles proposées, ses conditions et ses retours visuels sont vérifiables séparément.</x:v>
      </x:c>
      <x:c r="O23" s="9" t="str"/>
      <x:c r="P23" s="9" t="str">
        <x:v>Collector Base: Infiltration</x:v>
      </x:c>
      <x:c r="Q23" s="9" t="str">
        <x:v>ME2-SRC-INFIL</x:v>
      </x:c>
      <x:c r="R23" s="9" t="str">
        <x:v>https://masseffect.fandom.com/wiki/Collector_Base%3A_Infiltration</x:v>
      </x:c>
      <x:c r="S23" s="9" t="str">
        <x:v>Spécification à réaliser. Les champs adaptation, gameplay, visual, animation, audio et implementation décrivent le fan game ; ils ne donnent pas des caractéristiques officielles de l’œuvre.</x:v>
      </x:c>
    </x:row>
    <x:row r="24" ht="68" customHeight="1">
      <x:c r="A24" s="19" t="str">
        <x:v>ME2-MQ-LONG-WALK</x:v>
      </x:c>
      <x:c r="B24" s="7" t="str">
        <x:v>Collector Base: The Long Walk</x:v>
      </x:c>
      <x:c r="C24" s="15" t="str">
        <x:v>Défini</x:v>
      </x:c>
      <x:c r="D24" s="17" t="str">
        <x:v>Établi</x:v>
      </x:c>
      <x:c r="E24" s="17" t="str">
        <x:v>P0</x:v>
      </x:c>
      <x:c r="F24" s="7" t="str">
        <x:v>Une barrière biotique protège des essaims.</x:v>
      </x:c>
      <x:c r="G24" s="7" t="str">
        <x:v>Déplacement du groupe dans un volume mobile ; intégrer escorte des survivants comme décision distincte.</x:v>
      </x:c>
      <x:c r="H24" s="7" t="str">
        <x:v>Déplacement du groupe dans un volume mobile ; intégrer escorte des survivants comme décision distincte.</x:v>
      </x:c>
      <x:c r="I24" s="7" t="str">
        <x:v>Nuage d’insectes, dôme biotique et couloir de captifs.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me2/main_quests/long-walk ; rattacher les ressources et états cités à cet identifiant. Aucun fichier de jeu créé par ce catalogue.</x:v>
      </x:c>
      <x:c r="M24" s="7" t="str">
        <x:v>Après infiltration ; délai de départ affecte les captifs.</x:v>
      </x:c>
      <x:c r="N24" s="7" t="str">
        <x:v>Le livrable « Collector Base: The Long Walk » possède une scène ou un scénario de contrôle ; ses règles proposées, ses conditions et ses retours visuels sont vérifiables séparément.</x:v>
      </x:c>
      <x:c r="O24" s="7" t="str"/>
      <x:c r="P24" s="7" t="str">
        <x:v>Collector Base: The Long Walk</x:v>
      </x:c>
      <x:c r="Q24" s="7" t="str">
        <x:v>ME2-SRC-WALK</x:v>
      </x:c>
      <x:c r="R24" s="7" t="str">
        <x:v>https://masseffect.fandom.com/wiki/Collector_Base%3A_The_Long_Walk</x:v>
      </x:c>
      <x:c r="S24" s="7" t="str">
        <x:v>Spécification à réaliser. Les champs adaptation, gameplay, visual, animation, audio et implementation décrivent le fan game ; ils ne donnent pas des caractéristiques officielles de l’œuvre.</x:v>
      </x:c>
    </x:row>
    <x:row r="25" ht="68" customHeight="1">
      <x:c r="A25" s="18" t="str">
        <x:v>ME2-MQ-FINAL</x:v>
      </x:c>
      <x:c r="B25" s="9" t="str">
        <x:v>Collector Base: Final Battle</x:v>
      </x:c>
      <x:c r="C25" s="15" t="str">
        <x:v>Défini</x:v>
      </x:c>
      <x:c r="D25" s="16" t="str">
        <x:v>Établi</x:v>
      </x:c>
      <x:c r="E25" s="16" t="str">
        <x:v>P0</x:v>
      </x:c>
      <x:c r="F25" s="9" t="str">
        <x:v>La confrontation termine la mission suicide.</x:v>
      </x:c>
      <x:c r="G25" s="9" t="str">
        <x:v>Boss à points faibles et phases de retrait ; choix de la base après le combat, puis extraction.</x:v>
      </x:c>
      <x:c r="H25" s="9" t="str">
        <x:v>Boss à points faibles et phases de retrait ; choix de la base après le combat, puis extraction.</x:v>
      </x:c>
      <x:c r="I25" s="9" t="str">
        <x:v>Plateforme suspendue et Moissonneur humain en construction.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me2/main_quests/final ; rattacher les ressources et états cités à cet identifiant. Aucun fichier de jeu créé par ce catalogue.</x:v>
      </x:c>
      <x:c r="M25" s="9" t="str">
        <x:v>Composition du dernier groupe et défense arrière à résoudre séparément.</x:v>
      </x:c>
      <x:c r="N25" s="9" t="str">
        <x:v>Le livrable « Collector Base: Final Battle » possède une scène ou un scénario de contrôle ; ses règles proposées, ses conditions et ses retours visuels sont vérifiables séparément.</x:v>
      </x:c>
      <x:c r="O25" s="9" t="str"/>
      <x:c r="P25" s="9" t="str">
        <x:v>Collector Base: Final Battle</x:v>
      </x:c>
      <x:c r="Q25" s="9" t="str">
        <x:v>ME2-SRC-FINAL</x:v>
      </x:c>
      <x:c r="R25" s="9" t="str">
        <x:v>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row r="26" ht="68" customHeight="1">
      <x:c r="A26" s="19" t="str">
        <x:v>ME2-MQ-LOY-GARRUS</x:v>
      </x:c>
      <x:c r="B26" s="7" t="str">
        <x:v>Garrus: Eye for an Eye</x:v>
      </x:c>
      <x:c r="C26" s="15" t="str">
        <x:v>Défini</x:v>
      </x:c>
      <x:c r="D26" s="17" t="str">
        <x:v>Établi</x:v>
      </x:c>
      <x:c r="E26" s="17" t="str">
        <x:v>P0</x:v>
      </x:c>
      <x:c r="F26" s="7" t="str">
        <x:v>Garrus recherche Sidonis.</x:v>
      </x:c>
      <x:c r="G26" s="7" t="str">
        <x:v>Enquête, entrepôt et cadrage de tir ; laisser au joueur une vraie fenêtre de désescalade.</x:v>
      </x:c>
      <x:c r="H26" s="7" t="str">
        <x:v>Enquête, entrepôt et cadrage de tir ; laisser au joueur une vraie fenêtre de désescalade.</x:v>
      </x:c>
      <x:c r="I26" s="7" t="str">
        <x:v>Secteur industriel puis belvédère de la Citadelle.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me2/main_quests/loy-garrus ; rattacher les ressources et états cités à cet identifiant. Aucun fichier de jeu créé par ce catalogue.</x:v>
      </x:c>
      <x:c r="M26" s="7" t="str">
        <x:v>Garrus recruté et requête ouverte.</x:v>
      </x:c>
      <x:c r="N26" s="7" t="str">
        <x:v>Le livrable « Garrus: Eye for an Eye » possède une scène ou un scénario de contrôle ; ses règles proposées, ses conditions et ses retours visuels sont vérifiables séparément.</x:v>
      </x:c>
      <x:c r="O26" s="7" t="str"/>
      <x:c r="P26" s="7" t="str">
        <x:v>Garrus: Eye for an Eye</x:v>
      </x:c>
      <x:c r="Q26" s="7" t="str">
        <x:v>ME2-SRC-GARRUS</x:v>
      </x:c>
      <x:c r="R26" s="7" t="str">
        <x:v>https://masseffect.fandom.com/wiki/Garrus%3A_Eye_for_an_Eye</x:v>
      </x:c>
      <x:c r="S26" s="7" t="str">
        <x:v>Spécification à réaliser. Les champs adaptation, gameplay, visual, animation, audio et implementation décrivent le fan game ; ils ne donnent pas des caractéristiques officielles de l’œuvre.</x:v>
      </x:c>
    </x:row>
    <x:row r="27" ht="68" customHeight="1">
      <x:c r="A27" s="18" t="str">
        <x:v>ME2-MQ-LOY-GRUNT</x:v>
      </x:c>
      <x:c r="B27" s="9" t="str">
        <x:v>Grunt: Rite of Passage</x:v>
      </x:c>
      <x:c r="C27" s="15" t="str">
        <x:v>Défini</x:v>
      </x:c>
      <x:c r="D27" s="16" t="str">
        <x:v>Établi</x:v>
      </x:c>
      <x:c r="E27" s="16" t="str">
        <x:v>P0</x:v>
      </x:c>
      <x:c r="F27" s="9" t="str">
        <x:v>Grunt entreprend un rite krogan.</x:v>
      </x:c>
      <x:c r="G27" s="9" t="str">
        <x:v>Arena de survie à vagues et objectif de durée proposé ; duel de fin séparé de la performance face au dévoreur.</x:v>
      </x:c>
      <x:c r="H27" s="9" t="str">
        <x:v>Arena de survie à vagues et objectif de durée proposé ; duel de fin séparé de la performance face au dévoreur.</x:v>
      </x:c>
      <x:c r="I27" s="9" t="str">
        <x:v>Arène de Tuchanka et monument rituel.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me2/main_quests/loy-grunt ; rattacher les ressources et états cités à cet identifiant. Aucun fichier de jeu créé par ce catalogue.</x:v>
      </x:c>
      <x:c r="M27" s="9" t="str">
        <x:v>Grunt activé.</x:v>
      </x:c>
      <x:c r="N27" s="9" t="str">
        <x:v>Le livrable « Grunt: Rite of Passage » possède une scène ou un scénario de contrôle ; ses règles proposées, ses conditions et ses retours visuels sont vérifiables séparément.</x:v>
      </x:c>
      <x:c r="O27" s="9" t="str"/>
      <x:c r="P27" s="9" t="str">
        <x:v>Grunt: Rite of Passage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ME2-MQ-LOY-JACK</x:v>
      </x:c>
      <x:c r="B28" s="7" t="str">
        <x:v>Jack: Subject Zero</x:v>
      </x:c>
      <x:c r="C28" s="15" t="str">
        <x:v>Défini</x:v>
      </x:c>
      <x:c r="D28" s="17" t="str">
        <x:v>Établi</x:v>
      </x:c>
      <x:c r="E28" s="17" t="str">
        <x:v>P0</x:v>
      </x:c>
      <x:c r="F28" s="7" t="str">
        <x:v>Jack retourne au centre de Pragia.</x:v>
      </x:c>
      <x:c r="G28" s="7" t="str">
        <x:v>Exploration des salles de souvenirs puis pose de charge ; permettre le silence après chaque découverte.</x:v>
      </x:c>
      <x:c r="H28" s="7" t="str">
        <x:v>Exploration des salles de souvenirs puis pose de charge ; permettre le silence après chaque découverte.</x:v>
      </x:c>
      <x:c r="I28" s="7" t="str">
        <x:v>Jungle intrusive et ancien laboratoire.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me2/main_quests/loy-jack ; rattacher les ressources et états cités à cet identifiant. Aucun fichier de jeu créé par ce catalogue.</x:v>
      </x:c>
      <x:c r="M28" s="7" t="str">
        <x:v>Jack recrutée.</x:v>
      </x:c>
      <x:c r="N28" s="7" t="str">
        <x:v>Le livrable « Jack: Subject Zero » possède une scène ou un scénario de contrôle ; ses règles proposées, ses conditions et ses retours visuels sont vérifiables séparément.</x:v>
      </x:c>
      <x:c r="O28" s="7" t="str"/>
      <x:c r="P28" s="7" t="str">
        <x:v>Jack: Subject Zero</x:v>
      </x:c>
      <x:c r="Q28" s="7" t="str">
        <x:v>ME2-SRC-JACK</x:v>
      </x:c>
      <x:c r="R28" s="7" t="str">
        <x:v>https://masseffect.fandom.com/wiki/Jack%3A_Subject_Zero</x:v>
      </x:c>
      <x:c r="S28" s="7" t="str">
        <x:v>Spécification à réaliser. Les champs adaptation, gameplay, visual, animation, audio et implementation décrivent le fan game ; ils ne donnent pas des caractéristiques officielles de l’œuvre.</x:v>
      </x:c>
    </x:row>
    <x:row r="29" ht="68" customHeight="1">
      <x:c r="A29" s="18" t="str">
        <x:v>ME2-MQ-LOY-JACOB</x:v>
      </x:c>
      <x:c r="B29" s="9" t="str">
        <x:v>Jacob: The Gift of Greatness</x:v>
      </x:c>
      <x:c r="C29" s="15" t="str">
        <x:v>Défini</x:v>
      </x:c>
      <x:c r="D29" s="16" t="str">
        <x:v>Établi</x:v>
      </x:c>
      <x:c r="E29" s="16" t="str">
        <x:v>P0</x:v>
      </x:c>
      <x:c r="F29" s="9" t="str">
        <x:v>Le signal du Gernsback mène à Aeia.</x:v>
      </x:c>
      <x:c r="G29" s="9" t="str">
        <x:v>Assembler les indices avant la confrontation ; protéger les survivants dans les combats intermédiaires.</x:v>
      </x:c>
      <x:c r="H29" s="9" t="str">
        <x:v>Assembler les indices avant la confrontation ; protéger les survivants dans les combats intermédiaires.</x:v>
      </x:c>
      <x:c r="I29" s="9" t="str">
        <x:v>Plage, épave, camp séparé et végétation.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me2/main_quests/loy-jacob ; rattacher les ressources et états cités à cet identifiant. Aucun fichier de jeu créé par ce catalogue.</x:v>
      </x:c>
      <x:c r="M29" s="9" t="str">
        <x:v>Jacob recruté.</x:v>
      </x:c>
      <x:c r="N29" s="9" t="str">
        <x:v>Le livrable « Jacob: The Gift of Greatness » possède une scène ou un scénario de contrôle ; ses règles proposées, ses conditions et ses retours visuels sont vérifiables séparément.</x:v>
      </x:c>
      <x:c r="O29" s="9" t="str"/>
      <x:c r="P29" s="9" t="str">
        <x:v>Jacob: The Gift of Greatness</x:v>
      </x:c>
      <x:c r="Q29" s="9" t="str">
        <x:v>ME2-SRC-JACOB</x:v>
      </x:c>
      <x:c r="R29" s="9" t="str">
        <x:v>https://masseffect.fandom.com/wiki/Jacob%3A_The_Gift_of_Greatness</x:v>
      </x:c>
      <x:c r="S29" s="9" t="str">
        <x:v>Spécification à réaliser. Les champs adaptation, gameplay, visual, animation, audio et implementation décrivent le fan game ; ils ne donnent pas des caractéristiques officielles de l’œuvre.</x:v>
      </x:c>
    </x:row>
    <x:row r="30" ht="68" customHeight="1">
      <x:c r="A30" s="19" t="str">
        <x:v>ME2-MQ-LOY-MIRANDA</x:v>
      </x:c>
      <x:c r="B30" s="7" t="str">
        <x:v>Miranda: The Prodigal</x:v>
      </x:c>
      <x:c r="C30" s="15" t="str">
        <x:v>Défini</x:v>
      </x:c>
      <x:c r="D30" s="17" t="str">
        <x:v>Établi</x:v>
      </x:c>
      <x:c r="E30" s="17" t="str">
        <x:v>P0</x:v>
      </x:c>
      <x:c r="F30" s="7" t="str">
        <x:v>Miranda protège sa sœur sur Illium.</x:v>
      </x:c>
      <x:c r="G30" s="7" t="str">
        <x:v>Combat de fret à convoyeurs ; preuves, confrontation de Niket puis choix de rencontre avec Oriana.</x:v>
      </x:c>
      <x:c r="H30" s="7" t="str">
        <x:v>Combat de fret à convoyeurs ; preuves, confrontation de Niket puis choix de rencontre avec Oriana.</x:v>
      </x:c>
      <x:c r="I30" s="7" t="str">
        <x:v>Terminal cargo, conteneurs et quais.</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me2/main_quests/loy-miranda ; rattacher les ressources et états cités à cet identifiant. Aucun fichier de jeu créé par ce catalogue.</x:v>
      </x:c>
      <x:c r="M30" s="7" t="str">
        <x:v>Miranda recrutée.</x:v>
      </x:c>
      <x:c r="N30" s="7" t="str">
        <x:v>Le livrable « Miranda: The Prodigal » possède une scène ou un scénario de contrôle ; ses règles proposées, ses conditions et ses retours visuels sont vérifiables séparément.</x:v>
      </x:c>
      <x:c r="O30" s="7" t="str"/>
      <x:c r="P30" s="7" t="str">
        <x:v>Miranda: The Prodigal</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ME2-MQ-LOY-MORDIN</x:v>
      </x:c>
      <x:c r="B31" s="9" t="str">
        <x:v>Mordin: Old Blood</x:v>
      </x:c>
      <x:c r="C31" s="15" t="str">
        <x:v>Défini</x:v>
      </x:c>
      <x:c r="D31" s="16" t="str">
        <x:v>Établi</x:v>
      </x:c>
      <x:c r="E31" s="16" t="str">
        <x:v>P0</x:v>
      </x:c>
      <x:c r="F31" s="9" t="str">
        <x:v>Mordin retrouve les travaux de Maelon.</x:v>
      </x:c>
      <x:c r="G31" s="9" t="str">
        <x:v>Exploration médicale puis choix distincts sur Maelon et ses recherches ; bannir un résumé qui fusionne les deux.</x:v>
      </x:c>
      <x:c r="H31" s="9" t="str">
        <x:v>Exploration médicale puis choix distincts sur Maelon et ses recherches ; bannir un résumé qui fusionne les deux.</x:v>
      </x:c>
      <x:c r="I31" s="9" t="str">
        <x:v>Hôpital en ruine et laboratoire clandestin.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me2/main_quests/loy-mordin ; rattacher les ressources et états cités à cet identifiant. Aucun fichier de jeu créé par ce catalogue.</x:v>
      </x:c>
      <x:c r="M31" s="9" t="str">
        <x:v>Mordin recruté.</x:v>
      </x:c>
      <x:c r="N31" s="9" t="str">
        <x:v>Le livrable « Mordin: Old Blood » possède une scène ou un scénario de contrôle ; ses règles proposées, ses conditions et ses retours visuels sont vérifiables séparément.</x:v>
      </x:c>
      <x:c r="O31" s="9" t="str"/>
      <x:c r="P31" s="9" t="str">
        <x:v>Mordin: Old Blood</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ME2-MQ-LOY-SAMARA</x:v>
      </x:c>
      <x:c r="B32" s="7" t="str">
        <x:v>Samara: The Ardat-Yakshi</x:v>
      </x:c>
      <x:c r="C32" s="15" t="str">
        <x:v>Défini</x:v>
      </x:c>
      <x:c r="D32" s="17" t="str">
        <x:v>Établi</x:v>
      </x:c>
      <x:c r="E32" s="17" t="str">
        <x:v>P0</x:v>
      </x:c>
      <x:c r="F32" s="7" t="str">
        <x:v>Samara poursuit Morinth.</x:v>
      </x:c>
      <x:c r="G32" s="7" t="str">
        <x:v>Enquête sociale, sélection d’indices et conversation à risque ; aucune fusillade obligatoire ajoutée.</x:v>
      </x:c>
      <x:c r="H32" s="7" t="str">
        <x:v>Enquête sociale, sélection d’indices et conversation à risque ; aucune fusillade obligatoire ajoutée.</x:v>
      </x:c>
      <x:c r="I32" s="7" t="str">
        <x:v>Appartement de victime, club VIP et demeure de Morinth.</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me2/main_quests/loy-samara ; rattacher les ressources et états cités à cet identifiant. Aucun fichier de jeu créé par ce catalogue.</x:v>
      </x:c>
      <x:c r="M32" s="7" t="str">
        <x:v>Samara recrutée ; substitution conditionnelle.</x:v>
      </x:c>
      <x:c r="N32" s="7" t="str">
        <x:v>Le livrable « Samara: The Ardat-Yakshi » possède une scène ou un scénario de contrôle ; ses règles proposées, ses conditions et ses retours visuels sont vérifiables séparément.</x:v>
      </x:c>
      <x:c r="O32" s="7" t="str"/>
      <x:c r="P32" s="7" t="str">
        <x:v>Samara: The Ardat-Yakshi</x:v>
      </x:c>
      <x:c r="Q32" s="7" t="str">
        <x:v>ME2-SRC-SAMARA</x:v>
      </x:c>
      <x:c r="R32" s="7" t="str">
        <x:v>https://masseffect.fandom.com/wiki/Samara%3A_The_Ardat-Yakshi</x:v>
      </x:c>
      <x:c r="S32" s="7" t="str">
        <x:v>Spécification à réaliser. Les champs adaptation, gameplay, visual, animation, audio et implementation décrivent le fan game ; ils ne donnent pas des caractéristiques officielles de l’œuvre.</x:v>
      </x:c>
    </x:row>
    <x:row r="33" ht="68" customHeight="1">
      <x:c r="A33" s="18" t="str">
        <x:v>ME2-MQ-LOY-TALI</x:v>
      </x:c>
      <x:c r="B33" s="9" t="str">
        <x:v>Tali: Treason</x:v>
      </x:c>
      <x:c r="C33" s="15" t="str">
        <x:v>Défini</x:v>
      </x:c>
      <x:c r="D33" s="16" t="str">
        <x:v>Établi</x:v>
      </x:c>
      <x:c r="E33" s="16" t="str">
        <x:v>P0</x:v>
      </x:c>
      <x:c r="F33" s="9" t="str">
        <x:v>Tali est jugée par la Flotte.</x:v>
      </x:c>
      <x:c r="G33" s="9" t="str">
        <x:v>Audience, fouille de l’Alarei puis verdict ; garder preuve, disculpation et loyauté comme variables distinctes.</x:v>
      </x:c>
      <x:c r="H33" s="9" t="str">
        <x:v>Audience, fouille de l’Alarei puis verdict ; garder preuve, disculpation et loyauté comme variables distinctes.</x:v>
      </x:c>
      <x:c r="I33" s="9" t="str">
        <x:v>Vaisseaux quariens, assemblée et pont contaminé.</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me2/main_quests/loy-tali ; rattacher les ressources et états cités à cet identifiant. Aucun fichier de jeu créé par ce catalogue.</x:v>
      </x:c>
      <x:c r="M33" s="9" t="str">
        <x:v>Tali recrutée.</x:v>
      </x:c>
      <x:c r="N33" s="9" t="str">
        <x:v>Le livrable « Tali: Treason » possède une scène ou un scénario de contrôle ; ses règles proposées, ses conditions et ses retours visuels sont vérifiables séparément.</x:v>
      </x:c>
      <x:c r="O33" s="9" t="str"/>
      <x:c r="P33" s="9" t="str">
        <x:v>Tali: Treason</x:v>
      </x:c>
      <x:c r="Q33" s="9" t="str">
        <x:v>ME2-SRC-TREASON</x:v>
      </x:c>
      <x:c r="R33" s="9" t="str">
        <x:v>https://masseffect.fandom.com/wiki/Tali%3A_Treason</x:v>
      </x:c>
      <x:c r="S33" s="9" t="str">
        <x:v>Spécification à réaliser. Les champs adaptation, gameplay, visual, animation, audio et implementation décrivent le fan game ; ils ne donnent pas des caractéristiques officielles de l’œuvre.</x:v>
      </x:c>
    </x:row>
    <x:row r="34" ht="68" customHeight="1">
      <x:c r="A34" s="19" t="str">
        <x:v>ME2-MQ-LOY-THANE</x:v>
      </x:c>
      <x:c r="B34" s="7" t="str">
        <x:v>Thane: Sins of the Father</x:v>
      </x:c>
      <x:c r="C34" s="15" t="str">
        <x:v>Défini</x:v>
      </x:c>
      <x:c r="D34" s="17" t="str">
        <x:v>Établi</x:v>
      </x:c>
      <x:c r="E34" s="17" t="str">
        <x:v>P0</x:v>
      </x:c>
      <x:c r="F34" s="7" t="str">
        <x:v>Thane veut arrêter le contrat de Kolyat.</x:v>
      </x:c>
      <x:c r="G34" s="7" t="str">
        <x:v>Interrogatoire puis filature par passerelles ; échec de suivi et réussite diplomatique ont des retours différents.</x:v>
      </x:c>
      <x:c r="H34" s="7" t="str">
        <x:v>Interrogatoire puis filature par passerelles ; échec de suivi et réussite diplomatique ont des retours différents.</x:v>
      </x:c>
      <x:c r="I34" s="7" t="str">
        <x:v>Citadelle, ponts intérieurs et appartement de la cible.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me2/main_quests/loy-thane ; rattacher les ressources et états cités à cet identifiant. Aucun fichier de jeu créé par ce catalogue.</x:v>
      </x:c>
      <x:c r="M34" s="7" t="str">
        <x:v>Thane recruté.</x:v>
      </x:c>
      <x:c r="N34" s="7" t="str">
        <x:v>Le livrable « Thane: Sins of the Father » possède une scène ou un scénario de contrôle ; ses règles proposées, ses conditions et ses retours visuels sont vérifiables séparément.</x:v>
      </x:c>
      <x:c r="O34" s="7" t="str"/>
      <x:c r="P34" s="7" t="str">
        <x:v>Thane: Sins of the Father</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ME2-MQ-LOY-LEGION</x:v>
      </x:c>
      <x:c r="B35" s="9" t="str">
        <x:v>Legion: A House Divided</x:v>
      </x:c>
      <x:c r="C35" s="15" t="str">
        <x:v>Défini</x:v>
      </x:c>
      <x:c r="D35" s="16" t="str">
        <x:v>Établi</x:v>
      </x:c>
      <x:c r="E35" s="16" t="str">
        <x:v>P0</x:v>
      </x:c>
      <x:c r="F35" s="9" t="str">
        <x:v>Des geth hérétiques préparent un virus.</x:v>
      </x:c>
      <x:c r="G35" s="9" t="str">
        <x:v>Piratage de défenses avant alerte ; tenir un terminal puis choisir destruction ou réécriture.</x:v>
      </x:c>
      <x:c r="H35" s="9" t="str">
        <x:v>Piratage de défenses avant alerte ; tenir un terminal puis choisir destruction ou réécriture.</x:v>
      </x:c>
      <x:c r="I35" s="9" t="str">
        <x:v>Station sans confort organique, serveurs et lignes vertes.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me2/main_quests/loy-legion ; rattacher les ressources et états cités à cet identifiant. Aucun fichier de jeu créé par ce catalogue.</x:v>
      </x:c>
      <x:c r="M35" s="9" t="str">
        <x:v>Legion activé ; vérifier calendrier de l’équipage.</x:v>
      </x:c>
      <x:c r="N35" s="9" t="str">
        <x:v>Le livrable « Legion: A House Divided » possède une scène ou un scénario de contrôle ; ses règles proposées, ses conditions et ses retours visuels sont vérifiables séparément.</x:v>
      </x:c>
      <x:c r="O35" s="9" t="str"/>
      <x:c r="P35" s="9" t="str">
        <x:v>Legion: A House Divided</x:v>
      </x:c>
      <x:c r="Q35" s="9" t="str">
        <x:v>ME2-SRC-LEGION</x:v>
      </x:c>
      <x:c r="R35" s="9" t="str">
        <x:v>https://masseffect.fandom.com/wiki/Legion%3A_A_House_Divided</x:v>
      </x:c>
      <x:c r="S35" s="9" t="str">
        <x:v>Spécification à réaliser. Les champs adaptation, gameplay, visual, animation, audio et implementation décrivent le fan game ; ils ne donnent pas des caractéristiques officielles de l’œuvre.</x:v>
      </x:c>
    </x:row>
    <x:row r="36" ht="68" customHeight="1">
      <x:c r="A36" s="19" t="str">
        <x:v>ME2-MQ-KASUMI-RECRUIT</x:v>
      </x:c>
      <x:c r="B36" s="7" t="str">
        <x:v>Dossier: The Master Thief</x:v>
      </x:c>
      <x:c r="C36" s="15" t="str">
        <x:v>Défini</x:v>
      </x:c>
      <x:c r="D36" s="17" t="str">
        <x:v>Établi</x:v>
      </x:c>
      <x:c r="E36" s="17" t="str">
        <x:v>P0</x:v>
      </x:c>
      <x:c r="F36" s="7" t="str">
        <x:v>Kasumi se recrute sur la Citadelle.</x:v>
      </x:c>
      <x:c r="G36" s="7" t="str">
        <x:v>Rencontre d’alias au terminal public ; établir un canal privé avant d’ouvrir le cambriolage.</x:v>
      </x:c>
      <x:c r="H36" s="7" t="str">
        <x:v>Rencontre d’alias au terminal public ; établir un canal privé avant d’ouvrir le cambriolage.</x:v>
      </x:c>
      <x:c r="I36" s="7" t="str">
        <x:v>Publicité holographique et foule discrète.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me2/main_quests/kasumi-recruit ; rattacher les ressources et états cités à cet identifiant. Aucun fichier de jeu créé par ce catalogue.</x:v>
      </x:c>
      <x:c r="M36" s="7" t="str">
        <x:v>Pack Kasumi / Legendary.</x:v>
      </x:c>
      <x:c r="N36" s="7" t="str">
        <x:v>Le livrable « Dossier: The Master Thief » possède une scène ou un scénario de contrôle ; ses règles proposées, ses conditions et ses retours visuels sont vérifiables séparément.</x:v>
      </x:c>
      <x:c r="O36" s="7" t="str"/>
      <x:c r="P36" s="7" t="str">
        <x:v>Dossier: The Master Thief</x:v>
      </x:c>
      <x:c r="Q36" s="7" t="str">
        <x:v>ME2-SRC-MISSIONS</x:v>
      </x:c>
      <x:c r="R36" s="7" t="str">
        <x:v>https://masseffect.fandom.com/wiki/Missions</x:v>
      </x:c>
      <x:c r="S36" s="7" t="str">
        <x:v>Spécification à réaliser. Les champs adaptation, gameplay, visual, animation, audio et implementation décrivent le fan game ; ils ne donnent pas des caractéristiques officielles de l’œuvre.</x:v>
      </x:c>
    </x:row>
    <x:row r="37" ht="68" customHeight="1">
      <x:c r="A37" s="18" t="str">
        <x:v>ME2-MQ-KASUMI-HEIST</x:v>
      </x:c>
      <x:c r="B37" s="9" t="str">
        <x:v>Kasumi: Stealing Memory</x:v>
      </x:c>
      <x:c r="C37" s="15" t="str">
        <x:v>Défini</x:v>
      </x:c>
      <x:c r="D37" s="16" t="str">
        <x:v>Établi</x:v>
      </x:c>
      <x:c r="E37" s="16" t="str">
        <x:v>P0</x:v>
      </x:c>
      <x:c r="F37" s="9" t="str">
        <x:v>Le cambriolage vise le graybox de Keiji.</x:v>
      </x:c>
      <x:c r="G37" s="9" t="str">
        <x:v>Préparer accès vocal, prélèvement et brouillage, puis sortir du coffre sous le feu.</x:v>
      </x:c>
      <x:c r="H37" s="9" t="str">
        <x:v>Préparer accès vocal, prélèvement et brouillage, puis sortir du coffre sous le feu.</x:v>
      </x:c>
      <x:c r="I37" s="9" t="str">
        <x:v>Manoir de Bekenstein, réception, collection et terrasse.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me2/main_quests/kasumi-heist ; rattacher les ressources et états cités à cet identifiant. Aucun fichier de jeu créé par ce catalogue.</x:v>
      </x:c>
      <x:c r="M37" s="9" t="str">
        <x:v>Kasumi recrutée.</x:v>
      </x:c>
      <x:c r="N37" s="9" t="str">
        <x:v>Le livrable « Kasumi: Stealing Memory » possède une scène ou un scénario de contrôle ; ses règles proposées, ses conditions et ses retours visuels sont vérifiables séparément.</x:v>
      </x:c>
      <x:c r="O37" s="9" t="str"/>
      <x:c r="P37" s="9" t="str">
        <x:v>Kasumi: Stealing Memory</x:v>
      </x:c>
      <x:c r="Q37" s="9" t="str">
        <x:v>ME2-SRC-KASUMI</x:v>
      </x:c>
      <x:c r="R37" s="9" t="str">
        <x:v>https://masseffect.fandom.com/wiki/Kasumi%3A_Stealing_Memory</x:v>
      </x:c>
      <x:c r="S37" s="9" t="str">
        <x:v>Spécification à réaliser. Les champs adaptation, gameplay, visual, animation, audio et implementation décrivent le fan game ; ils ne donnent pas des caractéristiques officielles de l’œuvre.</x:v>
      </x:c>
    </x:row>
    <x:row r="38" ht="68" customHeight="1">
      <x:c r="A38" s="19" t="str">
        <x:v>ME2-MQ-ZAEED-RECRUIT</x:v>
      </x:c>
      <x:c r="B38" s="7" t="str">
        <x:v>Dossier: The Veteran</x:v>
      </x:c>
      <x:c r="C38" s="15" t="str">
        <x:v>Défini</x:v>
      </x:c>
      <x:c r="D38" s="17" t="str">
        <x:v>Établi</x:v>
      </x:c>
      <x:c r="E38" s="17" t="str">
        <x:v>P0</x:v>
      </x:c>
      <x:c r="F38" s="7" t="str">
        <x:v>Zaeed se recrute sur Omega.</x:v>
      </x:c>
      <x:c r="G38" s="7" t="str">
        <x:v>Entretien court présentant sa méthode et sa dette ; ouvrir la mission sans la confondre avec sa résolution.</x:v>
      </x:c>
      <x:c r="H38" s="7" t="str">
        <x:v>Entretien court présentant sa méthode et sa dette ; ouvrir la mission sans la confondre avec sa résolution.</x:v>
      </x:c>
      <x:c r="I38" s="7" t="str">
        <x:v>Quai industriel et départ de mercenaires.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me2/main_quests/zaeed-recruit ; rattacher les ressources et états cités à cet identifiant. Aucun fichier de jeu créé par ce catalogue.</x:v>
      </x:c>
      <x:c r="M38" s="7" t="str">
        <x:v>Pack Zaeed / Legendary.</x:v>
      </x:c>
      <x:c r="N38" s="7" t="str">
        <x:v>Le livrable « Dossier: The Veteran » possède une scène ou un scénario de contrôle ; ses règles proposées, ses conditions et ses retours visuels sont vérifiables séparément.</x:v>
      </x:c>
      <x:c r="O38" s="7" t="str"/>
      <x:c r="P38" s="7" t="str">
        <x:v>Dossier: The Veteran</x:v>
      </x:c>
      <x:c r="Q38" s="7" t="str">
        <x:v>ME2-SRC-MISSIONS</x:v>
      </x:c>
      <x:c r="R38" s="7" t="str">
        <x:v>https://masseffect.fandom.com/wiki/Missions</x:v>
      </x:c>
      <x:c r="S38" s="7" t="str">
        <x:v>Spécification à réaliser. Les champs adaptation, gameplay, visual, animation, audio et implementation décrivent le fan game ; ils ne donnent pas des caractéristiques officielles de l’œuvre.</x:v>
      </x:c>
    </x:row>
    <x:row r="39" ht="68" customHeight="1">
      <x:c r="A39" s="18" t="str">
        <x:v>ME2-MQ-ZAEED-LOY</x:v>
      </x:c>
      <x:c r="B39" s="9" t="str">
        <x:v>Zaeed: The Price of Revenge</x:v>
      </x:c>
      <x:c r="C39" s="15" t="str">
        <x:v>Défini</x:v>
      </x:c>
      <x:c r="D39" s="16" t="str">
        <x:v>Établi</x:v>
      </x:c>
      <x:c r="E39" s="16" t="str">
        <x:v>P0</x:v>
      </x:c>
      <x:c r="F39" s="9" t="str">
        <x:v>Zaeed poursuit Vido dans une raffinerie.</x:v>
      </x:c>
      <x:c r="G39" s="9" t="str">
        <x:v>Embranchements physiques entre secours et poursuite ; faire comprendre les conséquences avant leur verrouillage.</x:v>
      </x:c>
      <x:c r="H39" s="9" t="str">
        <x:v>Embranchements physiques entre secours et poursuite ; faire comprendre les conséquences avant leur verrouillage.</x:v>
      </x:c>
      <x:c r="I39" s="9" t="str">
        <x:v>Feu industriel et passerelles de raffinerie.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me2/main_quests/zaeed-loy ; rattacher les ressources et états cités à cet identifiant. Aucun fichier de jeu créé par ce catalogue.</x:v>
      </x:c>
      <x:c r="M39" s="9" t="str">
        <x:v>Zaeed recruté ; loyauté et survie séparées.</x:v>
      </x:c>
      <x:c r="N39" s="9" t="str">
        <x:v>Le livrable « Zaeed: The Price of Revenge » possède une scène ou un scénario de contrôle ; ses règles proposées, ses conditions et ses retours visuels sont vérifiables séparément.</x:v>
      </x:c>
      <x:c r="O39" s="9" t="str"/>
      <x:c r="P39" s="9" t="str">
        <x:v>Zaeed: The Price of Revenge</x:v>
      </x:c>
      <x:c r="Q39" s="9" t="str">
        <x:v>ME2-SRC-ZAEED</x:v>
      </x:c>
      <x:c r="R39" s="9" t="str">
        <x:v>https://masseffect.fandom.com/wiki/Zaeed%3A_The_Price_of_Revenge</x:v>
      </x:c>
      <x:c r="S39" s="9" t="str">
        <x:v>Spécification à réaliser. Les champs adaptation, gameplay, visual, animation, audio et implementation décrivent le fan game ; ils ne donnent pas des caractéristiques officielles de l’œuvre.</x:v>
      </x:c>
    </x:row>
    <x:row r="40" ht="68" customHeight="1">
      <x:c r="A40" s="19" t="str">
        <x:v>ME2-MQ-SHADOW</x:v>
      </x:c>
      <x:c r="B40" s="7" t="str">
        <x:v>Lair of the Shadow Broker</x:v>
      </x:c>
      <x:c r="C40" s="15" t="str">
        <x:v>Défini</x:v>
      </x:c>
      <x:c r="D40" s="17" t="str">
        <x:v>Établi</x:v>
      </x:c>
      <x:c r="E40" s="17" t="str">
        <x:v>P0</x:v>
      </x:c>
      <x:c r="F40" s="7" t="str">
        <x:v>Shepard aide Liara à retrouver le Courtier.</x:v>
      </x:c>
      <x:c r="G40" s="7" t="str">
        <x:v>Enquête, poursuite, duel Vasir, assaut extérieur puis boss yahg ; points de reprise entre grands segments.</x:v>
      </x:c>
      <x:c r="H40" s="7" t="str">
        <x:v>Enquête, poursuite, duel Vasir, assaut extérieur puis boss yahg ; points de reprise entre grands segments.</x:v>
      </x:c>
      <x:c r="I40" s="7" t="str">
        <x:v>Illium luxueuse puis coque sous orage d’Hagalaz.</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me2/main_quests/shadow ; rattacher les ressources et états cités à cet identifiant. Aucun fichier de jeu créé par ce catalogue.</x:v>
      </x:c>
      <x:c r="M40" s="7" t="str">
        <x:v>DLC / Legendary ; Liara temporairement imposée.</x:v>
      </x:c>
      <x:c r="N40" s="7" t="str">
        <x:v>Le livrable « Lair of the Shadow Broker » possède une scène ou un scénario de contrôle ; ses règles proposées, ses conditions et ses retours visuels sont vérifiables séparément.</x:v>
      </x:c>
      <x:c r="O40" s="7" t="str"/>
      <x:c r="P40" s="7" t="str">
        <x:v>Lair of the Shadow Broker</x:v>
      </x:c>
      <x:c r="Q40" s="7" t="str">
        <x:v>ME2-SRC-SHADOW, ME2-SRC-EA-SHADOW</x:v>
      </x:c>
      <x:c r="R40" s="7" t="str">
        <x:v>https://masseffect.fandom.com/wiki/Lair_of_the_Shadow_Broker_%28mission%29
https://news.ea.com/press-releases/press-releases-details/2010/The-Battles-Rage-On-in-New-Downloadable-Content-for-BioWares-Dragon-Age-Origins-and-Mass-Effect-2/default.aspx</x:v>
      </x:c>
      <x:c r="S40" s="7" t="str">
        <x:v>Spécification à réaliser. Les champs adaptation, gameplay, visual, animation, audio et implementation décrivent le fan game ; ils ne donnent pas des caractéristiques officielles de l’œuvre.</x:v>
      </x:c>
    </x:row>
    <x:row r="41" ht="68" customHeight="1">
      <x:c r="A41" s="18" t="str">
        <x:v>ME2-MQ-OVERLORD</x:v>
      </x:c>
      <x:c r="B41" s="9" t="str">
        <x:v>Overlord — opération d’Aite</x:v>
      </x:c>
      <x:c r="C41" s="15" t="str">
        <x:v>Défini</x:v>
      </x:c>
      <x:c r="D41" s="16" t="str">
        <x:v>Établi</x:v>
      </x:c>
      <x:c r="E41" s="16" t="str">
        <x:v>P0</x:v>
      </x:c>
      <x:c r="F41" s="9" t="str">
        <x:v>Un projet Cerberus échappe au contrôle.</x:v>
      </x:c>
      <x:c r="G41" s="9" t="str">
        <x:v>Centre attaqué, exploration Hammerhead et deux stations débloquant Atlas ; progression suivie par verrouillages.</x:v>
      </x:c>
      <x:c r="H41" s="9" t="str">
        <x:v>Centre attaqué, exploration Hammerhead et deux stations débloquant Atlas ; progression suivie par verrouillages.</x:v>
      </x:c>
      <x:c r="I41" s="9" t="str">
        <x:v>Antennes, vallée verte et laboratoires contaminés.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me2/main_quests/overlord ; rattacher les ressources et états cités à cet identifiant. Aucun fichier de jeu créé par ce catalogue.</x:v>
      </x:c>
      <x:c r="M41" s="9" t="str">
        <x:v>DLC / Legendary.</x:v>
      </x:c>
      <x:c r="N41" s="9" t="str">
        <x:v>Le livrable « Overlord — opération d’Aite » possède une scène ou un scénario de contrôle ; ses règles proposées, ses conditions et ses retours visuels sont vérifiables séparément.</x:v>
      </x:c>
      <x:c r="O41" s="9" t="str"/>
      <x:c r="P41" s="9" t="str">
        <x:v>Overlord — opération d’Aite</x:v>
      </x:c>
      <x:c r="Q41" s="9" t="str">
        <x:v>ME2-SRC-OVERLORD, ME2-SRC-ATLAS</x:v>
      </x:c>
      <x:c r="R41" s="9" t="str">
        <x:v>https://masseffect.fandom.com/wiki/Overlord
https://masseffect.fandom.com/wiki/Atlas_Station</x:v>
      </x:c>
      <x:c r="S41" s="9" t="str">
        <x:v>Spécification à réaliser. Les champs adaptation, gameplay, visual, animation, audio et implementation décrivent le fan game ; ils ne donnent pas des caractéristiques officielles de l’œuvre.</x:v>
      </x:c>
    </x:row>
    <x:row r="42" ht="68" customHeight="1">
      <x:c r="A42" s="19" t="str">
        <x:v>ME2-MQ-OV-VULCAN</x:v>
      </x:c>
      <x:c r="B42" s="7" t="str">
        <x:v>Overlord: Vulcan Station</x:v>
      </x:c>
      <x:c r="C42" s="15" t="str">
        <x:v>Défini</x:v>
      </x:c>
      <x:c r="D42" s="17" t="str">
        <x:v>Établi</x:v>
      </x:c>
      <x:c r="E42" s="17" t="str">
        <x:v>P0</x:v>
      </x:c>
      <x:c r="F42" s="7" t="str">
        <x:v>Vulcan appartient aux installations d’Aite.</x:v>
      </x:c>
      <x:c r="G42" s="7" t="str">
        <x:v>Alterner géothermie et mécas ; ouvrir l’accès local sans rendre Atlas disponible avant les autres verrous.</x:v>
      </x:c>
      <x:c r="H42" s="7" t="str">
        <x:v>Alterner géothermie et mécas ; ouvrir l’accès local sans rendre Atlas disponible avant les autres verrous.</x:v>
      </x:c>
      <x:c r="I42" s="7" t="str">
        <x:v>Basalte, vapeur, lave et réseaux Cerberus.</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me2/main_quests/ov-vulcan ; rattacher les ressources et états cités à cet identifiant. Aucun fichier de jeu créé par ce catalogue.</x:v>
      </x:c>
      <x:c r="M42" s="7" t="str">
        <x:v>Opération Overlord ouverte.</x:v>
      </x:c>
      <x:c r="N42" s="7" t="str">
        <x:v>Le livrable « Overlord: Vulcan Station » possède une scène ou un scénario de contrôle ; ses règles proposées, ses conditions et ses retours visuels sont vérifiables séparément.</x:v>
      </x:c>
      <x:c r="O42" s="7" t="str"/>
      <x:c r="P42" s="7" t="str">
        <x:v>Overlord: Vulcan Station</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ME2-MQ-OV-PROMETHEUS</x:v>
      </x:c>
      <x:c r="B43" s="9" t="str">
        <x:v>Overlord: Prometheus Station</x:v>
      </x:c>
      <x:c r="C43" s="15" t="str">
        <x:v>Défini</x:v>
      </x:c>
      <x:c r="D43" s="16" t="str">
        <x:v>Établi</x:v>
      </x:c>
      <x:c r="E43" s="16" t="str">
        <x:v>P0</x:v>
      </x:c>
      <x:c r="F43" s="9" t="str">
        <x:v>Prometheus est nécessaire pour ouvrir Atlas.</x:v>
      </x:c>
      <x:c r="G43" s="9" t="str">
        <x:v>Approche d’une épave geth puis exploration intérieure ; utiliser un faisceau adverse comme contrainte d’abri.</x:v>
      </x:c>
      <x:c r="H43" s="9" t="str">
        <x:v>Approche d’une épave geth puis exploration intérieure ; utiliser un faisceau adverse comme contrainte d’abri.</x:v>
      </x:c>
      <x:c r="I43" s="9" t="str">
        <x:v>Carcasse geth et modules industriels.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me2/main_quests/ov-prometheus ; rattacher les ressources et états cités à cet identifiant. Aucun fichier de jeu créé par ce catalogue.</x:v>
      </x:c>
      <x:c r="M43" s="9" t="str">
        <x:v>Opération Overlord ouverte.</x:v>
      </x:c>
      <x:c r="N43" s="9" t="str">
        <x:v>Le livrable « Overlord: Prometheus Station » possède une scène ou un scénario de contrôle ; ses règles proposées, ses conditions et ses retours visuels sont vérifiables séparément.</x:v>
      </x:c>
      <x:c r="O43" s="9" t="str"/>
      <x:c r="P43" s="9" t="str">
        <x:v>Overlord: Prometheus Station</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ME2-MQ-OV-ATLAS</x:v>
      </x:c>
      <x:c r="B44" s="7" t="str">
        <x:v>Overlord: Atlas Station</x:v>
      </x:c>
      <x:c r="C44" s="15" t="str">
        <x:v>Défini</x:v>
      </x:c>
      <x:c r="D44" s="17" t="str">
        <x:v>Établi</x:v>
      </x:c>
      <x:c r="E44" s="17" t="str">
        <x:v>P0</x:v>
      </x:c>
      <x:c r="F44" s="7" t="str">
        <x:v>David Archer est relié au dispositif.</x:v>
      </x:c>
      <x:c r="G44" s="7" t="str">
        <x:v>Dissocier données virtuelles, arrêt de transfert et décision concernant David ; dernier acte en solo contrôlé.</x:v>
      </x:c>
      <x:c r="H44" s="7" t="str">
        <x:v>Dissocier données virtuelles, arrêt de transfert et décision concernant David ; dernier acte en solo contrôlé.</x:v>
      </x:c>
      <x:c r="I44" s="7" t="str">
        <x:v>Superposition de réel et flux numériques verts.</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me2/main_quests/ov-atlas ; rattacher les ressources et états cités à cet identifiant. Aucun fichier de jeu créé par ce catalogue.</x:v>
      </x:c>
      <x:c r="M44" s="7" t="str">
        <x:v>Verrous de stations levés.</x:v>
      </x:c>
      <x:c r="N44" s="7" t="str">
        <x:v>Le livrable « Overlord: Atlas Station » possède une scène ou un scénario de contrôle ; ses règles proposées, ses conditions et ses retours visuels sont vérifiables séparément.</x:v>
      </x:c>
      <x:c r="O44" s="7" t="str"/>
      <x:c r="P44" s="7" t="str">
        <x:v>Overlord: Atlas Station</x:v>
      </x:c>
      <x:c r="Q44" s="7" t="str">
        <x:v>ME2-SRC-ATLAS</x:v>
      </x:c>
      <x:c r="R44" s="7" t="str">
        <x:v>https://masseffect.fandom.com/wiki/Atlas_Station</x:v>
      </x:c>
      <x:c r="S44" s="7" t="str">
        <x:v>Spécification à réaliser. Les champs adaptation, gameplay, visual, animation, audio et implementation décrivent le fan game ; ils ne donnent pas des caractéristiques officielles de l’œuvre.</x:v>
      </x:c>
    </x:row>
    <x:row r="45" ht="68" customHeight="1">
      <x:c r="A45" s="18" t="str">
        <x:v>ME2-MQ-ARRIVAL</x:v>
      </x:c>
      <x:c r="B45" s="9" t="str">
        <x:v>Arrival</x:v>
      </x:c>
      <x:c r="C45" s="15" t="str">
        <x:v>Défini</x:v>
      </x:c>
      <x:c r="D45" s="16" t="str">
        <x:v>Établi</x:v>
      </x:c>
      <x:c r="E45" s="16" t="str">
        <x:v>P0</x:v>
      </x:c>
      <x:c r="F45" s="9" t="str">
        <x:v>Shepard détruit le relais Alpha.</x:v>
      </x:c>
      <x:c r="G45" s="9" t="str">
        <x:v>Évasion de prison, artefact puis course au projet ; mission globalement solo avec compagnon temporaire local.</x:v>
      </x:c>
      <x:c r="H45" s="9" t="str">
        <x:v>Évasion de prison, artefact puis course au projet ; mission globalement solo avec compagnon temporaire local.</x:v>
      </x:c>
      <x:c r="I45" s="9" t="str">
        <x:v>Prison batarienne, astéroïde et vue du relais.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me2/main_quests/arrival ; rattacher les ressources et états cités à cet identifiant. Aucun fichier de jeu créé par ce catalogue.</x:v>
      </x:c>
      <x:c r="M45" s="9" t="str">
        <x:v>DLC / Legendary ; contenu de fin d’arc.</x:v>
      </x:c>
      <x:c r="N45" s="9" t="str">
        <x:v>Le livrable « Arrival » possède une scène ou un scénario de contrôle ; ses règles proposées, ses conditions et ses retours visuels sont vérifiables séparément.</x:v>
      </x:c>
      <x:c r="O45" s="9" t="str"/>
      <x:c r="P45" s="9" t="str">
        <x:v>Arrival</x:v>
      </x:c>
      <x:c r="Q45" s="9" t="str">
        <x:v>ME2-SRC-ARRIVAL</x:v>
      </x:c>
      <x:c r="R45" s="9" t="str">
        <x:v>https://masseffect.fandom.com/wiki/Arrival_%28assignment%29</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6" priority="1" operator="equal">
      <x:formula>"À vérifier"</x:formula>
    </x:cfRule>
    <x:cfRule type="cellIs" dxfId="37" priority="2" operator="equal">
      <x:formula>"Extrapolation"</x:formula>
    </x:cfRule>
  </x:conditionalFormatting>
  <x:conditionalFormatting sqref="C7:C45">
    <x:cfRule type="cellIs" dxfId="38" priority="3" operator="equal">
      <x:formula>"Validé"</x:formula>
    </x:cfRule>
  </x:conditionalFormatting>
  <x:conditionalFormatting sqref="E7:E45">
    <x:cfRule type="cellIs" dxfId="39"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4f8659988c8a451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2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ME2-SQ-NORMANDY-BRANDY</x:v>
      </x:c>
      <x:c r="B7" s="9" t="str">
        <x:v>Normandy: Serrice Ice Brandy</x:v>
      </x:c>
      <x:c r="C7" s="15" t="str">
        <x:v>Défini</x:v>
      </x:c>
      <x:c r="D7" s="16" t="str">
        <x:v>Établi</x:v>
      </x:c>
      <x:c r="E7" s="16" t="str">
        <x:v>P1</x:v>
      </x:c>
      <x:c r="F7" s="9" t="str">
        <x:v>Affectation de Chakwas.</x:v>
      </x:c>
      <x:c r="G7" s="9" t="str">
        <x:v>Trouver une bouteille au marchand, confirmer sa remise et ouvrir la conversation de repos.</x:v>
      </x:c>
      <x:c r="H7" s="9" t="str">
        <x:v>Trouver une bouteille au marchand, confirmer sa remise et ouvrir la conversation de repos.</x:v>
      </x:c>
      <x:c r="I7" s="9" t="str">
        <x:v>Objet ambré dans inventaire de quête.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me2/side_quests/normandy-brandy ; rattacher les ressources et états cités à cet identifiant. Aucun fichier de jeu créé par ce catalogue.</x:v>
      </x:c>
      <x:c r="M7" s="9" t="str">
        <x:v>Ne pas consommer comme objet de combat.</x:v>
      </x:c>
      <x:c r="N7" s="9" t="str">
        <x:v>Le livrable « Normandy: Serrice Ice Brandy » possède une scène ou un scénario de contrôle ; ses règles proposées, ses conditions et ses retours visuels sont vérifiables séparément.</x:v>
      </x:c>
      <x:c r="O7" s="9" t="str"/>
      <x:c r="P7" s="9" t="str">
        <x:v>Normandy: Serrice Ice Brandy</x:v>
      </x:c>
      <x:c r="Q7" s="9" t="str">
        <x:v>ME2-SRC-ASSIGN</x:v>
      </x:c>
      <x:c r="R7" s="9" t="str">
        <x:v>https://masseffect.fandom.com/wiki/Assignments</x:v>
      </x:c>
      <x:c r="S7" s="9" t="str">
        <x:v>Spécification à réaliser. Les champs adaptation, gameplay, visual, animation, audio et implementation décrivent le fan game ; ils ne donnent pas des caractéristiques officielles de l’œuvre.</x:v>
      </x:c>
    </x:row>
    <x:row r="8" ht="68" customHeight="1">
      <x:c r="A8" s="19" t="str">
        <x:v>ME2-SQ-NORMANDY-FBA</x:v>
      </x:c>
      <x:c r="B8" s="7" t="str">
        <x:v>Normandy: FBA Couplings</x:v>
      </x:c>
      <x:c r="C8" s="15" t="str">
        <x:v>Défini</x:v>
      </x:c>
      <x:c r="D8" s="17" t="str">
        <x:v>Établi</x:v>
      </x:c>
      <x:c r="E8" s="17" t="str">
        <x:v>P1</x:v>
      </x:c>
      <x:c r="F8" s="7" t="str">
        <x:v>Affectation de maintenance du Normandy.</x:v>
      </x:c>
      <x:c r="G8" s="7" t="str">
        <x:v>Acheter une pièce, la remettre à l’ingénierie ; afficher le circuit de service complété.</x:v>
      </x:c>
      <x:c r="H8" s="7" t="str">
        <x:v>Acheter une pièce, la remettre à l’ingénierie ; afficher le circuit de service complété.</x:v>
      </x:c>
      <x:c r="I8" s="7" t="str">
        <x:v>Coupleurs industriels marqués pour la soute.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me2/side_quests/normandy-fba ; rattacher les ressources et états cités à cet identifiant. Aucun fichier de jeu créé par ce catalogue.</x:v>
      </x:c>
      <x:c r="M8" s="7" t="str"/>
      <x:c r="N8" s="7" t="str">
        <x:v>Le livrable « Normandy: FBA Couplings » possède une scène ou un scénario de contrôle ; ses règles proposées, ses conditions et ses retours visuels sont vérifiables séparément.</x:v>
      </x:c>
      <x:c r="O8" s="7" t="str"/>
      <x:c r="P8" s="7" t="str">
        <x:v>Normandy: FBA Couplings</x:v>
      </x:c>
      <x:c r="Q8" s="7" t="str">
        <x:v>ME2-SRC-ASSIGN</x:v>
      </x:c>
      <x:c r="R8" s="7" t="str">
        <x:v>https://masseffect.fandom.com/wiki/Assignments</x:v>
      </x:c>
      <x:c r="S8" s="7" t="str">
        <x:v>Spécification à réaliser. Les champs adaptation, gameplay, visual, animation, audio et implementation décrivent le fan game ; ils ne donnent pas des caractéristiques officielles de l’œuvre.</x:v>
      </x:c>
    </x:row>
    <x:row r="9" ht="68" customHeight="1">
      <x:c r="A9" s="18" t="str">
        <x:v>ME2-SQ-NORMANDY-FOOD</x:v>
      </x:c>
      <x:c r="B9" s="9" t="str">
        <x:v>Normandy: Special Ingredients</x:v>
      </x:c>
      <x:c r="C9" s="15" t="str">
        <x:v>Défini</x:v>
      </x:c>
      <x:c r="D9" s="16" t="str">
        <x:v>Établi</x:v>
      </x:c>
      <x:c r="E9" s="16" t="str">
        <x:v>P1</x:v>
      </x:c>
      <x:c r="F9" s="9" t="str">
        <x:v>Affectation d’approvisionnement du mess.</x:v>
      </x:c>
      <x:c r="G9" s="9" t="str">
        <x:v>Liste de courses courte ; mise à jour du mess après livraison.</x:v>
      </x:c>
      <x:c r="H9" s="9" t="str">
        <x:v>Liste de courses courte ; mise à jour du mess après livraison.</x:v>
      </x:c>
      <x:c r="I9" s="9" t="str">
        <x:v>Caisses alimentaires distinctes du ravitaillement d’armes.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me2/side_quests/normandy-food ; rattacher les ressources et états cités à cet identifiant. Aucun fichier de jeu créé par ce catalogue.</x:v>
      </x:c>
      <x:c r="M9" s="9" t="str"/>
      <x:c r="N9" s="9" t="str">
        <x:v>Le livrable « Normandy: Special Ingredients » possède une scène ou un scénario de contrôle ; ses règles proposées, ses conditions et ses retours visuels sont vérifiables séparément.</x:v>
      </x:c>
      <x:c r="O9" s="9" t="str"/>
      <x:c r="P9" s="9" t="str">
        <x:v>Normandy: Special Ingredients</x:v>
      </x:c>
      <x:c r="Q9" s="9" t="str">
        <x:v>ME2-SRC-ASSIGN</x:v>
      </x:c>
      <x:c r="R9" s="9" t="str">
        <x:v>https://masseffect.fandom.com/wiki/Assignments</x:v>
      </x:c>
      <x:c r="S9" s="9" t="str">
        <x:v>Spécification à réaliser. Les champs adaptation, gameplay, visual, animation, audio et implementation décrivent le fan game ; ils ne donnent pas des caractéristiques officielles de l’œuvre.</x:v>
      </x:c>
    </x:row>
    <x:row r="10" ht="68" customHeight="1">
      <x:c r="A10" s="19" t="str">
        <x:v>ME2-SQ-OMEGA-DATAPAD</x:v>
      </x:c>
      <x:c r="B10" s="7" t="str">
        <x:v>Omega: Archangel: Datapad Recovered</x:v>
      </x:c>
      <x:c r="C10" s="15" t="str">
        <x:v>Défini</x:v>
      </x:c>
      <x:c r="D10" s="17" t="str">
        <x:v>Établi</x:v>
      </x:c>
      <x:c r="E10" s="17" t="str">
        <x:v>P1</x:v>
      </x:c>
      <x:c r="F10" s="7" t="str">
        <x:v>Document associé à Archangel.</x:v>
      </x:c>
      <x:c r="G10" s="7" t="str">
        <x:v>Retourner une preuve trouvée pendant le siège ; permettre consultation et remise séparées.</x:v>
      </x:c>
      <x:c r="H10" s="7" t="str">
        <x:v>Retourner une preuve trouvée pendant le siège ; permettre consultation et remise séparées.</x:v>
      </x:c>
      <x:c r="I10" s="7" t="str">
        <x:v>Datapad orange et icône de preuve.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me2/side_quests/omega-datapad ; rattacher les ressources et états cités à cet identifiant. Aucun fichier de jeu créé par ce catalogue.</x:v>
      </x:c>
      <x:c r="M10" s="7" t="str"/>
      <x:c r="N10" s="7" t="str">
        <x:v>Le livrable « Omega: Archangel: Datapad Recovered » possède une scène ou un scénario de contrôle ; ses règles proposées, ses conditions et ses retours visuels sont vérifiables séparément.</x:v>
      </x:c>
      <x:c r="O10" s="7" t="str"/>
      <x:c r="P10" s="7" t="str">
        <x:v>Omega: Archangel: Datapad Recovered</x:v>
      </x:c>
      <x:c r="Q10" s="7" t="str">
        <x:v>ME2-SRC-ASSIGN</x:v>
      </x:c>
      <x:c r="R10" s="7" t="str">
        <x:v>https://masseffect.fandom.com/wiki/Assignments</x:v>
      </x:c>
      <x:c r="S10" s="7" t="str">
        <x:v>Spécification à réaliser. Les champs adaptation, gameplay, visual, animation, audio et implementation décrivent le fan game ; ils ne donnent pas des caractéristiques officielles de l’œuvre.</x:v>
      </x:c>
    </x:row>
    <x:row r="11" ht="68" customHeight="1">
      <x:c r="A11" s="18" t="str">
        <x:v>ME2-SQ-OMEGA-BARTENDER</x:v>
      </x:c>
      <x:c r="B11" s="9" t="str">
        <x:v>Omega: Batarian Bartender</x:v>
      </x:c>
      <x:c r="C11" s="15" t="str">
        <x:v>Défini</x:v>
      </x:c>
      <x:c r="D11" s="16" t="str">
        <x:v>Établi</x:v>
      </x:c>
      <x:c r="E11" s="16" t="str">
        <x:v>P1</x:v>
      </x:c>
      <x:c r="F11" s="9" t="str">
        <x:v>Affectation du bar d’Omega.</x:v>
      </x:c>
      <x:c r="G11" s="9" t="str">
        <x:v>Enquête sociale sur la boisson ; offrir réponse verbale et confrontation via un embranchement visible.</x:v>
      </x:c>
      <x:c r="H11" s="9" t="str">
        <x:v>Enquête sociale sur la boisson ; offrir réponse verbale et confrontation via un embranchement visible.</x:v>
      </x:c>
      <x:c r="I11" s="9" t="str">
        <x:v>Comptoir sombre et verre contaminé stylisé.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me2/side_quests/omega-bartender ; rattacher les ressources et états cités à cet identifiant. Aucun fichier de jeu créé par ce catalogue.</x:v>
      </x:c>
      <x:c r="M11" s="9" t="str"/>
      <x:c r="N11" s="9" t="str">
        <x:v>Le livrable « Omega: Batarian Bartender » possède une scène ou un scénario de contrôle ; ses règles proposées, ses conditions et ses retours visuels sont vérifiables séparément.</x:v>
      </x:c>
      <x:c r="O11" s="9" t="str"/>
      <x:c r="P11" s="9" t="str">
        <x:v>Omega: Batarian Bartender</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ME2-SQ-OMEGA-ISH</x:v>
      </x:c>
      <x:c r="B12" s="7" t="str">
        <x:v>Omega: Packages for Ish</x:v>
      </x:c>
      <x:c r="C12" s="15" t="str">
        <x:v>Défini</x:v>
      </x:c>
      <x:c r="D12" s="17" t="str">
        <x:v>Établi</x:v>
      </x:c>
      <x:c r="E12" s="17" t="str">
        <x:v>P1</x:v>
      </x:c>
      <x:c r="F12" s="7" t="str">
        <x:v>Affectation de colis.</x:v>
      </x:c>
      <x:c r="G12" s="7" t="str">
        <x:v>Circuit entre hubs avec inspection du destinataire ; distinguer un colis acquis d’un colis remis.</x:v>
      </x:c>
      <x:c r="H12" s="7" t="str">
        <x:v>Circuit entre hubs avec inspection du destinataire ; distinguer un colis acquis d’un colis remis.</x:v>
      </x:c>
      <x:c r="I12" s="7" t="str">
        <x:v>Colis et reçu numérique.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me2/side_quests/omega-ish ; rattacher les ressources et états cités à cet identifiant. Aucun fichier de jeu créé par ce catalogue.</x:v>
      </x:c>
      <x:c r="M12" s="7" t="str"/>
      <x:c r="N12" s="7" t="str">
        <x:v>Le livrable « Omega: Packages for Ish » possède une scène ou un scénario de contrôle ; ses règles proposées, ses conditions et ses retours visuels sont vérifiables séparément.</x:v>
      </x:c>
      <x:c r="O12" s="7" t="str"/>
      <x:c r="P12" s="7" t="str">
        <x:v>Omega: Packages for Ish</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ME2-SQ-OMEGA-QUARIAN</x:v>
      </x:c>
      <x:c r="B13" s="9" t="str">
        <x:v>Omega: Struggling Quarian</x:v>
      </x:c>
      <x:c r="C13" s="15" t="str">
        <x:v>Défini</x:v>
      </x:c>
      <x:c r="D13" s="16" t="str">
        <x:v>Établi</x:v>
      </x:c>
      <x:c r="E13" s="16" t="str">
        <x:v>P1</x:v>
      </x:c>
      <x:c r="F13" s="9" t="str">
        <x:v>Affectation d’aide à un quarien.</x:v>
      </x:c>
      <x:c r="G13" s="9" t="str">
        <x:v>Séparer commerce, remise et aide au voyage ; supprimer la quête du journal seulement après résultat confirmé.</x:v>
      </x:c>
      <x:c r="H13" s="9" t="str">
        <x:v>Séparer commerce, remise et aide au voyage ; supprimer la quête du journal seulement après résultat confirmé.</x:v>
      </x:c>
      <x:c r="I13" s="9" t="str">
        <x:v>Étal de récupération et affiche de transit.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me2/side_quests/omega-quarian ; rattacher les ressources et états cités à cet identifiant. Aucun fichier de jeu créé par ce catalogue.</x:v>
      </x:c>
      <x:c r="M13" s="9" t="str"/>
      <x:c r="N13" s="9" t="str">
        <x:v>Le livrable « Omega: Struggling Quarian » possède une scène ou un scénario de contrôle ; ses règles proposées, ses conditions et ses retours visuels sont vérifiables séparément.</x:v>
      </x:c>
      <x:c r="O13" s="9" t="str"/>
      <x:c r="P13" s="9" t="str">
        <x:v>Omega: Struggling Quarian</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ME2-SQ-OMEGA-PATRIARCH</x:v>
      </x:c>
      <x:c r="B14" s="7" t="str">
        <x:v>Omega: The Patriarch</x:v>
      </x:c>
      <x:c r="C14" s="15" t="str">
        <x:v>Défini</x:v>
      </x:c>
      <x:c r="D14" s="17" t="str">
        <x:v>Établi</x:v>
      </x:c>
      <x:c r="E14" s="17" t="str">
        <x:v>P1</x:v>
      </x:c>
      <x:c r="F14" s="7" t="str">
        <x:v>Affectation liée au Patriarche.</x:v>
      </x:c>
      <x:c r="G14" s="7" t="str">
        <x:v>Organiser protection ou confrontation ; gérer la sortie du club et le retour au donneur.</x:v>
      </x:c>
      <x:c r="H14" s="7" t="str">
        <x:v>Organiser protection ou confrontation ; gérer la sortie du club et le retour au donneur.</x:v>
      </x:c>
      <x:c r="I14" s="7" t="str">
        <x:v>Coin de bar isolé et couloir d’accès.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me2/side_quests/omega-patriarch ; rattacher les ressources et états cités à cet identifiant. Aucun fichier de jeu créé par ce catalogue.</x:v>
      </x:c>
      <x:c r="M14" s="7" t="str"/>
      <x:c r="N14" s="7" t="str">
        <x:v>Le livrable « Omega: The Patriarch » possède une scène ou un scénario de contrôle ; ses règles proposées, ses conditions et ses retours visuels sont vérifiables séparément.</x:v>
      </x:c>
      <x:c r="O14" s="7" t="str"/>
      <x:c r="P14" s="7" t="str">
        <x:v>Omega: The Patriarch</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ME2-SQ-OMEGA-DANIEL</x:v>
      </x:c>
      <x:c r="B15" s="9" t="str">
        <x:v>Omega: The Professor: Missing Assistant</x:v>
      </x:c>
      <x:c r="C15" s="15" t="str">
        <x:v>Défini</x:v>
      </x:c>
      <x:c r="D15" s="16" t="str">
        <x:v>Établi</x:v>
      </x:c>
      <x:c r="E15" s="16" t="str">
        <x:v>P1</x:v>
      </x:c>
      <x:c r="F15" s="9" t="str">
        <x:v>Mordin demande de retrouver Daniel.</x:v>
      </x:c>
      <x:c r="G15" s="9" t="str">
        <x:v>Dialoguer avant de dégainer ; confirmer le retour à la clinique après négociation.</x:v>
      </x:c>
      <x:c r="H15" s="9" t="str">
        <x:v>Dialoguer avant de dégainer ; confirmer le retour à la clinique après négociation.</x:v>
      </x:c>
      <x:c r="I15" s="9" t="str">
        <x:v>Zone civile de quarantaine.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me2/side_quests/omega-daniel ; rattacher les ressources et états cités à cet identifiant. Aucun fichier de jeu créé par ce catalogue.</x:v>
      </x:c>
      <x:c r="M15" s="9" t="str">
        <x:v>Pendant recrutement de Mordin.</x:v>
      </x:c>
      <x:c r="N15" s="9" t="str">
        <x:v>Le livrable « Omega: The Professor: Missing Assistant » possède une scène ou un scénario de contrôle ; ses règles proposées, ses conditions et ses retours visuels sont vérifiables séparément.</x:v>
      </x:c>
      <x:c r="O15" s="9" t="str"/>
      <x:c r="P15" s="9" t="str">
        <x:v>Omega: The Professor: Missing Assistant</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ME2-SQ-CIT-CRIME</x:v>
      </x:c>
      <x:c r="B16" s="7" t="str">
        <x:v>Citadel: Crime in Progress</x:v>
      </x:c>
      <x:c r="C16" s="15" t="str">
        <x:v>Défini</x:v>
      </x:c>
      <x:c r="D16" s="17" t="str">
        <x:v>Établi</x:v>
      </x:c>
      <x:c r="E16" s="17" t="str">
        <x:v>P1</x:v>
      </x:c>
      <x:c r="F16" s="7" t="str">
        <x:v>Affectation de Citadelle.</x:v>
      </x:c>
      <x:c r="G16" s="7" t="str">
        <x:v>Interroger plusieurs témoins et inspecter la preuve avant accusation.</x:v>
      </x:c>
      <x:c r="H16" s="7" t="str">
        <x:v>Interroger plusieurs témoins et inspecter la preuve avant accusation.</x:v>
      </x:c>
      <x:c r="I16" s="7" t="str">
        <x:v>Marché public et objet porté disparu.</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me2/side_quests/cit-crime ; rattacher les ressources et états cités à cet identifiant. Aucun fichier de jeu créé par ce catalogue.</x:v>
      </x:c>
      <x:c r="M16" s="7" t="str"/>
      <x:c r="N16" s="7" t="str">
        <x:v>Le livrable « Citadel: Crime in Progress » possède une scène ou un scénario de contrôle ; ses règles proposées, ses conditions et ses retours visuels sont vérifiables séparément.</x:v>
      </x:c>
      <x:c r="O16" s="7" t="str"/>
      <x:c r="P16" s="7" t="str">
        <x:v>Citadel: Crime in Progress</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ME2-SQ-CIT-ID</x:v>
      </x:c>
      <x:c r="B17" s="9" t="str">
        <x:v>Citadel: Found Forged ID / False Positives</x:v>
      </x:c>
      <x:c r="C17" s="15" t="str">
        <x:v>Défini</x:v>
      </x:c>
      <x:c r="D17" s="16" t="str">
        <x:v>Établi</x:v>
      </x:c>
      <x:c r="E17" s="16" t="str">
        <x:v>P1</x:v>
      </x:c>
      <x:c r="F17" s="9" t="str">
        <x:v>Deux intitulés reliés concernent des identités.</x:v>
      </x:c>
      <x:c r="G17" s="9" t="str">
        <x:v>Unifier l’objet et la résolution dans un graphe ; aucune récompense doublée pour les alias du journal.</x:v>
      </x:c>
      <x:c r="H17" s="9" t="str">
        <x:v>Unifier l’objet et la résolution dans un graphe ; aucune récompense doublée pour les alias du journal.</x:v>
      </x:c>
      <x:c r="I17" s="9" t="str">
        <x:v>Papiers numériques et poste de douane.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me2/side_quests/cit-id ; rattacher les ressources et états cités à cet identifiant. Aucun fichier de jeu créé par ce catalogue.</x:v>
      </x:c>
      <x:c r="M17" s="9" t="str"/>
      <x:c r="N17" s="9" t="str">
        <x:v>Le livrable « Citadel: Found Forged ID / False Positives » possède une scène ou un scénario de contrôle ; ses règles proposées, ses conditions et ses retours visuels sont vérifiables séparément.</x:v>
      </x:c>
      <x:c r="O17" s="9" t="str"/>
      <x:c r="P17" s="9" t="str">
        <x:v>Citadel: Found Forged ID / False Positives</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ME2-SQ-CIT-SUSHI</x:v>
      </x:c>
      <x:c r="B18" s="7" t="str">
        <x:v>Citadel: Krogan Sushi</x:v>
      </x:c>
      <x:c r="C18" s="15" t="str">
        <x:v>Défini</x:v>
      </x:c>
      <x:c r="D18" s="17" t="str">
        <x:v>Établi</x:v>
      </x:c>
      <x:c r="E18" s="17" t="str">
        <x:v>P1</x:v>
      </x:c>
      <x:c r="F18" s="7" t="str">
        <x:v>Affectation des poissons du Présidium.</x:v>
      </x:c>
      <x:c r="G18" s="7" t="str">
        <x:v>Demande humoristique avec enquête au commerce ; ne pas créer de pêche de combat.</x:v>
      </x:c>
      <x:c r="H18" s="7" t="str">
        <x:v>Demande humoristique avec enquête au commerce ; ne pas créer de pêche de combat.</x:v>
      </x:c>
      <x:c r="I18" s="7" t="str">
        <x:v>Aquarium et stand de restauration.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me2/side_quests/cit-sushi ; rattacher les ressources et états cités à cet identifiant. Aucun fichier de jeu créé par ce catalogue.</x:v>
      </x:c>
      <x:c r="M18" s="7" t="str"/>
      <x:c r="N18" s="7" t="str">
        <x:v>Le livrable « Citadel: Krogan Sushi » possède une scène ou un scénario de contrôle ; ses règles proposées, ses conditions et ses retours visuels sont vérifiables séparément.</x:v>
      </x:c>
      <x:c r="O18" s="7" t="str"/>
      <x:c r="P18" s="7" t="str">
        <x:v>Citadel: Krogan Sushi</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ME2-SQ-CIT-COUNCIL</x:v>
      </x:c>
      <x:c r="B19" s="9" t="str">
        <x:v>Citadel: The Council</x:v>
      </x:c>
      <x:c r="C19" s="15" t="str">
        <x:v>Défini</x:v>
      </x:c>
      <x:c r="D19" s="16" t="str">
        <x:v>Établi</x:v>
      </x:c>
      <x:c r="E19" s="16" t="str">
        <x:v>P1</x:v>
      </x:c>
      <x:c r="F19" s="9" t="str">
        <x:v>Rencontre politique facultative.</x:v>
      </x:c>
      <x:c r="G19" s="9" t="str">
        <x:v>Vérifier la composition importée du Conseil et la possibilité de réintégration ; interface de statut séparée.</x:v>
      </x:c>
      <x:c r="H19" s="9" t="str">
        <x:v>Vérifier la composition importée du Conseil et la possibilité de réintégration ; interface de statut séparée.</x:v>
      </x:c>
      <x:c r="I19" s="9" t="str">
        <x:v>Salle de conseil ou liaison holographique.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me2/side_quests/cit-council ; rattacher les ressources et états cités à cet identifiant. Aucun fichier de jeu créé par ce catalogue.</x:v>
      </x:c>
      <x:c r="M19" s="9" t="str">
        <x:v>Dépend de ME1.</x:v>
      </x:c>
      <x:c r="N19" s="9" t="str">
        <x:v>Le livrable « Citadel: The Council » possède une scène ou un scénario de contrôle ; ses règles proposées, ses conditions et ses retours visuels sont vérifiables séparément.</x:v>
      </x:c>
      <x:c r="O19" s="9" t="str"/>
      <x:c r="P19" s="9" t="str">
        <x:v>Citadel: The Council</x:v>
      </x:c>
      <x:c r="Q19" s="9" t="str">
        <x:v>ME2-SRC-MISSIONS, ME2-SRC-SAVE</x:v>
      </x:c>
      <x:c r="R19" s="9" t="str">
        <x:v>https://masseffect.fandom.com/wiki/Missions
https://masseffect.fandom.com/wiki/Save_File_Transfer</x:v>
      </x:c>
      <x:c r="S19" s="9" t="str">
        <x:v>Spécification à réaliser. Les champs adaptation, gameplay, visual, animation, audio et implementation décrivent le fan game ; ils ne donnent pas des caractéristiques officielles de l’œuvre.</x:v>
      </x:c>
    </x:row>
    <x:row r="20" ht="68" customHeight="1">
      <x:c r="A20" s="19" t="str">
        <x:v>ME2-SQ-CIT-BAILEY</x:v>
      </x:c>
      <x:c r="B20" s="7" t="str">
        <x:v>Citadel: Captain Bailey</x:v>
      </x:c>
      <x:c r="C20" s="15" t="str">
        <x:v>Défini</x:v>
      </x:c>
      <x:c r="D20" s="17" t="str">
        <x:v>Établi</x:v>
      </x:c>
      <x:c r="E20" s="17" t="str">
        <x:v>P1</x:v>
      </x:c>
      <x:c r="F20" s="7" t="str">
        <x:v>Contact facultatif avec Bailey.</x:v>
      </x:c>
      <x:c r="G20" s="7" t="str">
        <x:v>Débloquer le réseau C-Sec et le repère de bureau ; ne pas exiger un combat.</x:v>
      </x:c>
      <x:c r="H20" s="7" t="str">
        <x:v>Débloquer le réseau C-Sec et le repère de bureau ; ne pas exiger un combat.</x:v>
      </x:c>
      <x:c r="I20" s="7" t="str">
        <x:v>Bureau de contrôle des entrées.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me2/side_quests/cit-bailey ; rattacher les ressources et états cités à cet identifiant. Aucun fichier de jeu créé par ce catalogue.</x:v>
      </x:c>
      <x:c r="M20" s="7" t="str"/>
      <x:c r="N20" s="7" t="str">
        <x:v>Le livrable « Citadel: Captain Bailey » possède une scène ou un scénario de contrôle ; ses règles proposées, ses conditions et ses retours visuels sont vérifiables séparément.</x:v>
      </x:c>
      <x:c r="O20" s="7" t="str"/>
      <x:c r="P20" s="7" t="str">
        <x:v>Citadel: Captain Bailey</x:v>
      </x:c>
      <x:c r="Q20" s="7" t="str">
        <x:v>ME2-SRC-MISSIONS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ME2-SQ-ILLIUM-HACK</x:v>
      </x:c>
      <x:c r="B21" s="9" t="str">
        <x:v>Illium: Liara: System Hacking</x:v>
      </x:c>
      <x:c r="C21" s="15" t="str">
        <x:v>Défini</x:v>
      </x:c>
      <x:c r="D21" s="16" t="str">
        <x:v>Établi</x:v>
      </x:c>
      <x:c r="E21" s="16" t="str">
        <x:v>P1</x:v>
      </x:c>
      <x:c r="F21" s="9" t="str">
        <x:v>Mission de piratage pour Liara.</x:v>
      </x:c>
      <x:c r="G21" s="9" t="str">
        <x:v>Parcours de terminaux avec accès local et retour ; afficher les bornes déjà traitées.</x:v>
      </x:c>
      <x:c r="H21" s="9" t="str">
        <x:v>Parcours de terminaux avec accès local et retour ; afficher les bornes déjà traitées.</x:v>
      </x:c>
      <x:c r="I21" s="9" t="str">
        <x:v>Terminaux répartis dans Nos Astra.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me2/side_quests/illium-hack ; rattacher les ressources et états cités à cet identifiant. Aucun fichier de jeu créé par ce catalogue.</x:v>
      </x:c>
      <x:c r="M21" s="9" t="str">
        <x:v>À résoudre avant d’embrayer sur Shadow Broker pour préserver son contenu.</x:v>
      </x:c>
      <x:c r="N21" s="9" t="str">
        <x:v>Le livrable « Illium: Liara: System Hacking » possède une scène ou un scénario de contrôle ; ses règles proposées, ses conditions et ses retours visuels sont vérifiables séparément.</x:v>
      </x:c>
      <x:c r="O21" s="9" t="str"/>
      <x:c r="P21" s="9" t="str">
        <x:v>Illium: Liara: System Hacking</x:v>
      </x:c>
      <x:c r="Q21" s="9" t="str">
        <x:v>ME2-SRC-MISSIONS, ME2-SRC-SHADOW</x:v>
      </x:c>
      <x:c r="R21" s="9" t="str">
        <x:v>https://masseffect.fandom.com/wiki/Missions
https://masseffect.fandom.com/wiki/Lair_of_the_Shadow_Broker_%28mission%29</x:v>
      </x:c>
      <x:c r="S21" s="9" t="str">
        <x:v>Spécification à réaliser. Les champs adaptation, gameplay, visual, animation, audio et implementation décrivent le fan game ; ils ne donnent pas des caractéristiques officielles de l’œuvre.</x:v>
      </x:c>
    </x:row>
    <x:row r="22" ht="68" customHeight="1">
      <x:c r="A22" s="19" t="str">
        <x:v>ME2-SQ-ILLIUM-OBSERVER</x:v>
      </x:c>
      <x:c r="B22" s="7" t="str">
        <x:v>Illium: Liara: The Observer</x:v>
      </x:c>
      <x:c r="C22" s="15" t="str">
        <x:v>Défini</x:v>
      </x:c>
      <x:c r="D22" s="17" t="str">
        <x:v>Établi</x:v>
      </x:c>
      <x:c r="E22" s="17" t="str">
        <x:v>P1</x:v>
      </x:c>
      <x:c r="F22" s="7" t="str">
        <x:v>Enquête après le piratage.</x:v>
      </x:c>
      <x:c r="G22" s="7" t="str">
        <x:v>Assembler des fragments de preuve dans un tableau ; autoriser la réponse de doute si l’identification n’est pas étayée.</x:v>
      </x:c>
      <x:c r="H22" s="7" t="str">
        <x:v>Assembler des fragments de preuve dans un tableau ; autoriser la réponse de doute si l’identification n’est pas étayée.</x:v>
      </x:c>
      <x:c r="I22" s="7" t="str">
        <x:v>Écrans de renseignements et dossier annoté.</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me2/side_quests/illium-observer ; rattacher les ressources et états cités à cet identifiant. Aucun fichier de jeu créé par ce catalogue.</x:v>
      </x:c>
      <x:c r="M22" s="7" t="str"/>
      <x:c r="N22" s="7" t="str">
        <x:v>Le livrable « Illium: Liara: The Observer » possède une scène ou un scénario de contrôle ; ses règles proposées, ses conditions et ses retours visuels sont vérifiables séparément.</x:v>
      </x:c>
      <x:c r="O22" s="7" t="str"/>
      <x:c r="P22" s="7" t="str">
        <x:v>Illium: Liara: The Observer</x:v>
      </x:c>
      <x:c r="Q22" s="7" t="str">
        <x:v>ME2-SRC-MISSIONS</x:v>
      </x:c>
      <x:c r="R22" s="7" t="str">
        <x:v>https://masseffect.fandom.com/wiki/Missions</x:v>
      </x:c>
      <x:c r="S22" s="7" t="str">
        <x:v>Spécification à réaliser. Les champs adaptation, gameplay, visual, animation, audio et implementation décrivent le fan game ; ils ne donnent pas des caractéristiques officielles de l’œuvre.</x:v>
      </x:c>
    </x:row>
    <x:row r="23" ht="68" customHeight="1">
      <x:c r="A23" s="18" t="str">
        <x:v>ME2-SQ-ILLIUM-CONRAD</x:v>
      </x:c>
      <x:c r="B23" s="9" t="str">
        <x:v>Illium: Conrad Verner</x:v>
      </x:c>
      <x:c r="C23" s="15" t="str">
        <x:v>Défini</x:v>
      </x:c>
      <x:c r="D23" s="16" t="str">
        <x:v>Établi</x:v>
      </x:c>
      <x:c r="E23" s="16" t="str">
        <x:v>P1</x:v>
      </x:c>
      <x:c r="F23" s="9" t="str">
        <x:v>Affectation du fan de Shepard.</x:v>
      </x:c>
      <x:c r="G23" s="9" t="str">
        <x:v>Conversation de désescalade ; vérifier l’état importé sans présenter un bug historique comme un choix du joueur.</x:v>
      </x:c>
      <x:c r="H23" s="9" t="str">
        <x:v>Conversation de désescalade ; vérifier l’état importé sans présenter un bug historique comme un choix du joueur.</x:v>
      </x:c>
      <x:c r="I23" s="9" t="str">
        <x:v>Bar et tenue de Conrad.</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me2/side_quests/illium-conrad ; rattacher les ressources et états cités à cet identifiant. Aucun fichier de jeu créé par ce catalogue.</x:v>
      </x:c>
      <x:c r="M23" s="9" t="str"/>
      <x:c r="N23" s="9" t="str">
        <x:v>Le livrable « Illium: Conrad Verner » possède une scène ou un scénario de contrôle ; ses règles proposées, ses conditions et ses retours visuels sont vérifiables séparément.</x:v>
      </x:c>
      <x:c r="O23" s="9" t="str"/>
      <x:c r="P23" s="9" t="str">
        <x:v>Illium: Conrad Verner</x:v>
      </x:c>
      <x:c r="Q23" s="9" t="str">
        <x:v>ME2-SRC-ASSIGN</x:v>
      </x:c>
      <x:c r="R23" s="9" t="str">
        <x:v>https://masseffect.fandom.com/wiki/Assignments</x:v>
      </x:c>
      <x:c r="S23" s="9" t="str">
        <x:v>Spécification à réaliser. Les champs adaptation, gameplay, visual, animation, audio et implementation décrivent le fan game ; ils ne donnent pas des caractéristiques officielles de l’œuvre.</x:v>
      </x:c>
    </x:row>
    <x:row r="24" ht="68" customHeight="1">
      <x:c r="A24" s="19" t="str">
        <x:v>ME2-SQ-ILLIUM-BLUE</x:v>
      </x:c>
      <x:c r="B24" s="7" t="str">
        <x:v>Illium: Blue Rose of Illium</x:v>
      </x:c>
      <x:c r="C24" s="15" t="str">
        <x:v>Défini</x:v>
      </x:c>
      <x:c r="D24" s="17" t="str">
        <x:v>Établi</x:v>
      </x:c>
      <x:c r="E24" s="17" t="str">
        <x:v>P1</x:v>
      </x:c>
      <x:c r="F24" s="7" t="str">
        <x:v>Affectation relationnelle à Illium.</x:v>
      </x:c>
      <x:c r="G24" s="7" t="str">
        <x:v>Entretiens brefs avec points de vue distincts ; récompense sociale séparée d’un recrutement.</x:v>
      </x:c>
      <x:c r="H24" s="7" t="str">
        <x:v>Entretiens brefs avec points de vue distincts ; récompense sociale séparée d’un recrutement.</x:v>
      </x:c>
      <x:c r="I24" s="7" t="str">
        <x:v>Couple séparé dans le hub.</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me2/side_quests/illium-blue ; rattacher les ressources et états cités à cet identifiant. Aucun fichier de jeu créé par ce catalogue.</x:v>
      </x:c>
      <x:c r="M24" s="7" t="str"/>
      <x:c r="N24" s="7" t="str">
        <x:v>Le livrable « Illium: Blue Rose of Illium » possède une scène ou un scénario de contrôle ; ses règles proposées, ses conditions et ses retours visuels sont vérifiables séparément.</x:v>
      </x:c>
      <x:c r="O24" s="7" t="str"/>
      <x:c r="P24" s="7" t="str">
        <x:v>Illium: Blue Rose of Illium</x:v>
      </x:c>
      <x:c r="Q24" s="7" t="str">
        <x:v>ME2-SRC-ASSIGN</x:v>
      </x:c>
      <x:c r="R24" s="7" t="str">
        <x:v>https://masseffect.fandom.com/wiki/Assignments</x:v>
      </x:c>
      <x:c r="S24" s="7" t="str">
        <x:v>Spécification à réaliser. Les champs adaptation, gameplay, visual, animation, audio et implementation décrivent le fan game ; ils ne donnent pas des caractéristiques officielles de l’œuvre.</x:v>
      </x:c>
    </x:row>
    <x:row r="25" ht="68" customHeight="1">
      <x:c r="A25" s="18" t="str">
        <x:v>ME2-SQ-ILLIUM-GIANNA</x:v>
      </x:c>
      <x:c r="B25" s="9" t="str">
        <x:v>Illium: Gianna Parasini</x:v>
      </x:c>
      <x:c r="C25" s="15" t="str">
        <x:v>Défini</x:v>
      </x:c>
      <x:c r="D25" s="16" t="str">
        <x:v>Établi</x:v>
      </x:c>
      <x:c r="E25" s="16" t="str">
        <x:v>P1</x:v>
      </x:c>
      <x:c r="F25" s="9" t="str">
        <x:v>Rencontre avec Gianna sur Illium.</x:v>
      </x:c>
      <x:c r="G25" s="9" t="str">
        <x:v>Repérer un marchand et retourner au contact ; l’identité de couverture ne doit pas être révélée par l’UI.</x:v>
      </x:c>
      <x:c r="H25" s="9" t="str">
        <x:v>Repérer un marchand et retourner au contact ; l’identité de couverture ne doit pas être révélée par l’UI.</x:v>
      </x:c>
      <x:c r="I25" s="9" t="str">
        <x:v>Table de café et boutique.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me2/side_quests/illium-gianna ; rattacher les ressources et états cités à cet identifiant. Aucun fichier de jeu créé par ce catalogue.</x:v>
      </x:c>
      <x:c r="M25" s="9" t="str">
        <x:v>Variante de retrouvailles selon ME1.</x:v>
      </x:c>
      <x:c r="N25" s="9" t="str">
        <x:v>Le livrable « Illium: Gianna Parasini » possède une scène ou un scénario de contrôle ; ses règles proposées, ses conditions et ses retours visuels sont vérifiables séparément.</x:v>
      </x:c>
      <x:c r="O25" s="9" t="str"/>
      <x:c r="P25" s="9" t="str">
        <x:v>Illium: Gianna Parasini</x:v>
      </x:c>
      <x:c r="Q25" s="9" t="str">
        <x:v>ME2-SRC-ASSIGN</x:v>
      </x:c>
      <x:c r="R25" s="9" t="str">
        <x:v>https://masseffect.fandom.com/wiki/Assignments</x:v>
      </x:c>
      <x:c r="S25" s="9" t="str">
        <x:v>Spécification à réaliser. Les champs adaptation, gameplay, visual, animation, audio et implementation décrivent le fan game ; ils ne donnent pas des caractéristiques officielles de l’œuvre.</x:v>
      </x:c>
    </x:row>
    <x:row r="26" ht="68" customHeight="1">
      <x:c r="A26" s="19" t="str">
        <x:v>ME2-SQ-ILLIUM-INDENTURE</x:v>
      </x:c>
      <x:c r="B26" s="7" t="str">
        <x:v>Illium: Indentured Service</x:v>
      </x:c>
      <x:c r="C26" s="15" t="str">
        <x:v>Défini</x:v>
      </x:c>
      <x:c r="D26" s="17" t="str">
        <x:v>Établi</x:v>
      </x:c>
      <x:c r="E26" s="17" t="str">
        <x:v>P1</x:v>
      </x:c>
      <x:c r="F26" s="7" t="str">
        <x:v>Affectation sur un contrat de service.</x:v>
      </x:c>
      <x:c r="G26" s="7" t="str">
        <x:v>Lire les conditions puis négocier une issue ; le contrat n’est pas un objet vendable.</x:v>
      </x:c>
      <x:c r="H26" s="7" t="str">
        <x:v>Lire les conditions puis négocier une issue ; le contrat n’est pas un objet vendable.</x:v>
      </x:c>
      <x:c r="I26" s="7" t="str">
        <x:v>Bureau, cliente quariène et documents.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me2/side_quests/illium-indenture ; rattacher les ressources et états cités à cet identifiant. Aucun fichier de jeu créé par ce catalogue.</x:v>
      </x:c>
      <x:c r="M26" s="7" t="str"/>
      <x:c r="N26" s="7" t="str">
        <x:v>Le livrable « Illium: Indentured Service » possède une scène ou un scénario de contrôle ; ses règles proposées, ses conditions et ses retours visuels sont vérifiables séparément.</x:v>
      </x:c>
      <x:c r="O26" s="7" t="str"/>
      <x:c r="P26" s="7" t="str">
        <x:v>Illium: Indentured Service</x:v>
      </x:c>
      <x:c r="Q26" s="7" t="str">
        <x:v>ME2-SRC-ASSIGN</x:v>
      </x:c>
      <x:c r="R26" s="7" t="str">
        <x:v>https://masseffect.fandom.com/wiki/Assignments</x:v>
      </x:c>
      <x:c r="S26" s="7" t="str">
        <x:v>Spécification à réaliser. Les champs adaptation, gameplay, visual, animation, audio et implementation décrivent le fan game ; ils ne donnent pas des caractéristiques officielles de l’œuvre.</x:v>
      </x:c>
    </x:row>
    <x:row r="27" ht="68" customHeight="1">
      <x:c r="A27" s="18" t="str">
        <x:v>ME2-SQ-ILLIUM-MEDICAL</x:v>
      </x:c>
      <x:c r="B27" s="9" t="str">
        <x:v>Illium: Medical Scans</x:v>
      </x:c>
      <x:c r="C27" s="15" t="str">
        <x:v>Défini</x:v>
      </x:c>
      <x:c r="D27" s="16" t="str">
        <x:v>Établi</x:v>
      </x:c>
      <x:c r="E27" s="16" t="str">
        <x:v>P1</x:v>
      </x:c>
      <x:c r="F27" s="9" t="str">
        <x:v>Affectation de données médicales.</x:v>
      </x:c>
      <x:c r="G27" s="9" t="str">
        <x:v>Traduire en autorisation ou refus de partage des données ; afficher la personne concernée.</x:v>
      </x:c>
      <x:c r="H27" s="9" t="str">
        <x:v>Traduire en autorisation ou refus de partage des données ; afficher la personne concernée.</x:v>
      </x:c>
      <x:c r="I27" s="9" t="str">
        <x:v>Terminal de société biomédicale.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me2/side_quests/illium-medical ; rattacher les ressources et états cités à cet identifiant. Aucun fichier de jeu créé par ce catalogue.</x:v>
      </x:c>
      <x:c r="M27" s="9" t="str"/>
      <x:c r="N27" s="9" t="str">
        <x:v>Le livrable « Illium: Medical Scans » possède une scène ou un scénario de contrôle ; ses règles proposées, ses conditions et ses retours visuels sont vérifiables séparément.</x:v>
      </x:c>
      <x:c r="O27" s="9" t="str"/>
      <x:c r="P27" s="9" t="str">
        <x:v>Illium: Medical Scans</x:v>
      </x:c>
      <x:c r="Q27" s="9" t="str">
        <x:v>ME2-SRC-ASSIGN</x:v>
      </x:c>
      <x:c r="R27" s="9" t="str">
        <x:v>https://masseffect.fandom.com/wiki/Assignments</x:v>
      </x:c>
      <x:c r="S27" s="9" t="str">
        <x:v>Spécification à réaliser. Les champs adaptation, gameplay, visual, animation, audio et implementation décrivent le fan game ; ils ne donnent pas des caractéristiques officielles de l’œuvre.</x:v>
      </x:c>
    </x:row>
    <x:row r="28" ht="68" customHeight="1">
      <x:c r="A28" s="19" t="str">
        <x:v>ME2-SQ-ILLIUM-FAMILY</x:v>
      </x:c>
      <x:c r="B28" s="7" t="str">
        <x:v>Illium: The Assassin: Salarian Family Data</x:v>
      </x:c>
      <x:c r="C28" s="15" t="str">
        <x:v>Défini</x:v>
      </x:c>
      <x:c r="D28" s="17" t="str">
        <x:v>Établi</x:v>
      </x:c>
      <x:c r="E28" s="17" t="str">
        <x:v>P1</x:v>
      </x:c>
      <x:c r="F28" s="7" t="str">
        <x:v>Données retrouvées pendant le recrutement de Thane.</x:v>
      </x:c>
      <x:c r="G28" s="7" t="str">
        <x:v>Chaîner découverte et restitution ; l’objet de quête reste disponible après la mission.</x:v>
      </x:c>
      <x:c r="H28" s="7" t="str">
        <x:v>Chaîner découverte et restitution ; l’objet de quête reste disponible après la mission.</x:v>
      </x:c>
      <x:c r="I28" s="7" t="str">
        <x:v>Datapad salarian dans une zone de chantier.</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me2/side_quests/illium-family ; rattacher les ressources et états cités à cet identifiant. Aucun fichier de jeu créé par ce catalogue.</x:v>
      </x:c>
      <x:c r="M28" s="7" t="str"/>
      <x:c r="N28" s="7" t="str">
        <x:v>Le livrable « Illium: The Assassin: Salarian Family Data » possède une scène ou un scénario de contrôle ; ses règles proposées, ses conditions et ses retours visuels sont vérifiables séparément.</x:v>
      </x:c>
      <x:c r="O28" s="7" t="str"/>
      <x:c r="P28" s="7" t="str">
        <x:v>Illium: The Assassin: Salarian Family Data</x:v>
      </x:c>
      <x:c r="Q28" s="7" t="str">
        <x:v>ME2-SRC-ASSIGN</x:v>
      </x:c>
      <x:c r="R28" s="7" t="str">
        <x:v>https://masseffect.fandom.com/wiki/Assignments</x:v>
      </x:c>
      <x:c r="S28" s="7" t="str">
        <x:v>Spécification à réaliser. Les champs adaptation, gameplay, visual, animation, audio et implementation décrivent le fan game ; ils ne donnent pas des caractéristiques officielles de l’œuvre.</x:v>
      </x:c>
    </x:row>
    <x:row r="29" ht="68" customHeight="1">
      <x:c r="A29" s="18" t="str">
        <x:v>ME2-SQ-ILLIUM-SMUGGLE</x:v>
      </x:c>
      <x:c r="B29" s="9" t="str">
        <x:v>Illium: The Justicar: Smuggling Evidence</x:v>
      </x:c>
      <x:c r="C29" s="15" t="str">
        <x:v>Défini</x:v>
      </x:c>
      <x:c r="D29" s="16" t="str">
        <x:v>Établi</x:v>
      </x:c>
      <x:c r="E29" s="16" t="str">
        <x:v>P1</x:v>
      </x:c>
      <x:c r="F29" s="9" t="str">
        <x:v>Preuve de contrebande à Illium.</x:v>
      </x:c>
      <x:c r="G29" s="9" t="str">
        <x:v>Choisir destinataire des preuves et enregistrer la remise irréversible ; proposer un aperçu avant validation.</x:v>
      </x:c>
      <x:c r="H29" s="9" t="str">
        <x:v>Choisir destinataire des preuves et enregistrer la remise irréversible ; proposer un aperçu avant validation.</x:v>
      </x:c>
      <x:c r="I29" s="9" t="str">
        <x:v>Document de fret et bureau d’enquête.</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me2/side_quests/illium-smuggle ; rattacher les ressources et états cités à cet identifiant. Aucun fichier de jeu créé par ce catalogue.</x:v>
      </x:c>
      <x:c r="M29" s="9" t="str"/>
      <x:c r="N29" s="9" t="str">
        <x:v>Le livrable « Illium: The Justicar: Smuggling Evidence » possède une scène ou un scénario de contrôle ; ses règles proposées, ses conditions et ses retours visuels sont vérifiables séparément.</x:v>
      </x:c>
      <x:c r="O29" s="9" t="str"/>
      <x:c r="P29" s="9" t="str">
        <x:v>Illium: The Justicar: Smuggling Evidence</x:v>
      </x:c>
      <x:c r="Q29" s="9" t="str">
        <x:v>ME2-SRC-ASSIGN, ME2-SRC-JUSTICAR</x:v>
      </x:c>
      <x:c r="R29" s="9" t="str">
        <x:v>https://masseffect.fandom.com/wiki/Assignments
https://masseffect.fandom.com/wiki/Dossier%3A_The_Justicar</x:v>
      </x:c>
      <x:c r="S29" s="9" t="str">
        <x:v>Spécification à réaliser. Les champs adaptation, gameplay, visual, animation, audio et implementation décrivent le fan game ; ils ne donnent pas des caractéristiques officielles de l’œuvre.</x:v>
      </x:c>
    </x:row>
    <x:row r="30" ht="68" customHeight="1">
      <x:c r="A30" s="19" t="str">
        <x:v>ME2-SQ-ILLIUM-GOODS</x:v>
      </x:c>
      <x:c r="B30" s="7" t="str">
        <x:v>Illium: The Justicar: Stolen Goods Found</x:v>
      </x:c>
      <x:c r="C30" s="15" t="str">
        <x:v>Défini</x:v>
      </x:c>
      <x:c r="D30" s="17" t="str">
        <x:v>Établi</x:v>
      </x:c>
      <x:c r="E30" s="17" t="str">
        <x:v>P1</x:v>
      </x:c>
      <x:c r="F30" s="7" t="str">
        <x:v>Marchandises volées liées au dossier Samara.</x:v>
      </x:c>
      <x:c r="G30" s="7" t="str">
        <x:v>Associer la découverte au bon commerçant ; ne pas imposer une revisite d’arène déjà fermée.</x:v>
      </x:c>
      <x:c r="H30" s="7" t="str">
        <x:v>Associer la découverte au bon commerçant ; ne pas imposer une revisite d’arène déjà fermée.</x:v>
      </x:c>
      <x:c r="I30" s="7" t="str">
        <x:v>Caisse et identifiant commercial.</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me2/side_quests/illium-goods ; rattacher les ressources et états cités à cet identifiant. Aucun fichier de jeu créé par ce catalogue.</x:v>
      </x:c>
      <x:c r="M30" s="7" t="str"/>
      <x:c r="N30" s="7" t="str">
        <x:v>Le livrable « Illium: The Justicar: Stolen Goods Found » possède une scène ou un scénario de contrôle ; ses règles proposées, ses conditions et ses retours visuels sont vérifiables séparément.</x:v>
      </x:c>
      <x:c r="O30" s="7" t="str"/>
      <x:c r="P30" s="7" t="str">
        <x:v>Illium: The Justicar: Stolen Goods Found</x:v>
      </x:c>
      <x:c r="Q30" s="7" t="str">
        <x:v>ME2-SRC-ASSIGN</x:v>
      </x:c>
      <x:c r="R30" s="7" t="str">
        <x:v>https://masseffect.fandom.com/wiki/Assignments</x:v>
      </x:c>
      <x:c r="S30" s="7" t="str">
        <x:v>Spécification à réaliser. Les champs adaptation, gameplay, visual, animation, audio et implementation décrivent le fan game ; ils ne donnent pas des caractéristiques officielles de l’œuvre.</x:v>
      </x:c>
    </x:row>
    <x:row r="31" ht="68" customHeight="1">
      <x:c r="A31" s="18" t="str">
        <x:v>ME2-SQ-ILLIUM-LOCKET</x:v>
      </x:c>
      <x:c r="B31" s="9" t="str">
        <x:v>Illium: The Prodigal: Lost Locket Found</x:v>
      </x:c>
      <x:c r="C31" s="15" t="str">
        <x:v>Défini</x:v>
      </x:c>
      <x:c r="D31" s="16" t="str">
        <x:v>Établi</x:v>
      </x:c>
      <x:c r="E31" s="16" t="str">
        <x:v>P1</x:v>
      </x:c>
      <x:c r="F31" s="9" t="str">
        <x:v>Objet familial de la mission Miranda.</x:v>
      </x:c>
      <x:c r="G31" s="9" t="str">
        <x:v>Restitution au hub ; inspection sans consommation.</x:v>
      </x:c>
      <x:c r="H31" s="9" t="str">
        <x:v>Restitution au hub ; inspection sans consommation.</x:v>
      </x:c>
      <x:c r="I31" s="9" t="str">
        <x:v>Petit pendentif avec icône propre.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me2/side_quests/illium-locket ; rattacher les ressources et états cités à cet identifiant. Aucun fichier de jeu créé par ce catalogue.</x:v>
      </x:c>
      <x:c r="M31" s="9" t="str"/>
      <x:c r="N31" s="9" t="str">
        <x:v>Le livrable « Illium: The Prodigal: Lost Locket Found » possède une scène ou un scénario de contrôle ; ses règles proposées, ses conditions et ses retours visuels sont vérifiables séparément.</x:v>
      </x:c>
      <x:c r="O31" s="9" t="str"/>
      <x:c r="P31" s="9" t="str">
        <x:v>Illium: The Prodigal: Lost Locket Found</x:v>
      </x:c>
      <x:c r="Q31" s="9" t="str">
        <x:v>ME2-SRC-ASSIGN</x:v>
      </x:c>
      <x:c r="R31" s="9" t="str">
        <x:v>https://masseffect.fandom.com/wiki/Assignments</x:v>
      </x:c>
      <x:c r="S31" s="9" t="str">
        <x:v>Spécification à réaliser. Les champs adaptation, gameplay, visual, animation, audio et implementation décrivent le fan game ; ils ne donnent pas des caractéristiques officielles de l’œuvre.</x:v>
      </x:c>
    </x:row>
    <x:row r="32" ht="68" customHeight="1">
      <x:c r="A32" s="19" t="str">
        <x:v>ME2-SQ-TUCH-MANIFOLD</x:v>
      </x:c>
      <x:c r="B32" s="7" t="str">
        <x:v>Tuchanka: Combustion Manifold</x:v>
      </x:c>
      <x:c r="C32" s="15" t="str">
        <x:v>Défini</x:v>
      </x:c>
      <x:c r="D32" s="17" t="str">
        <x:v>Établi</x:v>
      </x:c>
      <x:c r="E32" s="17" t="str">
        <x:v>P1</x:v>
      </x:c>
      <x:c r="F32" s="7" t="str">
        <x:v>Pièce mécanique recherchée sur Tuchanka.</x:v>
      </x:c>
      <x:c r="G32" s="7" t="str">
        <x:v>Lier l’objet trouvé au mécanicien ; prévoir retour de dialogue après départ de mission.</x:v>
      </x:c>
      <x:c r="H32" s="7" t="str">
        <x:v>Lier l’objet trouvé au mécanicien ; prévoir retour de dialogue après départ de mission.</x:v>
      </x:c>
      <x:c r="I32" s="7" t="str">
        <x:v>Collecteur usé et atelier krogan.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me2/side_quests/tuch-manifold ; rattacher les ressources et états cités à cet identifiant. Aucun fichier de jeu créé par ce catalogue.</x:v>
      </x:c>
      <x:c r="M32" s="7" t="str"/>
      <x:c r="N32" s="7" t="str">
        <x:v>Le livrable « Tuchanka: Combustion Manifold » possède une scène ou un scénario de contrôle ; ses règles proposées, ses conditions et ses retours visuels sont vérifiables séparément.</x:v>
      </x:c>
      <x:c r="O32" s="7" t="str"/>
      <x:c r="P32" s="7" t="str">
        <x:v>Tuchanka: Combustion Manifold</x:v>
      </x:c>
      <x:c r="Q32" s="7" t="str">
        <x:v>ME2-SRC-ASSIGN</x:v>
      </x:c>
      <x:c r="R32" s="7" t="str">
        <x:v>https://masseffect.fandom.com/wiki/Assignments</x:v>
      </x:c>
      <x:c r="S32" s="7" t="str">
        <x:v>Spécification à réaliser. Les champs adaptation, gameplay, visual, animation, audio et implementation décrivent le fan game ; ils ne donnent pas des caractéristiques officielles de l’œuvre.</x:v>
      </x:c>
    </x:row>
    <x:row r="33" ht="68" customHeight="1">
      <x:c r="A33" s="18" t="str">
        <x:v>ME2-SQ-TUCH-PYJAK</x:v>
      </x:c>
      <x:c r="B33" s="9" t="str">
        <x:v>Tuchanka: Killing Pyjaks</x:v>
      </x:c>
      <x:c r="C33" s="15" t="str">
        <x:v>Défini</x:v>
      </x:c>
      <x:c r="D33" s="16" t="str">
        <x:v>Établi</x:v>
      </x:c>
      <x:c r="E33" s="16" t="str">
        <x:v>P1</x:v>
      </x:c>
      <x:c r="F33" s="9" t="str">
        <x:v>Affectation contre des pyjaks.</x:v>
      </x:c>
      <x:c r="G33" s="9" t="str">
        <x:v>Mini-jeu de tourelle facultatif converti en choix de cibles chronométrées ; mode sans timing proposé.</x:v>
      </x:c>
      <x:c r="H33" s="9" t="str">
        <x:v>Mini-jeu de tourelle facultatif converti en choix de cibles chronométrées ; mode sans timing proposé.</x:v>
      </x:c>
      <x:c r="I33" s="9" t="str">
        <x:v>Tour de garde et champs de nourriture.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me2/side_quests/tuch-pyjak ; rattacher les ressources et états cités à cet identifiant. Aucun fichier de jeu créé par ce catalogue.</x:v>
      </x:c>
      <x:c r="M33" s="9" t="str"/>
      <x:c r="N33" s="9" t="str">
        <x:v>Le livrable « Tuchanka: Killing Pyjaks » possède une scène ou un scénario de contrôle ; ses règles proposées, ses conditions et ses retours visuels sont vérifiables séparément.</x:v>
      </x:c>
      <x:c r="O33" s="9" t="str"/>
      <x:c r="P33" s="9" t="str">
        <x:v>Tuchanka: Killing Pyjaks</x:v>
      </x:c>
      <x:c r="Q33" s="9" t="str">
        <x:v>ME2-SRC-ASSIGN</x:v>
      </x:c>
      <x:c r="R33" s="9" t="str">
        <x:v>https://masseffect.fandom.com/wiki/Assignments</x:v>
      </x:c>
      <x:c r="S33" s="9" t="str">
        <x:v>Spécification à réaliser. Les champs adaptation, gameplay, visual, animation, audio et implementation décrivent le fan game ; ils ne donnent pas des caractéristiques officielles de l’œuvre.</x:v>
      </x:c>
    </x:row>
    <x:row r="34" ht="68" customHeight="1">
      <x:c r="A34" s="19" t="str">
        <x:v>ME2-SQ-TUCH-SCOUT</x:v>
      </x:c>
      <x:c r="B34" s="7" t="str">
        <x:v>Tuchanka: Old Blood: Missing Scout</x:v>
      </x:c>
      <x:c r="C34" s="15" t="str">
        <x:v>Défini</x:v>
      </x:c>
      <x:c r="D34" s="17" t="str">
        <x:v>Établi</x:v>
      </x:c>
      <x:c r="E34" s="17" t="str">
        <x:v>P1</x:v>
      </x:c>
      <x:c r="F34" s="7" t="str">
        <x:v>Éclaireur lié à l’enquête Mordin.</x:v>
      </x:c>
      <x:c r="G34" s="7" t="str">
        <x:v>Conversation dans l’hôpital puis compte rendu au clan ; distinguer retrouvé et revenu.</x:v>
      </x:c>
      <x:c r="H34" s="7" t="str">
        <x:v>Conversation dans l’hôpital puis compte rendu au clan ; distinguer retrouvé et revenu.</x:v>
      </x:c>
      <x:c r="I34" s="7" t="str">
        <x:v>Krogan blessé dans une salle latérale.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me2/side_quests/tuch-scout ; rattacher les ressources et états cités à cet identifiant. Aucun fichier de jeu créé par ce catalogue.</x:v>
      </x:c>
      <x:c r="M34" s="7" t="str"/>
      <x:c r="N34" s="7" t="str">
        <x:v>Le livrable « Tuchanka: Old Blood: Missing Scout » possède une scène ou un scénario de contrôle ; ses règles proposées, ses conditions et ses retours visuels sont vérifiables séparément.</x:v>
      </x:c>
      <x:c r="O34" s="7" t="str"/>
      <x:c r="P34" s="7" t="str">
        <x:v>Tuchanka: Old Blood: Missing Scout</x:v>
      </x:c>
      <x:c r="Q34" s="7" t="str">
        <x:v>ME2-SRC-ASSIGN</x:v>
      </x:c>
      <x:c r="R34" s="7" t="str">
        <x:v>https://masseffect.fandom.com/wiki/Assignments</x:v>
      </x:c>
      <x:c r="S34" s="7" t="str">
        <x:v>Spécification à réaliser. Les champs adaptation, gameplay, visual, animation, audio et implementation décrivent le fan game ; ils ne donnent pas des caractéristiques officielles de l’œuvre.</x:v>
      </x:c>
    </x:row>
    <x:row r="35" ht="68" customHeight="1">
      <x:c r="A35" s="18" t="str">
        <x:v>ME2-SQ-N7-RESEARCH</x:v>
      </x:c>
      <x:c r="B35" s="9" t="str">
        <x:v>N7: Abandoned Research Station</x:v>
      </x:c>
      <x:c r="C35" s="15" t="str">
        <x:v>Défini</x:v>
      </x:c>
      <x:c r="D35" s="16" t="str">
        <x:v>Établi</x:v>
      </x:c>
      <x:c r="E35" s="16" t="str">
        <x:v>P1</x:v>
      </x:c>
      <x:c r="F35" s="9" t="str">
        <x:v>Affectation N7.</x:v>
      </x:c>
      <x:c r="G35" s="9" t="str">
        <x:v>Puzzle de station où chaque système rétabli ouvre un secteur mais alimente une nouvelle menace.</x:v>
      </x:c>
      <x:c r="H35" s="9" t="str">
        <x:v>Puzzle de station où chaque système rétabli ouvre un secteur mais alimente une nouvelle menace.</x:v>
      </x:c>
      <x:c r="I35" s="9" t="str">
        <x:v>Salle machines et câbles interrompus.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me2/side_quests/n7-research ; rattacher les ressources et états cités à cet identifiant. Aucun fichier de jeu créé par ce catalogue.</x:v>
      </x:c>
      <x:c r="M35" s="9" t="str"/>
      <x:c r="N35" s="9" t="str">
        <x:v>Le livrable « N7: Abandoned Research Station » possède une scène ou un scénario de contrôle ; ses règles proposées, ses conditions et ses retours visuels sont vérifiables séparément.</x:v>
      </x:c>
      <x:c r="O35" s="9" t="str"/>
      <x:c r="P35" s="9" t="str">
        <x:v>N7: Abandoned Research Station</x:v>
      </x:c>
      <x:c r="Q35" s="9" t="str">
        <x:v>ME2-SRC-ASSIGN</x:v>
      </x:c>
      <x:c r="R35" s="9" t="str">
        <x:v>https://masseffect.fandom.com/wiki/Assignments</x:v>
      </x:c>
      <x:c r="S35" s="9" t="str">
        <x:v>Spécification à réaliser. Les champs adaptation, gameplay, visual, animation, audio et implementation décrivent le fan game ; ils ne donnent pas des caractéristiques officielles de l’œuvre.</x:v>
      </x:c>
    </x:row>
    <x:row r="36" ht="68" customHeight="1">
      <x:c r="A36" s="19" t="str">
        <x:v>ME2-SQ-N7-MINE</x:v>
      </x:c>
      <x:c r="B36" s="7" t="str">
        <x:v>N7: Abandoned Mine</x:v>
      </x:c>
      <x:c r="C36" s="15" t="str">
        <x:v>Défini</x:v>
      </x:c>
      <x:c r="D36" s="17" t="str">
        <x:v>Établi</x:v>
      </x:c>
      <x:c r="E36" s="17" t="str">
        <x:v>P1</x:v>
      </x:c>
      <x:c r="F36" s="7" t="str">
        <x:v>Affectation N7.</x:v>
      </x:c>
      <x:c r="G36" s="7" t="str">
        <x:v>Descente à éclairage limité ; maintenir un passage d’extraction libre quand des husks convergent.</x:v>
      </x:c>
      <x:c r="H36" s="7" t="str">
        <x:v>Descente à éclairage limité ; maintenir un passage d’extraction libre quand des husks convergent.</x:v>
      </x:c>
      <x:c r="I36" s="7" t="str">
        <x:v>Tunnels, ascenseur et foreuse immobile.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me2/side_quests/n7-mine ; rattacher les ressources et états cités à cet identifiant. Aucun fichier de jeu créé par ce catalogue.</x:v>
      </x:c>
      <x:c r="M36" s="7" t="str"/>
      <x:c r="N36" s="7" t="str">
        <x:v>Le livrable « N7: Abandoned Mine » possède une scène ou un scénario de contrôle ; ses règles proposées, ses conditions et ses retours visuels sont vérifiables séparément.</x:v>
      </x:c>
      <x:c r="O36" s="7" t="str"/>
      <x:c r="P36" s="7" t="str">
        <x:v>N7: Abandoned Mine</x:v>
      </x:c>
      <x:c r="Q36" s="7" t="str">
        <x:v>ME2-SRC-ASSIGN</x:v>
      </x:c>
      <x:c r="R36" s="7" t="str">
        <x:v>https://masseffect.fandom.com/wiki/Assignments</x:v>
      </x:c>
      <x:c r="S36" s="7" t="str">
        <x:v>Spécification à réaliser. Les champs adaptation, gameplay, visual, animation, audio et implementation décrivent le fan game ; ils ne donnent pas des caractéristiques officielles de l’œuvre.</x:v>
      </x:c>
    </x:row>
    <x:row r="37" ht="68" customHeight="1">
      <x:c r="A37" s="18" t="str">
        <x:v>ME2-SQ-N7-WEATHER</x:v>
      </x:c>
      <x:c r="B37" s="9" t="str">
        <x:v>N7: Anomalous Weather Detected</x:v>
      </x:c>
      <x:c r="C37" s="15" t="str">
        <x:v>Défini</x:v>
      </x:c>
      <x:c r="D37" s="16" t="str">
        <x:v>Établi</x:v>
      </x:c>
      <x:c r="E37" s="16" t="str">
        <x:v>P1</x:v>
      </x:c>
      <x:c r="F37" s="9" t="str">
        <x:v>Affectation N7.</x:v>
      </x:c>
      <x:c r="G37" s="9" t="str">
        <x:v>Faire de l’anomalie une contrainte de visibilité ; baliser les approches et désactiver des émetteurs.</x:v>
      </x:c>
      <x:c r="H37" s="9" t="str">
        <x:v>Faire de l’anomalie une contrainte de visibilité ; baliser les approches et désactiver des émetteurs.</x:v>
      </x:c>
      <x:c r="I37" s="9" t="str">
        <x:v>Brume électrique et relief rocheux.</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me2/side_quests/n7-weather ; rattacher les ressources et états cités à cet identifiant. Aucun fichier de jeu créé par ce catalogue.</x:v>
      </x:c>
      <x:c r="M37" s="9" t="str"/>
      <x:c r="N37" s="9" t="str">
        <x:v>Le livrable « N7: Anomalous Weather Detected » possède une scène ou un scénario de contrôle ; ses règles proposées, ses conditions et ses retours visuels sont vérifiables séparément.</x:v>
      </x:c>
      <x:c r="O37" s="9" t="str"/>
      <x:c r="P37" s="9" t="str">
        <x:v>N7: Anomalous Weather Detected</x:v>
      </x:c>
      <x:c r="Q37" s="9" t="str">
        <x:v>ME2-SRC-ASSIGN</x:v>
      </x:c>
      <x:c r="R37" s="9" t="str">
        <x:v>https://masseffect.fandom.com/wiki/Assignments</x:v>
      </x:c>
      <x:c r="S37" s="9" t="str">
        <x:v>Spécification à réaliser. Les champs adaptation, gameplay, visual, animation, audio et implementation décrivent le fan game ; ils ne donnent pas des caractéristiques officielles de l’œuvre.</x:v>
      </x:c>
    </x:row>
    <x:row r="38" ht="68" customHeight="1">
      <x:c r="A38" s="19" t="str">
        <x:v>ME2-SQ-N7-ARCHEO</x:v>
      </x:c>
      <x:c r="B38" s="7" t="str">
        <x:v>N7: Archeological Dig Site</x:v>
      </x:c>
      <x:c r="C38" s="15" t="str">
        <x:v>Défini</x:v>
      </x:c>
      <x:c r="D38" s="17" t="str">
        <x:v>Établi</x:v>
      </x:c>
      <x:c r="E38" s="17" t="str">
        <x:v>P1</x:v>
      </x:c>
      <x:c r="F38" s="7" t="str">
        <x:v>Début d’une chaîne N7.</x:v>
      </x:c>
      <x:c r="G38" s="7" t="str">
        <x:v>Fouiller les excavations sous pression mercenaire et récupérer une piste menant au Strontium Mule.</x:v>
      </x:c>
      <x:c r="H38" s="7" t="str">
        <x:v>Fouiller les excavations sous pression mercenaire et récupérer une piste menant au Strontium Mule.</x:v>
      </x:c>
      <x:c r="I38" s="7" t="str">
        <x:v>Fouilles, tentes et structures anciennes.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me2/side_quests/n7-archeo ; rattacher les ressources et états cités à cet identifiant. Aucun fichier de jeu créé par ce catalogue.</x:v>
      </x:c>
      <x:c r="M38" s="7" t="str"/>
      <x:c r="N38" s="7" t="str">
        <x:v>Le livrable « N7: Archeological Dig Site » possède une scène ou un scénario de contrôle ; ses règles proposées, ses conditions et ses retours visuels sont vérifiables séparément.</x:v>
      </x:c>
      <x:c r="O38" s="7" t="str"/>
      <x:c r="P38" s="7" t="str">
        <x:v>N7: Archeological Dig Site</x:v>
      </x:c>
      <x:c r="Q38" s="7" t="str">
        <x:v>ME2-SRC-ASSIGN</x:v>
      </x:c>
      <x:c r="R38" s="7" t="str">
        <x:v>https://masseffect.fandom.com/wiki/Assignments</x:v>
      </x:c>
      <x:c r="S38" s="7" t="str">
        <x:v>Spécification à réaliser. Les champs adaptation, gameplay, visual, animation, audio et implementation décrivent le fan game ; ils ne donnent pas des caractéristiques officielles de l’œuvre.</x:v>
      </x:c>
    </x:row>
    <x:row r="39" ht="68" customHeight="1">
      <x:c r="A39" s="18" t="str">
        <x:v>ME2-SQ-N7-BLOOD-RELAY</x:v>
      </x:c>
      <x:c r="B39" s="9" t="str">
        <x:v>N7: Blood Pack Communications Relay</x:v>
      </x:c>
      <x:c r="C39" s="15" t="str">
        <x:v>Défini</x:v>
      </x:c>
      <x:c r="D39" s="16" t="str">
        <x:v>Établi</x:v>
      </x:c>
      <x:c r="E39" s="16" t="str">
        <x:v>P1</x:v>
      </x:c>
      <x:c r="F39" s="9" t="str">
        <x:v>Affectation menant à une base Blood Pack.</x:v>
      </x:c>
      <x:c r="G39" s="9" t="str">
        <x:v>Repérer les relais en visibilité réduite ; sabotage de communication avant fuite.</x:v>
      </x:c>
      <x:c r="H39" s="9" t="str">
        <x:v>Repérer les relais en visibilité réduite ; sabotage de communication avant fuite.</x:v>
      </x:c>
      <x:c r="I39" s="9" t="str">
        <x:v>Brouillard, balises et antenne.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me2/side_quests/n7-blood-relay ; rattacher les ressources et états cités à cet identifiant. Aucun fichier de jeu créé par ce catalogue.</x:v>
      </x:c>
      <x:c r="M39" s="9" t="str">
        <x:v>Ouvre la piste de la base.</x:v>
      </x:c>
      <x:c r="N39" s="9" t="str">
        <x:v>Le livrable « N7: Blood Pack Communications Relay » possède une scène ou un scénario de contrôle ; ses règles proposées, ses conditions et ses retours visuels sont vérifiables séparément.</x:v>
      </x:c>
      <x:c r="O39" s="9" t="str"/>
      <x:c r="P39" s="9" t="str">
        <x:v>N7: Blood Pack Communications Relay</x:v>
      </x:c>
      <x:c r="Q39" s="9" t="str">
        <x:v>ME2-SRC-ASSIGN</x:v>
      </x:c>
      <x:c r="R39" s="9" t="str">
        <x:v>https://masseffect.fandom.com/wiki/Assignments</x:v>
      </x:c>
      <x:c r="S39" s="9" t="str">
        <x:v>Spécification à réaliser. Les champs adaptation, gameplay, visual, animation, audio et implementation décrivent le fan game ; ils ne donnent pas des caractéristiques officielles de l’œuvre.</x:v>
      </x:c>
    </x:row>
    <x:row r="40" ht="68" customHeight="1">
      <x:c r="A40" s="19" t="str">
        <x:v>ME2-SQ-N7-BLOOD-BASE</x:v>
      </x:c>
      <x:c r="B40" s="7" t="str">
        <x:v>N7: Blood Pack Base</x:v>
      </x:c>
      <x:c r="C40" s="15" t="str">
        <x:v>Défini</x:v>
      </x:c>
      <x:c r="D40" s="17" t="str">
        <x:v>Établi</x:v>
      </x:c>
      <x:c r="E40" s="17" t="str">
        <x:v>P1</x:v>
      </x:c>
      <x:c r="F40" s="7" t="str">
        <x:v>Affectation N7 du Blood Pack.</x:v>
      </x:c>
      <x:c r="G40" s="7" t="str">
        <x:v>Assaut d’installation avec portes latérales ; prioriser le chef qui appelle les renforts.</x:v>
      </x:c>
      <x:c r="H40" s="7" t="str">
        <x:v>Assaut d’installation avec portes latérales ; prioriser le chef qui appelle les renforts.</x:v>
      </x:c>
      <x:c r="I40" s="7" t="str">
        <x:v>Atelier armé et équipements krogan/vorcha.</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me2/side_quests/n7-blood-base ; rattacher les ressources et états cités à cet identifiant. Aucun fichier de jeu créé par ce catalogue.</x:v>
      </x:c>
      <x:c r="M40" s="7" t="str"/>
      <x:c r="N40" s="7" t="str">
        <x:v>Le livrable « N7: Blood Pack Base » possède une scène ou un scénario de contrôle ; ses règles proposées, ses conditions et ses retours visuels sont vérifiables séparément.</x:v>
      </x:c>
      <x:c r="O40" s="7" t="str"/>
      <x:c r="P40" s="7" t="str">
        <x:v>N7: Blood Pack Base</x:v>
      </x:c>
      <x:c r="Q40" s="7" t="str">
        <x:v>ME2-SRC-ASSIGN</x:v>
      </x:c>
      <x:c r="R40" s="7" t="str">
        <x:v>https://masseffect.fandom.com/wiki/Assignments</x:v>
      </x:c>
      <x:c r="S40" s="7" t="str">
        <x:v>Spécification à réaliser. Les champs adaptation, gameplay, visual, animation, audio et implementation décrivent le fan game ; ils ne donnent pas des caractéristiques officielles de l’œuvre.</x:v>
      </x:c>
    </x:row>
    <x:row r="41" ht="68" customHeight="1">
      <x:c r="A41" s="18" t="str">
        <x:v>ME2-SQ-N7-BLUESUN</x:v>
      </x:c>
      <x:c r="B41" s="9" t="str">
        <x:v>N7: Blue Suns Base</x:v>
      </x:c>
      <x:c r="C41" s="15" t="str">
        <x:v>Défini</x:v>
      </x:c>
      <x:c r="D41" s="16" t="str">
        <x:v>Établi</x:v>
      </x:c>
      <x:c r="E41" s="16" t="str">
        <x:v>P1</x:v>
      </x:c>
      <x:c r="F41" s="9" t="str">
        <x:v>Étape de chaîne N7.</x:v>
      </x:c>
      <x:c r="G41" s="9" t="str">
        <x:v>Entrée par cour puis bunker ; obtenir des informations sur les missiles après sécurisation.</x:v>
      </x:c>
      <x:c r="H41" s="9" t="str">
        <x:v>Entrée par cour puis bunker ; obtenir des informations sur les missiles après sécurisation.</x:v>
      </x:c>
      <x:c r="I41" s="9" t="str">
        <x:v>Bunker mercenaire à codes bleus.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me2/side_quests/n7-bluesun ; rattacher les ressources et états cités à cet identifiant. Aucun fichier de jeu créé par ce catalogue.</x:v>
      </x:c>
      <x:c r="M41" s="9" t="str"/>
      <x:c r="N41" s="9" t="str">
        <x:v>Le livrable « N7: Blue Suns Base » possède une scène ou un scénario de contrôle ; ses règles proposées, ses conditions et ses retours visuels sont vérifiables séparément.</x:v>
      </x:c>
      <x:c r="O41" s="9" t="str"/>
      <x:c r="P41" s="9" t="str">
        <x:v>N7: Blue Suns Base</x:v>
      </x:c>
      <x:c r="Q41" s="9" t="str">
        <x:v>ME2-SRC-ASSIGN</x:v>
      </x:c>
      <x:c r="R41" s="9" t="str">
        <x:v>https://masseffect.fandom.com/wiki/Assignments</x:v>
      </x:c>
      <x:c r="S41" s="9" t="str">
        <x:v>Spécification à réaliser. Les champs adaptation, gameplay, visual, animation, audio et implementation décrivent le fan game ; ils ne donnent pas des caractéristiques officielles de l’œuvre.</x:v>
      </x:c>
    </x:row>
    <x:row r="42" ht="68" customHeight="1">
      <x:c r="A42" s="19" t="str">
        <x:v>ME2-SQ-N7-CAPTURED</x:v>
      </x:c>
      <x:c r="B42" s="7" t="str">
        <x:v>N7: Captured Mining Facility</x:v>
      </x:c>
      <x:c r="C42" s="15" t="str">
        <x:v>Défini</x:v>
      </x:c>
      <x:c r="D42" s="17" t="str">
        <x:v>Établi</x:v>
      </x:c>
      <x:c r="E42" s="17" t="str">
        <x:v>P1</x:v>
      </x:c>
      <x:c r="F42" s="7" t="str">
        <x:v>Affectation de mine occupée.</x:v>
      </x:c>
      <x:c r="G42" s="7" t="str">
        <x:v>Libérer des points de travail sans tirer sur les équipements identifiés ; organiser les lignes de vue de deux galeries.</x:v>
      </x:c>
      <x:c r="H42" s="7" t="str">
        <x:v>Libérer des points de travail sans tirer sur les équipements identifiés ; organiser les lignes de vue de deux galeries.</x:v>
      </x:c>
      <x:c r="I42" s="7" t="str">
        <x:v>Machinerie et postes Eclipse.</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me2/side_quests/n7-captured ; rattacher les ressources et états cités à cet identifiant. Aucun fichier de jeu créé par ce catalogue.</x:v>
      </x:c>
      <x:c r="M42" s="7" t="str"/>
      <x:c r="N42" s="7" t="str">
        <x:v>Le livrable « N7: Captured Mining Facility » possède une scène ou un scénario de contrôle ; ses règles proposées, ses conditions et ses retours visuels sont vérifiables séparément.</x:v>
      </x:c>
      <x:c r="O42" s="7" t="str"/>
      <x:c r="P42" s="7" t="str">
        <x:v>N7: Captured Mining Facility</x:v>
      </x:c>
      <x:c r="Q42" s="7" t="str">
        <x:v>ME2-SRC-ASSIGN</x:v>
      </x:c>
      <x:c r="R42" s="7" t="str">
        <x:v>https://masseffect.fandom.com/wiki/Assignments</x:v>
      </x:c>
      <x:c r="S42" s="7" t="str">
        <x:v>Spécification à réaliser. Les champs adaptation, gameplay, visual, animation, audio et implementation décrivent le fan game ; ils ne donnent pas des caractéristiques officielles de l’œuvre.</x:v>
      </x:c>
    </x:row>
    <x:row r="43" ht="68" customHeight="1">
      <x:c r="A43" s="18" t="str">
        <x:v>ME2-SQ-N7-ECLIPSE</x:v>
      </x:c>
      <x:c r="B43" s="9" t="str">
        <x:v>N7: Eclipse Smuggling Depot</x:v>
      </x:c>
      <x:c r="C43" s="15" t="str">
        <x:v>Défini</x:v>
      </x:c>
      <x:c r="D43" s="16" t="str">
        <x:v>Établi</x:v>
      </x:c>
      <x:c r="E43" s="16" t="str">
        <x:v>P1</x:v>
      </x:c>
      <x:c r="F43" s="9" t="str">
        <x:v>Affectation N7 Eclipse.</x:v>
      </x:c>
      <x:c r="G43" s="9" t="str">
        <x:v>Course de sauvegarde de cargaisons : choisir les caisses à protéger et neutraliser les mécas destructeurs.</x:v>
      </x:c>
      <x:c r="H43" s="9" t="str">
        <x:v>Course de sauvegarde de cargaisons : choisir les caisses à protéger et neutraliser les mécas destructeurs.</x:v>
      </x:c>
      <x:c r="I43" s="9" t="str">
        <x:v>Dépôt ouvert, caisses numérotées et brûlures.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me2/side_quests/n7-eclipse ; rattacher les ressources et états cités à cet identifiant. Aucun fichier de jeu créé par ce catalogue.</x:v>
      </x:c>
      <x:c r="M43" s="9" t="str"/>
      <x:c r="N43" s="9" t="str">
        <x:v>Le livrable « N7: Eclipse Smuggling Depot » possède une scène ou un scénario de contrôle ; ses règles proposées, ses conditions et ses retours visuels sont vérifiables séparément.</x:v>
      </x:c>
      <x:c r="O43" s="9" t="str"/>
      <x:c r="P43" s="9" t="str">
        <x:v>N7: Eclipse Smuggling Depot</x:v>
      </x:c>
      <x:c r="Q43" s="9" t="str">
        <x:v>ME2-SRC-ASSIGN</x:v>
      </x:c>
      <x:c r="R43" s="9" t="str">
        <x:v>https://masseffect.fandom.com/wiki/Assignments</x:v>
      </x:c>
      <x:c r="S43" s="9" t="str">
        <x:v>Spécification à réaliser. Les champs adaptation, gameplay, visual, animation, audio et implementation décrivent le fan game ; ils ne donnent pas des caractéristiques officielles de l’œuvre.</x:v>
      </x:c>
    </x:row>
    <x:row r="44" ht="68" customHeight="1">
      <x:c r="A44" s="19" t="str">
        <x:v>ME2-SQ-N7-ENDANGERED</x:v>
      </x:c>
      <x:c r="B44" s="7" t="str">
        <x:v>N7: Endangered Research Station</x:v>
      </x:c>
      <x:c r="C44" s="15" t="str">
        <x:v>Défini</x:v>
      </x:c>
      <x:c r="D44" s="17" t="str">
        <x:v>Établi</x:v>
      </x:c>
      <x:c r="E44" s="17" t="str">
        <x:v>P1</x:v>
      </x:c>
      <x:c r="F44" s="7" t="str">
        <x:v>Affectation N7 de station menacée.</x:v>
      </x:c>
      <x:c r="G44" s="7" t="str">
        <x:v>Rerouter l’énergie entre capteurs et protection ; validation montrant ce qui a été sauvé.</x:v>
      </x:c>
      <x:c r="H44" s="7" t="str">
        <x:v>Rerouter l’énergie entre capteurs et protection ; validation montrant ce qui a été sauvé.</x:v>
      </x:c>
      <x:c r="I44" s="7" t="str">
        <x:v>Panneaux de puissance et dôme de recherche.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me2/side_quests/n7-endangered ; rattacher les ressources et états cités à cet identifiant. Aucun fichier de jeu créé par ce catalogue.</x:v>
      </x:c>
      <x:c r="M44" s="7" t="str"/>
      <x:c r="N44" s="7" t="str">
        <x:v>Le livrable « N7: Endangered Research Station » possède une scène ou un scénario de contrôle ; ses règles proposées, ses conditions et ses retours visuels sont vérifiables séparément.</x:v>
      </x:c>
      <x:c r="O44" s="7" t="str"/>
      <x:c r="P44" s="7" t="str">
        <x:v>N7: Endangered Research Station</x:v>
      </x:c>
      <x:c r="Q44" s="7" t="str">
        <x:v>ME2-SRC-ASSIGN</x:v>
      </x:c>
      <x:c r="R44" s="7" t="str">
        <x:v>https://masseffect.fandom.com/wiki/Assignments</x:v>
      </x:c>
      <x:c r="S44" s="7" t="str">
        <x:v>Spécification à réaliser. Les champs adaptation, gameplay, visual, animation, audio et implementation décrivent le fan game ; ils ne donnent pas des caractéristiques officielles de l’œuvre.</x:v>
      </x:c>
    </x:row>
    <x:row r="45" ht="68" customHeight="1">
      <x:c r="A45" s="18" t="str">
        <x:v>ME2-SQ-N7-HAHNE</x:v>
      </x:c>
      <x:c r="B45" s="9" t="str">
        <x:v>N7: Hahne-Kedar Facility</x:v>
      </x:c>
      <x:c r="C45" s="15" t="str">
        <x:v>Défini</x:v>
      </x:c>
      <x:c r="D45" s="16" t="str">
        <x:v>Établi</x:v>
      </x:c>
      <x:c r="E45" s="16" t="str">
        <x:v>P1</x:v>
      </x:c>
      <x:c r="F45" s="9" t="str">
        <x:v>Affectation liée aux mécas défaillants.</x:v>
      </x:c>
      <x:c r="G45" s="9" t="str">
        <x:v>Traverser chaîne d’assemblage, couper l’origine des commandes puis laisser une route de sortie.</x:v>
      </x:c>
      <x:c r="H45" s="9" t="str">
        <x:v>Traverser chaîne d’assemblage, couper l’origine des commandes puis laisser une route de sortie.</x:v>
      </x:c>
      <x:c r="I45" s="9" t="str">
        <x:v>Usine de mécas et convoyeurs.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me2/side_quests/n7-hahne ; rattacher les ressources et états cités à cet identifiant. Aucun fichier de jeu créé par ce catalogue.</x:v>
      </x:c>
      <x:c r="M45" s="9" t="str"/>
      <x:c r="N45" s="9" t="str">
        <x:v>Le livrable « N7: Hahne-Kedar Facility » possède une scène ou un scénario de contrôle ; ses règles proposées, ses conditions et ses retours visuels sont vérifiables séparément.</x:v>
      </x:c>
      <x:c r="O45" s="9" t="str"/>
      <x:c r="P45" s="9" t="str">
        <x:v>N7: Hahne-Kedar Facility</x:v>
      </x:c>
      <x:c r="Q45" s="9" t="str">
        <x:v>ME2-SRC-ASSIGN</x:v>
      </x:c>
      <x:c r="R45" s="9" t="str">
        <x:v>https://masseffect.fandom.com/wiki/Assignments</x:v>
      </x:c>
      <x:c r="S45" s="9" t="str">
        <x:v>Spécification à réaliser. Les champs adaptation, gameplay, visual, animation, audio et implementation décrivent le fan game ; ils ne donnent pas des caractéristiques officielles de l’œuvre.</x:v>
      </x:c>
    </x:row>
    <x:row r="46" ht="68" customHeight="1">
      <x:c r="A46" s="19" t="str">
        <x:v>ME2-SQ-N7-CRASH</x:v>
      </x:c>
      <x:c r="B46" s="7" t="str">
        <x:v>N7: Imminent Ship Crash</x:v>
      </x:c>
      <x:c r="C46" s="15" t="str">
        <x:v>Défini</x:v>
      </x:c>
      <x:c r="D46" s="17" t="str">
        <x:v>Établi</x:v>
      </x:c>
      <x:c r="E46" s="17" t="str">
        <x:v>P1</x:v>
      </x:c>
      <x:c r="F46" s="7" t="str">
        <x:v>Affectation N7 d’urgence.</x:v>
      </x:c>
      <x:c r="G46" s="7" t="str">
        <x:v>Réparer la propulsion avant échéance proposée ; temps gelé pendant lecture indispensable.</x:v>
      </x:c>
      <x:c r="H46" s="7" t="str">
        <x:v>Réparer la propulsion avant échéance proposée ; temps gelé pendant lecture indispensable.</x:v>
      </x:c>
      <x:c r="I46" s="7" t="str">
        <x:v>Frégate inclinée, conduite et étoiles en mouvement.</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me2/side_quests/n7-crash ; rattacher les ressources et états cités à cet identifiant. Aucun fichier de jeu créé par ce catalogue.</x:v>
      </x:c>
      <x:c r="M46" s="7" t="str"/>
      <x:c r="N46" s="7" t="str">
        <x:v>Le livrable « N7: Imminent Ship Crash » possède une scène ou un scénario de contrôle ; ses règles proposées, ses conditions et ses retours visuels sont vérifiables séparément.</x:v>
      </x:c>
      <x:c r="O46" s="7" t="str"/>
      <x:c r="P46" s="7" t="str">
        <x:v>N7: Imminent Ship Crash</x:v>
      </x:c>
      <x:c r="Q46" s="7" t="str">
        <x:v>ME2-SRC-ASSIGN</x:v>
      </x:c>
      <x:c r="R46" s="7" t="str">
        <x:v>https://masseffect.fandom.com/wiki/Assignments</x:v>
      </x:c>
      <x:c r="S46" s="7" t="str">
        <x:v>Spécification à réaliser. Les champs adaptation, gameplay, visual, animation, audio et implementation décrivent le fan game ; ils ne donnent pas des caractéristiques officielles de l’œuvre.</x:v>
      </x:c>
    </x:row>
    <x:row r="47" ht="68" customHeight="1">
      <x:c r="A47" s="18" t="str">
        <x:v>ME2-SQ-N7-JAVELIN</x:v>
      </x:c>
      <x:c r="B47" s="9" t="str">
        <x:v>N7: Javelin Missiles Launched</x:v>
      </x:c>
      <x:c r="C47" s="15" t="str">
        <x:v>Défini</x:v>
      </x:c>
      <x:c r="D47" s="16" t="str">
        <x:v>Établi</x:v>
      </x:c>
      <x:c r="E47" s="16" t="str">
        <x:v>P1</x:v>
      </x:c>
      <x:c r="F47" s="9" t="str">
        <x:v>Dernière étape d’une chaîne N7.</x:v>
      </x:c>
      <x:c r="G47" s="9" t="str">
        <x:v>Infiltrer la commande et choisir un objectif de neutralisation ; indiquer l’irréversibilité finale.</x:v>
      </x:c>
      <x:c r="H47" s="9" t="str">
        <x:v>Infiltrer la commande et choisir un objectif de neutralisation ; indiquer l’irréversibilité finale.</x:v>
      </x:c>
      <x:c r="I47" s="9" t="str">
        <x:v>Bunker et carte de trajectoires.</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me2/side_quests/n7-javelin ; rattacher les ressources et états cités à cet identifiant. Aucun fichier de jeu créé par ce catalogue.</x:v>
      </x:c>
      <x:c r="M47" s="9" t="str">
        <x:v>Chaîne de base Blue Suns.</x:v>
      </x:c>
      <x:c r="N47" s="9" t="str">
        <x:v>Le livrable « N7: Javelin Missiles Launched » possède une scène ou un scénario de contrôle ; ses règles proposées, ses conditions et ses retours visuels sont vérifiables séparément.</x:v>
      </x:c>
      <x:c r="O47" s="9" t="str"/>
      <x:c r="P47" s="9" t="str">
        <x:v>N7: Javelin Missiles Launched</x:v>
      </x:c>
      <x:c r="Q47" s="9" t="str">
        <x:v>ME2-SRC-ASSIGN</x:v>
      </x:c>
      <x:c r="R47" s="9" t="str">
        <x:v>https://masseffect.fandom.com/wiki/Assignments</x:v>
      </x:c>
      <x:c r="S47" s="9" t="str">
        <x:v>Spécification à réaliser. Les champs adaptation, gameplay, visual, animation, audio et implementation décrivent le fan game ; ils ne donnent pas des caractéristiques officielles de l’œuvre.</x:v>
      </x:c>
    </x:row>
    <x:row r="48" ht="68" customHeight="1">
      <x:c r="A48" s="19" t="str">
        <x:v>ME2-SQ-N7-OPERATIVE</x:v>
      </x:c>
      <x:c r="B48" s="7" t="str">
        <x:v>N7: Lost Operative</x:v>
      </x:c>
      <x:c r="C48" s="15" t="str">
        <x:v>Défini</x:v>
      </x:c>
      <x:c r="D48" s="17" t="str">
        <x:v>Établi</x:v>
      </x:c>
      <x:c r="E48" s="17" t="str">
        <x:v>P1</x:v>
      </x:c>
      <x:c r="F48" s="7" t="str">
        <x:v>Affectation N7 Cerberus.</x:v>
      </x:c>
      <x:c r="G48" s="7" t="str">
        <x:v>Fouiller les journaux d’un poste silencieux et récupérer des données sans ajouter de vague artificielle.</x:v>
      </x:c>
      <x:c r="H48" s="7" t="str">
        <x:v>Fouiller les journaux d’un poste silencieux et récupérer des données sans ajouter de vague artificielle.</x:v>
      </x:c>
      <x:c r="I48" s="7" t="str">
        <x:v>Petit avant-poste abandonné.</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me2/side_quests/n7-operative ; rattacher les ressources et états cités à cet identifiant. Aucun fichier de jeu créé par ce catalogue.</x:v>
      </x:c>
      <x:c r="M48" s="7" t="str"/>
      <x:c r="N48" s="7" t="str">
        <x:v>Le livrable « N7: Lost Operative » possède une scène ou un scénario de contrôle ; ses règles proposées, ses conditions et ses retours visuels sont vérifiables séparément.</x:v>
      </x:c>
      <x:c r="O48" s="7" t="str"/>
      <x:c r="P48" s="7" t="str">
        <x:v>N7: Lost Operative</x:v>
      </x:c>
      <x:c r="Q48" s="7" t="str">
        <x:v>ME2-SRC-ASSIGN</x:v>
      </x:c>
      <x:c r="R48" s="7" t="str">
        <x:v>https://masseffect.fandom.com/wiki/Assignments</x:v>
      </x:c>
      <x:c r="S48" s="7" t="str">
        <x:v>Spécification à réaliser. Les champs adaptation, gameplay, visual, animation, audio et implementation décrivent le fan game ; ils ne donnent pas des caractéristiques officielles de l’œuvre.</x:v>
      </x:c>
    </x:row>
    <x:row r="49" ht="68" customHeight="1">
      <x:c r="A49" s="18" t="str">
        <x:v>ME2-SQ-N7-CANYON</x:v>
      </x:c>
      <x:c r="B49" s="9" t="str">
        <x:v>N7: Mining the Canyon</x:v>
      </x:c>
      <x:c r="C49" s="15" t="str">
        <x:v>Défini</x:v>
      </x:c>
      <x:c r="D49" s="16" t="str">
        <x:v>Établi</x:v>
      </x:c>
      <x:c r="E49" s="16" t="str">
        <x:v>P1</x:v>
      </x:c>
      <x:c r="F49" s="9" t="str">
        <x:v>Affectation N7 de canyon.</x:v>
      </x:c>
      <x:c r="G49" s="9" t="str">
        <x:v>Escorter un méca de travail via relais d’énergie ; éviter le blocage de trajectoire par le groupe.</x:v>
      </x:c>
      <x:c r="H49" s="9" t="str">
        <x:v>Escorter un méca de travail via relais d’énergie ; éviter le blocage de trajectoire par le groupe.</x:v>
      </x:c>
      <x:c r="I49" s="9" t="str">
        <x:v>Canyon et minerai bleu-gris.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me2/side_quests/n7-canyon ; rattacher les ressources et états cités à cet identifiant. Aucun fichier de jeu créé par ce catalogue.</x:v>
      </x:c>
      <x:c r="M49" s="9" t="str"/>
      <x:c r="N49" s="9" t="str">
        <x:v>Le livrable « N7: Mining the Canyon » possède une scène ou un scénario de contrôle ; ses règles proposées, ses conditions et ses retours visuels sont vérifiables séparément.</x:v>
      </x:c>
      <x:c r="O49" s="9" t="str"/>
      <x:c r="P49" s="9" t="str">
        <x:v>N7: Mining the Canyon</x:v>
      </x:c>
      <x:c r="Q49" s="9" t="str">
        <x:v>ME2-SRC-ASSIGN</x:v>
      </x:c>
      <x:c r="R49" s="9" t="str">
        <x:v>https://masseffect.fandom.com/wiki/Assignments</x:v>
      </x:c>
      <x:c r="S49" s="9" t="str">
        <x:v>Spécification à réaliser. Les champs adaptation, gameplay, visual, animation, audio et implementation décrivent le fan game ; ils ne donnent pas des caractéristiques officielles de l’œuvre.</x:v>
      </x:c>
    </x:row>
    <x:row r="50" ht="68" customHeight="1">
      <x:c r="A50" s="19" t="str">
        <x:v>ME2-SQ-N7-ESTEVANICO</x:v>
      </x:c>
      <x:c r="B50" s="7" t="str">
        <x:v>N7: MSV Estevanico</x:v>
      </x:c>
      <x:c r="C50" s="15" t="str">
        <x:v>Défini</x:v>
      </x:c>
      <x:c r="D50" s="17" t="str">
        <x:v>Établi</x:v>
      </x:c>
      <x:c r="E50" s="17" t="str">
        <x:v>P1</x:v>
      </x:c>
      <x:c r="F50" s="7" t="str">
        <x:v>Affectation d’exploration d’épave.</x:v>
      </x:c>
      <x:c r="G50" s="7" t="str">
        <x:v>Parcours de coque instable avec points d’appui clairement marqués ; proposer une option sans réflexe.</x:v>
      </x:c>
      <x:c r="H50" s="7" t="str">
        <x:v>Parcours de coque instable avec points d’appui clairement marqués ; proposer une option sans réflexe.</x:v>
      </x:c>
      <x:c r="I50" s="7" t="str">
        <x:v>Épave suspendue dans un relief désertique.</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me2/side_quests/n7-estevanico ; rattacher les ressources et états cités à cet identifiant. Aucun fichier de jeu créé par ce catalogue.</x:v>
      </x:c>
      <x:c r="M50" s="7" t="str"/>
      <x:c r="N50" s="7" t="str">
        <x:v>Le livrable « N7: MSV Estevanico » possède une scène ou un scénario de contrôle ; ses règles proposées, ses conditions et ses retours visuels sont vérifiables séparément.</x:v>
      </x:c>
      <x:c r="O50" s="7" t="str"/>
      <x:c r="P50" s="7" t="str">
        <x:v>N7: MSV Estevanico</x:v>
      </x:c>
      <x:c r="Q50" s="7" t="str">
        <x:v>ME2-SRC-ASSIGN</x:v>
      </x:c>
      <x:c r="R50" s="7" t="str">
        <x:v>https://masseffect.fandom.com/wiki/Assignments</x:v>
      </x:c>
      <x:c r="S50" s="7" t="str">
        <x:v>Spécification à réaliser. Les champs adaptation, gameplay, visual, animation, audio et implementation décrivent le fan game ; ils ne donnent pas des caractéristiques officielles de l’œuvre.</x:v>
      </x:c>
    </x:row>
    <x:row r="51" ht="68" customHeight="1">
      <x:c r="A51" s="18" t="str">
        <x:v>ME2-SQ-N7-STRONTIUM</x:v>
      </x:c>
      <x:c r="B51" s="9" t="str">
        <x:v>N7: MSV Strontium Mule</x:v>
      </x:c>
      <x:c r="C51" s="15" t="str">
        <x:v>Défini</x:v>
      </x:c>
      <x:c r="D51" s="16" t="str">
        <x:v>Établi</x:v>
      </x:c>
      <x:c r="E51" s="16" t="str">
        <x:v>P1</x:v>
      </x:c>
      <x:c r="F51" s="9" t="str">
        <x:v>Étape d’une chaîne N7.</x:v>
      </x:c>
      <x:c r="G51" s="9" t="str">
        <x:v>Aborder le cargo, débloquer ses ponts et identifier la piste de la base Blue Suns.</x:v>
      </x:c>
      <x:c r="H51" s="9" t="str">
        <x:v>Aborder le cargo, débloquer ses ponts et identifier la piste de la base Blue Suns.</x:v>
      </x:c>
      <x:c r="I51" s="9" t="str">
        <x:v>Couloirs de cargo et soute étroite.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me2/side_quests/n7-strontium ; rattacher les ressources et états cités à cet identifiant. Aucun fichier de jeu créé par ce catalogue.</x:v>
      </x:c>
      <x:c r="M51" s="9" t="str"/>
      <x:c r="N51" s="9" t="str">
        <x:v>Le livrable « N7: MSV Strontium Mule » possède une scène ou un scénario de contrôle ; ses règles proposées, ses conditions et ses retours visuels sont vérifiables séparément.</x:v>
      </x:c>
      <x:c r="O51" s="9" t="str"/>
      <x:c r="P51" s="9" t="str">
        <x:v>N7: MSV Strontium Mule</x:v>
      </x:c>
      <x:c r="Q51" s="9" t="str">
        <x:v>ME2-SRC-ASSIGN</x:v>
      </x:c>
      <x:c r="R51" s="9" t="str">
        <x:v>https://masseffect.fandom.com/wiki/Assignments</x:v>
      </x:c>
      <x:c r="S51" s="9" t="str">
        <x:v>Spécification à réaliser. Les champs adaptation, gameplay, visual, animation, audio et implementation décrivent le fan game ; ils ne donnent pas des caractéristiques officielles de l’œuvre.</x:v>
      </x:c>
    </x:row>
    <x:row r="52" ht="68" customHeight="1">
      <x:c r="A52" s="19" t="str">
        <x:v>ME2-SQ-N7-QUARIAN</x:v>
      </x:c>
      <x:c r="B52" s="7" t="str">
        <x:v>N7: Quarian Crash Site</x:v>
      </x:c>
      <x:c r="C52" s="15" t="str">
        <x:v>Défini</x:v>
      </x:c>
      <x:c r="D52" s="17" t="str">
        <x:v>Établi</x:v>
      </x:c>
      <x:c r="E52" s="17" t="str">
        <x:v>P1</x:v>
      </x:c>
      <x:c r="F52" s="7" t="str">
        <x:v>Affectation de secours.</x:v>
      </x:c>
      <x:c r="G52" s="7" t="str">
        <x:v>Protéger un survivant jusqu’au départ de sa navette ; éloigner les charges animales de sa position.</x:v>
      </x:c>
      <x:c r="H52" s="7" t="str">
        <x:v>Protéger un survivant jusqu’au départ de sa navette ; éloigner les charges animales de sa position.</x:v>
      </x:c>
      <x:c r="I52" s="7" t="str">
        <x:v>Cratère, débris quariens et navette de secours.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me2/side_quests/n7-quarian ; rattacher les ressources et états cités à cet identifiant. Aucun fichier de jeu créé par ce catalogue.</x:v>
      </x:c>
      <x:c r="M52" s="7" t="str"/>
      <x:c r="N52" s="7" t="str">
        <x:v>Le livrable « N7: Quarian Crash Site » possède une scène ou un scénario de contrôle ; ses règles proposées, ses conditions et ses retours visuels sont vérifiables séparément.</x:v>
      </x:c>
      <x:c r="O52" s="7" t="str"/>
      <x:c r="P52" s="7" t="str">
        <x:v>N7: Quarian Crash Site</x:v>
      </x:c>
      <x:c r="Q52" s="7" t="str">
        <x:v>ME2-SRC-ASSIGN</x:v>
      </x:c>
      <x:c r="R52" s="7" t="str">
        <x:v>https://masseffect.fandom.com/wiki/Assignments</x:v>
      </x:c>
      <x:c r="S52" s="7" t="str">
        <x:v>Spécification à réaliser. Les champs adaptation, gameplay, visual, animation, audio et implementation décrivent le fan game ; ils ne donnent pas des caractéristiques officielles de l’œuvre.</x:v>
      </x:c>
    </x:row>
    <x:row r="53" ht="68" customHeight="1">
      <x:c r="A53" s="18" t="str">
        <x:v>ME2-SQ-N7-WRECK</x:v>
      </x:c>
      <x:c r="B53" s="9" t="str">
        <x:v>N7: Wrecked Merchant Freighter</x:v>
      </x:c>
      <x:c r="C53" s="15" t="str">
        <x:v>Défini</x:v>
      </x:c>
      <x:c r="D53" s="16" t="str">
        <x:v>Établi</x:v>
      </x:c>
      <x:c r="E53" s="16" t="str">
        <x:v>P1</x:v>
      </x:c>
      <x:c r="F53" s="9" t="str">
        <x:v>Début de chaîne des mécas défaillants.</x:v>
      </x:c>
      <x:c r="G53" s="9" t="str">
        <x:v>Enquêter entre les débris et survivre aux machines encore actives ; rapport mène à la station.</x:v>
      </x:c>
      <x:c r="H53" s="9" t="str">
        <x:v>Enquêter entre les débris et survivre aux machines encore actives ; rapport mène à la station.</x:v>
      </x:c>
      <x:c r="I53" s="9" t="str">
        <x:v>Cargo fracturé et modules LOKI.</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me2/side_quests/n7-wreck ; rattacher les ressources et états cités à cet identifiant. Aucun fichier de jeu créé par ce catalogue.</x:v>
      </x:c>
      <x:c r="M53" s="9" t="str"/>
      <x:c r="N53" s="9" t="str">
        <x:v>Le livrable « N7: Wrecked Merchant Freighter » possède une scène ou un scénario de contrôle ; ses règles proposées, ses conditions et ses retours visuels sont vérifiables séparément.</x:v>
      </x:c>
      <x:c r="O53" s="9" t="str"/>
      <x:c r="P53" s="9" t="str">
        <x:v>N7: Wrecked Merchant Freighter</x:v>
      </x:c>
      <x:c r="Q53" s="9" t="str">
        <x:v>ME2-SRC-ASSIGN</x:v>
      </x:c>
      <x:c r="R53" s="9" t="str">
        <x:v>https://masseffect.fandom.com/wiki/Assignments</x:v>
      </x:c>
      <x:c r="S53" s="9" t="str">
        <x:v>Spécification à réaliser. Les champs adaptation, gameplay, visual, animation, audio et implementation décrivent le fan game ; ils ne donnent pas des caractéristiques officielles de l’œuvre.</x:v>
      </x:c>
    </x:row>
    <x:row r="54" ht="68" customHeight="1">
      <x:c r="A54" s="19" t="str">
        <x:v>ME2-SQ-CRASH-SITE</x:v>
      </x:c>
      <x:c r="B54" s="7" t="str">
        <x:v>Normandy Crash Site</x:v>
      </x:c>
      <x:c r="C54" s="15" t="str">
        <x:v>Défini</x:v>
      </x:c>
      <x:c r="D54" s="17" t="str">
        <x:v>Établi</x:v>
      </x:c>
      <x:c r="E54" s="17" t="str">
        <x:v>P1</x:v>
      </x:c>
      <x:c r="F54" s="7" t="str">
        <x:v>DLC de retour sur le site du Normandy.</x:v>
      </x:c>
      <x:c r="G54" s="7" t="str">
        <x:v>Exploration commémorative sans ennemi ajouté ; poser le mémorial et retrouver des traces de l’équipage.</x:v>
      </x:c>
      <x:c r="H54" s="7" t="str">
        <x:v>Exploration commémorative sans ennemi ajouté ; poser le mémorial et retrouver des traces de l’équipage.</x:v>
      </x:c>
      <x:c r="I54" s="7" t="str">
        <x:v>Neige, morceaux du SR-1 et plaque de souvenir.</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me2/side_quests/crash-site ; rattacher les ressources et états cités à cet identifiant. Aucun fichier de jeu créé par ce catalogue.</x:v>
      </x:c>
      <x:c r="M54" s="7" t="str">
        <x:v>DLC / Legendary.</x:v>
      </x:c>
      <x:c r="N54" s="7" t="str">
        <x:v>Le livrable « Normandy Crash Site » possède une scène ou un scénario de contrôle ; ses règles proposées, ses conditions et ses retours visuels sont vérifiables séparément.</x:v>
      </x:c>
      <x:c r="O54" s="7" t="str"/>
      <x:c r="P54" s="7" t="str">
        <x:v>Normandy Crash Site</x:v>
      </x:c>
      <x:c r="Q54" s="7" t="str">
        <x:v>ME2-SRC-ASSIGN, ME2-SRC-EA-DLC</x:v>
      </x:c>
      <x:c r="R54" s="7" t="str">
        <x:v>https://masseffect.fandom.com/wiki/Assignments
https://help.ea.com/en//articles/orders-and-rewards/dlc-for-classic-games/</x:v>
      </x:c>
      <x:c r="S54" s="7" t="str">
        <x:v>Spécification à réaliser. Les champs adaptation, gameplay, visual, animation, audio et implementation décrivent le fan game ; ils ne donnent pas des caractéristiques officielles de l’œuvre.</x:v>
      </x:c>
    </x:row>
    <x:row r="55" ht="68" customHeight="1">
      <x:c r="A55" s="18" t="str">
        <x:v>ME2-SQ-FIRE-ROSALIE</x:v>
      </x:c>
      <x:c r="B55" s="9" t="str">
        <x:v>Project Firewalker: Rosalie Lost</x:v>
      </x:c>
      <x:c r="C55" s="15" t="str">
        <x:v>Défini</x:v>
      </x:c>
      <x:c r="D55" s="16" t="str">
        <x:v>Établi</x:v>
      </x:c>
      <x:c r="E55" s="16" t="str">
        <x:v>P1</x:v>
      </x:c>
      <x:c r="F55" s="9" t="str">
        <x:v>Début du pack Hammerhead.</x:v>
      </x:c>
      <x:c r="G55" s="9" t="str">
        <x:v>Tutoriel de saut, vol stationnaire et extraction par faisceau ; aucun atelier d’amélioration inventé comme canon.</x:v>
      </x:c>
      <x:c r="H55" s="9" t="str">
        <x:v>Tutoriel de saut, vol stationnaire et extraction par faisceau ; aucun atelier d’amélioration inventé comme canon.</x:v>
      </x:c>
      <x:c r="I55" s="9" t="str">
        <x:v>Site de recherche et Hammerhead posé.</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me2/side_quests/fire-rosalie ; rattacher les ressources et états cités à cet identifiant. Aucun fichier de jeu créé par ce catalogue.</x:v>
      </x:c>
      <x:c r="M55" s="9" t="str">
        <x:v>DLC / Legendary.</x:v>
      </x:c>
      <x:c r="N55" s="9" t="str">
        <x:v>Le livrable « Project Firewalker: Rosalie Lost » possède une scène ou un scénario de contrôle ; ses règles proposées, ses conditions et ses retours visuels sont vérifiables séparément.</x:v>
      </x:c>
      <x:c r="O55" s="9" t="str"/>
      <x:c r="P55" s="9" t="str">
        <x:v>Project Firewalker: Rosalie Lost</x:v>
      </x:c>
      <x:c r="Q55" s="9" t="str">
        <x:v>ME2-SRC-FIRE-START</x:v>
      </x:c>
      <x:c r="R55" s="9" t="str">
        <x:v>https://masseffect.fandom.com/wiki/Project_Firewalker%3A_Rosalie_Lost</x:v>
      </x:c>
      <x:c r="S55" s="9" t="str">
        <x:v>Spécification à réaliser. Les champs adaptation, gameplay, visual, animation, audio et implementation décrivent le fan game ; ils ne donnent pas des caractéristiques officielles de l’œuvre.</x:v>
      </x:c>
    </x:row>
    <x:row r="56" ht="68" customHeight="1">
      <x:c r="A56" s="19" t="str">
        <x:v>ME2-SQ-FIRE-SURVEY</x:v>
      </x:c>
      <x:c r="B56" s="7" t="str">
        <x:v>Project Firewalker: Survey Sites Located</x:v>
      </x:c>
      <x:c r="C56" s="15" t="str">
        <x:v>Défini</x:v>
      </x:c>
      <x:c r="D56" s="17" t="str">
        <x:v>Établi</x:v>
      </x:c>
      <x:c r="E56" s="17" t="str">
        <x:v>P1</x:v>
      </x:c>
      <x:c r="F56" s="7" t="str">
        <x:v>Affectation du pack Firewalker.</x:v>
      </x:c>
      <x:c r="G56" s="7" t="str">
        <x:v>Parcours de collecte à embranchements ; distinguer parcours sûr et détour de minerais.</x:v>
      </x:c>
      <x:c r="H56" s="7" t="str">
        <x:v>Parcours de collecte à embranchements ; distinguer parcours sûr et détour de minerais.</x:v>
      </x:c>
      <x:c r="I56" s="7" t="str">
        <x:v>Terrasses minérales et balises d’étude.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me2/side_quests/fire-survey ; rattacher les ressources et états cités à cet identifiant. Aucun fichier de jeu créé par ce catalogue.</x:v>
      </x:c>
      <x:c r="M56" s="7" t="str">
        <x:v>Hammerhead obtenu.</x:v>
      </x:c>
      <x:c r="N56" s="7" t="str">
        <x:v>Le livrable « Project Firewalker: Survey Sites Located » possède une scène ou un scénario de contrôle ; ses règles proposées, ses conditions et ses retours visuels sont vérifiables séparément.</x:v>
      </x:c>
      <x:c r="O56" s="7" t="str"/>
      <x:c r="P56" s="7" t="str">
        <x:v>Project Firewalker: Survey Sites Located</x:v>
      </x:c>
      <x:c r="Q56" s="7" t="str">
        <x:v>ME2-SRC-FIRE</x:v>
      </x:c>
      <x:c r="R56" s="7" t="str">
        <x:v>https://masseffect.fandom.com/wiki/Firewalker_Pack</x:v>
      </x:c>
      <x:c r="S56" s="7" t="str">
        <x:v>Spécification à réaliser. Les champs adaptation, gameplay, visual, animation, audio et implementation décrivent le fan game ; ils ne donnent pas des caractéristiques officielles de l’œuvre.</x:v>
      </x:c>
    </x:row>
    <x:row r="57" ht="68" customHeight="1">
      <x:c r="A57" s="18" t="str">
        <x:v>ME2-SQ-FIRE-COLD</x:v>
      </x:c>
      <x:c r="B57" s="9" t="str">
        <x:v>Project Firewalker: Geth Incursion</x:v>
      </x:c>
      <x:c r="C57" s="15" t="str">
        <x:v>Défini</x:v>
      </x:c>
      <x:c r="D57" s="16" t="str">
        <x:v>Établi</x:v>
      </x:c>
      <x:c r="E57" s="16" t="str">
        <x:v>P1</x:v>
      </x:c>
      <x:c r="F57" s="9" t="str">
        <x:v>Le froid menace le moteur sur Lattesh.</x:v>
      </x:c>
      <x:c r="G57" s="9" t="str">
        <x:v>Courte expédition à jauge thermique ; chaque sonde réchauffe le véhicule, l’échec devient retour partiel.</x:v>
      </x:c>
      <x:c r="H57" s="9" t="str">
        <x:v>Courte expédition à jauge thermique ; chaque sonde réchauffe le véhicule, l’échec devient retour partiel.</x:v>
      </x:c>
      <x:c r="I57" s="9" t="str">
        <x:v>Canyon glacé et colonnes rouges de sondes.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me2/side_quests/fire-cold ; rattacher les ressources et états cités à cet identifiant. Aucun fichier de jeu créé par ce catalogue.</x:v>
      </x:c>
      <x:c r="M57" s="9" t="str">
        <x:v>Hammerhead obtenu.</x:v>
      </x:c>
      <x:c r="N57" s="9" t="str">
        <x:v>Le livrable « Project Firewalker: Geth Incursion » possède une scène ou un scénario de contrôle ; ses règles proposées, ses conditions et ses retours visuels sont vérifiables séparément.</x:v>
      </x:c>
      <x:c r="O57" s="9" t="str"/>
      <x:c r="P57" s="9" t="str">
        <x:v>Project Firewalker: Geth Incursion</x:v>
      </x:c>
      <x:c r="Q57" s="9" t="str">
        <x:v>ME2-SRC-FIRE-COLD</x:v>
      </x:c>
      <x:c r="R57" s="9" t="str">
        <x:v>https://masseffect.fandom.com/wiki/Project_Firewalker%3A_Geth_Incursion</x:v>
      </x:c>
      <x:c r="S57" s="9" t="str">
        <x:v>Spécification à réaliser. Les champs adaptation, gameplay, visual, animation, audio et implementation décrivent le fan game ; ils ne donnent pas des caractéristiques officielles de l’œuvre.</x:v>
      </x:c>
    </x:row>
    <x:row r="58" ht="68" customHeight="1">
      <x:c r="A58" s="19" t="str">
        <x:v>ME2-SQ-FIRE-VOLCANO</x:v>
      </x:c>
      <x:c r="B58" s="7" t="str">
        <x:v>Project Firewalker: Volcano Station</x:v>
      </x:c>
      <x:c r="C58" s="15" t="str">
        <x:v>Défini</x:v>
      </x:c>
      <x:c r="D58" s="17" t="str">
        <x:v>Établi</x:v>
      </x:c>
      <x:c r="E58" s="17" t="str">
        <x:v>P1</x:v>
      </x:c>
      <x:c r="F58" s="7" t="str">
        <x:v>Affectation du pack Firewalker.</x:v>
      </x:c>
      <x:c r="G58" s="7" t="str">
        <x:v>Enchaîner plateformes et fuite d’une zone volcanique ; conserver une trajectoire sûre lisible.</x:v>
      </x:c>
      <x:c r="H58" s="7" t="str">
        <x:v>Enchaîner plateformes et fuite d’une zone volcanique ; conserver une trajectoire sûre lisible.</x:v>
      </x:c>
      <x:c r="I58" s="7" t="str">
        <x:v>Lave et station en surchauffe.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me2/side_quests/fire-volcano ; rattacher les ressources et états cités à cet identifiant. Aucun fichier de jeu créé par ce catalogue.</x:v>
      </x:c>
      <x:c r="M58" s="7" t="str">
        <x:v>Hammerhead obtenu.</x:v>
      </x:c>
      <x:c r="N58" s="7" t="str">
        <x:v>Le livrable « Project Firewalker: Volcano Station » possède une scène ou un scénario de contrôle ; ses règles proposées, ses conditions et ses retours visuels sont vérifiables séparément.</x:v>
      </x:c>
      <x:c r="O58" s="7" t="str"/>
      <x:c r="P58" s="7" t="str">
        <x:v>Project Firewalker: Volcano Station</x:v>
      </x:c>
      <x:c r="Q58" s="7" t="str">
        <x:v>ME2-SRC-FIRE</x:v>
      </x:c>
      <x:c r="R58" s="7" t="str">
        <x:v>https://masseffect.fandom.com/wiki/Firewalker_Pack</x:v>
      </x:c>
      <x:c r="S58" s="7" t="str">
        <x:v>Spécification à réaliser. Les champs adaptation, gameplay, visual, animation, audio et implementation décrivent le fan game ; ils ne donnent pas des caractéristiques officielles de l’œuvre.</x:v>
      </x:c>
    </x:row>
    <x:row r="59" ht="68" customHeight="1">
      <x:c r="A59" s="18" t="str">
        <x:v>ME2-SQ-FIRE-PROTHEAN</x:v>
      </x:c>
      <x:c r="B59" s="9" t="str">
        <x:v>Project Firewalker: Prothean Site</x:v>
      </x:c>
      <x:c r="C59" s="15" t="str">
        <x:v>Défini</x:v>
      </x:c>
      <x:c r="D59" s="16" t="str">
        <x:v>Établi</x:v>
      </x:c>
      <x:c r="E59" s="16" t="str">
        <x:v>P1</x:v>
      </x:c>
      <x:c r="F59" s="9" t="str">
        <x:v>Conclusion de recherche du pack.</x:v>
      </x:c>
      <x:c r="G59" s="9" t="str">
        <x:v>Passer de véhicule à salle d’exploration ; signaler les éléments scientifiques sans prétendre connaître leur usage.</x:v>
      </x:c>
      <x:c r="H59" s="9" t="str">
        <x:v>Passer de véhicule à salle d’exploration ; signaler les éléments scientifiques sans prétendre connaître leur usage.</x:v>
      </x:c>
      <x:c r="I59" s="9" t="str">
        <x:v>Ruines et artefact suspendu.</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me2/side_quests/fire-prothean ; rattacher les ressources et états cités à cet identifiant. Aucun fichier de jeu créé par ce catalogue.</x:v>
      </x:c>
      <x:c r="M59" s="9" t="str">
        <x:v>Autres pistes du pack avancées.</x:v>
      </x:c>
      <x:c r="N59" s="9" t="str">
        <x:v>Le livrable « Project Firewalker: Prothean Site » possède une scène ou un scénario de contrôle ; ses règles proposées, ses conditions et ses retours visuels sont vérifiables séparément.</x:v>
      </x:c>
      <x:c r="O59" s="9" t="str"/>
      <x:c r="P59" s="9" t="str">
        <x:v>Project Firewalker: Prothean Site</x:v>
      </x:c>
      <x:c r="Q59" s="9" t="str">
        <x:v>ME2-SRC-FIRE</x:v>
      </x:c>
      <x:c r="R59" s="9" t="str">
        <x:v>https://masseffect.fandom.com/wiki/Firewalker_Pack</x:v>
      </x:c>
      <x:c r="S59" s="9" t="str">
        <x:v>Spécification à réaliser. Les champs adaptation, gameplay, visual, animation, audio et implementation décrivent le fan game ; ils ne donnent pas des caractéristiques officielles de l’œuvre.</x:v>
      </x:c>
    </x:row>
  </x:sheetData>
  <x:conditionalFormatting sqref="D7:D59">
    <x:cfRule type="cellIs" dxfId="40" priority="1" operator="equal">
      <x:formula>"À vérifier"</x:formula>
    </x:cfRule>
    <x:cfRule type="cellIs" dxfId="41" priority="2" operator="equal">
      <x:formula>"Extrapolation"</x:formula>
    </x:cfRule>
  </x:conditionalFormatting>
  <x:conditionalFormatting sqref="C7:C59">
    <x:cfRule type="cellIs" dxfId="42" priority="3" operator="equal">
      <x:formula>"Validé"</x:formula>
    </x:cfRule>
  </x:conditionalFormatting>
  <x:conditionalFormatting sqref="E7:E59">
    <x:cfRule type="cellIs" dxfId="43" priority="4" operator="equal">
      <x:formula>"P0"</x:formula>
    </x:cfRule>
  </x:conditionalFormatting>
  <x:dataValidations count="3">
    <x:dataValidation type="list" sqref="C7:C59">
      <x:formula1>"Défini,Prototype,Intégré,Validé"</x:formula1>
    </x:dataValidation>
    <x:dataValidation type="list" sqref="D7:D59">
      <x:formula1>"Établi,À vérifier,Extrapolation,Coupé attesté,Concept abandonné,Allégation écartée"</x:formula1>
    </x:dataValidation>
    <x:dataValidation type="list" sqref="E7:E59">
      <x:formula1>"P0,P1,P2"</x:formula1>
    </x:dataValidation>
  </x:dataValidations>
  <x:pageMargins left="0.7" right="0.7" top="0.75" bottom="0.75" header="0.3" footer="0.3"/>
  <x:tableParts count="1">
    <x:tablePart xmlns:r="http://schemas.openxmlformats.org/officeDocument/2006/relationships" r:id="Reccb4c5eab1e4d3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2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ME2-CHO-VEETOR</x:v>
      </x:c>
      <x:c r="B7" s="9" t="str">
        <x:v>Veetor : transfert ou retour</x:v>
      </x:c>
      <x:c r="C7" s="15" t="str">
        <x:v>Défini</x:v>
      </x:c>
      <x:c r="D7" s="16" t="str">
        <x:v>Établi</x:v>
      </x:c>
      <x:c r="E7" s="16" t="str">
        <x:v>P1</x:v>
      </x:c>
      <x:c r="F7" s="9" t="str">
        <x:v>Le sort immédiat de Veetor peut varier.</x:v>
      </x:c>
      <x:c r="G7" s="9" t="str">
        <x:v>Sauvegarder le destinataire et l’état de confiance ; ne pas changer le résultat après avoir quitté le dialogue.</x:v>
      </x:c>
      <x:c r="H7" s="9" t="str">
        <x:v>Sauvegarder le destinataire et l’état de confiance ; ne pas changer le résultat après avoir quitté le dialogue.</x:v>
      </x:c>
      <x:c r="I7" s="9" t="str">
        <x:v>Deux destinataires dans l’UI de décision.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me2/choices/veetor ; rattacher les ressources et états cités à cet identifiant. Aucun fichier de jeu créé par ce catalogue.</x:v>
      </x:c>
      <x:c r="M7" s="9" t="str"/>
      <x:c r="N7" s="9" t="str">
        <x:v>Le livrable « Veetor : transfert ou retour » possède une scène ou un scénario de contrôle ; ses règles proposées, ses conditions et ses retours visuels sont vérifiables séparément.</x:v>
      </x:c>
      <x:c r="O7" s="9" t="str"/>
      <x:c r="P7" s="9" t="str">
        <x:v>Veetor : transfert ou retour</x:v>
      </x:c>
      <x:c r="Q7" s="9" t="str">
        <x:v>ME2-SRC-FREEDOM</x:v>
      </x:c>
      <x:c r="R7" s="9" t="str">
        <x:v>https://masseffect.fandom.com/wiki/Freedom%27s_Progress_%28mission%29</x:v>
      </x:c>
      <x:c r="S7" s="9" t="str">
        <x:v>Spécification à réaliser. Les champs adaptation, gameplay, visual, animation, audio et implementation décrivent le fan game ; ils ne donnent pas des caractéristiques officielles de l’œuvre.</x:v>
      </x:c>
    </x:row>
    <x:row r="8" ht="68" customHeight="1">
      <x:c r="A8" s="19" t="str">
        <x:v>ME2-CHO-GRUNT</x:v>
      </x:c>
      <x:c r="B8" s="7" t="str">
        <x:v>Ouvrir la cuve de Grunt</x:v>
      </x:c>
      <x:c r="C8" s="15" t="str">
        <x:v>Défini</x:v>
      </x:c>
      <x:c r="D8" s="17" t="str">
        <x:v>Établi</x:v>
      </x:c>
      <x:c r="E8" s="17" t="str">
        <x:v>P1</x:v>
      </x:c>
      <x:c r="F8" s="7" t="str">
        <x:v>Grunt peut rester dans sa cuve.</x:v>
      </x:c>
      <x:c r="G8" s="7" t="str">
        <x:v>Afficher l’effet sur le recrutement et demander une décision narrative claire ; aucune ouverture par simple inspection.</x:v>
      </x:c>
      <x:c r="H8" s="7" t="str">
        <x:v>Afficher l’effet sur le recrutement et demander une décision narrative claire ; aucune ouverture par simple inspection.</x:v>
      </x:c>
      <x:c r="I8" s="7" t="str">
        <x:v>Cuve fermée et commande séparée.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me2/choices/grunt ; rattacher les ressources et états cités à cet identifiant. Aucun fichier de jeu créé par ce catalogue.</x:v>
      </x:c>
      <x:c r="M8" s="7" t="str"/>
      <x:c r="N8" s="7" t="str">
        <x:v>Le livrable « Ouvrir la cuve de Grunt » possède une scène ou un scénario de contrôle ; ses règles proposées, ses conditions et ses retours visuels sont vérifiables séparément.</x:v>
      </x:c>
      <x:c r="O8" s="7" t="str"/>
      <x:c r="P8" s="7" t="str">
        <x:v>Ouvrir la cuve de Grunt</x:v>
      </x:c>
      <x:c r="Q8" s="7" t="str">
        <x:v>ME2-SRC-WARLORD</x:v>
      </x:c>
      <x:c r="R8" s="7" t="str">
        <x:v>https://masseffect.fandom.com/wiki/Dossier%3A_The_Warlord</x:v>
      </x:c>
      <x:c r="S8" s="7" t="str">
        <x:v>Spécification à réaliser. Les champs adaptation, gameplay, visual, animation, audio et implementation décrivent le fan game ; ils ne donnent pas des caractéristiques officielles de l’œuvre.</x:v>
      </x:c>
    </x:row>
    <x:row r="9" ht="68" customHeight="1">
      <x:c r="A9" s="18" t="str">
        <x:v>ME2-CHO-COUNCIL</x:v>
      </x:c>
      <x:c r="B9" s="9" t="str">
        <x:v>Statut de Spectre et Conseil</x:v>
      </x:c>
      <x:c r="C9" s="15" t="str">
        <x:v>Défini</x:v>
      </x:c>
      <x:c r="D9" s="16" t="str">
        <x:v>Établi</x:v>
      </x:c>
      <x:c r="E9" s="16" t="str">
        <x:v>P1</x:v>
      </x:c>
      <x:c r="F9" s="9" t="str">
        <x:v>L’import affecte la rencontre politique.</x:v>
      </x:c>
      <x:c r="G9" s="9" t="str">
        <x:v>Table de variantes par Conseil survivant et représentant humain ; statut de Spectre indépendant des crédits.</x:v>
      </x:c>
      <x:c r="H9" s="9" t="str">
        <x:v>Table de variantes par Conseil survivant et représentant humain ; statut de Spectre indépendant des crédits.</x:v>
      </x:c>
      <x:c r="I9" s="9" t="str">
        <x:v>Badge et compte rendu de réunion.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me2/choices/council ; rattacher les ressources et états cités à cet identifiant. Aucun fichier de jeu créé par ce catalogue.</x:v>
      </x:c>
      <x:c r="M9" s="9" t="str"/>
      <x:c r="N9" s="9" t="str">
        <x:v>Le livrable « Statut de Spectre et Conseil » possède une scène ou un scénario de contrôle ; ses règles proposées, ses conditions et ses retours visuels sont vérifiables séparément.</x:v>
      </x:c>
      <x:c r="O9" s="9" t="str"/>
      <x:c r="P9" s="9" t="str">
        <x:v>Statut de Spectre et Conseil</x:v>
      </x:c>
      <x:c r="Q9" s="9" t="str">
        <x:v>ME2-SRC-MISSIONS, ME2-SRC-SAVE</x:v>
      </x:c>
      <x:c r="R9" s="9" t="str">
        <x:v>https://masseffect.fandom.com/wiki/Missions
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ME2-CHO-SIDONIS</x:v>
      </x:c>
      <x:c r="B10" s="7" t="str">
        <x:v>Épargner ou laisser viser Sidonis</x:v>
      </x:c>
      <x:c r="C10" s="15" t="str">
        <x:v>Défini</x:v>
      </x:c>
      <x:c r="D10" s="17" t="str">
        <x:v>Établi</x:v>
      </x:c>
      <x:c r="E10" s="17" t="str">
        <x:v>P1</x:v>
      </x:c>
      <x:c r="F10" s="7" t="str">
        <x:v>La confrontation de Garrus possède un choix.</x:v>
      </x:c>
      <x:c r="G10" s="7" t="str">
        <x:v>Position de Shepard garde la ligne de tir bloquée jusqu’au verrouillage ; enregistrer issue sans effacer la loyauté.</x:v>
      </x:c>
      <x:c r="H10" s="7" t="str">
        <x:v>Position de Shepard garde la ligne de tir bloquée jusqu’au verrouillage ; enregistrer issue sans effacer la loyauté.</x:v>
      </x:c>
      <x:c r="I10" s="7" t="str">
        <x:v>Cible, viseur et zone protégée.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me2/choices/sidonis ; rattacher les ressources et états cités à cet identifiant. Aucun fichier de jeu créé par ce catalogue.</x:v>
      </x:c>
      <x:c r="M10" s="7" t="str"/>
      <x:c r="N10" s="7" t="str">
        <x:v>Le livrable « Épargner ou laisser viser Sidonis » possède une scène ou un scénario de contrôle ; ses règles proposées, ses conditions et ses retours visuels sont vérifiables séparément.</x:v>
      </x:c>
      <x:c r="O10" s="7" t="str"/>
      <x:c r="P10" s="7" t="str">
        <x:v>Épargner ou laisser viser Sidonis</x:v>
      </x:c>
      <x:c r="Q10" s="7" t="str">
        <x:v>ME2-SRC-GARRUS</x:v>
      </x:c>
      <x:c r="R10" s="7" t="str">
        <x:v>https://masseffect.fandom.com/wiki/Garrus%3A_Eye_for_an_Eye</x:v>
      </x:c>
      <x:c r="S10" s="7" t="str">
        <x:v>Spécification à réaliser. Les champs adaptation, gameplay, visual, animation, audio et implementation décrivent le fan game ; ils ne donnent pas des caractéristiques officielles de l’œuvre.</x:v>
      </x:c>
    </x:row>
    <x:row r="11" ht="68" customHeight="1">
      <x:c r="A11" s="18" t="str">
        <x:v>ME2-CHO-ARESH</x:v>
      </x:c>
      <x:c r="B11" s="9" t="str">
        <x:v>Aresh : confrontation de Jack</x:v>
      </x:c>
      <x:c r="C11" s="15" t="str">
        <x:v>Défini</x:v>
      </x:c>
      <x:c r="D11" s="16" t="str">
        <x:v>Établi</x:v>
      </x:c>
      <x:c r="E11" s="16" t="str">
        <x:v>P1</x:v>
      </x:c>
      <x:c r="F11" s="9" t="str">
        <x:v>Une interruption peut désamorcer la scène.</x:v>
      </x:c>
      <x:c r="G11" s="9" t="str">
        <x:v>Fenêtre allongée proposée ; option textuelle équivalente au geste.</x:v>
      </x:c>
      <x:c r="H11" s="9" t="str">
        <x:v>Fenêtre allongée proposée ; option textuelle équivalente au geste.</x:v>
      </x:c>
      <x:c r="I11" s="9" t="str">
        <x:v>Portraits rapprochés et arme abaissée.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me2/choices/aresh ; rattacher les ressources et états cités à cet identifiant. Aucun fichier de jeu créé par ce catalogue.</x:v>
      </x:c>
      <x:c r="M11" s="9" t="str"/>
      <x:c r="N11" s="9" t="str">
        <x:v>Le livrable « Aresh : confrontation de Jack » possède une scène ou un scénario de contrôle ; ses règles proposées, ses conditions et ses retours visuels sont vérifiables séparément.</x:v>
      </x:c>
      <x:c r="O11" s="9" t="str"/>
      <x:c r="P11" s="9" t="str">
        <x:v>Aresh : confrontation de Jack</x:v>
      </x:c>
      <x:c r="Q11" s="9" t="str">
        <x:v>ME2-SRC-INTERRUPT, ME2-SRC-JACK</x:v>
      </x:c>
      <x:c r="R11" s="9" t="str">
        <x:v>https://masseffect.fandom.com/wiki/Interrupt
https://masseffect.fandom.com/wiki/Jack%3A_Subject_Zero</x:v>
      </x:c>
      <x:c r="S11" s="9" t="str">
        <x:v>Spécification à réaliser. Les champs adaptation, gameplay, visual, animation, audio et implementation décrivent le fan game ; ils ne donnent pas des caractéristiques officielles de l’œuvre.</x:v>
      </x:c>
    </x:row>
    <x:row r="12" ht="68" customHeight="1">
      <x:c r="A12" s="19" t="str">
        <x:v>ME2-CHO-RONALD</x:v>
      </x:c>
      <x:c r="B12" s="7" t="str">
        <x:v>Jugement de Ronald Taylor</x:v>
      </x:c>
      <x:c r="C12" s="15" t="str">
        <x:v>Défini</x:v>
      </x:c>
      <x:c r="D12" s="17" t="str">
        <x:v>Établi</x:v>
      </x:c>
      <x:c r="E12" s="17" t="str">
        <x:v>P1</x:v>
      </x:c>
      <x:c r="F12" s="7" t="str">
        <x:v>La loyauté de Jacob mène à son père.</x:v>
      </x:c>
      <x:c r="G12" s="7" t="str">
        <x:v>Présenter les issues dans un résumé concis après les preuves ; aucune issue choisie par défaut au timeout.</x:v>
      </x:c>
      <x:c r="H12" s="7" t="str">
        <x:v>Présenter les issues dans un résumé concis après les preuves ; aucune issue choisie par défaut au timeout.</x:v>
      </x:c>
      <x:c r="I12" s="7" t="str">
        <x:v>Zone de conversation neutralisée.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me2/choices/ronald ; rattacher les ressources et états cités à cet identifiant. Aucun fichier de jeu créé par ce catalogue.</x:v>
      </x:c>
      <x:c r="M12" s="7" t="str"/>
      <x:c r="N12" s="7" t="str">
        <x:v>Le livrable « Jugement de Ronald Taylor » possède une scène ou un scénario de contrôle ; ses règles proposées, ses conditions et ses retours visuels sont vérifiables séparément.</x:v>
      </x:c>
      <x:c r="O12" s="7" t="str"/>
      <x:c r="P12" s="7" t="str">
        <x:v>Jugement de Ronald Taylor</x:v>
      </x:c>
      <x:c r="Q12" s="7" t="str">
        <x:v>ME2-SRC-JACOB</x:v>
      </x:c>
      <x:c r="R12" s="7" t="str">
        <x:v>https://masseffect.fandom.com/wiki/Jacob%3A_The_Gift_of_Greatness</x:v>
      </x:c>
      <x:c r="S12" s="7" t="str">
        <x:v>Spécification à réaliser. Les champs adaptation, gameplay, visual, animation, audio et implementation décrivent le fan game ; ils ne donnent pas des caractéristiques officielles de l’œuvre.</x:v>
      </x:c>
    </x:row>
    <x:row r="13" ht="68" customHeight="1">
      <x:c r="A13" s="18" t="str">
        <x:v>ME2-CHO-NIKET</x:v>
      </x:c>
      <x:c r="B13" s="9" t="str">
        <x:v>Intervenir auprès de Miranda</x:v>
      </x:c>
      <x:c r="C13" s="15" t="str">
        <x:v>Défini</x:v>
      </x:c>
      <x:c r="D13" s="16" t="str">
        <x:v>Établi</x:v>
      </x:c>
      <x:c r="E13" s="16" t="str">
        <x:v>P1</x:v>
      </x:c>
      <x:c r="F13" s="9" t="str">
        <x:v>La scène de Niket peut être interrompue.</x:v>
      </x:c>
      <x:c r="G13" s="9" t="str">
        <x:v>Séparer interruption émotionnelle et événements non évitables ; ne pas promettre une survie absente du jeu publié.</x:v>
      </x:c>
      <x:c r="H13" s="9" t="str">
        <x:v>Séparer interruption émotionnelle et événements non évitables ; ne pas promettre une survie absente du jeu publié.</x:v>
      </x:c>
      <x:c r="I13" s="9" t="str">
        <x:v>Main, arme et champ de dialogue.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me2/choices/niket ; rattacher les ressources et états cités à cet identifiant. Aucun fichier de jeu créé par ce catalogue.</x:v>
      </x:c>
      <x:c r="M13" s="9" t="str"/>
      <x:c r="N13" s="9" t="str">
        <x:v>Le livrable « Intervenir auprès de Miranda » possède une scène ou un scénario de contrôle ; ses règles proposées, ses conditions et ses retours visuels sont vérifiables séparément.</x:v>
      </x:c>
      <x:c r="O13" s="9" t="str"/>
      <x:c r="P13" s="9" t="str">
        <x:v>Intervenir auprès de Miranda</x:v>
      </x:c>
      <x:c r="Q13" s="9" t="str">
        <x:v>ME2-SRC-MIRANDA, ME2-SRC-INTERRUPT</x:v>
      </x:c>
      <x:c r="R13" s="9" t="str">
        <x:v>https://masseffect.fandom.com/wiki/Miranda%3A_The_Prodigal
https://masseffect.fandom.com/wiki/Interrupt</x:v>
      </x:c>
      <x:c r="S13" s="9" t="str">
        <x:v>Spécification à réaliser. Les champs adaptation, gameplay, visual, animation, audio et implementation décrivent le fan game ; ils ne donnent pas des caractéristiques officielles de l’œuvre.</x:v>
      </x:c>
    </x:row>
    <x:row r="14" ht="68" customHeight="1">
      <x:c r="A14" s="19" t="str">
        <x:v>ME2-CHO-ORIANA</x:v>
      </x:c>
      <x:c r="B14" s="7" t="str">
        <x:v>Miranda et Oriana</x:v>
      </x:c>
      <x:c r="C14" s="15" t="str">
        <x:v>Défini</x:v>
      </x:c>
      <x:c r="D14" s="17" t="str">
        <x:v>Établi</x:v>
      </x:c>
      <x:c r="E14" s="17" t="str">
        <x:v>P1</x:v>
      </x:c>
      <x:c r="F14" s="7" t="str">
        <x:v>L’arc permet une rencontre familiale.</x:v>
      </x:c>
      <x:c r="G14" s="7" t="str">
        <x:v>Sauvegarder la décision de contact sans en faire un prérequis de combat.</x:v>
      </x:c>
      <x:c r="H14" s="7" t="str">
        <x:v>Sauvegarder la décision de contact sans en faire un prérequis de combat.</x:v>
      </x:c>
      <x:c r="I14" s="7" t="str">
        <x:v>Distance entre les deux personnages.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me2/choices/oriana ; rattacher les ressources et états cités à cet identifiant. Aucun fichier de jeu créé par ce catalogue.</x:v>
      </x:c>
      <x:c r="M14" s="7" t="str"/>
      <x:c r="N14" s="7" t="str">
        <x:v>Le livrable « Miranda et Oriana » possède une scène ou un scénario de contrôle ; ses règles proposées, ses conditions et ses retours visuels sont vérifiables séparément.</x:v>
      </x:c>
      <x:c r="O14" s="7" t="str"/>
      <x:c r="P14" s="7" t="str">
        <x:v>Miranda et Oriana</x:v>
      </x:c>
      <x:c r="Q14" s="7" t="str">
        <x:v>ME2-SRC-MIRANDA</x:v>
      </x:c>
      <x:c r="R14" s="7" t="str">
        <x:v>https://masseffect.fandom.com/wiki/Miranda%3A_The_Prodigal</x:v>
      </x:c>
      <x:c r="S14" s="7" t="str">
        <x:v>Spécification à réaliser. Les champs adaptation, gameplay, visual, animation, audio et implementation décrivent le fan game ; ils ne donnent pas des caractéristiques officielles de l’œuvre.</x:v>
      </x:c>
    </x:row>
    <x:row r="15" ht="68" customHeight="1">
      <x:c r="A15" s="18" t="str">
        <x:v>ME2-CHO-MAELON-LIFE</x:v>
      </x:c>
      <x:c r="B15" s="9" t="str">
        <x:v>Sort de Maelon</x:v>
      </x:c>
      <x:c r="C15" s="15" t="str">
        <x:v>Défini</x:v>
      </x:c>
      <x:c r="D15" s="16" t="str">
        <x:v>Établi</x:v>
      </x:c>
      <x:c r="E15" s="16" t="str">
        <x:v>P1</x:v>
      </x:c>
      <x:c r="F15" s="9" t="str">
        <x:v>Mordin peut être arrêté par Shepard.</x:v>
      </x:c>
      <x:c r="G15" s="9" t="str">
        <x:v>Choix indépendant du sort des données ; conserver deux champs d’état.</x:v>
      </x:c>
      <x:c r="H15" s="9" t="str">
        <x:v>Choix indépendant du sort des données ; conserver deux champs d’état.</x:v>
      </x:c>
      <x:c r="I15" s="9" t="str">
        <x:v>Arme, Maelon et terminal en trois points.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me2/choices/maelon-life ; rattacher les ressources et états cités à cet identifiant. Aucun fichier de jeu créé par ce catalogue.</x:v>
      </x:c>
      <x:c r="M15" s="9" t="str"/>
      <x:c r="N15" s="9" t="str">
        <x:v>Le livrable « Sort de Maelon » possède une scène ou un scénario de contrôle ; ses règles proposées, ses conditions et ses retours visuels sont vérifiables séparément.</x:v>
      </x:c>
      <x:c r="O15" s="9" t="str"/>
      <x:c r="P15" s="9" t="str">
        <x:v>Sort de Maelon</x:v>
      </x:c>
      <x:c r="Q15" s="9" t="str">
        <x:v>ME2-SRC-MORDIN</x:v>
      </x:c>
      <x:c r="R15" s="9" t="str">
        <x:v>https://masseffect.fandom.com/wiki/Mordin%3A_Old_Blood</x:v>
      </x:c>
      <x:c r="S15" s="9" t="str">
        <x:v>Spécification à réaliser. Les champs adaptation, gameplay, visual, animation, audio et implementation décrivent le fan game ; ils ne donnent pas des caractéristiques officielles de l’œuvre.</x:v>
      </x:c>
    </x:row>
    <x:row r="16" ht="68" customHeight="1">
      <x:c r="A16" s="19" t="str">
        <x:v>ME2-CHO-MAELON-DATA</x:v>
      </x:c>
      <x:c r="B16" s="7" t="str">
        <x:v>Conserver les données de Maelon</x:v>
      </x:c>
      <x:c r="C16" s="15" t="str">
        <x:v>Défini</x:v>
      </x:c>
      <x:c r="D16" s="17" t="str">
        <x:v>Établi</x:v>
      </x:c>
      <x:c r="E16" s="17" t="str">
        <x:v>P1</x:v>
      </x:c>
      <x:c r="F16" s="7" t="str">
        <x:v>Le joueur statue sur la recherche.</x:v>
      </x:c>
      <x:c r="G16" s="7" t="str">
        <x:v>Résumé des raisons et aperçu de l’état conservé ; aucune prévision omnisciente de ME3 dans le dialogue.</x:v>
      </x:c>
      <x:c r="H16" s="7" t="str">
        <x:v>Résumé des raisons et aperçu de l’état conservé ; aucune prévision omnisciente de ME3 dans le dialogue.</x:v>
      </x:c>
      <x:c r="I16" s="7" t="str">
        <x:v>Données gardées ou effacées.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me2/choices/maelon-data ; rattacher les ressources et états cités à cet identifiant. Aucun fichier de jeu créé par ce catalogue.</x:v>
      </x:c>
      <x:c r="M16" s="7" t="str"/>
      <x:c r="N16" s="7" t="str">
        <x:v>Le livrable « Conserver les données de Maelon » possède une scène ou un scénario de contrôle ; ses règles proposées, ses conditions et ses retours visuels sont vérifiables séparément.</x:v>
      </x:c>
      <x:c r="O16" s="7" t="str"/>
      <x:c r="P16" s="7" t="str">
        <x:v>Conserver les données de Maelon</x:v>
      </x:c>
      <x:c r="Q16" s="7" t="str">
        <x:v>ME2-SRC-MORDIN</x:v>
      </x:c>
      <x:c r="R16" s="7" t="str">
        <x:v>https://masseffect.fandom.com/wiki/Mordin%3A_Old_Blood</x:v>
      </x:c>
      <x:c r="S16" s="7" t="str">
        <x:v>Spécification à réaliser. Les champs adaptation, gameplay, visual, animation, audio et implementation décrivent le fan game ; ils ne donnent pas des caractéristiques officielles de l’œuvre.</x:v>
      </x:c>
    </x:row>
    <x:row r="17" ht="68" customHeight="1">
      <x:c r="A17" s="18" t="str">
        <x:v>ME2-CHO-SAMARA</x:v>
      </x:c>
      <x:c r="B17" s="9" t="str">
        <x:v>Samara ou Morinth</x:v>
      </x:c>
      <x:c r="C17" s="15" t="str">
        <x:v>Défini</x:v>
      </x:c>
      <x:c r="D17" s="16" t="str">
        <x:v>Établi</x:v>
      </x:c>
      <x:c r="E17" s="16" t="str">
        <x:v>P1</x:v>
      </x:c>
      <x:c r="F17" s="9" t="str">
        <x:v>Morinth peut remplacer Samara.</x:v>
      </x:c>
      <x:c r="G17" s="9" t="str">
        <x:v>Préconditions de résistance vérifiables ; un seul emplacement d’équipe, identité réelle et identité affichée séparées.</x:v>
      </x:c>
      <x:c r="H17" s="9" t="str">
        <x:v>Préconditions de résistance vérifiables ; un seul emplacement d’équipe, identité réelle et identité affichée séparées.</x:v>
      </x:c>
      <x:c r="I17" s="9" t="str">
        <x:v>Deux portraits exclusifs.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me2/choices/samara ; rattacher les ressources et états cités à cet identifiant. Aucun fichier de jeu créé par ce catalogue.</x:v>
      </x:c>
      <x:c r="M17" s="9" t="str"/>
      <x:c r="N17" s="9" t="str">
        <x:v>Le livrable « Samara ou Morinth » possède une scène ou un scénario de contrôle ; ses règles proposées, ses conditions et ses retours visuels sont vérifiables séparément.</x:v>
      </x:c>
      <x:c r="O17" s="9" t="str"/>
      <x:c r="P17" s="9" t="str">
        <x:v>Samara ou Morinth</x:v>
      </x:c>
      <x:c r="Q17" s="9" t="str">
        <x:v>ME2-SRC-SAMARA</x:v>
      </x:c>
      <x:c r="R17" s="9" t="str">
        <x:v>https://masseffect.fandom.com/wiki/Samara%3A_The_Ardat-Yakshi</x:v>
      </x:c>
      <x:c r="S17" s="9" t="str">
        <x:v>Spécification à réaliser. Les champs adaptation, gameplay, visual, animation, audio et implementation décrivent le fan game ; ils ne donnent pas des caractéristiques officielles de l’œuvre.</x:v>
      </x:c>
    </x:row>
    <x:row r="18" ht="68" customHeight="1">
      <x:c r="A18" s="19" t="str">
        <x:v>ME2-CHO-TALI-PROOF</x:v>
      </x:c>
      <x:c r="B18" s="7" t="str">
        <x:v>Données de l’Alarei au procès</x:v>
      </x:c>
      <x:c r="C18" s="15" t="str">
        <x:v>Défini</x:v>
      </x:c>
      <x:c r="D18" s="17" t="str">
        <x:v>Établi</x:v>
      </x:c>
      <x:c r="E18" s="17" t="str">
        <x:v>P1</x:v>
      </x:c>
      <x:c r="F18" s="7" t="str">
        <x:v>Le procès offre plusieurs résolutions.</x:v>
      </x:c>
      <x:c r="G18" s="7" t="str">
        <x:v>Matrice preuves, témoignages, verdict, exil et loyauté ; afficher le verdict exact au débriefing.</x:v>
      </x:c>
      <x:c r="H18" s="7" t="str">
        <x:v>Matrice preuves, témoignages, verdict, exil et loyauté ; afficher le verdict exact au débriefing.</x:v>
      </x:c>
      <x:c r="I18" s="7" t="str">
        <x:v>Auditoire et preuve en surimpression.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me2/choices/tali-proof ; rattacher les ressources et états cités à cet identifiant. Aucun fichier de jeu créé par ce catalogue.</x:v>
      </x:c>
      <x:c r="M18" s="7" t="str"/>
      <x:c r="N18" s="7" t="str">
        <x:v>Le livrable « Données de l’Alarei au procès » possède une scène ou un scénario de contrôle ; ses règles proposées, ses conditions et ses retours visuels sont vérifiables séparément.</x:v>
      </x:c>
      <x:c r="O18" s="7" t="str"/>
      <x:c r="P18" s="7" t="str">
        <x:v>Données de l’Alarei au procès</x:v>
      </x:c>
      <x:c r="Q18" s="7" t="str">
        <x:v>ME2-SRC-TREASON</x:v>
      </x:c>
      <x:c r="R18" s="7" t="str">
        <x:v>https://masseffect.fandom.com/wiki/Tali%3A_Treason</x:v>
      </x:c>
      <x:c r="S18" s="7" t="str">
        <x:v>Spécification à réaliser. Les champs adaptation, gameplay, visual, animation, audio et implementation décrivent le fan game ; ils ne donnent pas des caractéristiques officielles de l’œuvre.</x:v>
      </x:c>
    </x:row>
    <x:row r="19" ht="68" customHeight="1">
      <x:c r="A19" s="18" t="str">
        <x:v>ME2-CHO-TALI-LEGION</x:v>
      </x:c>
      <x:c r="B19" s="9" t="str">
        <x:v>Dispute Tali / Legion</x:v>
      </x:c>
      <x:c r="C19" s="15" t="str">
        <x:v>Défini</x:v>
      </x:c>
      <x:c r="D19" s="16" t="str">
        <x:v>Établi</x:v>
      </x:c>
      <x:c r="E19" s="16" t="str">
        <x:v>P1</x:v>
      </x:c>
      <x:c r="F19" s="9" t="str">
        <x:v>Les loyautés peuvent être affectées.</x:v>
      </x:c>
      <x:c r="G19" s="9" t="str">
        <x:v>Dialogue de médiation conditionnel ; une loyauté récupérée ne modifie pas secrètement les autres choix.</x:v>
      </x:c>
      <x:c r="H19" s="9" t="str">
        <x:v>Dialogue de médiation conditionnel ; une loyauté récupérée ne modifie pas secrètement les autres choix.</x:v>
      </x:c>
      <x:c r="I19" s="9" t="str">
        <x:v>Deux portraits et résultat par personne.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me2/choices/tali-legion ; rattacher les ressources et états cités à cet identifiant. Aucun fichier de jeu créé par ce catalogue.</x:v>
      </x:c>
      <x:c r="M19" s="9" t="str"/>
      <x:c r="N19" s="9" t="str">
        <x:v>Le livrable « Dispute Tali / Legion » possède une scène ou un scénario de contrôle ; ses règles proposées, ses conditions et ses retours visuels sont vérifiables séparément.</x:v>
      </x:c>
      <x:c r="O19" s="9" t="str"/>
      <x:c r="P19" s="9" t="str">
        <x:v>Dispute Tali / Legion</x:v>
      </x:c>
      <x:c r="Q19" s="9" t="str">
        <x:v>ME2-SRC-GUIDE, ME2-SRC-POWERS</x:v>
      </x:c>
      <x:c r="R19" s="9" t="str">
        <x:v>https://masseffect.fandom.com/wiki/Mass_Effect_2_Guide
https://masseffect.fandom.com/wiki/Powers</x:v>
      </x:c>
      <x:c r="S19" s="9" t="str">
        <x:v>Spécification à réaliser. Les champs adaptation, gameplay, visual, animation, audio et implementation décrivent le fan game ; ils ne donnent pas des caractéristiques officielles de l’œuvre.</x:v>
      </x:c>
    </x:row>
    <x:row r="20" ht="68" customHeight="1">
      <x:c r="A20" s="19" t="str">
        <x:v>ME2-CHO-JACK-MIRANDA</x:v>
      </x:c>
      <x:c r="B20" s="7" t="str">
        <x:v>Dispute Jack / Miranda</x:v>
      </x:c>
      <x:c r="C20" s="15" t="str">
        <x:v>Défini</x:v>
      </x:c>
      <x:c r="D20" s="17" t="str">
        <x:v>Établi</x:v>
      </x:c>
      <x:c r="E20" s="17" t="str">
        <x:v>P1</x:v>
      </x:c>
      <x:c r="F20" s="7" t="str">
        <x:v>Les loyautés peuvent être affectées.</x:v>
      </x:c>
      <x:c r="G20" s="7" t="str">
        <x:v>État distinct pour grief et loyauté ; possibilité de revenir parler sans rejouer la scène entière.</x:v>
      </x:c>
      <x:c r="H20" s="7" t="str">
        <x:v>État distinct pour grief et loyauté ; possibilité de revenir parler sans rejouer la scène entière.</x:v>
      </x:c>
      <x:c r="I20" s="7" t="str">
        <x:v>Cabine centrale et séparation spatiale.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me2/choices/jack-miranda ; rattacher les ressources et états cités à cet identifiant. Aucun fichier de jeu créé par ce catalogue.</x:v>
      </x:c>
      <x:c r="M20" s="7" t="str"/>
      <x:c r="N20" s="7" t="str">
        <x:v>Le livrable « Dispute Jack / Miranda » possède une scène ou un scénario de contrôle ; ses règles proposées, ses conditions et ses retours visuels sont vérifiables séparément.</x:v>
      </x:c>
      <x:c r="O20" s="7" t="str"/>
      <x:c r="P20" s="7" t="str">
        <x:v>Dispute Jack / Miranda</x:v>
      </x:c>
      <x:c r="Q20" s="7" t="str">
        <x:v>ME2-SRC-GUIDE, ME2-SRC-POWERS</x:v>
      </x:c>
      <x:c r="R20" s="7" t="str">
        <x:v>https://masseffect.fandom.com/wiki/Mass_Effect_2_Guide
https://masseffect.fandom.com/wiki/Powers</x:v>
      </x:c>
      <x:c r="S20" s="7" t="str">
        <x:v>Spécification à réaliser. Les champs adaptation, gameplay, visual, animation, audio et implementation décrivent le fan game ; ils ne donnent pas des caractéristiques officielles de l’œuvre.</x:v>
      </x:c>
    </x:row>
    <x:row r="21" ht="68" customHeight="1">
      <x:c r="A21" s="18" t="str">
        <x:v>ME2-CHO-KOLYAT</x:v>
      </x:c>
      <x:c r="B21" s="9" t="str">
        <x:v>Interception de Kolyat</x:v>
      </x:c>
      <x:c r="C21" s="15" t="str">
        <x:v>Défini</x:v>
      </x:c>
      <x:c r="D21" s="16" t="str">
        <x:v>Établi</x:v>
      </x:c>
      <x:c r="E21" s="16" t="str">
        <x:v>P1</x:v>
      </x:c>
      <x:c r="F21" s="9" t="str">
        <x:v>La filature influence la loyauté de Thane.</x:v>
      </x:c>
      <x:c r="G21" s="9" t="str">
        <x:v>Échec de suivi signifié immédiatement ; mode d’aide ne change pas les dialogues obtenus.</x:v>
      </x:c>
      <x:c r="H21" s="9" t="str">
        <x:v>Échec de suivi signifié immédiatement ; mode d’aide ne change pas les dialogues obtenus.</x:v>
      </x:c>
      <x:c r="I21" s="9" t="str">
        <x:v>Témoin de suivi et marqueur de cible.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me2/choices/kolyat ; rattacher les ressources et états cités à cet identifiant. Aucun fichier de jeu créé par ce catalogue.</x:v>
      </x:c>
      <x:c r="M21" s="9" t="str"/>
      <x:c r="N21" s="9" t="str">
        <x:v>Le livrable « Interception de Kolyat » possède une scène ou un scénario de contrôle ; ses règles proposées, ses conditions et ses retours visuels sont vérifiables séparément.</x:v>
      </x:c>
      <x:c r="O21" s="9" t="str"/>
      <x:c r="P21" s="9" t="str">
        <x:v>Interception de Kolyat</x:v>
      </x:c>
      <x:c r="Q21" s="9" t="str">
        <x:v>ME2-SRC-THANE</x:v>
      </x:c>
      <x:c r="R21" s="9" t="str">
        <x:v>https://masseffect.fandom.com/wiki/Thane%3A_Sins_of_the_Father</x:v>
      </x:c>
      <x:c r="S21" s="9" t="str">
        <x:v>Spécification à réaliser. Les champs adaptation, gameplay, visual, animation, audio et implementation décrivent le fan game ; ils ne donnent pas des caractéristiques officielles de l’œuvre.</x:v>
      </x:c>
    </x:row>
    <x:row r="22" ht="68" customHeight="1">
      <x:c r="A22" s="19" t="str">
        <x:v>ME2-CHO-HERETICS</x:v>
      </x:c>
      <x:c r="B22" s="7" t="str">
        <x:v>Détruire ou réécrire les hérétiques</x:v>
      </x:c>
      <x:c r="C22" s="15" t="str">
        <x:v>Défini</x:v>
      </x:c>
      <x:c r="D22" s="17" t="str">
        <x:v>Établi</x:v>
      </x:c>
      <x:c r="E22" s="17" t="str">
        <x:v>P1</x:v>
      </x:c>
      <x:c r="F22" s="7" t="str">
        <x:v>Legion propose deux issues au virus.</x:v>
      </x:c>
      <x:c r="G22" s="7" t="str">
        <x:v>Sauvegarder le choix avec son contexte ; aucun pourcentage moral présenté comme vérité universelle.</x:v>
      </x:c>
      <x:c r="H22" s="7" t="str">
        <x:v>Sauvegarder le choix avec son contexte ; aucun pourcentage moral présenté comme vérité universelle.</x:v>
      </x:c>
      <x:c r="I22" s="7" t="str">
        <x:v>Deux opérations de terminal distinctes.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me2/choices/heretics ; rattacher les ressources et états cités à cet identifiant. Aucun fichier de jeu créé par ce catalogue.</x:v>
      </x:c>
      <x:c r="M22" s="7" t="str"/>
      <x:c r="N22" s="7" t="str">
        <x:v>Le livrable « Détruire ou réécrire les hérétiques » possède une scène ou un scénario de contrôle ; ses règles proposées, ses conditions et ses retours visuels sont vérifiables séparément.</x:v>
      </x:c>
      <x:c r="O22" s="7" t="str"/>
      <x:c r="P22" s="7" t="str">
        <x:v>Détruire ou réécrire les hérétiques</x:v>
      </x:c>
      <x:c r="Q22" s="7" t="str">
        <x:v>ME2-SRC-LEGION</x:v>
      </x:c>
      <x:c r="R22" s="7" t="str">
        <x:v>https://masseffect.fandom.com/wiki/Legion%3A_A_House_Divided</x:v>
      </x:c>
      <x:c r="S22" s="7" t="str">
        <x:v>Spécification à réaliser. Les champs adaptation, gameplay, visual, animation, audio et implementation décrivent le fan game ; ils ne donnent pas des caractéristiques officielles de l’œuvre.</x:v>
      </x:c>
    </x:row>
    <x:row r="23" ht="68" customHeight="1">
      <x:c r="A23" s="18" t="str">
        <x:v>ME2-CHO-GRAYBOX</x:v>
      </x:c>
      <x:c r="B23" s="9" t="str">
        <x:v>Conserver ou détruire le graybox</x:v>
      </x:c>
      <x:c r="C23" s="15" t="str">
        <x:v>Défini</x:v>
      </x:c>
      <x:c r="D23" s="16" t="str">
        <x:v>Établi</x:v>
      </x:c>
      <x:c r="E23" s="16" t="str">
        <x:v>P1</x:v>
      </x:c>
      <x:c r="F23" s="9" t="str">
        <x:v>Les deux issues existent.</x:v>
      </x:c>
      <x:c r="G23" s="9" t="str">
        <x:v>Confirmer que le choix concerne le souvenir et les données ; aucun double butin de branche.</x:v>
      </x:c>
      <x:c r="H23" s="9" t="str">
        <x:v>Confirmer que le choix concerne le souvenir et les données ; aucun double butin de branche.</x:v>
      </x:c>
      <x:c r="I23" s="9" t="str">
        <x:v>Graybox et mémoires atténuées.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me2/choices/graybox ; rattacher les ressources et états cités à cet identifiant. Aucun fichier de jeu créé par ce catalogue.</x:v>
      </x:c>
      <x:c r="M23" s="9" t="str"/>
      <x:c r="N23" s="9" t="str">
        <x:v>Le livrable « Conserver ou détruire le graybox » possède une scène ou un scénario de contrôle ; ses règles proposées, ses conditions et ses retours visuels sont vérifiables séparément.</x:v>
      </x:c>
      <x:c r="O23" s="9" t="str"/>
      <x:c r="P23" s="9" t="str">
        <x:v>Conserver ou détruire le graybox</x:v>
      </x:c>
      <x:c r="Q23" s="9" t="str">
        <x:v>ME2-SRC-KASUMI</x:v>
      </x:c>
      <x:c r="R23" s="9" t="str">
        <x:v>https://masseffect.fandom.com/wiki/Kasumi%3A_Stealing_Memory</x:v>
      </x:c>
      <x:c r="S23" s="9" t="str">
        <x:v>Spécification à réaliser. Les champs adaptation, gameplay, visual, animation, audio et implementation décrivent le fan game ; ils ne donnent pas des caractéristiques officielles de l’œuvre.</x:v>
      </x:c>
    </x:row>
    <x:row r="24" ht="68" customHeight="1">
      <x:c r="A24" s="19" t="str">
        <x:v>ME2-CHO-REFINERY</x:v>
      </x:c>
      <x:c r="B24" s="7" t="str">
        <x:v>Secours ou poursuite de Vido</x:v>
      </x:c>
      <x:c r="C24" s="15" t="str">
        <x:v>Défini</x:v>
      </x:c>
      <x:c r="D24" s="17" t="str">
        <x:v>Établi</x:v>
      </x:c>
      <x:c r="E24" s="17" t="str">
        <x:v>P1</x:v>
      </x:c>
      <x:c r="F24" s="7" t="str">
        <x:v>L’arc de Zaeed bifurque.</x:v>
      </x:c>
      <x:c r="G24" s="7" t="str">
        <x:v>Deux routes physiques et avertissement de point de non-retour ; calcul de loyauté séparé du secours.</x:v>
      </x:c>
      <x:c r="H24" s="7" t="str">
        <x:v>Deux routes physiques et avertissement de point de non-retour ; calcul de loyauté séparé du secours.</x:v>
      </x:c>
      <x:c r="I24" s="7" t="str">
        <x:v>Portes de route et fumée industrielle.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me2/choices/refinery ; rattacher les ressources et états cités à cet identifiant. Aucun fichier de jeu créé par ce catalogue.</x:v>
      </x:c>
      <x:c r="M24" s="7" t="str"/>
      <x:c r="N24" s="7" t="str">
        <x:v>Le livrable « Secours ou poursuite de Vido » possède une scène ou un scénario de contrôle ; ses règles proposées, ses conditions et ses retours visuels sont vérifiables séparément.</x:v>
      </x:c>
      <x:c r="O24" s="7" t="str"/>
      <x:c r="P24" s="7" t="str">
        <x:v>Secours ou poursuite de Vido</x:v>
      </x:c>
      <x:c r="Q24" s="7" t="str">
        <x:v>ME2-SRC-ZAEED</x:v>
      </x:c>
      <x:c r="R24" s="7" t="str">
        <x:v>https://masseffect.fandom.com/wiki/Zaeed%3A_The_Price_of_Revenge</x:v>
      </x:c>
      <x:c r="S24" s="7" t="str">
        <x:v>Spécification à réaliser. Les champs adaptation, gameplay, visual, animation, audio et implementation décrivent le fan game ; ils ne donnent pas des caractéristiques officielles de l’œuvre.</x:v>
      </x:c>
    </x:row>
    <x:row r="25" ht="68" customHeight="1">
      <x:c r="A25" s="18" t="str">
        <x:v>ME2-CHO-DAVID</x:v>
      </x:c>
      <x:c r="B25" s="9" t="str">
        <x:v>Libérer ou laisser David</x:v>
      </x:c>
      <x:c r="C25" s="15" t="str">
        <x:v>Défini</x:v>
      </x:c>
      <x:c r="D25" s="16" t="str">
        <x:v>Établi</x:v>
      </x:c>
      <x:c r="E25" s="16" t="str">
        <x:v>P1</x:v>
      </x:c>
      <x:c r="F25" s="9" t="str">
        <x:v>Le joueur statue sur David et le projet.</x:v>
      </x:c>
      <x:c r="G25" s="9" t="str">
        <x:v>Dialogue à l’issue du combat ; documenter les conséquences sans traiter David comme un bonus d’objet.</x:v>
      </x:c>
      <x:c r="H25" s="9" t="str">
        <x:v>Dialogue à l’issue du combat ; documenter les conséquences sans traiter David comme un bonus d’objet.</x:v>
      </x:c>
      <x:c r="I25" s="9" t="str">
        <x:v>Caméra à hauteur de personne et commandes désactivées.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me2/choices/david ; rattacher les ressources et états cités à cet identifiant. Aucun fichier de jeu créé par ce catalogue.</x:v>
      </x:c>
      <x:c r="M25" s="9" t="str"/>
      <x:c r="N25" s="9" t="str">
        <x:v>Le livrable « Libérer ou laisser David » possède une scène ou un scénario de contrôle ; ses règles proposées, ses conditions et ses retours visuels sont vérifiables séparément.</x:v>
      </x:c>
      <x:c r="O25" s="9" t="str"/>
      <x:c r="P25" s="9" t="str">
        <x:v>Libérer ou laisser David</x:v>
      </x:c>
      <x:c r="Q25" s="9" t="str">
        <x:v>ME2-SRC-ATLAS</x:v>
      </x:c>
      <x:c r="R25" s="9" t="str">
        <x:v>https://masseffect.fandom.com/wiki/Atlas_Station</x:v>
      </x:c>
      <x:c r="S25" s="9" t="str">
        <x:v>Spécification à réaliser. Les champs adaptation, gameplay, visual, animation, audio et implementation décrivent le fan game ; ils ne donnent pas des caractéristiques officielles de l’œuvre.</x:v>
      </x:c>
    </x:row>
    <x:row r="26" ht="68" customHeight="1">
      <x:c r="A26" s="19" t="str">
        <x:v>ME2-CHO-KENSON</x:v>
      </x:c>
      <x:c r="B26" s="7" t="str">
        <x:v>Alerter les colons ou appeler le Normandy</x:v>
      </x:c>
      <x:c r="C26" s="15" t="str">
        <x:v>Défini</x:v>
      </x:c>
      <x:c r="D26" s="17" t="str">
        <x:v>Établi</x:v>
      </x:c>
      <x:c r="E26" s="17" t="str">
        <x:v>P1</x:v>
      </x:c>
      <x:c r="F26" s="7" t="str">
        <x:v>Arrival propose une intention de contact.</x:v>
      </x:c>
      <x:c r="G26" s="7" t="str">
        <x:v>Enregistrer l’intention choisie sans inventer un sauvetage du système ; la destruction n’est pas évitable par ce bouton.</x:v>
      </x:c>
      <x:c r="H26" s="7" t="str">
        <x:v>Enregistrer l’intention choisie sans inventer un sauvetage du système ; la destruction n’est pas évitable par ce bouton.</x:v>
      </x:c>
      <x:c r="I26" s="7" t="str">
        <x:v>Deux canaux de communication.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me2/choices/kenson ; rattacher les ressources et états cités à cet identifiant. Aucun fichier de jeu créé par ce catalogue.</x:v>
      </x:c>
      <x:c r="M26" s="7" t="str"/>
      <x:c r="N26" s="7" t="str">
        <x:v>Le livrable « Alerter les colons ou appeler le Normandy » possède une scène ou un scénario de contrôle ; ses règles proposées, ses conditions et ses retours visuels sont vérifiables séparément.</x:v>
      </x:c>
      <x:c r="O26" s="7" t="str"/>
      <x:c r="P26" s="7" t="str">
        <x:v>Alerter les colons ou appeler le Normandy</x:v>
      </x:c>
      <x:c r="Q26" s="7" t="str">
        <x:v>ME2-SRC-ARRIVAL</x:v>
      </x:c>
      <x:c r="R26" s="7" t="str">
        <x:v>https://masseffect.fandom.com/wiki/Arrival_%28assignment%29</x:v>
      </x:c>
      <x:c r="S26" s="7" t="str">
        <x:v>Spécification à réaliser. Les champs adaptation, gameplay, visual, animation, audio et implementation décrivent le fan game ; ils ne donnent pas des caractéristiques officielles de l’œuvre.</x:v>
      </x:c>
    </x:row>
    <x:row r="27" ht="68" customHeight="1">
      <x:c r="A27" s="18" t="str">
        <x:v>ME2-CHO-SPECIALIST</x:v>
      </x:c>
      <x:c r="B27" s="9" t="str">
        <x:v>Désigner le spécialiste technique</x:v>
      </x:c>
      <x:c r="C27" s="15" t="str">
        <x:v>Défini</x:v>
      </x:c>
      <x:c r="D27" s="16" t="str">
        <x:v>Établi</x:v>
      </x:c>
      <x:c r="E27" s="16" t="str">
        <x:v>P1</x:v>
      </x:c>
      <x:c r="F27" s="9" t="str">
        <x:v>Compétence et loyauté déterminent l’issue.</x:v>
      </x:c>
      <x:c r="G27" s="9" t="str">
        <x:v>Table explicite de candidats par profil ; afficher l’incertitude fictionnelle, garder la logique déterministe.</x:v>
      </x:c>
      <x:c r="H27" s="9" t="str">
        <x:v>Table explicite de candidats par profil ; afficher l’incertitude fictionnelle, garder la logique déterministe.</x:v>
      </x:c>
      <x:c r="I27" s="9" t="str">
        <x:v>Portraits et parcours de conduit.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me2/choices/specialist ; rattacher les ressources et états cités à cet identifiant. Aucun fichier de jeu créé par ce catalogue.</x:v>
      </x:c>
      <x:c r="M27" s="9" t="str"/>
      <x:c r="N27" s="9" t="str">
        <x:v>Le livrable « Désigner le spécialiste technique » possède une scène ou un scénario de contrôle ; ses règles proposées, ses conditions et ses retours visuels sont vérifiables séparément.</x:v>
      </x:c>
      <x:c r="O27" s="9" t="str"/>
      <x:c r="P27" s="9" t="str">
        <x:v>Désigner le spécialiste technique</x:v>
      </x:c>
      <x:c r="Q27" s="9" t="str">
        <x:v>ME2-SRC-INFIL</x:v>
      </x:c>
      <x:c r="R27" s="9" t="str">
        <x:v>https://masseffect.fandom.com/wiki/Collector_Base%3A_Infiltration</x:v>
      </x:c>
      <x:c r="S27" s="9" t="str">
        <x:v>Spécification à réaliser. Les champs adaptation, gameplay, visual, animation, audio et implementation décrivent le fan game ; ils ne donnent pas des caractéristiques officielles de l’œuvre.</x:v>
      </x:c>
    </x:row>
    <x:row r="28" ht="68" customHeight="1">
      <x:c r="A28" s="19" t="str">
        <x:v>ME2-CHO-FIRETEAM</x:v>
      </x:c>
      <x:c r="B28" s="7" t="str">
        <x:v>Désigner le chef de diversion</x:v>
      </x:c>
      <x:c r="C28" s="15" t="str">
        <x:v>Défini</x:v>
      </x:c>
      <x:c r="D28" s="17" t="str">
        <x:v>Établi</x:v>
      </x:c>
      <x:c r="E28" s="17" t="str">
        <x:v>P1</x:v>
      </x:c>
      <x:c r="F28" s="7" t="str">
        <x:v>Le chef compte dans l’infiltration.</x:v>
      </x:c>
      <x:c r="G28" s="7" t="str">
        <x:v>Évaluer leadership et loyauté indépendamment du duo joué ; journaliser l’affectation.</x:v>
      </x:c>
      <x:c r="H28" s="7" t="str">
        <x:v>Évaluer leadership et loyauté indépendamment du duo joué ; journaliser l’affectation.</x:v>
      </x:c>
      <x:c r="I28" s="7" t="str">
        <x:v>Deux colonnes d’escouades.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me2/choices/fireteam ; rattacher les ressources et états cités à cet identifiant. Aucun fichier de jeu créé par ce catalogue.</x:v>
      </x:c>
      <x:c r="M28" s="7" t="str"/>
      <x:c r="N28" s="7" t="str">
        <x:v>Le livrable « Désigner le chef de diversion » possède une scène ou un scénario de contrôle ; ses règles proposées, ses conditions et ses retours visuels sont vérifiables séparément.</x:v>
      </x:c>
      <x:c r="O28" s="7" t="str"/>
      <x:c r="P28" s="7" t="str">
        <x:v>Désigner le chef de diversion</x:v>
      </x:c>
      <x:c r="Q28" s="7" t="str">
        <x:v>ME2-SRC-INFIL</x:v>
      </x:c>
      <x:c r="R28" s="7" t="str">
        <x:v>https://masseffect.fandom.com/wiki/Collector_Base%3A_Infiltration</x:v>
      </x:c>
      <x:c r="S28" s="7" t="str">
        <x:v>Spécification à réaliser. Les champs adaptation, gameplay, visual, animation, audio et implementation décrivent le fan game ; ils ne donnent pas des caractéristiques officielles de l’œuvre.</x:v>
      </x:c>
    </x:row>
    <x:row r="29" ht="68" customHeight="1">
      <x:c r="A29" s="18" t="str">
        <x:v>ME2-CHO-BIOTIC</x:v>
      </x:c>
      <x:c r="B29" s="9" t="str">
        <x:v>Choisir le spécialiste biotique</x:v>
      </x:c>
      <x:c r="C29" s="15" t="str">
        <x:v>Défini</x:v>
      </x:c>
      <x:c r="D29" s="16" t="str">
        <x:v>Établi</x:v>
      </x:c>
      <x:c r="E29" s="16" t="str">
        <x:v>P1</x:v>
      </x:c>
      <x:c r="F29" s="9" t="str">
        <x:v>Un biotique maintient la protection.</x:v>
      </x:c>
      <x:c r="G29" s="9" t="str">
        <x:v>Montrer la capacité soutenue comme critère de rôle ; ne pas confondre tout porteur de biotique avec expert adapté.</x:v>
      </x:c>
      <x:c r="H29" s="9" t="str">
        <x:v>Montrer la capacité soutenue comme critère de rôle ; ne pas confondre tout porteur de biotique avec expert adapté.</x:v>
      </x:c>
      <x:c r="I29" s="9" t="str">
        <x:v>Dôme et portraits de candidats.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me2/choices/biotic ; rattacher les ressources et états cités à cet identifiant. Aucun fichier de jeu créé par ce catalogue.</x:v>
      </x:c>
      <x:c r="M29" s="9" t="str"/>
      <x:c r="N29" s="9" t="str">
        <x:v>Le livrable « Choisir le spécialiste biotique » possède une scène ou un scénario de contrôle ; ses règles proposées, ses conditions et ses retours visuels sont vérifiables séparément.</x:v>
      </x:c>
      <x:c r="O29" s="9" t="str"/>
      <x:c r="P29" s="9" t="str">
        <x:v>Choisir le spécialiste biotique</x:v>
      </x:c>
      <x:c r="Q29" s="9" t="str">
        <x:v>ME2-SRC-WALK</x:v>
      </x:c>
      <x:c r="R29" s="9" t="str">
        <x:v>https://masseffect.fandom.com/wiki/Collector_Base%3A_The_Long_Walk</x:v>
      </x:c>
      <x:c r="S29" s="9" t="str">
        <x:v>Spécification à réaliser. Les champs adaptation, gameplay, visual, animation, audio et implementation décrivent le fan game ; ils ne donnent pas des caractéristiques officielles de l’œuvre.</x:v>
      </x:c>
    </x:row>
    <x:row r="30" ht="68" customHeight="1">
      <x:c r="A30" s="19" t="str">
        <x:v>ME2-CHO-ESCORT</x:v>
      </x:c>
      <x:c r="B30" s="7" t="str">
        <x:v>Désigner l’escorte des survivants</x:v>
      </x:c>
      <x:c r="C30" s="15" t="str">
        <x:v>Défini</x:v>
      </x:c>
      <x:c r="D30" s="17" t="str">
        <x:v>Établi</x:v>
      </x:c>
      <x:c r="E30" s="17" t="str">
        <x:v>P1</x:v>
      </x:c>
      <x:c r="F30" s="7" t="str">
        <x:v>Une escorte peut accompagner les captifs.</x:v>
      </x:c>
      <x:c r="G30" s="7" t="str">
        <x:v>Retirer l’escorte des membres disponibles puis calculer son retour ; pas de duplication en défense arrière.</x:v>
      </x:c>
      <x:c r="H30" s="7" t="str">
        <x:v>Retirer l’escorte des membres disponibles puis calculer son retour ; pas de duplication en défense arrière.</x:v>
      </x:c>
      <x:c r="I30" s="7" t="str">
        <x:v>Route de retour vers Normandy.</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me2/choices/escort ; rattacher les ressources et états cités à cet identifiant. Aucun fichier de jeu créé par ce catalogue.</x:v>
      </x:c>
      <x:c r="M30" s="7" t="str"/>
      <x:c r="N30" s="7" t="str">
        <x:v>Le livrable « Désigner l’escorte des survivants » possède une scène ou un scénario de contrôle ; ses règles proposées, ses conditions et ses retours visuels sont vérifiables séparément.</x:v>
      </x:c>
      <x:c r="O30" s="7" t="str"/>
      <x:c r="P30" s="7" t="str">
        <x:v>Désigner l’escorte des survivants</x:v>
      </x:c>
      <x:c r="Q30" s="7" t="str">
        <x:v>ME2-SRC-WALK</x:v>
      </x:c>
      <x:c r="R30" s="7" t="str">
        <x:v>https://masseffect.fandom.com/wiki/Collector_Base%3A_The_Long_Walk</x:v>
      </x:c>
      <x:c r="S30" s="7" t="str">
        <x:v>Spécification à réaliser. Les champs adaptation, gameplay, visual, animation, audio et implementation décrivent le fan game ; ils ne donnent pas des caractéristiques officielles de l’œuvre.</x:v>
      </x:c>
    </x:row>
    <x:row r="31" ht="68" customHeight="1">
      <x:c r="A31" s="18" t="str">
        <x:v>ME2-CHO-BASE</x:v>
      </x:c>
      <x:c r="B31" s="9" t="str">
        <x:v>Détruire ou conserver la base</x:v>
      </x:c>
      <x:c r="C31" s="15" t="str">
        <x:v>Défini</x:v>
      </x:c>
      <x:c r="D31" s="16" t="str">
        <x:v>Établi</x:v>
      </x:c>
      <x:c r="E31" s="16" t="str">
        <x:v>P1</x:v>
      </x:c>
      <x:c r="F31" s="9" t="str">
        <x:v>La base constitue un choix final.</x:v>
      </x:c>
      <x:c r="G31" s="9" t="str">
        <x:v>Choix séparé de la victoire sur le boss ; export narratif distinct du nombre de survivants.</x:v>
      </x:c>
      <x:c r="H31" s="9" t="str">
        <x:v>Choix séparé de la victoire sur le boss ; export narratif distinct du nombre de survivants.</x:v>
      </x:c>
      <x:c r="I31" s="9" t="str">
        <x:v>Réacteur et liaison avec Cerberus.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me2/choices/base ; rattacher les ressources et états cités à cet identifiant. Aucun fichier de jeu créé par ce catalogue.</x:v>
      </x:c>
      <x:c r="M31" s="9" t="str"/>
      <x:c r="N31" s="9" t="str">
        <x:v>Le livrable « Détruire ou conserver la base » possède une scène ou un scénario de contrôle ; ses règles proposées, ses conditions et ses retours visuels sont vérifiables séparément.</x:v>
      </x:c>
      <x:c r="O31" s="9" t="str"/>
      <x:c r="P31" s="9" t="str">
        <x:v>Détruire ou conserver la base</x:v>
      </x:c>
      <x:c r="Q31" s="9" t="str">
        <x:v>ME2-SRC-FINAL</x:v>
      </x:c>
      <x:c r="R31" s="9" t="str">
        <x:v>https://masseffect.fandom.com/wiki/Collector_Base%3A_Final_Battle</x:v>
      </x:c>
      <x:c r="S31" s="9" t="str">
        <x:v>Spécification à réaliser. Les champs adaptation, gameplay, visual, animation, audio et implementation décrivent le fan game ; ils ne donnent pas des caractéristiques officielles de l’œuvre.</x:v>
      </x:c>
    </x:row>
    <x:row r="32" ht="68" customHeight="1">
      <x:c r="A32" s="19" t="str">
        <x:v>ME2-CHO-DELAY</x:v>
      </x:c>
      <x:c r="B32" s="7" t="str">
        <x:v>Délai après enlèvement</x:v>
      </x:c>
      <x:c r="C32" s="15" t="str">
        <x:v>Défini</x:v>
      </x:c>
      <x:c r="D32" s="17" t="str">
        <x:v>Établi</x:v>
      </x:c>
      <x:c r="E32" s="17" t="str">
        <x:v>P1</x:v>
      </x:c>
      <x:c r="F32" s="7" t="str">
        <x:v>L’attente affecte les captifs.</x:v>
      </x:c>
      <x:c r="G32" s="7" t="str">
        <x:v>Compteur d’événements de mission ; le temps passé à lire ou régler l’inventaire ne compte pas.</x:v>
      </x:c>
      <x:c r="H32" s="7" t="str">
        <x:v>Compteur d’événements de mission ; le temps passé à lire ou régler l’inventaire ne compte pas.</x:v>
      </x:c>
      <x:c r="I32" s="7" t="str">
        <x:v>Avertissement de préparation et journal des départs.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me2/choices/delay ; rattacher les ressources et états cités à cet identifiant. Aucun fichier de jeu créé par ce catalogue.</x:v>
      </x:c>
      <x:c r="M32" s="7" t="str"/>
      <x:c r="N32" s="7" t="str">
        <x:v>Le livrable « Délai après enlèvement » possède une scène ou un scénario de contrôle ; ses règles proposées, ses conditions et ses retours visuels sont vérifiables séparément.</x:v>
      </x:c>
      <x:c r="O32" s="7" t="str"/>
      <x:c r="P32" s="7" t="str">
        <x:v>Délai après enlèvement</x:v>
      </x:c>
      <x:c r="Q32" s="7" t="str">
        <x:v>ME2-SRC-WALK, ME2-SRC-STOP</x:v>
      </x:c>
      <x:c r="R32" s="7" t="str">
        <x:v>https://masseffect.fandom.com/wiki/Collector_Base%3A_The_Long_Walk
https://masseffect.fandom.com/wiki/Stop_the_Collectors</x:v>
      </x:c>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44" priority="1" operator="equal">
      <x:formula>"À vérifier"</x:formula>
    </x:cfRule>
    <x:cfRule type="cellIs" dxfId="45" priority="2" operator="equal">
      <x:formula>"Extrapolation"</x:formula>
    </x:cfRule>
  </x:conditionalFormatting>
  <x:conditionalFormatting sqref="C7:C32">
    <x:cfRule type="cellIs" dxfId="46" priority="3" operator="equal">
      <x:formula>"Validé"</x:formula>
    </x:cfRule>
  </x:conditionalFormatting>
  <x:conditionalFormatting sqref="E7:E32">
    <x:cfRule type="cellIs" dxfId="47"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c94bb34e78634dbf"/>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2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ME2-DIA-ILLUSIVE</x:v>
      </x:c>
      <x:c r="B7" s="9" t="str">
        <x:v>Briefings de l’Homme Trouble</x:v>
      </x:c>
      <x:c r="C7" s="15" t="str">
        <x:v>Défini</x:v>
      </x:c>
      <x:c r="D7" s="16" t="str">
        <x:v>Extrapolation</x:v>
      </x:c>
      <x:c r="E7" s="16" t="str">
        <x:v>P1</x:v>
      </x:c>
      <x:c r="F7" s="9" t="str">
        <x:v>Livrable original proposé : Briefings de l’Homme Trouble.</x:v>
      </x:c>
      <x:c r="G7" s="9" t="str">
        <x:v>Écrire des dialogues originaux de mission ; distinguer information confirmée, ordre reçu et réponse de Shepard.</x:v>
      </x:c>
      <x:c r="H7" s="9" t="str">
        <x:v>Écrire des dialogues originaux de mission ; distinguer information confirmée, ordre reçu et réponse de Shepard.</x:v>
      </x:c>
      <x:c r="I7" s="9" t="str">
        <x:v>Plan fixe du bureau et réponse du commandant.</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me2/dialogues/illusive ; rattacher les ressources et états cités à cet identifiant. Aucun fichier de jeu créé par ce catalogue.</x:v>
      </x:c>
      <x:c r="M7" s="9" t="str"/>
      <x:c r="N7" s="9" t="str">
        <x:v>Le livrable « Briefings de l’Homme Trouble » possède une scène ou un scénario de contrôle ; ses règles proposées, ses conditions et ses retours visuels sont vérifiables séparément.</x:v>
      </x:c>
      <x:c r="O7" s="9" t="str">
        <x:v>ME2-NPC-ILLUSIVE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ME2-DIA-GARRUS</x:v>
      </x:c>
      <x:c r="B8" s="7" t="str">
        <x:v>Garrus : vengeance et confiance</x:v>
      </x:c>
      <x:c r="C8" s="15" t="str">
        <x:v>Défini</x:v>
      </x:c>
      <x:c r="D8" s="17" t="str">
        <x:v>Extrapolation</x:v>
      </x:c>
      <x:c r="E8" s="17" t="str">
        <x:v>P1</x:v>
      </x:c>
      <x:c r="F8" s="7" t="str">
        <x:v>Livrable original proposé : Garrus : vengeance et confiance.</x:v>
      </x:c>
      <x:c r="G8" s="7" t="str">
        <x:v>Dialogue original en plusieurs retours ; rappeler les actes de Sidonis sans répéter les mêmes questions à chaque visite.</x:v>
      </x:c>
      <x:c r="H8" s="7" t="str">
        <x:v>Dialogue original en plusieurs retours ; rappeler les actes de Sidonis sans répéter les mêmes questions à chaque visite.</x:v>
      </x:c>
      <x:c r="I8" s="7" t="str">
        <x:v>Visage marqué et silence entre deux sujets.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me2/dialogues/garrus ; rattacher les ressources et états cités à cet identifiant. Aucun fichier de jeu créé par ce catalogue.</x:v>
      </x:c>
      <x:c r="M8" s="7" t="str"/>
      <x:c r="N8" s="7" t="str">
        <x:v>Le livrable « Garrus : vengeance et confiance » possède une scène ou un scénario de contrôle ; ses règles proposées, ses conditions et ses retours visuels sont vérifiables séparément.</x:v>
      </x:c>
      <x:c r="O8" s="7" t="str">
        <x:v>ME2-CHR-GARRUS, ME2-CHO-SIDONIS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ME2-DIA-MORDIN</x:v>
      </x:c>
      <x:c r="B9" s="9" t="str">
        <x:v>Mordin : recherche et responsabilité</x:v>
      </x:c>
      <x:c r="C9" s="15" t="str">
        <x:v>Défini</x:v>
      </x:c>
      <x:c r="D9" s="16" t="str">
        <x:v>Extrapolation</x:v>
      </x:c>
      <x:c r="E9" s="16" t="str">
        <x:v>P1</x:v>
      </x:c>
      <x:c r="F9" s="9" t="str">
        <x:v>Livrable original proposé : Mordin : recherche et responsabilité.</x:v>
      </x:c>
      <x:c r="G9" s="9" t="str">
        <x:v>Séparer explication scientifique, souvenirs et jugement ; aucun bouton ne valide toute une position politique.</x:v>
      </x:c>
      <x:c r="H9" s="9" t="str">
        <x:v>Séparer explication scientifique, souvenirs et jugement ; aucun bouton ne valide toute une position politique.</x:v>
      </x:c>
      <x:c r="I9" s="9" t="str">
        <x:v>Poste médical et regard mobile.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me2/dialogues/mordin ; rattacher les ressources et états cités à cet identifiant. Aucun fichier de jeu créé par ce catalogue.</x:v>
      </x:c>
      <x:c r="M9" s="9" t="str"/>
      <x:c r="N9" s="9" t="str">
        <x:v>Le livrable « Mordin : recherche et responsabilité » possède une scène ou un scénario de contrôle ; ses règles proposées, ses conditions et ses retours visuels sont vérifiables séparément.</x:v>
      </x:c>
      <x:c r="O9" s="9" t="str">
        <x:v>ME2-CHR-MORDIN, ME2-CHO-MAELON-DATA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ME2-DIA-TALI</x:v>
      </x:c>
      <x:c r="B10" s="7" t="str">
        <x:v>Tali : famille et preuve</x:v>
      </x:c>
      <x:c r="C10" s="15" t="str">
        <x:v>Défini</x:v>
      </x:c>
      <x:c r="D10" s="17" t="str">
        <x:v>Extrapolation</x:v>
      </x:c>
      <x:c r="E10" s="17" t="str">
        <x:v>P1</x:v>
      </x:c>
      <x:c r="F10" s="7" t="str">
        <x:v>Livrable original proposé : Tali : famille et preuve.</x:v>
      </x:c>
      <x:c r="G10" s="7" t="str">
        <x:v>Conversations indexées avant/après audience ; montrer le conflit entre réputation familiale et défense personnelle.</x:v>
      </x:c>
      <x:c r="H10" s="7" t="str">
        <x:v>Conversations indexées avant/après audience ; montrer le conflit entre réputation familiale et défense personnelle.</x:v>
      </x:c>
      <x:c r="I10" s="7" t="str">
        <x:v>Visière et mains serrées.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me2/dialogues/tali ; rattacher les ressources et états cités à cet identifiant. Aucun fichier de jeu créé par ce catalogue.</x:v>
      </x:c>
      <x:c r="M10" s="7" t="str"/>
      <x:c r="N10" s="7" t="str">
        <x:v>Le livrable « Tali : famille et preuve » possède une scène ou un scénario de contrôle ; ses règles proposées, ses conditions et ses retours visuels sont vérifiables séparément.</x:v>
      </x:c>
      <x:c r="O10" s="7" t="str">
        <x:v>ME2-CHR-TALI, ME2-CHO-TALI-PROOF</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ME2-DIA-JACK</x:v>
      </x:c>
      <x:c r="B11" s="9" t="str">
        <x:v>Jack : mémoire du centre</x:v>
      </x:c>
      <x:c r="C11" s="15" t="str">
        <x:v>Défini</x:v>
      </x:c>
      <x:c r="D11" s="16" t="str">
        <x:v>Extrapolation</x:v>
      </x:c>
      <x:c r="E11" s="16" t="str">
        <x:v>P1</x:v>
      </x:c>
      <x:c r="F11" s="9" t="str">
        <x:v>Livrable original proposé : Jack : mémoire du centre.</x:v>
      </x:c>
      <x:c r="G11" s="9" t="str">
        <x:v>Répliques originales courtes et possibilité de laisser un silence ; ne pas réduire le trauma à un bonus de loyauté.</x:v>
      </x:c>
      <x:c r="H11" s="9" t="str">
        <x:v>Répliques originales courtes et possibilité de laisser un silence ; ne pas réduire le trauma à un bonus de loyauté.</x:v>
      </x:c>
      <x:c r="I11" s="9" t="str">
        <x:v>Assise basse et distance de caméra respectueuse.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me2/dialogues/jack ; rattacher les ressources et états cités à cet identifiant. Aucun fichier de jeu créé par ce catalogue.</x:v>
      </x:c>
      <x:c r="M11" s="9" t="str"/>
      <x:c r="N11" s="9" t="str">
        <x:v>Le livrable « Jack : mémoire du centre » possède une scène ou un scénario de contrôle ; ses règles proposées, ses conditions et ses retours visuels sont vérifiables séparément.</x:v>
      </x:c>
      <x:c r="O11" s="9" t="str">
        <x:v>ME2-CHR-JACK, ME2-MQ-LOY-JACK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ME2-DIA-MIRANDA</x:v>
      </x:c>
      <x:c r="B12" s="7" t="str">
        <x:v>Miranda : projet familial</x:v>
      </x:c>
      <x:c r="C12" s="15" t="str">
        <x:v>Défini</x:v>
      </x:c>
      <x:c r="D12" s="17" t="str">
        <x:v>Extrapolation</x:v>
      </x:c>
      <x:c r="E12" s="17" t="str">
        <x:v>P1</x:v>
      </x:c>
      <x:c r="F12" s="7" t="str">
        <x:v>Livrable original proposé : Miranda : projet familial.</x:v>
      </x:c>
      <x:c r="G12" s="7" t="str">
        <x:v>Écrire des retours distincts sur Niket et Oriana ; ne pas les fusionner en un unique booléen de confiance.</x:v>
      </x:c>
      <x:c r="H12" s="7" t="str">
        <x:v>Écrire des retours distincts sur Niket et Oriana ; ne pas les fusionner en un unique booléen de confiance.</x:v>
      </x:c>
      <x:c r="I12" s="7" t="str">
        <x:v>Posture maîtrisée puis relâchement.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me2/dialogues/miranda ; rattacher les ressources et états cités à cet identifiant. Aucun fichier de jeu créé par ce catalogue.</x:v>
      </x:c>
      <x:c r="M12" s="7" t="str"/>
      <x:c r="N12" s="7" t="str">
        <x:v>Le livrable « Miranda : projet familial » possède une scène ou un scénario de contrôle ; ses règles proposées, ses conditions et ses retours visuels sont vérifiables séparément.</x:v>
      </x:c>
      <x:c r="O12" s="7" t="str">
        <x:v>ME2-CHR-MIRANDA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ME2-DIA-LEGION</x:v>
      </x:c>
      <x:c r="B13" s="9" t="str">
        <x:v>Legion : consensus et hérésie</x:v>
      </x:c>
      <x:c r="C13" s="15" t="str">
        <x:v>Défini</x:v>
      </x:c>
      <x:c r="D13" s="16" t="str">
        <x:v>Extrapolation</x:v>
      </x:c>
      <x:c r="E13" s="16" t="str">
        <x:v>P1</x:v>
      </x:c>
      <x:c r="F13" s="9" t="str">
        <x:v>Livrable original proposé : Legion : consensus et hérésie.</x:v>
      </x:c>
      <x:c r="G13" s="9" t="str">
        <x:v>Dialogue original explicitant une décision de réseau ; un lexique secondaire explique les termes sans allonger chaque réplique.</x:v>
      </x:c>
      <x:c r="H13" s="9" t="str">
        <x:v>Dialogue original explicitant une décision de réseau ; un lexique secondaire explique les termes sans allonger chaque réplique.</x:v>
      </x:c>
      <x:c r="I13" s="9" t="str">
        <x:v>Optique et panneaux orientables.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me2/dialogues/legion ; rattacher les ressources et états cités à cet identifiant. Aucun fichier de jeu créé par ce catalogue.</x:v>
      </x:c>
      <x:c r="M13" s="9" t="str"/>
      <x:c r="N13" s="9" t="str">
        <x:v>Le livrable « Legion : consensus et hérésie » possède une scène ou un scénario de contrôle ; ses règles proposées, ses conditions et ses retours visuels sont vérifiables séparément.</x:v>
      </x:c>
      <x:c r="O13" s="9" t="str">
        <x:v>ME2-CHR-LEGION, ME2-CHO-HERETICS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ME2-DIA-SAMARA</x:v>
      </x:c>
      <x:c r="B14" s="7" t="str">
        <x:v>Samara : code et filiation</x:v>
      </x:c>
      <x:c r="C14" s="15" t="str">
        <x:v>Défini</x:v>
      </x:c>
      <x:c r="D14" s="17" t="str">
        <x:v>Extrapolation</x:v>
      </x:c>
      <x:c r="E14" s="17" t="str">
        <x:v>P1</x:v>
      </x:c>
      <x:c r="F14" s="7" t="str">
        <x:v>Livrable original proposé : Samara : code et filiation.</x:v>
      </x:c>
      <x:c r="G14" s="7" t="str">
        <x:v>Réponses sobres avec branche exclusive si Morinth est présente ; aucune réplique de mère réutilisée sans contexte.</x:v>
      </x:c>
      <x:c r="H14" s="7" t="str">
        <x:v>Réponses sobres avec branche exclusive si Morinth est présente ; aucune réplique de mère réutilisée sans contexte.</x:v>
      </x:c>
      <x:c r="I14" s="7" t="str">
        <x:v>Posture assise calme, palette rouge/bleu.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me2/dialogues/samara ; rattacher les ressources et états cités à cet identifiant. Aucun fichier de jeu créé par ce catalogue.</x:v>
      </x:c>
      <x:c r="M14" s="7" t="str"/>
      <x:c r="N14" s="7" t="str">
        <x:v>Le livrable « Samara : code et filiation » possède une scène ou un scénario de contrôle ; ses règles proposées, ses conditions et ses retours visuels sont vérifiables séparément.</x:v>
      </x:c>
      <x:c r="O14" s="7" t="str">
        <x:v>ME2-CHR-SAMARA, ME2-CHR-MORINTH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ME2-DIA-THANE</x:v>
      </x:c>
      <x:c r="B15" s="9" t="str">
        <x:v>Thane : mortalité et Kolyat</x:v>
      </x:c>
      <x:c r="C15" s="15" t="str">
        <x:v>Défini</x:v>
      </x:c>
      <x:c r="D15" s="16" t="str">
        <x:v>Extrapolation</x:v>
      </x:c>
      <x:c r="E15" s="16" t="str">
        <x:v>P1</x:v>
      </x:c>
      <x:c r="F15" s="9" t="str">
        <x:v>Livrable original proposé : Thane : mortalité et Kolyat.</x:v>
      </x:c>
      <x:c r="G15" s="9" t="str">
        <x:v>Entretien original en épisodes ; conserver les conséquences de la filature et les liens familiaux séparés de romance.</x:v>
      </x:c>
      <x:c r="H15" s="9" t="str">
        <x:v>Entretien original en épisodes ; conserver les conséquences de la filature et les liens familiaux séparés de romance.</x:v>
      </x:c>
      <x:c r="I15" s="9" t="str">
        <x:v>Respiration et focalisation sur le regard.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me2/dialogues/thane ; rattacher les ressources et états cités à cet identifiant. Aucun fichier de jeu créé par ce catalogue.</x:v>
      </x:c>
      <x:c r="M15" s="9" t="str"/>
      <x:c r="N15" s="9" t="str">
        <x:v>Le livrable « Thane : mortalité et Kolyat » possède une scène ou un scénario de contrôle ; ses règles proposées, ses conditions et ses retours visuels sont vérifiables séparément.</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ME2-DIA-KASUMI</x:v>
      </x:c>
      <x:c r="B16" s="7" t="str">
        <x:v>Kasumi : souvenir et secret</x:v>
      </x:c>
      <x:c r="C16" s="15" t="str">
        <x:v>Défini</x:v>
      </x:c>
      <x:c r="D16" s="17" t="str">
        <x:v>Extrapolation</x:v>
      </x:c>
      <x:c r="E16" s="17" t="str">
        <x:v>P1</x:v>
      </x:c>
      <x:c r="F16" s="7" t="str">
        <x:v>Livrable original proposé : Kasumi : souvenir et secret.</x:v>
      </x:c>
      <x:c r="G16" s="7" t="str">
        <x:v>Commentaires de souvenirs conditionnés au graybox ; ne pas traiter destruction et conservation comme dialogue identique.</x:v>
      </x:c>
      <x:c r="H16" s="7" t="str">
        <x:v>Commentaires de souvenirs conditionnés au graybox ; ne pas traiter destruction et conservation comme dialogue identique.</x:v>
      </x:c>
      <x:c r="I16" s="7" t="str">
        <x:v>Ombre de capuche et projection discrète.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me2/dialogues/kasumi ; rattacher les ressources et états cités à cet identifiant. Aucun fichier de jeu créé par ce catalogue.</x:v>
      </x:c>
      <x:c r="M16" s="7" t="str"/>
      <x:c r="N16" s="7" t="str">
        <x:v>Le livrable « Kasumi : souvenir et secret » possède une scène ou un scénario de contrôle ; ses règles proposées, ses conditions et ses retours visuels sont vérifiables séparément.</x:v>
      </x:c>
      <x:c r="O16" s="7" t="str">
        <x:v>ME2-CHR-KASUMI, ME2-CHO-GRAYBOX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ME2-DIA-LIARA</x:v>
      </x:c>
      <x:c r="B17" s="9" t="str">
        <x:v>Liara : après le Courtier</x:v>
      </x:c>
      <x:c r="C17" s="15" t="str">
        <x:v>Défini</x:v>
      </x:c>
      <x:c r="D17" s="16" t="str">
        <x:v>Extrapolation</x:v>
      </x:c>
      <x:c r="E17" s="16" t="str">
        <x:v>P1</x:v>
      </x:c>
      <x:c r="F17" s="9" t="str">
        <x:v>Livrable original proposé : Liara : après le Courtier.</x:v>
      </x:c>
      <x:c r="G17" s="9" t="str">
        <x:v>Dialogue de rôle nouveau et relation importée ; retour au Normandy facultatif sans imposer romance.</x:v>
      </x:c>
      <x:c r="H17" s="9" t="str">
        <x:v>Dialogue de rôle nouveau et relation importée ; retour au Normandy facultatif sans imposer romance.</x:v>
      </x:c>
      <x:c r="I17" s="9" t="str">
        <x:v>Bureau d’informations et lumière chaude intime.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me2/dialogues/liara ; rattacher les ressources et états cités à cet identifiant. Aucun fichier de jeu créé par ce catalogue.</x:v>
      </x:c>
      <x:c r="M17" s="9" t="str"/>
      <x:c r="N17" s="9" t="str">
        <x:v>Le livrable « Liara : après le Courtier » possède une scène ou un scénario de contrôle ; ses règles proposées, ses conditions et ses retours visuels sont vérifiables séparément.</x:v>
      </x:c>
      <x:c r="O17" s="9" t="str">
        <x:v>ME2-CHR-LIARA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ME2-DIA-CREW</x:v>
      </x:c>
      <x:c r="B18" s="7" t="str">
        <x:v>Normandy : conversations de service</x:v>
      </x:c>
      <x:c r="C18" s="15" t="str">
        <x:v>Défini</x:v>
      </x:c>
      <x:c r="D18" s="17" t="str">
        <x:v>Extrapolation</x:v>
      </x:c>
      <x:c r="E18" s="17" t="str">
        <x:v>P1</x:v>
      </x:c>
      <x:c r="F18" s="7" t="str">
        <x:v>Livrable original proposé : Normandy : conversations de service.</x:v>
      </x:c>
      <x:c r="G18" s="7" t="str">
        <x:v>Écrire courts échanges originaux à deux voix dans ingénierie et mess ; priorité aux alertes de mission.</x:v>
      </x:c>
      <x:c r="H18" s="7" t="str">
        <x:v>Écrire courts échanges originaux à deux voix dans ingénierie et mess ; priorité aux alertes de mission.</x:v>
      </x:c>
      <x:c r="I18" s="7" t="str">
        <x:v>Petits gestes de travail, portraits non envahissants.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me2/dialogues/crew ; rattacher les ressources et états cités à cet identifiant. Aucun fichier de jeu créé par ce catalogue.</x:v>
      </x:c>
      <x:c r="M18" s="7" t="str"/>
      <x:c r="N18" s="7" t="str">
        <x:v>Le livrable « Normandy : conversations de service » possède une scène ou un scénario de contrôle ; ses règles proposées, ses conditions et ses retours visuels sont vérifiables séparément.</x:v>
      </x:c>
      <x:c r="O18" s="7" t="str">
        <x:v>ME2-ZON-NORMANDY-ENGINE, ME2-ZON-NORMANDY-MESS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e4b40dae34d740e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2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ME2-CIN-LOSS</x:v>
      </x:c>
      <x:c r="B7" s="9" t="str">
        <x:v>Destruction du Normandy — storyboard</x:v>
      </x:c>
      <x:c r="C7" s="15" t="str">
        <x:v>Défini</x:v>
      </x:c>
      <x:c r="D7" s="16" t="str">
        <x:v>Extrapolation</x:v>
      </x:c>
      <x:c r="E7" s="16" t="str">
        <x:v>P1</x:v>
      </x:c>
      <x:c r="F7" s="9" t="str">
        <x:v>Livrable original proposé : Destruction du Normandy — storyboard.</x:v>
      </x:c>
      <x:c r="G7" s="9" t="str">
        <x:v>Établir les espaces avant leur rupture ; passage de contrôle à caméra puis retour sans modifier le choix du joueur.</x:v>
      </x:c>
      <x:c r="H7" s="9" t="str">
        <x:v>Établir les espaces avant leur rupture ; passage de contrôle à caméra puis retour sans modifier le choix du joueur.</x:v>
      </x:c>
      <x:c r="I7" s="9" t="str">
        <x:v>Grande silhouette du vaisseau et cabine ouverte.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me2/cinematics/loss ; rattacher les ressources et états cités à cet identifiant. Aucun fichier de jeu créé par ce catalogue.</x:v>
      </x:c>
      <x:c r="M7" s="9" t="str"/>
      <x:c r="N7" s="9" t="str">
        <x:v>Le livrable « Destruction du Normandy — storyboard » possède une scène ou un scénario de contrôle ; ses règles proposées, ses conditions et ses retours visuels sont vérifiables séparément.</x:v>
      </x:c>
      <x:c r="O7" s="9" t="str">
        <x:v>ME2-MQ-SAVE-JOKER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ME2-CIN-RETURN</x:v>
      </x:c>
      <x:c r="B8" s="7" t="str">
        <x:v>Réveil de Shepard — storyboard</x:v>
      </x:c>
      <x:c r="C8" s="15" t="str">
        <x:v>Défini</x:v>
      </x:c>
      <x:c r="D8" s="17" t="str">
        <x:v>Extrapolation</x:v>
      </x:c>
      <x:c r="E8" s="17" t="str">
        <x:v>P1</x:v>
      </x:c>
      <x:c r="F8" s="7" t="str">
        <x:v>Livrable original proposé : Réveil de Shepard — storyboard.</x:v>
      </x:c>
      <x:c r="G8" s="7" t="str">
        <x:v>Plans de reconstruction abstraits puis reprise en laboratoire ; ne pas exposer d’explication technique inventée comme canon.</x:v>
      </x:c>
      <x:c r="H8" s="7" t="str">
        <x:v>Plans de reconstruction abstraits puis reprise en laboratoire ; ne pas exposer d’explication technique inventée comme canon.</x:v>
      </x:c>
      <x:c r="I8" s="7" t="str">
        <x:v>Instruments, silhouette et yeux ouverts.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me2/cinematics/return ; rattacher les ressources et états cités à cet identifiant. Aucun fichier de jeu créé par ce catalogue.</x:v>
      </x:c>
      <x:c r="M8" s="7" t="str"/>
      <x:c r="N8" s="7" t="str">
        <x:v>Le livrable « Réveil de Shepard — storyboard » possède une scène ou un scénario de contrôle ; ses règles proposées, ses conditions et ses retours visuels sont vérifiables séparément.</x:v>
      </x:c>
      <x:c r="O8" s="7" t="str">
        <x:v>ME2-MQ-AWAKENING</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ME2-CIN-GARRUS-REVEAL</x:v>
      </x:c>
      <x:c r="B9" s="9" t="str">
        <x:v>Révélation d’Archangel</x:v>
      </x:c>
      <x:c r="C9" s="15" t="str">
        <x:v>Défini</x:v>
      </x:c>
      <x:c r="D9" s="16" t="str">
        <x:v>Extrapolation</x:v>
      </x:c>
      <x:c r="E9" s="16" t="str">
        <x:v>P1</x:v>
      </x:c>
      <x:c r="F9" s="9" t="str">
        <x:v>Livrable original proposé : Révélation d’Archangel.</x:v>
      </x:c>
      <x:c r="G9" s="9" t="str">
        <x:v>Révéler la silhouette avant le visage ; le nom apparaît après reconnaissance, pas avant l’entrée de scène.</x:v>
      </x:c>
      <x:c r="H9" s="9" t="str">
        <x:v>Révéler la silhouette avant le visage ; le nom apparaît après reconnaissance, pas avant l’entrée de scène.</x:v>
      </x:c>
      <x:c r="I9" s="9" t="str">
        <x:v>Viseur, fusil posé et armure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me2/cinematics/garrus-reveal ; rattacher les ressources et états cités à cet identifiant. Aucun fichier de jeu créé par ce catalogue.</x:v>
      </x:c>
      <x:c r="M9" s="9" t="str"/>
      <x:c r="N9" s="9" t="str">
        <x:v>Le livrable « Révélation d’Archangel » possède une scène ou un scénario de contrôle ; ses règles proposées, ses conditions et ses retours visuels sont vérifiables séparément.</x:v>
      </x:c>
      <x:c r="O9" s="9" t="str">
        <x:v>ME2-CHR-GARRUS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ME2-CIN-HORIZON</x:v>
      </x:c>
      <x:c r="B10" s="7" t="str">
        <x:v>Rencontre du survivant de Virmire</x:v>
      </x:c>
      <x:c r="C10" s="15" t="str">
        <x:v>Défini</x:v>
      </x:c>
      <x:c r="D10" s="17" t="str">
        <x:v>Extrapolation</x:v>
      </x:c>
      <x:c r="E10" s="17" t="str">
        <x:v>P1</x:v>
      </x:c>
      <x:c r="F10" s="7" t="str">
        <x:v>Livrable original proposé : Rencontre du survivant de Virmire.</x:v>
      </x:c>
      <x:c r="G10" s="7" t="str">
        <x:v>Variante Ashley ou Kaidan selon import ; garder la distance émotionnelle et le départ quel que soit le romance flag.</x:v>
      </x:c>
      <x:c r="H10" s="7" t="str">
        <x:v>Variante Ashley ou Kaidan selon import ; garder la distance émotionnelle et le départ quel que soit le romance flag.</x:v>
      </x:c>
      <x:c r="I10" s="7" t="str">
        <x:v>Colonie silencieuse après attaque.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me2/cinematics/horizon ; rattacher les ressources et états cités à cet identifiant. Aucun fichier de jeu créé par ce catalogue.</x:v>
      </x:c>
      <x:c r="M10" s="7" t="str"/>
      <x:c r="N10" s="7" t="str">
        <x:v>Le livrable « Rencontre du survivant de Virmire » possède une scène ou un scénario de contrôle ; ses règles proposées, ses conditions et ses retours visuels sont vérifiables séparément.</x:v>
      </x:c>
      <x:c r="O10" s="7" t="str">
        <x:v>ME2-MQ-HORIZON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ME2-CIN-JOKER-ESCAPE</x:v>
      </x:c>
      <x:c r="B11" s="9" t="str">
        <x:v>Joker et EDI pendant l’attaque</x:v>
      </x:c>
      <x:c r="C11" s="15" t="str">
        <x:v>Défini</x:v>
      </x:c>
      <x:c r="D11" s="16" t="str">
        <x:v>Extrapolation</x:v>
      </x:c>
      <x:c r="E11" s="16" t="str">
        <x:v>P1</x:v>
      </x:c>
      <x:c r="F11" s="9" t="str">
        <x:v>Livrable original proposé : Joker et EDI pendant l’attaque.</x:v>
      </x:c>
      <x:c r="G11" s="9" t="str">
        <x:v>Caméra guide l’itinéraire sans faire courir le personnage de façon incompatible ; sous-titres complets des ordres.</x:v>
      </x:c>
      <x:c r="H11" s="9" t="str">
        <x:v>Caméra guide l’itinéraire sans faire courir le personnage de façon incompatible ; sous-titres complets des ordres.</x:v>
      </x:c>
      <x:c r="I11" s="9" t="str">
        <x:v>Coursives sombres et projections d’EDI.</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me2/cinematics/joker-escape ; rattacher les ressources et états cités à cet identifiant. Aucun fichier de jeu créé par ce catalogue.</x:v>
      </x:c>
      <x:c r="M11" s="9" t="str"/>
      <x:c r="N11" s="9" t="str">
        <x:v>Le livrable « Joker et EDI pendant l’attaque » possède une scène ou un scénario de contrôle ; ses règles proposées, ses conditions et ses retours visuels sont vérifiables séparément.</x:v>
      </x:c>
      <x:c r="O11" s="9" t="str">
        <x:v>ME2-MQ-ABDUCTION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ME2-CIN-OMEGA4</x:v>
      </x:c>
      <x:c r="B12" s="7" t="str">
        <x:v>Approche de la base</x:v>
      </x:c>
      <x:c r="C12" s="15" t="str">
        <x:v>Défini</x:v>
      </x:c>
      <x:c r="D12" s="17" t="str">
        <x:v>Extrapolation</x:v>
      </x:c>
      <x:c r="E12" s="17" t="str">
        <x:v>P1</x:v>
      </x:c>
      <x:c r="F12" s="7" t="str">
        <x:v>Livrable original proposé : Approche de la base.</x:v>
      </x:c>
      <x:c r="G12" s="7" t="str">
        <x:v>Plans conditionnels selon améliorations ; chaque perte apparaît une fois avec identité correcte.</x:v>
      </x:c>
      <x:c r="H12" s="7" t="str">
        <x:v>Plans conditionnels selon améliorations ; chaque perte apparaît une fois avec identité correcte.</x:v>
      </x:c>
      <x:c r="I12" s="7" t="str">
        <x:v>Normandy entre épaves et Oculus.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me2/cinematics/omega4 ; rattacher les ressources et états cités à cet identifiant. Aucun fichier de jeu créé par ce catalogue.</x:v>
      </x:c>
      <x:c r="M12" s="7" t="str"/>
      <x:c r="N12" s="7" t="str">
        <x:v>Le livrable « Approche de la base » possède une scène ou un scénario de contrôle ; ses règles proposées, ses conditions et ses retours visuels sont vérifiables séparément.</x:v>
      </x:c>
      <x:c r="O12" s="7" t="str">
        <x:v>ME2-MQ-OMEGA4</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ME2-CIN-BROKER</x:v>
      </x:c>
      <x:c r="B13" s="9" t="str">
        <x:v>Mort du Courtier et succession</x:v>
      </x:c>
      <x:c r="C13" s="15" t="str">
        <x:v>Défini</x:v>
      </x:c>
      <x:c r="D13" s="16" t="str">
        <x:v>Extrapolation</x:v>
      </x:c>
      <x:c r="E13" s="16" t="str">
        <x:v>P1</x:v>
      </x:c>
      <x:c r="F13" s="9" t="str">
        <x:v>Livrable original proposé : Mort du Courtier et succession.</x:v>
      </x:c>
      <x:c r="G13" s="9" t="str">
        <x:v>Chorégraphie de duo lisible ; poser le nouveau statut de Liara après la résolution, pas pendant le boss.</x:v>
      </x:c>
      <x:c r="H13" s="9" t="str">
        <x:v>Chorégraphie de duo lisible ; poser le nouveau statut de Liara après la résolution, pas pendant le boss.</x:v>
      </x:c>
      <x:c r="I13" s="9" t="str">
        <x:v>Yahg, écran de protection et lueur de décharge.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me2/cinematics/broker ; rattacher les ressources et états cités à cet identifiant. Aucun fichier de jeu créé par ce catalogue.</x:v>
      </x:c>
      <x:c r="M13" s="9" t="str"/>
      <x:c r="N13" s="9" t="str">
        <x:v>Le livrable « Mort du Courtier et succession » possède une scène ou un scénario de contrôle ; ses règles proposées, ses conditions et ses retours visuels sont vérifiables séparément.</x:v>
      </x:c>
      <x:c r="O13" s="9" t="str">
        <x:v>ME2-MQ-SHADOW</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ME2-CIN-DAVID</x:v>
      </x:c>
      <x:c r="B14" s="7" t="str">
        <x:v>Révélation de David</x:v>
      </x:c>
      <x:c r="C14" s="15" t="str">
        <x:v>Défini</x:v>
      </x:c>
      <x:c r="D14" s="17" t="str">
        <x:v>Extrapolation</x:v>
      </x:c>
      <x:c r="E14" s="17" t="str">
        <x:v>P1</x:v>
      </x:c>
      <x:c r="F14" s="7" t="str">
        <x:v>Livrable original proposé : Révélation de David.</x:v>
      </x:c>
      <x:c r="G14" s="7" t="str">
        <x:v>Cadrer le dispositif puis la personne ; proposer réduction d’intensité visuelle tout en gardant l’information narrative.</x:v>
      </x:c>
      <x:c r="H14" s="7" t="str">
        <x:v>Cadrer le dispositif puis la personne ; proposer réduction d’intensité visuelle tout en gardant l’information narrative.</x:v>
      </x:c>
      <x:c r="I14" s="7" t="str">
        <x:v>Laboratoire vert, visage et câbles.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me2/cinematics/david ; rattacher les ressources et états cités à cet identifiant. Aucun fichier de jeu créé par ce catalogue.</x:v>
      </x:c>
      <x:c r="M14" s="7" t="str"/>
      <x:c r="N14" s="7" t="str">
        <x:v>Le livrable « Révélation de David » possède une scène ou un scénario de contrôle ; ses règles proposées, ses conditions et ses retours visuels sont vérifiables séparément.</x:v>
      </x:c>
      <x:c r="O14" s="7" t="str">
        <x:v>ME2-MQ-OV-ATLAS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ME2-CIN-RELAY</x:v>
      </x:c>
      <x:c r="B15" s="9" t="str">
        <x:v>Collision du relais Alpha</x:v>
      </x:c>
      <x:c r="C15" s="15" t="str">
        <x:v>Défini</x:v>
      </x:c>
      <x:c r="D15" s="16" t="str">
        <x:v>Extrapolation</x:v>
      </x:c>
      <x:c r="E15" s="16" t="str">
        <x:v>P1</x:v>
      </x:c>
      <x:c r="F15" s="9" t="str">
        <x:v>Livrable original proposé : Collision du relais Alpha.</x:v>
      </x:c>
      <x:c r="G15" s="9" t="str">
        <x:v>Établir trajectoire, évacuation et conséquence à distance ; ne pas fabriquer d’issue de sauvetage disponible.</x:v>
      </x:c>
      <x:c r="H15" s="9" t="str">
        <x:v>Établir trajectoire, évacuation et conséquence à distance ; ne pas fabriquer d’issue de sauvetage disponible.</x:v>
      </x:c>
      <x:c r="I15" s="9" t="str">
        <x:v>Astéroïde et flash spatial atténuable.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me2/cinematics/relay ; rattacher les ressources et états cités à cet identifiant. Aucun fichier de jeu créé par ce catalogue.</x:v>
      </x:c>
      <x:c r="M15" s="9" t="str"/>
      <x:c r="N15" s="9" t="str">
        <x:v>Le livrable « Collision du relais Alpha » possède une scène ou un scénario de contrôle ; ses règles proposées, ses conditions et ses retours visuels sont vérifiables séparément.</x:v>
      </x:c>
      <x:c r="O15" s="9" t="str">
        <x:v>ME2-MQ-ARRIVAL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ME2-CIN-EXTRACTION</x:v>
      </x:c>
      <x:c r="B16" s="7" t="str">
        <x:v>Extraction de la mission suicide</x:v>
      </x:c>
      <x:c r="C16" s="15" t="str">
        <x:v>Défini</x:v>
      </x:c>
      <x:c r="D16" s="17" t="str">
        <x:v>Extrapolation</x:v>
      </x:c>
      <x:c r="E16" s="17" t="str">
        <x:v>P1</x:v>
      </x:c>
      <x:c r="F16" s="7" t="str">
        <x:v>Livrable original proposé : Extraction de la mission suicide.</x:v>
      </x:c>
      <x:c r="G16" s="7" t="str">
        <x:v>Branches de survie et saut final ; contrôler le nombre de personnes visibles et les places du groupe.</x:v>
      </x:c>
      <x:c r="H16" s="7" t="str">
        <x:v>Branches de survie et saut final ; contrôler le nombre de personnes visibles et les places du groupe.</x:v>
      </x:c>
      <x:c r="I16" s="7" t="str">
        <x:v>Plateforme effondrée et soute du Normandy.</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me2/cinematics/extraction ; rattacher les ressources et états cités à cet identifiant. Aucun fichier de jeu créé par ce catalogue.</x:v>
      </x:c>
      <x:c r="M16" s="7" t="str"/>
      <x:c r="N16" s="7" t="str">
        <x:v>Le livrable « Extraction de la mission suicide » possède une scène ou un scénario de contrôle ; ses règles proposées, ses conditions et ses retours visuels sont vérifiables séparément.</x:v>
      </x:c>
      <x:c r="O16" s="7" t="str">
        <x:v>ME2-MQ-FINAL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sheetData>
  <x:conditionalFormatting sqref="D7:D16">
    <x:cfRule type="cellIs" dxfId="52" priority="1" operator="equal">
      <x:formula>"À vérifier"</x:formula>
    </x:cfRule>
    <x:cfRule type="cellIs" dxfId="53" priority="2" operator="equal">
      <x:formula>"Extrapolation"</x:formula>
    </x:cfRule>
  </x:conditionalFormatting>
  <x:conditionalFormatting sqref="C7:C16">
    <x:cfRule type="cellIs" dxfId="54" priority="3" operator="equal">
      <x:formula>"Validé"</x:formula>
    </x:cfRule>
  </x:conditionalFormatting>
  <x:conditionalFormatting sqref="E7:E16">
    <x:cfRule type="cellIs" dxfId="5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358607c07d934792"/>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2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ME2-WPN-PREDATOR</x:v>
      </x:c>
      <x:c r="B7" s="9" t="str">
        <x:v>M-3 Predator</x:v>
      </x:c>
      <x:c r="C7" s="15" t="str">
        <x:v>Prototype</x:v>
      </x:c>
      <x:c r="D7" s="16" t="str">
        <x:v>Établi</x:v>
      </x:c>
      <x:c r="E7" s="16" t="str">
        <x:v>P1</x:v>
      </x:c>
      <x:c r="F7" s="9" t="str">
        <x:v>Pistolet de ME2.</x:v>
      </x:c>
      <x:c r="G7" s="9" t="str">
        <x:v>Arme d’appoint fiable, coût ATB faible ; recharger choisit une pause courte plutôt qu’une action offensive.</x:v>
      </x:c>
      <x:c r="H7" s="9" t="str">
        <x:v>Arme d’appoint fiable, coût ATB faible ; recharger choisit une pause courte plutôt qu’une action offensive.</x:v>
      </x:c>
      <x:c r="I7" s="9" t="str">
        <x:v>Pistolet compact noir/gris.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ME2-WPN-PREDATOR ; contexte d’œuvre/segment et sélection de scène obligatoires.</x:v>
      </x:c>
      <x:c r="M7" s="9" t="str"/>
      <x:c r="N7" s="9" t="str">
        <x:v>Le livrable « M-3 Predator » possède une scène ou un scénario de contrôle ; ses règles proposées, ses conditions et ses retours visuels sont vérifiables séparément.</x:v>
      </x:c>
      <x:c r="O7" s="9" t="str"/>
      <x:c r="P7" s="9" t="str">
        <x:v>M-3 Predator</x:v>
      </x:c>
      <x:c r="Q7" s="9" t="str">
        <x:v>ME2-SRC-WEAPONS</x:v>
      </x:c>
      <x:c r="R7" s="9" t="str">
        <x:v>https://masseffect.fandom.com/wiki/Weapons</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ME2-WPN-CARNIFEX</x:v>
      </x:c>
      <x:c r="B8" s="7" t="str">
        <x:v>M-6 Carnifex</x:v>
      </x:c>
      <x:c r="C8" s="15" t="str">
        <x:v>Prototype</x:v>
      </x:c>
      <x:c r="D8" s="17" t="str">
        <x:v>Établi</x:v>
      </x:c>
      <x:c r="E8" s="17" t="str">
        <x:v>P1</x:v>
      </x:c>
      <x:c r="F8" s="7" t="str">
        <x:v>Pistolet obtenu auprès de Mordin.</x:v>
      </x:c>
      <x:c r="G8" s="7" t="str">
        <x:v>Tir lourd ciblé, avantage proposé sur protection dure et réserve réduite.</x:v>
      </x:c>
      <x:c r="H8" s="7" t="str">
        <x:v>Tir lourd ciblé, avantage proposé sur protection dure et réserve réduite.</x:v>
      </x:c>
      <x:c r="I8" s="7" t="str">
        <x:v>Canon massif et poignée courte.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ME2-WPN-CARNIFEX ; contexte d’œuvre/segment et sélection de scène obligatoires.</x:v>
      </x:c>
      <x:c r="M8" s="7" t="str"/>
      <x:c r="N8" s="7" t="str">
        <x:v>Le livrable « M-6 Carnifex » possède une scène ou un scénario de contrôle ; ses règles proposées, ses conditions et ses retours visuels sont vérifiables séparément.</x:v>
      </x:c>
      <x:c r="O8" s="7" t="str"/>
      <x:c r="P8" s="7" t="str">
        <x:v>M-6 Carnifex</x:v>
      </x:c>
      <x:c r="Q8" s="7" t="str">
        <x:v>ME2-SRC-PROF</x:v>
      </x:c>
      <x:c r="R8" s="7" t="str">
        <x:v>https://masseffect.fandom.com/wiki/Dossier%3A_The_Professor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ME2-WPN-PHALANX</x:v>
      </x:c>
      <x:c r="B9" s="9" t="str">
        <x:v>M-5 Phalanx</x:v>
      </x:c>
      <x:c r="C9" s="15" t="str">
        <x:v>Défini</x:v>
      </x:c>
      <x:c r="D9" s="16" t="str">
        <x:v>Établi</x:v>
      </x:c>
      <x:c r="E9" s="16" t="str">
        <x:v>P1</x:v>
      </x:c>
      <x:c r="F9" s="9" t="str">
        <x:v>Pistolet de contenu additionnel ME2.</x:v>
      </x:c>
      <x:c r="G9" s="9" t="str">
        <x:v>Visée précise préparée : récompenser une cible marquée par un allié.</x:v>
      </x:c>
      <x:c r="H9" s="9" t="str">
        <x:v>Visée précise préparée : récompenser une cible marquée par un allié.</x:v>
      </x:c>
      <x:c r="I9" s="9" t="str">
        <x:v>Pistolet technique à point de visée distinct.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me2/weapons/phalanx ; rattacher les ressources et états cités à cet identifiant. Aucun fichier de jeu créé par ce catalogue.</x:v>
      </x:c>
      <x:c r="M9" s="9" t="str"/>
      <x:c r="N9" s="9" t="str">
        <x:v>Le livrable « M-5 Phalanx » possède une scène ou un scénario de contrôle ; ses règles proposées, ses conditions et ses retours visuels sont vérifiables séparément.</x:v>
      </x:c>
      <x:c r="O9" s="9" t="str"/>
      <x:c r="P9" s="9" t="str">
        <x:v>M-5 Phalanx</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ME2-WPN-SHURIKEN</x:v>
      </x:c>
      <x:c r="B10" s="7" t="str">
        <x:v>M-4 Shuriken</x:v>
      </x:c>
      <x:c r="C10" s="15" t="str">
        <x:v>Prototype</x:v>
      </x:c>
      <x:c r="D10" s="17" t="str">
        <x:v>Établi</x:v>
      </x:c>
      <x:c r="E10" s="17" t="str">
        <x:v>P1</x:v>
      </x:c>
      <x:c r="F10" s="7" t="str">
        <x:v>Pistolet mitrailleur de ME2.</x:v>
      </x:c>
      <x:c r="G10" s="7" t="str">
        <x:v>Rafale courte, bon maintien à portée moyenne ; efficacité réduite en tir précipité.</x:v>
      </x:c>
      <x:c r="H10" s="7" t="str">
        <x:v>Rafale courte, bon maintien à portée moyenne ; efficacité réduite en tir précipité.</x:v>
      </x:c>
      <x:c r="I10" s="7" t="str">
        <x:v>Châssis compact et canon court.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ME2-WPN-SHURIKEN ; contexte d’œuvre/segment et sélection de scène obligatoires.</x:v>
      </x:c>
      <x:c r="M10" s="7" t="str"/>
      <x:c r="N10" s="7" t="str">
        <x:v>Le livrable « M-4 Shuriken » possède une scène ou un scénario de contrôle ; ses règles proposées, ses conditions et ses retours visuels sont vérifiables séparément.</x:v>
      </x:c>
      <x:c r="O10" s="7" t="str"/>
      <x:c r="P10" s="7" t="str">
        <x:v>M-4 Shuriken</x:v>
      </x:c>
      <x:c r="Q10" s="7" t="str">
        <x:v>ME2-SRC-WEAPONS</x:v>
      </x:c>
      <x:c r="R10" s="7" t="str">
        <x:v>https://masseffect.fandom.com/wiki/Weapons</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ME2-WPN-TEMPEST</x:v>
      </x:c>
      <x:c r="B11" s="9" t="str">
        <x:v>M-9 Tempest</x:v>
      </x:c>
      <x:c r="C11" s="15" t="str">
        <x:v>Prototype</x:v>
      </x:c>
      <x:c r="D11" s="16" t="str">
        <x:v>Établi</x:v>
      </x:c>
      <x:c r="E11" s="16" t="str">
        <x:v>P1</x:v>
      </x:c>
      <x:c r="F11" s="9" t="str">
        <x:v>Arme récupérable sur Haestrom.</x:v>
      </x:c>
      <x:c r="G11" s="9" t="str">
        <x:v>Arrosage rapide qui consomme les clips ; suppression proposée contre cibles légères.</x:v>
      </x:c>
      <x:c r="H11" s="9" t="str">
        <x:v>Arrosage rapide qui consomme les clips ; suppression proposée contre cibles légères.</x:v>
      </x:c>
      <x:c r="I11" s="9" t="str">
        <x:v>Pistolet mitrailleur large et chargeur proéminent.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ME2-WPN-TEMPEST ; contexte d’œuvre/segment et sélection de scène obligatoires.</x:v>
      </x:c>
      <x:c r="M11" s="9" t="str"/>
      <x:c r="N11" s="9" t="str">
        <x:v>Le livrable « M-9 Tempest » possède une scène ou un scénario de contrôle ; ses règles proposées, ses conditions et ses retours visuels sont vérifiables séparément.</x:v>
      </x:c>
      <x:c r="O11" s="9" t="str"/>
      <x:c r="P11" s="9" t="str">
        <x:v>M-9 Tempest</x:v>
      </x:c>
      <x:c r="Q11" s="9" t="str">
        <x:v>ME2-SRC-TALI</x:v>
      </x:c>
      <x:c r="R11" s="9" t="str">
        <x:v>https://masseffect.fandom.com/wiki/Dossier%3A_Tali</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ME2-WPN-LOCUST</x:v>
      </x:c>
      <x:c r="B12" s="7" t="str">
        <x:v>M-12 Locust</x:v>
      </x:c>
      <x:c r="C12" s="15" t="str">
        <x:v>Défini</x:v>
      </x:c>
      <x:c r="D12" s="17" t="str">
        <x:v>Établi</x:v>
      </x:c>
      <x:c r="E12" s="17" t="str">
        <x:v>P1</x:v>
      </x:c>
      <x:c r="F12" s="7" t="str">
        <x:v>Arme de la mission Kasumi.</x:v>
      </x:c>
      <x:c r="G12" s="7" t="str">
        <x:v>Tir compact précis ; rôle de solution moyenne portée pour spécialistes de pouvoirs.</x:v>
      </x:c>
      <x:c r="H12" s="7" t="str">
        <x:v>Tir compact précis ; rôle de solution moyenne portée pour spécialistes de pouvoirs.</x:v>
      </x:c>
      <x:c r="I12" s="7" t="str">
        <x:v>Corps allongé noir et crosse courte.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me2/weapons/locust ; rattacher les ressources et états cités à cet identifiant. Aucun fichier de jeu créé par ce catalogue.</x:v>
      </x:c>
      <x:c r="M12" s="7" t="str"/>
      <x:c r="N12" s="7" t="str">
        <x:v>Le livrable « M-12 Locust » possède une scène ou un scénario de contrôle ; ses règles proposées, ses conditions et ses retours visuels sont vérifiables séparément.</x:v>
      </x:c>
      <x:c r="O12" s="7" t="str"/>
      <x:c r="P12" s="7" t="str">
        <x:v>M-12 Locust</x:v>
      </x:c>
      <x:c r="Q12" s="7" t="str">
        <x:v>ME2-SRC-LOCUST, ME2-SRC-KASUMI</x:v>
      </x:c>
      <x:c r="R12" s="7" t="str">
        <x:v>https://masseffect.fandom.com/wiki/M-12_Locust
https://masseffect.fandom.com/wiki/Kasumi%3A_Stealing_Memory</x:v>
      </x:c>
      <x:c r="S12" s="7" t="str">
        <x:v>Spécification à réaliser. Les champs adaptation, gameplay, visual, animation, audio et implementation décrivent le fan game ; ils ne donnent pas des caractéristiques officielles de l’œuvre.</x:v>
      </x:c>
    </x:row>
    <x:row r="13" ht="68" customHeight="1">
      <x:c r="A13" s="18" t="str">
        <x:v>ME2-WPN-AVENGER</x:v>
      </x:c>
      <x:c r="B13" s="9" t="str">
        <x:v>M-8 Avenger</x:v>
      </x:c>
      <x:c r="C13" s="15" t="str">
        <x:v>Prototype</x:v>
      </x:c>
      <x:c r="D13" s="16" t="str">
        <x:v>Établi</x:v>
      </x:c>
      <x:c r="E13" s="16" t="str">
        <x:v>P1</x:v>
      </x:c>
      <x:c r="F13" s="9" t="str">
        <x:v>Fusil d’assaut de ME2.</x:v>
      </x:c>
      <x:c r="G13" s="9" t="str">
        <x:v>Référence d’équilibrage : rafale, tir mobile et rechargement moyens, sans bonus de niche.</x:v>
      </x:c>
      <x:c r="H13" s="9" t="str">
        <x:v>Référence d’équilibrage : rafale, tir mobile et rechargement moyens, sans bonus de niche.</x:v>
      </x:c>
      <x:c r="I13" s="9" t="str">
        <x:v>Fusil N7 reconnaissable à profil central.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ME2-WPN-AVENGER ; contexte d’œuvre/segment et sélection de scène obligatoires.</x:v>
      </x:c>
      <x:c r="M13" s="9" t="str"/>
      <x:c r="N13" s="9" t="str">
        <x:v>Le livrable « M-8 Avenger » possède une scène ou un scénario de contrôle ; ses règles proposées, ses conditions et ses retours visuels sont vérifiables séparément.</x:v>
      </x:c>
      <x:c r="O13" s="9" t="str"/>
      <x:c r="P13" s="9" t="str">
        <x:v>M-8 Avenger</x:v>
      </x:c>
      <x:c r="Q13" s="9" t="str">
        <x:v>ME2-SRC-WEAPONS</x:v>
      </x:c>
      <x:c r="R13" s="9" t="str">
        <x:v>https://masseffect.fandom.com/wiki/Weapons</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ME2-WPN-VINDICATOR</x:v>
      </x:c>
      <x:c r="B14" s="7" t="str">
        <x:v>M-15 Vindicator</x:v>
      </x:c>
      <x:c r="C14" s="15" t="str">
        <x:v>Prototype</x:v>
      </x:c>
      <x:c r="D14" s="17" t="str">
        <x:v>Établi</x:v>
      </x:c>
      <x:c r="E14" s="17" t="str">
        <x:v>P1</x:v>
      </x:c>
      <x:c r="F14" s="7" t="str">
        <x:v>Fusil à rafales.</x:v>
      </x:c>
      <x:c r="G14" s="7" t="str">
        <x:v>Rafale concentrée après préparation courte ; perdre la cible disperse le bénéfice.</x:v>
      </x:c>
      <x:c r="H14" s="7" t="str">
        <x:v>Rafale concentrée après préparation courte ; perdre la cible disperse le bénéfice.</x:v>
      </x:c>
      <x:c r="I14" s="7" t="str">
        <x:v>Canon fin et viseur supérieur.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Chroniques : src/universe-equipment.js, src/chronicles.js, src/combat.js. Identifiant runtime ME2-WPN-VINDICATOR ; contexte d’œuvre/segment et sélection de scène obligatoires.</x:v>
      </x:c>
      <x:c r="M14" s="7" t="str"/>
      <x:c r="N14" s="7" t="str">
        <x:v>Le livrable « M-15 Vindicator » possède une scène ou un scénario de contrôle ; ses règles proposées, ses conditions et ses retours visuels sont vérifiables séparément.</x:v>
      </x:c>
      <x:c r="O14" s="7" t="str"/>
      <x:c r="P14" s="7" t="str">
        <x:v>M-15 Vindicator</x:v>
      </x:c>
      <x:c r="Q14" s="7" t="str">
        <x:v>ME2-SRC-VINDICATOR</x:v>
      </x:c>
      <x:c r="R14" s="7" t="str">
        <x:v>https://masseffect.fandom.com/wiki/M-15_Vindicator</x:v>
      </x:c>
      <x:c r="S1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5" ht="68" customHeight="1">
      <x:c r="A15" s="18" t="str">
        <x:v>ME2-WPN-REVENANT</x:v>
      </x:c>
      <x:c r="B15" s="9" t="str">
        <x:v>M-76 Revenant</x:v>
      </x:c>
      <x:c r="C15" s="15" t="str">
        <x:v>Défini</x:v>
      </x:c>
      <x:c r="D15" s="16" t="str">
        <x:v>Établi</x:v>
      </x:c>
      <x:c r="E15" s="16" t="str">
        <x:v>P1</x:v>
      </x:c>
      <x:c r="F15" s="9" t="str">
        <x:v>Arme du groupe des fusils d’assaut.</x:v>
      </x:c>
      <x:c r="G15" s="9" t="str">
        <x:v>Suppression prolongée avec coût de mobilité ; la chauffe visuelle anticipe le changement de clip.</x:v>
      </x:c>
      <x:c r="H15" s="9" t="str">
        <x:v>Suppression prolongée avec coût de mobilité ; la chauffe visuelle anticipe le changement de clip.</x:v>
      </x:c>
      <x:c r="I15" s="9" t="str">
        <x:v>Fusil lourd et large caisson.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me2/weapons/revenant ; rattacher les ressources et états cités à cet identifiant. Aucun fichier de jeu créé par ce catalogue.</x:v>
      </x:c>
      <x:c r="M15" s="9" t="str"/>
      <x:c r="N15" s="9" t="str">
        <x:v>Le livrable « M-76 Revenant » possède une scène ou un scénario de contrôle ; ses règles proposées, ses conditions et ses retours visuels sont vérifiables séparément.</x:v>
      </x:c>
      <x:c r="O15" s="9" t="str"/>
      <x:c r="P15" s="9" t="str">
        <x:v>M-76 Revenant</x:v>
      </x:c>
      <x:c r="Q15" s="9" t="str">
        <x:v>ME2-SRC-WEAPONS</x:v>
      </x:c>
      <x:c r="R15" s="9" t="str">
        <x:v>https://masseffect.fandom.com/wiki/Weapons</x:v>
      </x:c>
      <x:c r="S15" s="9" t="str">
        <x:v>Spécification à réaliser. Les champs adaptation, gameplay, visual, animation, audio et implementation décrivent le fan game ; ils ne donnent pas des caractéristiques officielles de l’œuvre.</x:v>
      </x:c>
    </x:row>
    <x:row r="16" ht="68" customHeight="1">
      <x:c r="A16" s="19" t="str">
        <x:v>ME2-WPN-MATTOCK</x:v>
      </x:c>
      <x:c r="B16" s="7" t="str">
        <x:v>M-96 Mattock</x:v>
      </x:c>
      <x:c r="C16" s="15" t="str">
        <x:v>Défini</x:v>
      </x:c>
      <x:c r="D16" s="17" t="str">
        <x:v>Établi</x:v>
      </x:c>
      <x:c r="E16" s="17" t="str">
        <x:v>P1</x:v>
      </x:c>
      <x:c r="F16" s="7" t="str">
        <x:v>Fusil de contenu additionnel.</x:v>
      </x:c>
      <x:c r="G16" s="7" t="str">
        <x:v>Tirs semi-automatiques à budget ATB ajustable ; récompense les fenêtres sur point faible.</x:v>
      </x:c>
      <x:c r="H16" s="7" t="str">
        <x:v>Tirs semi-automatiques à budget ATB ajustable ; récompense les fenêtres sur point faible.</x:v>
      </x:c>
      <x:c r="I16" s="7" t="str">
        <x:v>Long fût et silhouette de fusil de précision intermédiaire.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me2/weapons/mattock ; rattacher les ressources et états cités à cet identifiant. Aucun fichier de jeu créé par ce catalogue.</x:v>
      </x:c>
      <x:c r="M16" s="7" t="str"/>
      <x:c r="N16" s="7" t="str">
        <x:v>Le livrable « M-96 Mattock » possède une scène ou un scénario de contrôle ; ses règles proposées, ses conditions et ses retours visuels sont vérifiables séparément.</x:v>
      </x:c>
      <x:c r="O16" s="7" t="str"/>
      <x:c r="P16" s="7" t="str">
        <x:v>M-96 Mattock</x:v>
      </x:c>
      <x:c r="Q16" s="7" t="str">
        <x:v>ME2-SRC-EA-DLC</x:v>
      </x:c>
      <x:c r="R16" s="7" t="str">
        <x:v>https://help.ea.com/en//articles/orders-and-rewards/dlc-for-classic-games/</x:v>
      </x:c>
      <x:c r="S16" s="7" t="str">
        <x:v>Spécification à réaliser. Les champs adaptation, gameplay, visual, animation, audio et implementation décrivent le fan game ; ils ne donnent pas des caractéristiques officielles de l’œuvre.</x:v>
      </x:c>
    </x:row>
    <x:row r="17" ht="68" customHeight="1">
      <x:c r="A17" s="18" t="str">
        <x:v>ME2-WPN-GETH-RIFLE</x:v>
      </x:c>
      <x:c r="B17" s="9" t="str">
        <x:v>Geth Pulse Rifle</x:v>
      </x:c>
      <x:c r="C17" s="15" t="str">
        <x:v>Défini</x:v>
      </x:c>
      <x:c r="D17" s="16" t="str">
        <x:v>Établi</x:v>
      </x:c>
      <x:c r="E17" s="16" t="str">
        <x:v>P1</x:v>
      </x:c>
      <x:c r="F17" s="9" t="str">
        <x:v>Fusil geth trouvable à Haestrom.</x:v>
      </x:c>
      <x:c r="G17" s="9" t="str">
        <x:v>Flux de projectiles lumineux, avantage proposé sur boucliers ; trajectoires lisibles en 2D.</x:v>
      </x:c>
      <x:c r="H17" s="9" t="str">
        <x:v>Flux de projectiles lumineux, avantage proposé sur boucliers ; trajectoires lisibles en 2D.</x:v>
      </x:c>
      <x:c r="I17" s="9" t="str">
        <x:v>Arme organomécanique et tubes bleutés.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me2/weapons/geth-rifle ; rattacher les ressources et états cités à cet identifiant. Aucun fichier de jeu créé par ce catalogue.</x:v>
      </x:c>
      <x:c r="M17" s="9" t="str">
        <x:v>Condition d’obtention varie selon édition/difficulté à vérifier.</x:v>
      </x:c>
      <x:c r="N17" s="9" t="str">
        <x:v>Le livrable « Geth Pulse Rifle » possède une scène ou un scénario de contrôle ; ses règles proposées, ses conditions et ses retours visuels sont vérifiables séparément.</x:v>
      </x:c>
      <x:c r="O17" s="9" t="str"/>
      <x:c r="P17" s="9" t="str">
        <x:v>Geth Pulse Rifle</x:v>
      </x:c>
      <x:c r="Q17" s="9" t="str">
        <x:v>ME2-SRC-TALI</x:v>
      </x:c>
      <x:c r="R17" s="9" t="str">
        <x:v>https://masseffect.fandom.com/wiki/Dossier%3A_Tali</x:v>
      </x:c>
      <x:c r="S17" s="9" t="str">
        <x:v>Spécification à réaliser. Les champs adaptation, gameplay, visual, animation, audio et implementation décrivent le fan game ; ils ne donnent pas des caractéristiques officielles de l’œuvre.</x:v>
      </x:c>
    </x:row>
    <x:row r="18" ht="68" customHeight="1">
      <x:c r="A18" s="19" t="str">
        <x:v>ME2-WPN-COLLECTOR-RIFLE</x:v>
      </x:c>
      <x:c r="B18" s="7" t="str">
        <x:v>Collector Assault Rifle</x:v>
      </x:c>
      <x:c r="C18" s="15" t="str">
        <x:v>Défini</x:v>
      </x:c>
      <x:c r="D18" s="17" t="str">
        <x:v>Établi</x:v>
      </x:c>
      <x:c r="E18" s="17" t="str">
        <x:v>P1</x:v>
      </x:c>
      <x:c r="F18" s="7" t="str">
        <x:v>Fusil associé aux Collecteurs.</x:v>
      </x:c>
      <x:c r="G18" s="7" t="str">
        <x:v>Rafale organique stable ; conserver une identité sonore propre sans réutiliser celle des armes humaines.</x:v>
      </x:c>
      <x:c r="H18" s="7" t="str">
        <x:v>Rafale organique stable ; conserver une identité sonore propre sans réutiliser celle des armes humaines.</x:v>
      </x:c>
      <x:c r="I18" s="7" t="str">
        <x:v>Chitine et géométrie courbe.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me2/weapons/collector-rifle ; rattacher les ressources et états cités à cet identifiant. Aucun fichier de jeu créé par ce catalogue.</x:v>
      </x:c>
      <x:c r="M18" s="7" t="str"/>
      <x:c r="N18" s="7" t="str">
        <x:v>Le livrable « Collector Assault Rifle » possède une scène ou un scénario de contrôle ; ses règles proposées, ses conditions et ses retours visuels sont vérifiables séparément.</x:v>
      </x:c>
      <x:c r="O18" s="7" t="str"/>
      <x:c r="P18" s="7" t="str">
        <x:v>Collector Assault Rifle</x:v>
      </x:c>
      <x:c r="Q18" s="7" t="str">
        <x:v>ME2-SRC-WEAPONS</x:v>
      </x:c>
      <x:c r="R18" s="7" t="str">
        <x:v>https://masseffect.fandom.com/wiki/Weapons</x:v>
      </x:c>
      <x:c r="S18" s="7" t="str">
        <x:v>Spécification à réaliser. Les champs adaptation, gameplay, visual, animation, audio et implementation décrivent le fan game ; ils ne donnent pas des caractéristiques officielles de l’œuvre.</x:v>
      </x:c>
    </x:row>
    <x:row r="19" ht="68" customHeight="1">
      <x:c r="A19" s="18" t="str">
        <x:v>ME2-WPN-KATANA</x:v>
      </x:c>
      <x:c r="B19" s="9" t="str">
        <x:v>M-23 Katana</x:v>
      </x:c>
      <x:c r="C19" s="15" t="str">
        <x:v>Prototype</x:v>
      </x:c>
      <x:c r="D19" s="16" t="str">
        <x:v>Établi</x:v>
      </x:c>
      <x:c r="E19" s="16" t="str">
        <x:v>P1</x:v>
      </x:c>
      <x:c r="F19" s="9" t="str">
        <x:v>Fusil à pompe de ME2.</x:v>
      </x:c>
      <x:c r="G19" s="9" t="str">
        <x:v>Cône court, recul net et arrêt proposé des ennemis légers.</x:v>
      </x:c>
      <x:c r="H19" s="9" t="str">
        <x:v>Cône court, recul net et arrêt proposé des ennemis légers.</x:v>
      </x:c>
      <x:c r="I19" s="9" t="str">
        <x:v>Pompe compacte et canon large.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Chroniques : src/universe-equipment.js, src/chronicles.js, src/combat.js. Identifiant runtime ME2-WPN-KATANA ; contexte d’œuvre/segment et sélection de scène obligatoires.</x:v>
      </x:c>
      <x:c r="M19" s="9" t="str"/>
      <x:c r="N19" s="9" t="str">
        <x:v>Le livrable « M-23 Katana » possède une scène ou un scénario de contrôle ; ses règles proposées, ses conditions et ses retours visuels sont vérifiables séparément.</x:v>
      </x:c>
      <x:c r="O19" s="9" t="str"/>
      <x:c r="P19" s="9" t="str">
        <x:v>M-23 Katana</x:v>
      </x:c>
      <x:c r="Q19" s="9" t="str">
        <x:v>ME2-SRC-WEAPONS</x:v>
      </x:c>
      <x:c r="R19" s="9" t="str">
        <x:v>https://masseffect.fandom.com/wiki/Weapons</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ME2-WPN-SCIMITAR</x:v>
      </x:c>
      <x:c r="B20" s="7" t="str">
        <x:v>M-27 Scimitar</x:v>
      </x:c>
      <x:c r="C20" s="15" t="str">
        <x:v>Prototype</x:v>
      </x:c>
      <x:c r="D20" s="17" t="str">
        <x:v>Établi</x:v>
      </x:c>
      <x:c r="E20" s="17" t="str">
        <x:v>P1</x:v>
      </x:c>
      <x:c r="F20" s="7" t="str">
        <x:v>Fusil à pompe de ME2.</x:v>
      </x:c>
      <x:c r="G20" s="7" t="str">
        <x:v>Deux tirs rapprochés contre une longue récupération ; ne pas égaler le Claymore en impact.</x:v>
      </x:c>
      <x:c r="H20" s="7" t="str">
        <x:v>Deux tirs rapprochés contre une longue récupération ; ne pas égaler le Claymore en impact.</x:v>
      </x:c>
      <x:c r="I20" s="7" t="str">
        <x:v>Silhouette plus longue et mécanisme de pompe.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Chroniques : src/universe-equipment.js, src/chronicles.js, src/combat.js. Identifiant runtime ME2-WPN-SCIMITAR ; contexte d’œuvre/segment et sélection de scène obligatoires.</x:v>
      </x:c>
      <x:c r="M20" s="7" t="str"/>
      <x:c r="N20" s="7" t="str">
        <x:v>Le livrable « M-27 Scimitar » possède une scène ou un scénario de contrôle ; ses règles proposées, ses conditions et ses retours visuels sont vérifiables séparément.</x:v>
      </x:c>
      <x:c r="O20" s="7" t="str"/>
      <x:c r="P20" s="7" t="str">
        <x:v>M-27 Scimitar</x:v>
      </x:c>
      <x:c r="Q20" s="7" t="str">
        <x:v>ME2-SRC-WEAPONS</x:v>
      </x:c>
      <x:c r="R20" s="7" t="str">
        <x:v>https://masseffect.fandom.com/wiki/Weapons</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ME2-WPN-CLAYMORE</x:v>
      </x:c>
      <x:c r="B21" s="9" t="str">
        <x:v>M-300 Claymore</x:v>
      </x:c>
      <x:c r="C21" s="15" t="str">
        <x:v>Défini</x:v>
      </x:c>
      <x:c r="D21" s="16" t="str">
        <x:v>Établi</x:v>
      </x:c>
      <x:c r="E21" s="16" t="str">
        <x:v>P1</x:v>
      </x:c>
      <x:c r="F21" s="9" t="str">
        <x:v>Arme krogan du jeu.</x:v>
      </x:c>
      <x:c r="G21" s="9" t="str">
        <x:v>Une décharge très engagée suivie d’une recharge vulnérable ; prévoir protection alliée.</x:v>
      </x:c>
      <x:c r="H21" s="9" t="str">
        <x:v>Une décharge très engagée suivie d’une recharge vulnérable ; prévoir protection alliée.</x:v>
      </x:c>
      <x:c r="I21" s="9" t="str">
        <x:v>Canon très large et corps massif.</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me2/weapons/claymore ; rattacher les ressources et états cités à cet identifiant. Aucun fichier de jeu créé par ce catalogue.</x:v>
      </x:c>
      <x:c r="M21" s="9" t="str">
        <x:v>Accès Shepard/Grunt conditionné par règles de classe et recherche.</x:v>
      </x:c>
      <x:c r="N21" s="9" t="str">
        <x:v>Le livrable « M-300 Claymore » possède une scène ou un scénario de contrôle ; ses règles proposées, ses conditions et ses retours visuels sont vérifiables séparément.</x:v>
      </x:c>
      <x:c r="O21" s="9" t="str"/>
      <x:c r="P21" s="9" t="str">
        <x:v>M-300 Claymore</x:v>
      </x:c>
      <x:c r="Q21" s="9" t="str">
        <x:v>ME2-SRC-SQUAD</x:v>
      </x:c>
      <x:c r="R21" s="9" t="str">
        <x:v>https://masseffect.fandom.com/wiki/Squad_Members_Guide_%28Mass_Effect_2%29</x:v>
      </x:c>
      <x:c r="S21" s="9" t="str">
        <x:v>Spécification à réaliser. Les champs adaptation, gameplay, visual, animation, audio et implementation décrivent le fan game ; ils ne donnent pas des caractéristiques officielles de l’œuvre.</x:v>
      </x:c>
    </x:row>
    <x:row r="22" ht="68" customHeight="1">
      <x:c r="A22" s="19" t="str">
        <x:v>ME2-WPN-EVISCERATOR</x:v>
      </x:c>
      <x:c r="B22" s="7" t="str">
        <x:v>M-22 Eviscerator</x:v>
      </x:c>
      <x:c r="C22" s="15" t="str">
        <x:v>Défini</x:v>
      </x:c>
      <x:c r="D22" s="17" t="str">
        <x:v>Établi</x:v>
      </x:c>
      <x:c r="E22" s="17" t="str">
        <x:v>P1</x:v>
      </x:c>
      <x:c r="F22" s="7" t="str">
        <x:v>Fusil de contenu additionnel.</x:v>
      </x:c>
      <x:c r="G22" s="7" t="str">
        <x:v>Fusil de flanc à portée utile intermédiaire ; avantage si cible sortie d’abri.</x:v>
      </x:c>
      <x:c r="H22" s="7" t="str">
        <x:v>Fusil de flanc à portée utile intermédiaire ; avantage si cible sortie d’abri.</x:v>
      </x:c>
      <x:c r="I22" s="7" t="str">
        <x:v>Canon court, mécanisme lourd.</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me2/weapons/eviscerator ; rattacher les ressources et états cités à cet identifiant. Aucun fichier de jeu créé par ce catalogue.</x:v>
      </x:c>
      <x:c r="M22" s="7" t="str"/>
      <x:c r="N22" s="7" t="str">
        <x:v>Le livrable « M-22 Eviscerator » possède une scène ou un scénario de contrôle ; ses règles proposées, ses conditions et ses retours visuels sont vérifiables séparément.</x:v>
      </x:c>
      <x:c r="O22" s="7" t="str"/>
      <x:c r="P22" s="7" t="str">
        <x:v>M-22 Eviscerator</x:v>
      </x:c>
      <x:c r="Q22" s="7" t="str">
        <x:v>ME2-SRC-EA-DLC</x:v>
      </x:c>
      <x:c r="R22" s="7" t="str">
        <x:v>https://help.ea.com/en//articles/orders-and-rewards/dlc-for-classic-games/</x:v>
      </x:c>
      <x:c r="S22" s="7" t="str">
        <x:v>Spécification à réaliser. Les champs adaptation, gameplay, visual, animation, audio et implementation décrivent le fan game ; ils ne donnent pas des caractéristiques officielles de l’œuvre.</x:v>
      </x:c>
    </x:row>
    <x:row r="23" ht="68" customHeight="1">
      <x:c r="A23" s="18" t="str">
        <x:v>ME2-WPN-GETH-SHOTGUN</x:v>
      </x:c>
      <x:c r="B23" s="9" t="str">
        <x:v>Geth Plasma Shotgun</x:v>
      </x:c>
      <x:c r="C23" s="15" t="str">
        <x:v>Défini</x:v>
      </x:c>
      <x:c r="D23" s="16" t="str">
        <x:v>Établi</x:v>
      </x:c>
      <x:c r="E23" s="16" t="str">
        <x:v>P1</x:v>
      </x:c>
      <x:c r="F23" s="9" t="str">
        <x:v>Fusil plasma geth.</x:v>
      </x:c>
      <x:c r="G23" s="9" t="str">
        <x:v>Choisir tir immédiat ou charge affichée ; une interruption perd seulement la charge engagée proposée.</x:v>
      </x:c>
      <x:c r="H23" s="9" t="str">
        <x:v>Choisir tir immédiat ou charge affichée ; une interruption perd seulement la charge engagée proposée.</x:v>
      </x:c>
      <x:c r="I23" s="9" t="str">
        <x:v>Trois ouvertures lumineuses et matériau geth.</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me2/weapons/geth-shotgun ; rattacher les ressources et états cités à cet identifiant. Aucun fichier de jeu créé par ce catalogue.</x:v>
      </x:c>
      <x:c r="M23" s="9" t="str"/>
      <x:c r="N23" s="9" t="str">
        <x:v>Le livrable « Geth Plasma Shotgun » possède une scène ou un scénario de contrôle ; ses règles proposées, ses conditions et ses retours visuels sont vérifiables séparément.</x:v>
      </x:c>
      <x:c r="O23" s="9" t="str"/>
      <x:c r="P23" s="9" t="str">
        <x:v>Geth Plasma Shotgun</x:v>
      </x:c>
      <x:c r="Q23" s="9" t="str">
        <x:v>ME2-SRC-GETH-SG</x:v>
      </x:c>
      <x:c r="R23" s="9" t="str">
        <x:v>https://masseffect.fandom.com/wiki/Geth_Plasma_Shotgun</x:v>
      </x:c>
      <x:c r="S23" s="9" t="str">
        <x:v>Spécification à réaliser. Les champs adaptation, gameplay, visual, animation, audio et implementation décrivent le fan game ; ils ne donnent pas des caractéristiques officielles de l’œuvre.</x:v>
      </x:c>
    </x:row>
    <x:row r="24" ht="68" customHeight="1">
      <x:c r="A24" s="19" t="str">
        <x:v>ME2-WPN-MANTIS</x:v>
      </x:c>
      <x:c r="B24" s="7" t="str">
        <x:v>M-92 Mantis</x:v>
      </x:c>
      <x:c r="C24" s="15" t="str">
        <x:v>Prototype</x:v>
      </x:c>
      <x:c r="D24" s="17" t="str">
        <x:v>Établi</x:v>
      </x:c>
      <x:c r="E24" s="17" t="str">
        <x:v>P1</x:v>
      </x:c>
      <x:c r="F24" s="7" t="str">
        <x:v>Fusil de précision de ME2.</x:v>
      </x:c>
      <x:c r="G24" s="7" t="str">
        <x:v>Tir unique, cycle long ; ligne de vue à conserver jusqu’à résolution.</x:v>
      </x:c>
      <x:c r="H24" s="7" t="str">
        <x:v>Tir unique, cycle long ; ligne de vue à conserver jusqu’à résolution.</x:v>
      </x:c>
      <x:c r="I24" s="7" t="str">
        <x:v>Long canon et grande lunette.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ME2-WPN-MANTIS ; contexte d’œuvre/segment et sélection de scène obligatoires.</x:v>
      </x:c>
      <x:c r="M24" s="7" t="str"/>
      <x:c r="N24" s="7" t="str">
        <x:v>Le livrable « M-92 Mantis » possède une scène ou un scénario de contrôle ; ses règles proposées, ses conditions et ses retours visuels sont vérifiables séparément.</x:v>
      </x:c>
      <x:c r="O24" s="7" t="str"/>
      <x:c r="P24" s="7" t="str">
        <x:v>M-92 Mantis</x:v>
      </x:c>
      <x:c r="Q24" s="7" t="str">
        <x:v>ME2-SRC-WEAPONS</x:v>
      </x:c>
      <x:c r="R24" s="7" t="str">
        <x:v>https://masseffect.fandom.com/wiki/Weapons</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ME2-WPN-VIPER</x:v>
      </x:c>
      <x:c r="B25" s="9" t="str">
        <x:v>M-97 Viper</x:v>
      </x:c>
      <x:c r="C25" s="15" t="str">
        <x:v>Prototype</x:v>
      </x:c>
      <x:c r="D25" s="16" t="str">
        <x:v>Établi</x:v>
      </x:c>
      <x:c r="E25" s="16" t="str">
        <x:v>P1</x:v>
      </x:c>
      <x:c r="F25" s="9" t="str">
        <x:v>Fusil de précision de ME2.</x:v>
      </x:c>
      <x:c r="G25" s="9" t="str">
        <x:v>Précision soutenue par plusieurs tirs, impact unitaire inférieur proposé.</x:v>
      </x:c>
      <x:c r="H25" s="9" t="str">
        <x:v>Précision soutenue par plusieurs tirs, impact unitaire inférieur proposé.</x:v>
      </x:c>
      <x:c r="I25" s="9" t="str">
        <x:v>Fusil long au chargeur distinct.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ME2-WPN-VIPER ; contexte d’œuvre/segment et sélection de scène obligatoires.</x:v>
      </x:c>
      <x:c r="M25" s="9" t="str"/>
      <x:c r="N25" s="9" t="str">
        <x:v>Le livrable « M-97 Viper » possède une scène ou un scénario de contrôle ; ses règles proposées, ses conditions et ses retours visuels sont vérifiables séparément.</x:v>
      </x:c>
      <x:c r="O25" s="9" t="str"/>
      <x:c r="P25" s="9" t="str">
        <x:v>M-97 Viper</x:v>
      </x:c>
      <x:c r="Q25" s="9" t="str">
        <x:v>ME2-SRC-WEAPONS</x:v>
      </x:c>
      <x:c r="R25" s="9" t="str">
        <x:v>https://masseffect.fandom.com/wiki/Weapons</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ME2-WPN-WIDOW</x:v>
      </x:c>
      <x:c r="B26" s="7" t="str">
        <x:v>M-98 Widow</x:v>
      </x:c>
      <x:c r="C26" s="15" t="str">
        <x:v>Défini</x:v>
      </x:c>
      <x:c r="D26" s="17" t="str">
        <x:v>Établi</x:v>
      </x:c>
      <x:c r="E26" s="17" t="str">
        <x:v>P1</x:v>
      </x:c>
      <x:c r="F26" s="7" t="str">
        <x:v>Fusil de précision lourd.</x:v>
      </x:c>
      <x:c r="G26" s="7" t="str">
        <x:v>Très longue préparation contre armure ; avertir du coût de déplacement et de recharge.</x:v>
      </x:c>
      <x:c r="H26" s="7" t="str">
        <x:v>Très longue préparation contre armure ; avertir du coût de déplacement et de recharge.</x:v>
      </x:c>
      <x:c r="I26" s="7" t="str">
        <x:v>Canon imposant et masse visible dans les bras.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me2/weapons/widow ; rattacher les ressources et états cités à cet identifiant. Aucun fichier de jeu créé par ce catalogue.</x:v>
      </x:c>
      <x:c r="M26" s="7" t="str">
        <x:v>Accès soumis à choix/recherche appropriés.</x:v>
      </x:c>
      <x:c r="N26" s="7" t="str">
        <x:v>Le livrable « M-98 Widow » possède une scène ou un scénario de contrôle ; ses règles proposées, ses conditions et ses retours visuels sont vérifiables séparément.</x:v>
      </x:c>
      <x:c r="O26" s="7" t="str"/>
      <x:c r="P26" s="7" t="str">
        <x:v>M-98 Widow</x:v>
      </x:c>
      <x:c r="Q26" s="7" t="str">
        <x:v>ME2-SRC-SQUAD</x:v>
      </x:c>
      <x:c r="R26" s="7" t="str">
        <x:v>https://masseffect.fandom.com/wiki/Squad_Members_Guide_%28Mass_Effect_2%29</x:v>
      </x:c>
      <x:c r="S26" s="7" t="str">
        <x:v>Spécification à réaliser. Les champs adaptation, gameplay, visual, animation, audio et implementation décrivent le fan game ; ils ne donnent pas des caractéristiques officielles de l’œuvre.</x:v>
      </x:c>
    </x:row>
    <x:row r="27" ht="68" customHeight="1">
      <x:c r="A27" s="18" t="str">
        <x:v>ME2-WPN-INCISOR</x:v>
      </x:c>
      <x:c r="B27" s="9" t="str">
        <x:v>M-29 Incisor</x:v>
      </x:c>
      <x:c r="C27" s="15" t="str">
        <x:v>Défini</x:v>
      </x:c>
      <x:c r="D27" s="16" t="str">
        <x:v>Établi</x:v>
      </x:c>
      <x:c r="E27" s="16" t="str">
        <x:v>P1</x:v>
      </x:c>
      <x:c r="F27" s="9" t="str">
        <x:v>Fusil de précision additionnel.</x:v>
      </x:c>
      <x:c r="G27" s="9" t="str">
        <x:v>Rafale de précision : trois impacts proposés distribués si la cible change d’abri.</x:v>
      </x:c>
      <x:c r="H27" s="9" t="str">
        <x:v>Rafale de précision : trois impacts proposés distribués si la cible change d’abri.</x:v>
      </x:c>
      <x:c r="I27" s="9" t="str">
        <x:v>Arme longue à double volume.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me2/weapons/incisor ; rattacher les ressources et états cités à cet identifiant. Aucun fichier de jeu créé par ce catalogue.</x:v>
      </x:c>
      <x:c r="M27" s="9" t="str"/>
      <x:c r="N27" s="9" t="str">
        <x:v>Le livrable « M-29 Incisor » possède une scène ou un scénario de contrôle ; ses règles proposées, ses conditions et ses retours visuels sont vérifiables séparément.</x:v>
      </x:c>
      <x:c r="O27" s="9" t="str"/>
      <x:c r="P27" s="9" t="str">
        <x:v>M-29 Incisor</x:v>
      </x:c>
      <x:c r="Q27" s="9" t="str">
        <x:v>ME2-SRC-EA-DLC</x:v>
      </x:c>
      <x:c r="R27" s="9" t="str">
        <x:v>https://help.ea.com/en//articles/orders-and-rewards/dlc-for-classic-games/</x:v>
      </x:c>
      <x:c r="S27" s="9" t="str">
        <x:v>Spécification à réaliser. Les champs adaptation, gameplay, visual, animation, audio et implementation décrivent le fan game ; ils ne donnent pas des caractéristiques officielles de l’œuvre.</x:v>
      </x:c>
    </x:row>
    <x:row r="28" ht="68" customHeight="1">
      <x:c r="A28" s="19" t="str">
        <x:v>ME2-WPN-GRENADE</x:v>
      </x:c>
      <x:c r="B28" s="7" t="str">
        <x:v>M-100 Grenade Launcher</x:v>
      </x:c>
      <x:c r="C28" s="15" t="str">
        <x:v>Défini</x:v>
      </x:c>
      <x:c r="D28" s="17" t="str">
        <x:v>Établi</x:v>
      </x:c>
      <x:c r="E28" s="17" t="str">
        <x:v>P1</x:v>
      </x:c>
      <x:c r="F28" s="7" t="str">
        <x:v>Arme lourde de ME2.</x:v>
      </x:c>
      <x:c r="G28" s="7" t="str">
        <x:v>Arc d’explosion prévisualisé, cellules séparées ; collision de décor vérifiée avant confirmation.</x:v>
      </x:c>
      <x:c r="H28" s="7" t="str">
        <x:v>Arc d’explosion prévisualisé, cellules séparées ; collision de décor vérifiée avant confirmation.</x:v>
      </x:c>
      <x:c r="I28" s="7" t="str">
        <x:v>Tube court et magasin de grenades.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me2/weapons/grenade ; rattacher les ressources et états cités à cet identifiant. Aucun fichier de jeu créé par ce catalogue.</x:v>
      </x:c>
      <x:c r="M28" s="7" t="str"/>
      <x:c r="N28" s="7" t="str">
        <x:v>Le livrable « M-100 Grenade Launcher » possède une scène ou un scénario de contrôle ; ses règles proposées, ses conditions et ses retours visuels sont vérifiables séparément.</x:v>
      </x:c>
      <x:c r="O28" s="7" t="str"/>
      <x:c r="P28" s="7" t="str">
        <x:v>M-100 Grenade Launcher</x:v>
      </x:c>
      <x:c r="Q28" s="7" t="str">
        <x:v>ME2-SRC-HEAVY</x:v>
      </x:c>
      <x:c r="R28" s="7" t="str">
        <x:v>https://masseffect.fandom.com/wiki/Heavy_Weapons</x:v>
      </x:c>
      <x:c r="S28" s="7" t="str">
        <x:v>Spécification à réaliser. Les champs adaptation, gameplay, visual, animation, audio et implementation décrivent le fan game ; ils ne donnent pas des caractéristiques officielles de l’œuvre.</x:v>
      </x:c>
    </x:row>
    <x:row r="29" ht="68" customHeight="1">
      <x:c r="A29" s="18" t="str">
        <x:v>ME2-WPN-MISSILE</x:v>
      </x:c>
      <x:c r="B29" s="9" t="str">
        <x:v>ML-77 Missile Launcher</x:v>
      </x:c>
      <x:c r="C29" s="15" t="str">
        <x:v>Défini</x:v>
      </x:c>
      <x:c r="D29" s="16" t="str">
        <x:v>Établi</x:v>
      </x:c>
      <x:c r="E29" s="16" t="str">
        <x:v>P1</x:v>
      </x:c>
      <x:c r="F29" s="9" t="str">
        <x:v>Arme lourde de recherche.</x:v>
      </x:c>
      <x:c r="G29" s="9" t="str">
        <x:v>Verrou de cible plus long que grenade ; cible perdue entraîne une annulation lisible.</x:v>
      </x:c>
      <x:c r="H29" s="9" t="str">
        <x:v>Verrou de cible plus long que grenade ; cible perdue entraîne une annulation lisible.</x:v>
      </x:c>
      <x:c r="I29" s="9" t="str">
        <x:v>Lanceur à optique et tête explosive.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me2/weapons/missile ; rattacher les ressources et états cités à cet identifiant. Aucun fichier de jeu créé par ce catalogue.</x:v>
      </x:c>
      <x:c r="M29" s="9" t="str"/>
      <x:c r="N29" s="9" t="str">
        <x:v>Le livrable « ML-77 Missile Launcher » possède une scène ou un scénario de contrôle ; ses règles proposées, ses conditions et ses retours visuels sont vérifiables séparément.</x:v>
      </x:c>
      <x:c r="O29" s="9" t="str"/>
      <x:c r="P29" s="9" t="str">
        <x:v>ML-77 Missile Launcher</x:v>
      </x:c>
      <x:c r="Q29" s="9" t="str">
        <x:v>ME2-SRC-HEAVY</x:v>
      </x:c>
      <x:c r="R29" s="9" t="str">
        <x:v>https://masseffect.fandom.com/wiki/Heavy_Weapons</x:v>
      </x:c>
      <x:c r="S29" s="9" t="str">
        <x:v>Spécification à réaliser. Les champs adaptation, gameplay, visual, animation, audio et implementation décrivent le fan game ; ils ne donnent pas des caractéristiques officielles de l’œuvre.</x:v>
      </x:c>
    </x:row>
    <x:row r="30" ht="68" customHeight="1">
      <x:c r="A30" s="19" t="str">
        <x:v>ME2-WPN-AVALANCHE</x:v>
      </x:c>
      <x:c r="B30" s="7" t="str">
        <x:v>M-622 Avalanche</x:v>
      </x:c>
      <x:c r="C30" s="15" t="str">
        <x:v>Défini</x:v>
      </x:c>
      <x:c r="D30" s="17" t="str">
        <x:v>Établi</x:v>
      </x:c>
      <x:c r="E30" s="17" t="str">
        <x:v>P1</x:v>
      </x:c>
      <x:c r="F30" s="7" t="str">
        <x:v>Arme lourde cryogénique.</x:v>
      </x:c>
      <x:c r="G30" s="7" t="str">
        <x:v>Zone de gel puis fragilisation ; les bosses résistent à l’immobilisation complète mais restent affectés par une fenêtre proposée.</x:v>
      </x:c>
      <x:c r="H30" s="7" t="str">
        <x:v>Zone de gel puis fragilisation ; les bosses résistent à l’immobilisation complète mais restent affectés par une fenêtre proposée.</x:v>
      </x:c>
      <x:c r="I30" s="7" t="str">
        <x:v>Grand réservoir et jet blanc-bleu.</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me2/weapons/avalanche ; rattacher les ressources et états cités à cet identifiant. Aucun fichier de jeu créé par ce catalogue.</x:v>
      </x:c>
      <x:c r="M30" s="7" t="str"/>
      <x:c r="N30" s="7" t="str">
        <x:v>Le livrable « M-622 Avalanche » possède une scène ou un scénario de contrôle ; ses règles proposées, ses conditions et ses retours visuels sont vérifiables séparément.</x:v>
      </x:c>
      <x:c r="O30" s="7" t="str"/>
      <x:c r="P30" s="7" t="str">
        <x:v>M-622 Avalanche</x:v>
      </x:c>
      <x:c r="Q30" s="7" t="str">
        <x:v>ME2-SRC-HEAVY</x:v>
      </x:c>
      <x:c r="R30" s="7" t="str">
        <x:v>https://masseffect.fandom.com/wiki/Heavy_Weapons</x:v>
      </x:c>
      <x:c r="S30" s="7" t="str">
        <x:v>Spécification à réaliser. Les champs adaptation, gameplay, visual, animation, audio et implementation décrivent le fan game ; ils ne donnent pas des caractéristiques officielles de l’œuvre.</x:v>
      </x:c>
    </x:row>
    <x:row r="31" ht="68" customHeight="1">
      <x:c r="A31" s="18" t="str">
        <x:v>ME2-WPN-CAIN</x:v>
      </x:c>
      <x:c r="B31" s="9" t="str">
        <x:v>M-920 Cain</x:v>
      </x:c>
      <x:c r="C31" s="15" t="str">
        <x:v>Défini</x:v>
      </x:c>
      <x:c r="D31" s="16" t="str">
        <x:v>Établi</x:v>
      </x:c>
      <x:c r="E31" s="16" t="str">
        <x:v>P1</x:v>
      </x:c>
      <x:c r="F31" s="9" t="str">
        <x:v>Arme lourde à charge.</x:v>
      </x:c>
      <x:c r="G31" s="9" t="str">
        <x:v>Charge très longue annoncée à tous ; réserve de cellules et espace de tir contrôlés avant lancement.</x:v>
      </x:c>
      <x:c r="H31" s="9" t="str">
        <x:v>Charge très longue annoncée à tous ; réserve de cellules et espace de tir contrôlés avant lancement.</x:v>
      </x:c>
      <x:c r="I31" s="9" t="str">
        <x:v>Arme énorme, halo de charge et flash réduit optionnel.</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me2/weapons/cain ; rattacher les ressources et états cités à cet identifiant. Aucun fichier de jeu créé par ce catalogue.</x:v>
      </x:c>
      <x:c r="M31" s="9" t="str"/>
      <x:c r="N31" s="9" t="str">
        <x:v>Le livrable « M-920 Cain » possède une scène ou un scénario de contrôle ; ses règles proposées, ses conditions et ses retours visuels sont vérifiables séparément.</x:v>
      </x:c>
      <x:c r="O31" s="9" t="str"/>
      <x:c r="P31" s="9" t="str">
        <x:v>M-920 Cain</x:v>
      </x:c>
      <x:c r="Q31" s="9" t="str">
        <x:v>ME2-SRC-CAIN</x:v>
      </x:c>
      <x:c r="R31" s="9" t="str">
        <x:v>https://masseffect.fandom.com/wiki/M-920_Cain</x:v>
      </x:c>
      <x:c r="S31" s="9" t="str">
        <x:v>Spécification à réaliser. Les champs adaptation, gameplay, visual, animation, audio et implementation décrivent le fan game ; ils ne donnent pas des caractéristiques officielles de l’œuvre.</x:v>
      </x:c>
    </x:row>
    <x:row r="32" ht="68" customHeight="1">
      <x:c r="A32" s="19" t="str">
        <x:v>ME2-WPN-PARTICLE</x:v>
      </x:c>
      <x:c r="B32" s="7" t="str">
        <x:v>Collector Particle Beam</x:v>
      </x:c>
      <x:c r="C32" s="15" t="str">
        <x:v>Défini</x:v>
      </x:c>
      <x:c r="D32" s="17" t="str">
        <x:v>Établi</x:v>
      </x:c>
      <x:c r="E32" s="17" t="str">
        <x:v>P1</x:v>
      </x:c>
      <x:c r="F32" s="7" t="str">
        <x:v>Arme lourde de faisceau.</x:v>
      </x:c>
      <x:c r="G32" s="7" t="str">
        <x:v>Canal continu sur une cible, coût de cellules au fil du canal ; interrompre sans vider la réserve.</x:v>
      </x:c>
      <x:c r="H32" s="7" t="str">
        <x:v>Canal continu sur une cible, coût de cellules au fil du canal ; interrompre sans vider la réserve.</x:v>
      </x:c>
      <x:c r="I32" s="7" t="str">
        <x:v>Arme organique et rayon ambré.</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me2/weapons/particle ; rattacher les ressources et états cités à cet identifiant. Aucun fichier de jeu créé par ce catalogue.</x:v>
      </x:c>
      <x:c r="M32" s="7" t="str"/>
      <x:c r="N32" s="7" t="str">
        <x:v>Le livrable « Collector Particle Beam » possède une scène ou un scénario de contrôle ; ses règles proposées, ses conditions et ses retours visuels sont vérifiables séparément.</x:v>
      </x:c>
      <x:c r="O32" s="7" t="str"/>
      <x:c r="P32" s="7" t="str">
        <x:v>Collector Particle Beam</x:v>
      </x:c>
      <x:c r="Q32" s="7" t="str">
        <x:v>ME2-SRC-HEAVY</x:v>
      </x:c>
      <x:c r="R32" s="7" t="str">
        <x:v>https://masseffect.fandom.com/wiki/Heavy_Weapons</x:v>
      </x:c>
      <x:c r="S32" s="7" t="str">
        <x:v>Spécification à réaliser. Les champs adaptation, gameplay, visual, animation, audio et implementation décrivent le fan game ; ils ne donnent pas des caractéristiques officielles de l’œuvre.</x:v>
      </x:c>
    </x:row>
    <x:row r="33" ht="68" customHeight="1">
      <x:c r="A33" s="18" t="str">
        <x:v>ME2-WPN-FIRESTORM</x:v>
      </x:c>
      <x:c r="B33" s="9" t="str">
        <x:v>M-451 Firestorm</x:v>
      </x:c>
      <x:c r="C33" s="15" t="str">
        <x:v>Défini</x:v>
      </x:c>
      <x:c r="D33" s="16" t="str">
        <x:v>Établi</x:v>
      </x:c>
      <x:c r="E33" s="16" t="str">
        <x:v>P1</x:v>
      </x:c>
      <x:c r="F33" s="9" t="str">
        <x:v>Arme lourde incendiaire.</x:v>
      </x:c>
      <x:c r="G33" s="9" t="str">
        <x:v>Jet rapproché en cône, risque de position ; aucune destruction involontaire des civils de la branche de secours.</x:v>
      </x:c>
      <x:c r="H33" s="9" t="str">
        <x:v>Jet rapproché en cône, risque de position ; aucune destruction involontaire des civils de la branche de secours.</x:v>
      </x:c>
      <x:c r="I33" s="9" t="str">
        <x:v>Réservoir et buse industriels.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me2/weapons/firestorm ; rattacher les ressources et états cités à cet identifiant. Aucun fichier de jeu créé par ce catalogue.</x:v>
      </x:c>
      <x:c r="M33" s="9" t="str">
        <x:v>Mission de Zaeed / disponibilité à confirmer par édition.</x:v>
      </x:c>
      <x:c r="N33" s="9" t="str">
        <x:v>Le livrable « M-451 Firestorm » possède une scène ou un scénario de contrôle ; ses règles proposées, ses conditions et ses retours visuels sont vérifiables séparément.</x:v>
      </x:c>
      <x:c r="O33" s="9" t="str"/>
      <x:c r="P33" s="9" t="str">
        <x:v>M-451 Firestorm</x:v>
      </x:c>
      <x:c r="Q33" s="9" t="str">
        <x:v>ME2-SRC-HEAVY</x:v>
      </x:c>
      <x:c r="R33" s="9" t="str">
        <x:v>https://masseffect.fandom.com/wiki/Heavy_Weapons</x:v>
      </x:c>
      <x:c r="S33" s="9" t="str">
        <x:v>Spécification à réaliser. Les champs adaptation, gameplay, visual, animation, audio et implementation décrivent le fan game ; ils ne donnent pas des caractéristiques officielles de l’œuvre.</x:v>
      </x:c>
    </x:row>
    <x:row r="34" ht="68" customHeight="1">
      <x:c r="A34" s="19" t="str">
        <x:v>ME2-WPN-BLACKSTORM</x:v>
      </x:c>
      <x:c r="B34" s="7" t="str">
        <x:v>M-490 Blackstorm</x:v>
      </x:c>
      <x:c r="C34" s="15" t="str">
        <x:v>Défini</x:v>
      </x:c>
      <x:c r="D34" s="17" t="str">
        <x:v>Établi</x:v>
      </x:c>
      <x:c r="E34" s="17" t="str">
        <x:v>P1</x:v>
      </x:c>
      <x:c r="F34" s="7" t="str">
        <x:v>Arme lourde additionnelle.</x:v>
      </x:c>
      <x:c r="G34" s="7" t="str">
        <x:v>Projectile lent créant une attraction puis une implosion ; anneau de portée visible avant tir.</x:v>
      </x:c>
      <x:c r="H34" s="7" t="str">
        <x:v>Projectile lent créant une attraction puis une implosion ; anneau de portée visible avant tir.</x:v>
      </x:c>
      <x:c r="I34" s="7" t="str">
        <x:v>Générateur sombre et noyau lumineux.</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me2/weapons/blackstorm ; rattacher les ressources et états cités à cet identifiant. Aucun fichier de jeu créé par ce catalogue.</x:v>
      </x:c>
      <x:c r="M34" s="7" t="str"/>
      <x:c r="N34" s="7" t="str">
        <x:v>Le livrable « M-490 Blackstorm » possède une scène ou un scénario de contrôle ; ses règles proposées, ses conditions et ses retours visuels sont vérifiables séparément.</x:v>
      </x:c>
      <x:c r="O34" s="7" t="str"/>
      <x:c r="P34" s="7" t="str">
        <x:v>M-490 Blackstorm</x:v>
      </x:c>
      <x:c r="Q34" s="7" t="str">
        <x:v>ME2-SRC-HEAVY</x:v>
      </x:c>
      <x:c r="R34" s="7" t="str">
        <x:v>https://masseffect.fandom.com/wiki/Heavy_Weapons</x:v>
      </x:c>
      <x:c r="S34" s="7" t="str">
        <x:v>Spécification à réaliser. Les champs adaptation, gameplay, visual, animation, audio et implementation décrivent le fan game ; ils ne donnent pas des caractéristiques officielles de l’œuvre.</x:v>
      </x:c>
    </x:row>
    <x:row r="35" ht="68" customHeight="1">
      <x:c r="A35" s="18" t="str">
        <x:v>ME2-WPN-ARC</x:v>
      </x:c>
      <x:c r="B35" s="9" t="str">
        <x:v>Arc Projector</x:v>
      </x:c>
      <x:c r="C35" s="15" t="str">
        <x:v>Défini</x:v>
      </x:c>
      <x:c r="D35" s="16" t="str">
        <x:v>Établi</x:v>
      </x:c>
      <x:c r="E35" s="16" t="str">
        <x:v>P1</x:v>
      </x:c>
      <x:c r="F35" s="9" t="str">
        <x:v>Arme lourde Cerberus.</x:v>
      </x:c>
      <x:c r="G35" s="9" t="str">
        <x:v>Chaîne électrique affichée à la sélection ; limiter les rebonds par portée et conducteur visible.</x:v>
      </x:c>
      <x:c r="H35" s="9" t="str">
        <x:v>Chaîne électrique affichée à la sélection ; limiter les rebonds par portée et conducteur visible.</x:v>
      </x:c>
      <x:c r="I35" s="9" t="str">
        <x:v>Conducteurs exposés et arcs blancs.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me2/weapons/arc ; rattacher les ressources et états cités à cet identifiant. Aucun fichier de jeu créé par ce catalogue.</x:v>
      </x:c>
      <x:c r="M35" s="9" t="str"/>
      <x:c r="N35" s="9" t="str">
        <x:v>Le livrable « Arc Projector » possède une scène ou un scénario de contrôle ; ses règles proposées, ses conditions et ses retours visuels sont vérifiables séparément.</x:v>
      </x:c>
      <x:c r="O35" s="9" t="str"/>
      <x:c r="P35" s="9" t="str">
        <x:v>Arc Projector</x:v>
      </x:c>
      <x:c r="Q35" s="9" t="str">
        <x:v>ME2-SRC-HEAVY, ME2-SRC-EA-DLC</x:v>
      </x:c>
      <x:c r="R35" s="9" t="str">
        <x:v>https://masseffect.fandom.com/wiki/Heavy_Weapons
https://help.ea.com/en//articles/orders-and-rewards/dlc-for-classic-games/</x:v>
      </x:c>
      <x:c r="S35" s="9" t="str">
        <x:v>Spécification à réaliser. Les champs adaptation, gameplay, visual, animation, audio et implementation décrivent le fan game ; ils ne donnent pas des caractéristiques officielles de l’œuvre.</x:v>
      </x:c>
    </x:row>
  </x:sheetData>
  <x:conditionalFormatting sqref="D7:D35">
    <x:cfRule type="cellIs" dxfId="56" priority="1" operator="equal">
      <x:formula>"À vérifier"</x:formula>
    </x:cfRule>
    <x:cfRule type="cellIs" dxfId="57" priority="2" operator="equal">
      <x:formula>"Extrapolation"</x:formula>
    </x:cfRule>
  </x:conditionalFormatting>
  <x:conditionalFormatting sqref="C7:C35">
    <x:cfRule type="cellIs" dxfId="58" priority="3" operator="equal">
      <x:formula>"Validé"</x:formula>
    </x:cfRule>
  </x:conditionalFormatting>
  <x:conditionalFormatting sqref="E7:E35">
    <x:cfRule type="cellIs" dxfId="59" priority="4" operator="equal">
      <x:formula>"P0"</x:formula>
    </x:cfRule>
  </x:conditionalFormatting>
  <x:dataValidations count="3">
    <x:dataValidation type="list" sqref="C7:C35">
      <x:formula1>"Défini,Prototype,Intégré,Validé"</x:formula1>
    </x:dataValidation>
    <x:dataValidation type="list" sqref="D7:D35">
      <x:formula1>"Établi,À vérifier,Extrapolation,Coupé attesté,Concept abandonné,Allégation écartée"</x:formula1>
    </x:dataValidation>
    <x:dataValidation type="list" sqref="E7:E35">
      <x:formula1>"P0,P1,P2"</x:formula1>
    </x:dataValidation>
  </x:dataValidations>
  <x:pageMargins left="0.7" right="0.7" top="0.75" bottom="0.75" header="0.3" footer="0.3"/>
  <x:tableParts count="1">
    <x:tablePart xmlns:r="http://schemas.openxmlformats.org/officeDocument/2006/relationships" r:id="Rc6a2a071badc4eb0"/>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2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ME2-EQP-N7</x:v>
      </x:c>
      <x:c r="B7" s="9" t="str">
        <x:v>Armure N7 personnalisable</x:v>
      </x:c>
      <x:c r="C7" s="15" t="str">
        <x:v>Prototype</x:v>
      </x:c>
      <x:c r="D7" s="16" t="str">
        <x:v>Établi</x:v>
      </x:c>
      <x:c r="E7" s="16" t="str">
        <x:v>P1</x:v>
      </x:c>
      <x:c r="F7" s="9" t="str">
        <x:v>Armure de base de Shepard.</x:v>
      </x:c>
      <x:c r="G7" s="9" t="str">
        <x:v>Pièces de casque, torse, épaules, bras et jambes ; les statistiques proposées s’agrègent dans un aperçu avant achat.</x:v>
      </x:c>
      <x:c r="H7" s="9" t="str">
        <x:v>Pièces de casque, torse, épaules, bras et jambes ; les statistiques proposées s’agrègent dans un aperçu avant achat.</x:v>
      </x:c>
      <x:c r="I7" s="9" t="str">
        <x:v>Noir, bande N7 et palette modifiable.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ME2-SRC-N7, ME2-SRC-ARMOR</x:v>
      </x:c>
      <x:c r="R7" s="9" t="str">
        <x:v>https://masseffect.fandom.com/wiki/N7_Armor
https://masseffect.fandom.com/wiki/Armor_Customization</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ME2-EQP-KESTREL</x:v>
      </x:c>
      <x:c r="B8" s="7" t="str">
        <x:v>Ensemble Kestrel</x:v>
      </x:c>
      <x:c r="C8" s="15" t="str">
        <x:v>Défini</x:v>
      </x:c>
      <x:c r="D8" s="17" t="str">
        <x:v>Établi</x:v>
      </x:c>
      <x:c r="E8" s="17" t="str">
        <x:v>P1</x:v>
      </x:c>
      <x:c r="F8" s="7" t="str">
        <x:v>Ensemble personnalisable de ME2.</x:v>
      </x:c>
      <x:c r="G8" s="7" t="str">
        <x:v>Profil polyvalent par pièces ; éviter un bonus caché de set inventé comme caractéristique du jeu.</x:v>
      </x:c>
      <x:c r="H8" s="7" t="str">
        <x:v>Profil polyvalent par pièces ; éviter un bonus caché de set inventé comme caractéristique du jeu.</x:v>
      </x:c>
      <x:c r="I8" s="7" t="str">
        <x:v>Plaques technologiques anguleuses et casque opaque.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me2/equipment/kestrel ; rattacher les ressources et états cités à cet identifiant. Aucun fichier de jeu créé par ce catalogue.</x:v>
      </x:c>
      <x:c r="M8" s="7" t="str"/>
      <x:c r="N8" s="7" t="str">
        <x:v>Le livrable « Ensemble Kestrel » possède une scène ou un scénario de contrôle ; ses règles proposées, ses conditions et ses retours visuels sont vérifiables séparément.</x:v>
      </x:c>
      <x:c r="O8" s="7" t="str"/>
      <x:c r="P8" s="7" t="str">
        <x:v>Ensemble Kestrel</x:v>
      </x:c>
      <x:c r="Q8" s="7" t="str">
        <x:v>ME2-SRC-KESTREL</x:v>
      </x:c>
      <x:c r="R8" s="7" t="str">
        <x:v>https://masseffect.fandom.com/wiki/Kestrel_Armor</x:v>
      </x:c>
      <x:c r="S8" s="7" t="str">
        <x:v>Spécification à réaliser. Les champs adaptation, gameplay, visual, animation, audio et implementation décrivent le fan game ; ils ne donnent pas des caractéristiques officielles de l’œuvre.</x:v>
      </x:c>
    </x:row>
    <x:row r="9" ht="68" customHeight="1">
      <x:c r="A9" s="18" t="str">
        <x:v>ME2-EQP-CERBERUS</x:v>
      </x:c>
      <x:c r="B9" s="9" t="str">
        <x:v>Armure d’assaut Cerberus</x:v>
      </x:c>
      <x:c r="C9" s="15" t="str">
        <x:v>Défini</x:v>
      </x:c>
      <x:c r="D9" s="16" t="str">
        <x:v>Établi</x:v>
      </x:c>
      <x:c r="E9" s="16" t="str">
        <x:v>P1</x:v>
      </x:c>
      <x:c r="F9" s="9" t="str">
        <x:v>Ensemble additionnel.</x:v>
      </x:c>
      <x:c r="G9" s="9" t="str">
        <x:v>Proposition de rôle d’assaillant ; verrouiller ensemble complet et personnalisable comme types d’objet différents.</x:v>
      </x:c>
      <x:c r="H9" s="9" t="str">
        <x:v>Proposition de rôle d’assaillant ; verrouiller ensemble complet et personnalisable comme types d’objet différents.</x:v>
      </x:c>
      <x:c r="I9" s="9" t="str">
        <x:v>Blanc, noir et jaune Cerberus.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me2/equipment/cerberus ; rattacher les ressources et états cités à cet identifiant. Aucun fichier de jeu créé par ce catalogue.</x:v>
      </x:c>
      <x:c r="M9" s="9" t="str"/>
      <x:c r="N9" s="9" t="str">
        <x:v>Le livrable « Armure d’assaut Cerberus » possède une scène ou un scénario de contrôle ; ses règles proposées, ses conditions et ses retours visuels sont vérifiables séparément.</x:v>
      </x:c>
      <x:c r="O9" s="9" t="str"/>
      <x:c r="P9" s="9" t="str">
        <x:v>Armure d’assaut Cerberus</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ME2-EQP-COLLECTOR</x:v>
      </x:c>
      <x:c r="B10" s="7" t="str">
        <x:v>Armure des Collecteurs</x:v>
      </x:c>
      <x:c r="C10" s="15" t="str">
        <x:v>Défini</x:v>
      </x:c>
      <x:c r="D10" s="17" t="str">
        <x:v>Établi</x:v>
      </x:c>
      <x:c r="E10" s="17" t="str">
        <x:v>P1</x:v>
      </x:c>
      <x:c r="F10" s="7" t="str">
        <x:v>Ensemble additionnel.</x:v>
      </x:c>
      <x:c r="G10" s="7" t="str">
        <x:v>Proposition de protection inhabituelle ; conserver la silhouette sans attribuer une biologie précise à Shepard.</x:v>
      </x:c>
      <x:c r="H10" s="7" t="str">
        <x:v>Proposition de protection inhabituelle ; conserver la silhouette sans attribuer une biologie précise à Shepard.</x:v>
      </x:c>
      <x:c r="I10" s="7" t="str">
        <x:v>Chitine sombre, surfaces organiques.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me2/equipment/collector ; rattacher les ressources et états cités à cet identifiant. Aucun fichier de jeu créé par ce catalogue.</x:v>
      </x:c>
      <x:c r="M10" s="7" t="str"/>
      <x:c r="N10" s="7" t="str">
        <x:v>Le livrable « Armure des Collecteurs » possède une scène ou un scénario de contrôle ; ses règles proposées, ses conditions et ses retours visuels sont vérifiables séparément.</x:v>
      </x:c>
      <x:c r="O10" s="7" t="str"/>
      <x:c r="P10" s="7" t="str">
        <x:v>Armure des Collecteurs</x:v>
      </x:c>
      <x:c r="Q10" s="7" t="str">
        <x:v>ME2-SRC-EA-LE</x:v>
      </x:c>
      <x:c r="R10" s="7" t="str">
        <x:v>https://www.ea.com/fr/games/mass-effect/mass-effect-legendary-edition</x:v>
      </x:c>
      <x:c r="S10" s="7" t="str">
        <x:v>Spécification à réaliser. Les champs adaptation, gameplay, visual, animation, audio et implementation décrivent le fan game ; ils ne donnent pas des caractéristiques officielles de l’œuvre.</x:v>
      </x:c>
    </x:row>
    <x:row r="11" ht="68" customHeight="1">
      <x:c r="A11" s="18" t="str">
        <x:v>ME2-EQP-TERMINUS</x:v>
      </x:c>
      <x:c r="B11" s="9" t="str">
        <x:v>Armure Terminus</x:v>
      </x:c>
      <x:c r="C11" s="15" t="str">
        <x:v>Défini</x:v>
      </x:c>
      <x:c r="D11" s="16" t="str">
        <x:v>Établi</x:v>
      </x:c>
      <x:c r="E11" s="16" t="str">
        <x:v>P1</x:v>
      </x:c>
      <x:c r="F11" s="9" t="str">
        <x:v>Ensemble additionnel.</x:v>
      </x:c>
      <x:c r="G11" s="9" t="str">
        <x:v>Profil de front proposé, malus de vitesse annoncé si ajouté par le fan game.</x:v>
      </x:c>
      <x:c r="H11" s="9" t="str">
        <x:v>Profil de front proposé, malus de vitesse annoncé si ajouté par le fan game.</x:v>
      </x:c>
      <x:c r="I11" s="9" t="str">
        <x:v>Plaques noires lourdes et visière rouge.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me2/equipment/terminus ; rattacher les ressources et états cités à cet identifiant. Aucun fichier de jeu créé par ce catalogue.</x:v>
      </x:c>
      <x:c r="M11" s="9" t="str"/>
      <x:c r="N11" s="9" t="str">
        <x:v>Le livrable « Armure Terminus » possède une scène ou un scénario de contrôle ; ses règles proposées, ses conditions et ses retours visuels sont vérifiables séparément.</x:v>
      </x:c>
      <x:c r="O11" s="9" t="str"/>
      <x:c r="P11" s="9" t="str">
        <x:v>Armure Terminus</x:v>
      </x:c>
      <x:c r="Q11" s="9" t="str">
        <x:v>ME2-SRC-EA-LE</x:v>
      </x:c>
      <x:c r="R11" s="9" t="str">
        <x:v>https://www.ea.com/fr/games/mass-effect/mass-effect-legendary-edition</x:v>
      </x:c>
      <x:c r="S11" s="9" t="str">
        <x:v>Spécification à réaliser. Les champs adaptation, gameplay, visual, animation, audio et implementation décrivent le fan game ; ils ne donnent pas des caractéristiques officielles de l’œuvre.</x:v>
      </x:c>
    </x:row>
    <x:row r="12" ht="68" customHeight="1">
      <x:c r="A12" s="19" t="str">
        <x:v>ME2-EQP-BLOOD-DRAGON</x:v>
      </x:c>
      <x:c r="B12" s="7" t="str">
        <x:v>Armure Blood Dragon</x:v>
      </x:c>
      <x:c r="C12" s="15" t="str">
        <x:v>Défini</x:v>
      </x:c>
      <x:c r="D12" s="17" t="str">
        <x:v>Établi</x:v>
      </x:c>
      <x:c r="E12" s="17" t="str">
        <x:v>P1</x:v>
      </x:c>
      <x:c r="F12" s="7" t="str">
        <x:v>Ensemble promotionnel.</x:v>
      </x:c>
      <x:c r="G12" s="7" t="str">
        <x:v>Variante cosmétique identifiable, ajustement de pouvoir facultatif clairement séparé.</x:v>
      </x:c>
      <x:c r="H12" s="7" t="str">
        <x:v>Variante cosmétique identifiable, ajustement de pouvoir facultatif clairement séparé.</x:v>
      </x:c>
      <x:c r="I12" s="7" t="str">
        <x:v>Rouge et noir, motif dragon stylisé.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me2/equipment/blood-dragon ; rattacher les ressources et états cités à cet identifiant. Aucun fichier de jeu créé par ce catalogue.</x:v>
      </x:c>
      <x:c r="M12" s="7" t="str"/>
      <x:c r="N12" s="7" t="str">
        <x:v>Le livrable « Armure Blood Dragon » possède une scène ou un scénario de contrôle ; ses règles proposées, ses conditions et ses retours visuels sont vérifiables séparément.</x:v>
      </x:c>
      <x:c r="O12" s="7" t="str"/>
      <x:c r="P12" s="7" t="str">
        <x:v>Armure Blood Dragon</x:v>
      </x:c>
      <x:c r="Q12" s="7" t="str">
        <x:v>ME2-SRC-EA-LE</x:v>
      </x:c>
      <x:c r="R12" s="7" t="str">
        <x:v>https://www.ea.com/fr/games/mass-effect/mass-effect-legendary-edition</x:v>
      </x:c>
      <x:c r="S12" s="7" t="str">
        <x:v>Spécification à réaliser. Les champs adaptation, gameplay, visual, animation, audio et implementation décrivent le fan game ; ils ne donnent pas des caractéristiques officielles de l’œuvre.</x:v>
      </x:c>
    </x:row>
    <x:row r="13" ht="68" customHeight="1">
      <x:c r="A13" s="18" t="str">
        <x:v>ME2-EQP-INFERNO</x:v>
      </x:c>
      <x:c r="B13" s="9" t="str">
        <x:v>Armure Inferno</x:v>
      </x:c>
      <x:c r="C13" s="15" t="str">
        <x:v>Défini</x:v>
      </x:c>
      <x:c r="D13" s="16" t="str">
        <x:v>Établi</x:v>
      </x:c>
      <x:c r="E13" s="16" t="str">
        <x:v>P1</x:v>
      </x:c>
      <x:c r="F13" s="9" t="str">
        <x:v>Ensemble additionnel.</x:v>
      </x:c>
      <x:c r="G13" s="9" t="str">
        <x:v>Proposition de recharge technique contre moindre réserve défensive ; aperçu explicite des échanges.</x:v>
      </x:c>
      <x:c r="H13" s="9" t="str">
        <x:v>Proposition de recharge technique contre moindre réserve défensive ; aperçu explicite des échanges.</x:v>
      </x:c>
      <x:c r="I13" s="9" t="str">
        <x:v>Orange vif et segments de protection fermés.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me2/equipment/inferno ; rattacher les ressources et états cités à cet identifiant. Aucun fichier de jeu créé par ce catalogue.</x:v>
      </x:c>
      <x:c r="M13" s="9" t="str"/>
      <x:c r="N13" s="9" t="str">
        <x:v>Le livrable « Armure Inferno » possède une scène ou un scénario de contrôle ; ses règles proposées, ses conditions et ses retours visuels sont vérifiables séparément.</x:v>
      </x:c>
      <x:c r="O13" s="9" t="str"/>
      <x:c r="P13" s="9" t="str">
        <x:v>Armure Inferno</x:v>
      </x:c>
      <x:c r="Q13" s="9" t="str">
        <x:v>ME2-SRC-EA-LE</x:v>
      </x:c>
      <x:c r="R13" s="9" t="str">
        <x:v>https://www.ea.com/fr/games/mass-effect/mass-effect-legendary-edition</x:v>
      </x:c>
      <x:c r="S13" s="9" t="str">
        <x:v>Spécification à réaliser. Les champs adaptation, gameplay, visual, animation, audio et implementation décrivent le fan game ; ils ne donnent pas des caractéristiques officielles de l’œuvre.</x:v>
      </x:c>
    </x:row>
    <x:row r="14" ht="68" customHeight="1">
      <x:c r="A14" s="19" t="str">
        <x:v>ME2-EQP-RECON</x:v>
      </x:c>
      <x:c r="B14" s="7" t="str">
        <x:v>Recon Hood</x:v>
      </x:c>
      <x:c r="C14" s="15" t="str">
        <x:v>Défini</x:v>
      </x:c>
      <x:c r="D14" s="17" t="str">
        <x:v>Établi</x:v>
      </x:c>
      <x:c r="E14" s="17" t="str">
        <x:v>P1</x:v>
      </x:c>
      <x:c r="F14" s="7" t="str">
        <x:v>Coiffe présente au départ en Legendary.</x:v>
      </x:c>
      <x:c r="G14" s="7" t="str">
        <x:v>Coiffe légère ; bonus de reconnaissance proposé sans changer les dialogues canoniques.</x:v>
      </x:c>
      <x:c r="H14" s="7" t="str">
        <x:v>Coiffe légère ; bonus de reconnaissance proposé sans changer les dialogues canoniques.</x:v>
      </x:c>
      <x:c r="I14" s="7" t="str">
        <x:v>Capuche textile noire et visière.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me2/equipment/recon ; rattacher les ressources et états cités à cet identifiant. Aucun fichier de jeu créé par ce catalogue.</x:v>
      </x:c>
      <x:c r="M14" s="7" t="str"/>
      <x:c r="N14" s="7" t="str">
        <x:v>Le livrable « Recon Hood » possède une scène ou un scénario de contrôle ; ses règles proposées, ses conditions et ses retours visuels sont vérifiables séparément.</x:v>
      </x:c>
      <x:c r="O14" s="7" t="str"/>
      <x:c r="P14" s="7" t="str">
        <x:v>Recon Hood</x:v>
      </x:c>
      <x:c r="Q14" s="7" t="str">
        <x:v>ME2-SRC-EA-CAL</x:v>
      </x:c>
      <x:c r="R14" s="7" t="str">
        <x:v>https://www.ea.com/ea-play/news/gameplay-calibrations</x:v>
      </x:c>
      <x:c r="S14" s="7" t="str">
        <x:v>Spécification à réaliser. Les champs adaptation, gameplay, visual, animation, audio et implementation décrivent le fan game ; ils ne donnent pas des caractéristiques officielles de l’œuvre.</x:v>
      </x:c>
    </x:row>
    <x:row r="15" ht="68" customHeight="1">
      <x:c r="A15" s="18" t="str">
        <x:v>ME2-EQP-SENTRY</x:v>
      </x:c>
      <x:c r="B15" s="9" t="str">
        <x:v>Sentry Interface</x:v>
      </x:c>
      <x:c r="C15" s="15" t="str">
        <x:v>Défini</x:v>
      </x:c>
      <x:c r="D15" s="16" t="str">
        <x:v>Établi</x:v>
      </x:c>
      <x:c r="E15" s="16" t="str">
        <x:v>P1</x:v>
      </x:c>
      <x:c r="F15" s="9" t="str">
        <x:v>Visière de personnalisation.</x:v>
      </x:c>
      <x:c r="G15" s="9" t="str">
        <x:v>Profil défensif de casque ; feedback de bouclier séparé du visage en sprite.</x:v>
      </x:c>
      <x:c r="H15" s="9" t="str">
        <x:v>Profil défensif de casque ; feedback de bouclier séparé du visage en sprite.</x:v>
      </x:c>
      <x:c r="I15" s="9" t="str">
        <x:v>Interface de visière compacte.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me2/equipment/sentry ; rattacher les ressources et états cités à cet identifiant. Aucun fichier de jeu créé par ce catalogue.</x:v>
      </x:c>
      <x:c r="M15" s="9" t="str"/>
      <x:c r="N15" s="9" t="str">
        <x:v>Le livrable « Sentry Interface » possède une scène ou un scénario de contrôle ; ses règles proposées, ses conditions et ses retours visuels sont vérifiables séparément.</x:v>
      </x:c>
      <x:c r="O15" s="9" t="str"/>
      <x:c r="P15" s="9" t="str">
        <x:v>Sentry Interface</x:v>
      </x:c>
      <x:c r="Q15" s="9" t="str">
        <x:v>ME2-SRC-ARMOR</x:v>
      </x:c>
      <x:c r="R15" s="9" t="str">
        <x:v>https://masseffect.fandom.com/wiki/Armor_Customization</x:v>
      </x:c>
      <x:c r="S15" s="9" t="str">
        <x:v>Spécification à réaliser. Les champs adaptation, gameplay, visual, animation, audio et implementation décrivent le fan game ; ils ne donnent pas des caractéristiques officielles de l’œuvre.</x:v>
      </x:c>
    </x:row>
    <x:row r="16" ht="68" customHeight="1">
      <x:c r="A16" s="19" t="str">
        <x:v>ME2-EQP-ARCHON</x:v>
      </x:c>
      <x:c r="B16" s="7" t="str">
        <x:v>Archon Visor</x:v>
      </x:c>
      <x:c r="C16" s="15" t="str">
        <x:v>Défini</x:v>
      </x:c>
      <x:c r="D16" s="17" t="str">
        <x:v>Établi</x:v>
      </x:c>
      <x:c r="E16" s="17" t="str">
        <x:v>P1</x:v>
      </x:c>
      <x:c r="F16" s="7" t="str">
        <x:v>Visière de personnalisation.</x:v>
      </x:c>
      <x:c r="G16" s="7" t="str">
        <x:v>Choix de soutien aux pouvoirs ; affichage de récupération clair dans l’atelier.</x:v>
      </x:c>
      <x:c r="H16" s="7" t="str">
        <x:v>Choix de soutien aux pouvoirs ; affichage de récupération clair dans l’atelier.</x:v>
      </x:c>
      <x:c r="I16" s="7" t="str">
        <x:v>Visière technologique fine.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me2/equipment/archon ; rattacher les ressources et états cités à cet identifiant. Aucun fichier de jeu créé par ce catalogue.</x:v>
      </x:c>
      <x:c r="M16" s="7" t="str"/>
      <x:c r="N16" s="7" t="str">
        <x:v>Le livrable « Archon Visor » possède une scène ou un scénario de contrôle ; ses règles proposées, ses conditions et ses retours visuels sont vérifiables séparément.</x:v>
      </x:c>
      <x:c r="O16" s="7" t="str"/>
      <x:c r="P16" s="7" t="str">
        <x:v>Archon Visor</x:v>
      </x:c>
      <x:c r="Q16" s="7" t="str">
        <x:v>ME2-SRC-ARMOR</x:v>
      </x:c>
      <x:c r="R16" s="7" t="str">
        <x:v>https://masseffect.fandom.com/wiki/Armor_Customization</x:v>
      </x:c>
      <x:c r="S16" s="7" t="str">
        <x:v>Spécification à réaliser. Les champs adaptation, gameplay, visual, animation, audio et implementation décrivent le fan game ; ils ne donnent pas des caractéristiques officielles de l’œuvre.</x:v>
      </x:c>
    </x:row>
    <x:row r="17" ht="68" customHeight="1">
      <x:c r="A17" s="18" t="str">
        <x:v>ME2-EQP-CAPACITOR</x:v>
      </x:c>
      <x:c r="B17" s="9" t="str">
        <x:v>Capacitor Helmet</x:v>
      </x:c>
      <x:c r="C17" s="15" t="str">
        <x:v>Défini</x:v>
      </x:c>
      <x:c r="D17" s="16" t="str">
        <x:v>Établi</x:v>
      </x:c>
      <x:c r="E17" s="16" t="str">
        <x:v>P1</x:v>
      </x:c>
      <x:c r="F17" s="9" t="str">
        <x:v>Casque de personnalisation.</x:v>
      </x:c>
      <x:c r="G17" s="9" t="str">
        <x:v>Proposition d’accélération de régénération ; aucune modification du délai pendant une scène.</x:v>
      </x:c>
      <x:c r="H17" s="9" t="str">
        <x:v>Proposition d’accélération de régénération ; aucune modification du délai pendant une scène.</x:v>
      </x:c>
      <x:c r="I17" s="9" t="str">
        <x:v>Casque à panneaux de condensateurs.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me2/equipment/capacitor ; rattacher les ressources et états cités à cet identifiant. Aucun fichier de jeu créé par ce catalogue.</x:v>
      </x:c>
      <x:c r="M17" s="9" t="str"/>
      <x:c r="N17" s="9" t="str">
        <x:v>Le livrable « Capacitor Helmet » possède une scène ou un scénario de contrôle ; ses règles proposées, ses conditions et ses retours visuels sont vérifiables séparément.</x:v>
      </x:c>
      <x:c r="O17" s="9" t="str"/>
      <x:c r="P17" s="9" t="str">
        <x:v>Capacitor Helmet</x:v>
      </x:c>
      <x:c r="Q17" s="9" t="str">
        <x:v>ME2-SRC-ARMOR</x:v>
      </x:c>
      <x:c r="R17" s="9" t="str">
        <x:v>https://masseffect.fandom.com/wiki/Armor_Customization</x:v>
      </x:c>
      <x:c r="S17" s="9" t="str">
        <x:v>Spécification à réaliser. Les champs adaptation, gameplay, visual, animation, audio et implementation décrivent le fan game ; ils ne donnent pas des caractéristiques officielles de l’œuvre.</x:v>
      </x:c>
    </x:row>
    <x:row r="18" ht="68" customHeight="1">
      <x:c r="A18" s="19" t="str">
        <x:v>ME2-EQP-LIFE-SUPPORT</x:v>
      </x:c>
      <x:c r="B18" s="7" t="str">
        <x:v>Life Support Webbing</x:v>
      </x:c>
      <x:c r="C18" s="15" t="str">
        <x:v>Défini</x:v>
      </x:c>
      <x:c r="D18" s="17" t="str">
        <x:v>Établi</x:v>
      </x:c>
      <x:c r="E18" s="17" t="str">
        <x:v>P1</x:v>
      </x:c>
      <x:c r="F18" s="7" t="str">
        <x:v>Pièce d’armure disponible.</x:v>
      </x:c>
      <x:c r="G18" s="7" t="str">
        <x:v>Augmentation de marge de survie proposée ; expliquer la différence santé et protection.</x:v>
      </x:c>
      <x:c r="H18" s="7" t="str">
        <x:v>Augmentation de marge de survie proposée ; expliquer la différence santé et protection.</x:v>
      </x:c>
      <x:c r="I18" s="7" t="str">
        <x:v>Renforts et supports autour des jambes.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me2/equipment/life-support ; rattacher les ressources et états cités à cet identifiant. Aucun fichier de jeu créé par ce catalogue.</x:v>
      </x:c>
      <x:c r="M18" s="7" t="str"/>
      <x:c r="N18" s="7" t="str">
        <x:v>Le livrable « Life Support Webbing » possède une scène ou un scénario de contrôle ; ses règles proposées, ses conditions et ses retours visuels sont vérifiables séparément.</x:v>
      </x:c>
      <x:c r="O18" s="7" t="str"/>
      <x:c r="P18" s="7" t="str">
        <x:v>Life Support Webbing</x:v>
      </x:c>
      <x:c r="Q18" s="7" t="str">
        <x:v>ME2-SRC-ARMOR</x:v>
      </x:c>
      <x:c r="R18" s="7" t="str">
        <x:v>https://masseffect.fandom.com/wiki/Armor_Customization</x:v>
      </x:c>
      <x:c r="S18" s="7" t="str">
        <x:v>Spécification à réaliser. Les champs adaptation, gameplay, visual, animation, audio et implementation décrivent le fan game ; ils ne donnent pas des caractéristiques officielles de l’œuvre.</x:v>
      </x:c>
    </x:row>
    <x:row r="19" ht="68" customHeight="1">
      <x:c r="A19" s="18" t="str">
        <x:v>ME2-EQP-ORDNANCE</x:v>
      </x:c>
      <x:c r="B19" s="9" t="str">
        <x:v>Ordnance Packs</x:v>
      </x:c>
      <x:c r="C19" s="15" t="str">
        <x:v>Défini</x:v>
      </x:c>
      <x:c r="D19" s="16" t="str">
        <x:v>Établi</x:v>
      </x:c>
      <x:c r="E19" s="16" t="str">
        <x:v>P1</x:v>
      </x:c>
      <x:c r="F19" s="9" t="str">
        <x:v>Pièce liée aux réserves lourdes.</x:v>
      </x:c>
      <x:c r="G19" s="9" t="str">
        <x:v>Réserve de cellules proposée distincte des clips ; avertissement lorsque l’armure change hors combat.</x:v>
      </x:c>
      <x:c r="H19" s="9" t="str">
        <x:v>Réserve de cellules proposée distincte des clips ; avertissement lorsque l’armure change hors combat.</x:v>
      </x:c>
      <x:c r="I19" s="9" t="str">
        <x:v>Poches techniques et boîtiers latéraux.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me2/equipment/ordnance ; rattacher les ressources et états cités à cet identifiant. Aucun fichier de jeu créé par ce catalogue.</x:v>
      </x:c>
      <x:c r="M19" s="9" t="str"/>
      <x:c r="N19" s="9" t="str">
        <x:v>Le livrable « Ordnance Packs » possède une scène ou un scénario de contrôle ; ses règles proposées, ses conditions et ses retours visuels sont vérifiables séparément.</x:v>
      </x:c>
      <x:c r="O19" s="9" t="str"/>
      <x:c r="P19" s="9" t="str">
        <x:v>Ordnance Packs</x:v>
      </x:c>
      <x:c r="Q19" s="9" t="str">
        <x:v>ME2-SRC-ARMOR</x:v>
      </x:c>
      <x:c r="R19" s="9" t="str">
        <x:v>https://masseffect.fandom.com/wiki/Armor_Customization</x:v>
      </x:c>
      <x:c r="S19" s="9" t="str">
        <x:v>Spécification à réaliser. Les champs adaptation, gameplay, visual, animation, audio et implementation décrivent le fan game ; ils ne donnent pas des caractéristiques officielles de l’œuvre.</x:v>
      </x:c>
    </x:row>
    <x:row r="20" ht="68" customHeight="1">
      <x:c r="A20" s="19" t="str">
        <x:v>ME2-EQP-MEDIGEL</x:v>
      </x:c>
      <x:c r="B20" s="7" t="str">
        <x:v>Medi-gel / Unity</x:v>
      </x:c>
      <x:c r="C20" s="15" t="str">
        <x:v>Défini</x:v>
      </x:c>
      <x:c r="D20" s="17" t="str">
        <x:v>Établi</x:v>
      </x:c>
      <x:c r="E20" s="17" t="str">
        <x:v>P1</x:v>
      </x:c>
      <x:c r="F20" s="7" t="str">
        <x:v>Le medi-gel permet de relever les équipiers.</x:v>
      </x:c>
      <x:c r="G20" s="7" t="str">
        <x:v>Action de secours consommant une ressource ; cible et coût avant confirmation ; pas de consommation sur cible déjà relevée.</x:v>
      </x:c>
      <x:c r="H20" s="7" t="str">
        <x:v>Action de secours consommant une ressource ; cible et coût avant confirmation ; pas de consommation sur cible déjà relevée.</x:v>
      </x:c>
      <x:c r="I20" s="7" t="str">
        <x:v>Dose bleue et icône médicale.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me2/equipment/medigel ; rattacher les ressources et états cités à cet identifiant. Aucun fichier de jeu créé par ce catalogue.</x:v>
      </x:c>
      <x:c r="M20" s="7" t="str"/>
      <x:c r="N20" s="7" t="str">
        <x:v>Le livrable « Medi-gel / Unity » possède une scène ou un scénario de contrôle ; ses règles proposées, ses conditions et ses retours visuels sont vérifiables séparément.</x:v>
      </x:c>
      <x:c r="O20" s="7" t="str"/>
      <x:c r="P20" s="7" t="str">
        <x:v>Medi-gel / Unity</x:v>
      </x:c>
      <x:c r="Q20" s="7" t="str">
        <x:v>ME2-SRC-COMBAT</x:v>
      </x:c>
      <x:c r="R20" s="7" t="str">
        <x:v>https://masseffect.fandom.com/wiki/Combat_%28Mass_Effect_2%29</x:v>
      </x:c>
      <x:c r="S20" s="7" t="str">
        <x:v>Spécification à réaliser. Les champs adaptation, gameplay, visual, animation, audio et implementation décrivent le fan game ; ils ne donnent pas des caractéristiques officielles de l’œuvre.</x:v>
      </x:c>
    </x:row>
    <x:row r="21" ht="68" customHeight="1">
      <x:c r="A21" s="18" t="str">
        <x:v>ME2-EQP-THERMAL</x:v>
      </x:c>
      <x:c r="B21" s="9" t="str">
        <x:v>Clips thermiques</x:v>
      </x:c>
      <x:c r="C21" s="15" t="str">
        <x:v>Défini</x:v>
      </x:c>
      <x:c r="D21" s="16" t="str">
        <x:v>Établi</x:v>
      </x:c>
      <x:c r="E21" s="16" t="str">
        <x:v>P1</x:v>
      </x:c>
      <x:c r="F21" s="9" t="str">
        <x:v>Les armes conventionnelles emploient des clips.</x:v>
      </x:c>
      <x:c r="G21" s="9" t="str">
        <x:v>Compteurs d’arme et réserve séparés ; recharge anticipée ne gaspille pas arbitrairement la réserve proposée.</x:v>
      </x:c>
      <x:c r="H21" s="9" t="str">
        <x:v>Compteurs d’arme et réserve séparés ; recharge anticipée ne gaspille pas arbitrairement la réserve proposée.</x:v>
      </x:c>
      <x:c r="I21" s="9" t="str">
        <x:v>Bloc thermique expulsé avec halo chaud.</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me2/equipment/thermal ; rattacher les ressources et états cités à cet identifiant. Aucun fichier de jeu créé par ce catalogue.</x:v>
      </x:c>
      <x:c r="M21" s="9" t="str"/>
      <x:c r="N21" s="9" t="str">
        <x:v>Le livrable « Clips thermiques » possède une scène ou un scénario de contrôle ; ses règles proposées, ses conditions et ses retours visuels sont vérifiables séparément.</x:v>
      </x:c>
      <x:c r="O21" s="9" t="str"/>
      <x:c r="P21" s="9" t="str">
        <x:v>Clips thermiques</x:v>
      </x:c>
      <x:c r="Q21" s="9" t="str">
        <x:v>ME2-SRC-WEAPONS, ME2-SRC-MANUAL-FR</x:v>
      </x:c>
      <x:c r="R21" s="9" t="str">
        <x:v>https://masseffect.fandom.com/wiki/Weapons
https://eaassets-a.akamaihd.net/eahelp/manuals/mass-effect-2-manuals_PC_fr.pdf</x:v>
      </x:c>
      <x:c r="S21" s="9" t="str">
        <x:v>Spécification à réaliser. Les champs adaptation, gameplay, visual, animation, audio et implementation décrivent le fan game ; ils ne donnent pas des caractéristiques officielles de l’œuvre. Manuel PC français consulté directement : principe des dissipateurs amovibles confirmé ; recharge ATB dans src/combat.js. Cette fiche complète (objet/présentation/acquisition) reste à réaliser.</x:v>
      </x:c>
    </x:row>
    <x:row r="22" ht="68" customHeight="1">
      <x:c r="A22" s="19" t="str">
        <x:v>ME2-EQP-CELLS</x:v>
      </x:c>
      <x:c r="B22" s="7" t="str">
        <x:v>Cellules d’armes lourdes</x:v>
      </x:c>
      <x:c r="C22" s="15" t="str">
        <x:v>Défini</x:v>
      </x:c>
      <x:c r="D22" s="17" t="str">
        <x:v>Établi</x:v>
      </x:c>
      <x:c r="E22" s="17" t="str">
        <x:v>P1</x:v>
      </x:c>
      <x:c r="F22" s="7" t="str">
        <x:v>Les armes lourdes utilisent des cellules.</x:v>
      </x:c>
      <x:c r="G22" s="7" t="str">
        <x:v>Réserve partagée explicitement entre armes lourdes ; aucune cellule négative lors d’un changement d’équipement.</x:v>
      </x:c>
      <x:c r="H22" s="7" t="str">
        <x:v>Réserve partagée explicitement entre armes lourdes ; aucune cellule négative lors d’un changement d’équipement.</x:v>
      </x:c>
      <x:c r="I22" s="7" t="str">
        <x:v>Conteneur énergétique identifiable.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me2/equipment/cells ; rattacher les ressources et états cités à cet identifiant. Aucun fichier de jeu créé par ce catalogue.</x:v>
      </x:c>
      <x:c r="M22" s="7" t="str"/>
      <x:c r="N22" s="7" t="str">
        <x:v>Le livrable « Cellules d’armes lourdes » possède une scène ou un scénario de contrôle ; ses règles proposées, ses conditions et ses retours visuels sont vérifiables séparément.</x:v>
      </x:c>
      <x:c r="O22" s="7" t="str"/>
      <x:c r="P22" s="7" t="str">
        <x:v>Cellules d’armes lourdes</x:v>
      </x:c>
      <x:c r="Q22" s="7" t="str">
        <x:v>ME2-SRC-HEAVY</x:v>
      </x:c>
      <x:c r="R22" s="7" t="str">
        <x:v>https://masseffect.fandom.com/wiki/Heavy_Weapons</x:v>
      </x:c>
      <x:c r="S22" s="7" t="str">
        <x:v>Spécification à réaliser. Les champs adaptation, gameplay, visual, animation, audio et implementation décrivent le fan game ; ils ne donnent pas des caractéristiques officielles de l’œuvre.</x:v>
      </x:c>
    </x:row>
    <x:row r="23" ht="68" customHeight="1">
      <x:c r="A23" s="18" t="str">
        <x:v>ME2-EQP-NORMANDY-ARMOR</x:v>
      </x:c>
      <x:c r="B23" s="9" t="str">
        <x:v>Amélioration du blindage du Normandy</x:v>
      </x:c>
      <x:c r="C23" s="15" t="str">
        <x:v>Défini</x:v>
      </x:c>
      <x:c r="D23" s="16" t="str">
        <x:v>Établi</x:v>
      </x:c>
      <x:c r="E23" s="16" t="str">
        <x:v>P1</x:v>
      </x:c>
      <x:c r="F23" s="9" t="str">
        <x:v>Des améliorations protègent le vaisseau final.</x:v>
      </x:c>
      <x:c r="G23" s="9" t="str">
        <x:v>Recherche préventive et rappel avant départ ; résultat narratif appliqué par événement, pas par combat aléatoire.</x:v>
      </x:c>
      <x:c r="H23" s="9" t="str">
        <x:v>Recherche préventive et rappel avant départ ; résultat narratif appliqué par événement, pas par combat aléatoire.</x:v>
      </x:c>
      <x:c r="I23" s="9" t="str">
        <x:v>Schéma de coque renforcée.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me2/equipment/normandy-armor ; rattacher les ressources et états cités à cet identifiant. Aucun fichier de jeu créé par ce catalogue.</x:v>
      </x:c>
      <x:c r="M23" s="9" t="str">
        <x:v>Vérifier table exacte des pertes avant implémentation.</x:v>
      </x:c>
      <x:c r="N23" s="9" t="str">
        <x:v>Le livrable « Amélioration du blindage du Normandy » possède une scène ou un scénario de contrôle ; ses règles proposées, ses conditions et ses retours visuels sont vérifiables séparément.</x:v>
      </x:c>
      <x:c r="O23" s="9" t="str"/>
      <x:c r="P23" s="9" t="str">
        <x:v>Amélioration du blindage du Normandy</x:v>
      </x:c>
      <x:c r="Q23" s="9" t="str">
        <x:v>ME2-SRC-UPGRADE, ME2-SRC-GUIDE</x:v>
      </x:c>
      <x:c r="R23" s="9" t="str">
        <x:v>https://masseffect.fandom.com/wiki/Upgrade_Guide
https://masseffect.fandom.com/wiki/Mass_Effect_2_Guide</x:v>
      </x:c>
      <x:c r="S23" s="9" t="str">
        <x:v>Spécification à réaliser. Les champs adaptation, gameplay, visual, animation, audio et implementation décrivent le fan game ; ils ne donnent pas des caractéristiques officielles de l’œuvre.</x:v>
      </x:c>
    </x:row>
    <x:row r="24" ht="68" customHeight="1">
      <x:c r="A24" s="19" t="str">
        <x:v>ME2-EQP-NORMANDY-SHIELD</x:v>
      </x:c>
      <x:c r="B24" s="7" t="str">
        <x:v>Amélioration des boucliers du Normandy</x:v>
      </x:c>
      <x:c r="C24" s="15" t="str">
        <x:v>Défini</x:v>
      </x:c>
      <x:c r="D24" s="17" t="str">
        <x:v>Établi</x:v>
      </x:c>
      <x:c r="E24" s="17" t="str">
        <x:v>P1</x:v>
      </x:c>
      <x:c r="F24" s="7" t="str">
        <x:v>Le vaisseau dispose d’une amélioration de bouclier.</x:v>
      </x:c>
      <x:c r="G24" s="7" t="str">
        <x:v>Recherche via contact d’équipier ; lien explicite entre dossier de Tali et capacité accessible.</x:v>
      </x:c>
      <x:c r="H24" s="7" t="str">
        <x:v>Recherche via contact d’équipier ; lien explicite entre dossier de Tali et capacité accessible.</x:v>
      </x:c>
      <x:c r="I24" s="7" t="str">
        <x:v>Schéma de barrières sur coque.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me2/equipment/normandy-shield ; rattacher les ressources et états cités à cet identifiant. Aucun fichier de jeu créé par ce catalogue.</x:v>
      </x:c>
      <x:c r="M24" s="7" t="str">
        <x:v>Tali requise pour l’accès approprié.</x:v>
      </x:c>
      <x:c r="N24" s="7" t="str">
        <x:v>Le livrable « Amélioration des boucliers du Normandy » possède une scène ou un scénario de contrôle ; ses règles proposées, ses conditions et ses retours visuels sont vérifiables séparément.</x:v>
      </x:c>
      <x:c r="O24" s="7" t="str"/>
      <x:c r="P24" s="7" t="str">
        <x:v>Amélioration des boucliers du Normandy</x:v>
      </x:c>
      <x:c r="Q24" s="7" t="str">
        <x:v>ME2-SRC-TALI, ME2-SRC-UPGRADE</x:v>
      </x:c>
      <x:c r="R24" s="7" t="str">
        <x:v>https://masseffect.fandom.com/wiki/Dossier%3A_Tali
https://masseffect.fandom.com/wiki/Upgrade_Guide</x:v>
      </x:c>
      <x:c r="S24" s="7" t="str">
        <x:v>Spécification à réaliser. Les champs adaptation, gameplay, visual, animation, audio et implementation décrivent le fan game ; ils ne donnent pas des caractéristiques officielles de l’œuvre.</x:v>
      </x:c>
    </x:row>
    <x:row r="25" ht="68" customHeight="1">
      <x:c r="A25" s="18" t="str">
        <x:v>ME2-EQP-NORMANDY-GUN</x:v>
      </x:c>
      <x:c r="B25" s="9" t="str">
        <x:v>Amélioration de l’armement du Normandy</x:v>
      </x:c>
      <x:c r="C25" s="15" t="str">
        <x:v>Défini</x:v>
      </x:c>
      <x:c r="D25" s="16" t="str">
        <x:v>Établi</x:v>
      </x:c>
      <x:c r="E25" s="16" t="str">
        <x:v>P1</x:v>
      </x:c>
      <x:c r="F25" s="9" t="str">
        <x:v>L’armement intervient dans l’approche finale.</x:v>
      </x:c>
      <x:c r="G25" s="9" t="str">
        <x:v>Investissement de recherche ; choix visible avant Omega-4 et résolution déterministe.</x:v>
      </x:c>
      <x:c r="H25" s="9" t="str">
        <x:v>Investissement de recherche ; choix visible avant Omega-4 et résolution déterministe.</x:v>
      </x:c>
      <x:c r="I25" s="9" t="str">
        <x:v>Schéma de batterie de vaisseau.</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me2/equipment/normandy-gun ; rattacher les ressources et états cités à cet identifiant. Aucun fichier de jeu créé par ce catalogue.</x:v>
      </x:c>
      <x:c r="M25" s="9" t="str">
        <x:v>Table de conséquences à revérifier en jeu.</x:v>
      </x:c>
      <x:c r="N25" s="9" t="str">
        <x:v>Le livrable « Amélioration de l’armement du Normandy » possède une scène ou un scénario de contrôle ; ses règles proposées, ses conditions et ses retours visuels sont vérifiables séparément.</x:v>
      </x:c>
      <x:c r="O25" s="9" t="str"/>
      <x:c r="P25" s="9" t="str">
        <x:v>Amélioration de l’armement du Normandy</x:v>
      </x:c>
      <x:c r="Q25" s="9" t="str">
        <x:v>ME2-SRC-UPGRADE, ME2-SRC-GUIDE</x:v>
      </x:c>
      <x:c r="R25" s="9" t="str">
        <x:v>https://masseffect.fandom.com/wiki/Upgrade_Guide
https://masseffect.fandom.com/wiki/Mass_Effect_2_Guide</x:v>
      </x:c>
      <x:c r="S25" s="9" t="str">
        <x:v>Spécification à réaliser. Les champs adaptation, gameplay, visual, animation, audio et implementation décrivent le fan game ; ils ne donnent pas des caractéristiques officielles de l’œuvre.</x:v>
      </x:c>
    </x:row>
    <x:row r="26" ht="68" customHeight="1">
      <x:c r="A26" s="19" t="str">
        <x:v>ME2-EQP-HAMMERHEAD</x:v>
      </x:c>
      <x:c r="B26" s="7" t="str">
        <x:v>M-44 Hammerhead</x:v>
      </x:c>
      <x:c r="C26" s="15" t="str">
        <x:v>Défini</x:v>
      </x:c>
      <x:c r="D26" s="17" t="str">
        <x:v>Établi</x:v>
      </x:c>
      <x:c r="E26" s="17" t="str">
        <x:v>P1</x:v>
      </x:c>
      <x:c r="F26" s="7" t="str">
        <x:v>Véhicule du pack Firewalker.</x:v>
      </x:c>
      <x:c r="G26" s="7" t="str">
        <x:v>Module de déplacement séparé du groupe ATB ; translation, saut et récolte avec aides de trajectoire.</x:v>
      </x:c>
      <x:c r="H26" s="7" t="str">
        <x:v>Module de déplacement séparé du groupe ATB ; translation, saut et récolte avec aides de trajectoire.</x:v>
      </x:c>
      <x:c r="I26" s="7" t="str">
        <x:v>Véhicule bas à sustentation et moteurs latéraux.</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me2/equipment/hammerhead ; rattacher les ressources et états cités à cet identifiant. Aucun fichier de jeu créé par ce catalogue.</x:v>
      </x:c>
      <x:c r="M26" s="7" t="str">
        <x:v>Firewalker et sections d’Overlord.</x:v>
      </x:c>
      <x:c r="N26" s="7" t="str">
        <x:v>Le livrable « M-44 Hammerhead » possède une scène ou un scénario de contrôle ; ses règles proposées, ses conditions et ses retours visuels sont vérifiables séparément.</x:v>
      </x:c>
      <x:c r="O26" s="7" t="str"/>
      <x:c r="P26" s="7" t="str">
        <x:v>M-44 Hammerhead</x:v>
      </x:c>
      <x:c r="Q26" s="7" t="str">
        <x:v>ME2-SRC-FIRE, ME2-SRC-OVERLORD</x:v>
      </x:c>
      <x:c r="R26" s="7" t="str">
        <x:v>https://masseffect.fandom.com/wiki/Firewalker_Pack
https://masseffect.fandom.com/wiki/Overlord</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60" priority="1" operator="equal">
      <x:formula>"À vérifier"</x:formula>
    </x:cfRule>
    <x:cfRule type="cellIs" dxfId="61" priority="2" operator="equal">
      <x:formula>"Extrapolation"</x:formula>
    </x:cfRule>
  </x:conditionalFormatting>
  <x:conditionalFormatting sqref="C7:C26">
    <x:cfRule type="cellIs" dxfId="62" priority="3" operator="equal">
      <x:formula>"Validé"</x:formula>
    </x:cfRule>
  </x:conditionalFormatting>
  <x:conditionalFormatting sqref="E7:E26">
    <x:cfRule type="cellIs" dxfId="6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b0bca9c1ad174106"/>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2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ME2-POW-PULL</x:v>
      </x:c>
      <x:c r="B7" s="9" t="str">
        <x:v>Pull</x:v>
      </x:c>
      <x:c r="C7" s="15" t="str">
        <x:v>Prototype</x:v>
      </x:c>
      <x:c r="D7" s="16" t="str">
        <x:v>Établi</x:v>
      </x:c>
      <x:c r="E7" s="16" t="str">
        <x:v>P1</x:v>
      </x:c>
      <x:c r="F7" s="9" t="str">
        <x:v>Pouvoir de ME2.</x:v>
      </x:c>
      <x:c r="G7" s="9" t="str">
        <x:v>Conversion ATB proposée : Soulever une cible dépouillée de protection ; une icône de résistance explique l’échec sur armure.</x:v>
      </x:c>
      <x:c r="H7" s="9" t="str">
        <x:v>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ME2-POW-PULL dans src/universe-powers.js, exposition par src/universe-actors.js, action native dans src/combat.js. Les acteurs, scènes et préparations autorisés sont explicitement listés par getUniversePowerUsage().</x:v>
      </x:c>
      <x:c r="M7" s="9" t="str"/>
      <x:c r="N7" s="9" t="str">
        <x:v>La cible, la protection pertinente, le coût proposé, l’état appliqué et sa fin sont visibles ; une cible non admissible ne consomme pas la commande.</x:v>
      </x:c>
      <x:c r="O7" s="9" t="str"/>
      <x:c r="P7" s="9" t="str">
        <x:v>Table des pouvoirs ME2</x:v>
      </x:c>
      <x:c r="Q7" s="9" t="str">
        <x:v>ME2-SRC-POWERS</x:v>
      </x:c>
      <x:c r="R7" s="9" t="str">
        <x:v>https://masseffect.fandom.com/wiki/Powers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ME2-POW-THROW</x:v>
      </x:c>
      <x:c r="B8" s="7" t="str">
        <x:v>Throw</x:v>
      </x:c>
      <x:c r="C8" s="15" t="str">
        <x:v>Prototype</x:v>
      </x:c>
      <x:c r="D8" s="17" t="str">
        <x:v>Établi</x:v>
      </x:c>
      <x:c r="E8" s="17" t="str">
        <x:v>P1</x:v>
      </x:c>
      <x:c r="F8" s="7" t="str">
        <x:v>Pouvoir de ME2.</x:v>
      </x:c>
      <x:c r="G8" s="7" t="str">
        <x:v>Conversion ATB proposée : Pousser une cible selon l’axe prévisualisé ; un mur arrête le recul sans téléportation.</x:v>
      </x:c>
      <x:c r="H8" s="7" t="str">
        <x:v>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ME2-POW-THROW dans src/universe-powers.js, exposition par src/universe-actors.js, action native dans src/combat.js. Les acteurs, scènes et préparations autorisés sont explicitement listés par getUniversePowerUsage().</x:v>
      </x:c>
      <x:c r="M8" s="7" t="str"/>
      <x:c r="N8" s="7" t="str">
        <x:v>La cible, la protection pertinente, le coût proposé, l’état appliqué et sa fin sont visibles ; une cible non admissible ne consomme pas la commande.</x:v>
      </x:c>
      <x:c r="O8" s="7" t="str"/>
      <x:c r="P8" s="7" t="str">
        <x:v>Table des pouvoirs ME2</x:v>
      </x:c>
      <x:c r="Q8" s="7" t="str">
        <x:v>ME2-SRC-POWERS</x:v>
      </x:c>
      <x:c r="R8" s="7" t="str">
        <x:v>https://masseffect.fandom.com/wiki/Powers</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ME2-POW-WARP</x:v>
      </x:c>
      <x:c r="B9" s="9" t="str">
        <x:v>Warp</x:v>
      </x:c>
      <x:c r="C9" s="15" t="str">
        <x:v>Prototype</x:v>
      </x:c>
      <x:c r="D9" s="16" t="str">
        <x:v>Établi</x:v>
      </x:c>
      <x:c r="E9" s="16" t="str">
        <x:v>P1</x:v>
      </x:c>
      <x:c r="F9" s="9" t="str">
        <x:v>Pouvoir de ME2.</x:v>
      </x:c>
      <x:c r="G9" s="9" t="str">
        <x:v>Conversion ATB proposée : Dégrader une défense puis exploiter une suspension ; séparer dégâts et détonation proposée.</x:v>
      </x:c>
      <x:c r="H9" s="9" t="str">
        <x:v>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ME2-POW-WARP dans src/universe-powers.js, exposition par src/universe-actors.js, action native dans src/combat.js. Les acteurs, scènes et préparations autorisés sont explicitement listés par getUniversePowerUsage().</x:v>
      </x:c>
      <x:c r="M9" s="9" t="str"/>
      <x:c r="N9" s="9" t="str">
        <x:v>La cible, la protection pertinente, le coût proposé, l’état appliqué et sa fin sont visibles ; une cible non admissible ne consomme pas la commande.</x:v>
      </x:c>
      <x:c r="O9" s="9" t="str"/>
      <x:c r="P9" s="9" t="str">
        <x:v>Table des pouvoirs ME2</x:v>
      </x:c>
      <x:c r="Q9" s="9" t="str">
        <x:v>ME2-SRC-POWERS</x:v>
      </x:c>
      <x:c r="R9" s="9" t="str">
        <x:v>https://masseffect.fandom.com/wiki/Powers</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ME2-POW-SINGULARITY</x:v>
      </x:c>
      <x:c r="B10" s="7" t="str">
        <x:v>Singularity</x:v>
      </x:c>
      <x:c r="C10" s="15" t="str">
        <x:v>Prototype</x:v>
      </x:c>
      <x:c r="D10" s="17" t="str">
        <x:v>Établi</x:v>
      </x:c>
      <x:c r="E10" s="17" t="str">
        <x:v>P1</x:v>
      </x:c>
      <x:c r="F10" s="7" t="str">
        <x:v>Pouvoir de ME2.</x:v>
      </x:c>
      <x:c r="G10" s="7" t="str">
        <x:v>Conversion ATB proposée : Créer une zone persistante de contrôle ; petite silhouette de centre évitant de masquer les cibles.</x:v>
      </x:c>
      <x:c r="H10" s="7" t="str">
        <x:v>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ME2-POW-SINGULARITY dans src/universe-powers.js, exposition par src/universe-actors.js, action native dans src/combat.js. Les acteurs, scènes et préparations autorisés sont explicitement listés par getUniversePowerUsage().</x:v>
      </x:c>
      <x:c r="M10" s="7" t="str"/>
      <x:c r="N10" s="7" t="str">
        <x:v>La cible, la protection pertinente, le coût proposé, l’état appliqué et sa fin sont visibles ; une cible non admissible ne consomme pas la commande.</x:v>
      </x:c>
      <x:c r="O10" s="7" t="str"/>
      <x:c r="P10" s="7" t="str">
        <x:v>Table des pouvoirs ME2</x:v>
      </x:c>
      <x:c r="Q10" s="7" t="str">
        <x:v>ME2-SRC-POWERS</x:v>
      </x:c>
      <x:c r="R10" s="7" t="str">
        <x:v>https://masseffect.fandom.com/wiki/Powers</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ME2-POW-SHOCKWAVE</x:v>
      </x:c>
      <x:c r="B11" s="9" t="str">
        <x:v>Shockwave</x:v>
      </x:c>
      <x:c r="C11" s="15" t="str">
        <x:v>Prototype</x:v>
      </x:c>
      <x:c r="D11" s="16" t="str">
        <x:v>Établi</x:v>
      </x:c>
      <x:c r="E11" s="16" t="str">
        <x:v>P1</x:v>
      </x:c>
      <x:c r="F11" s="9" t="str">
        <x:v>Pouvoir de ME2.</x:v>
      </x:c>
      <x:c r="G11" s="9" t="str">
        <x:v>Conversion ATB proposée : Dessiner une ligne d’impulsions par bandes ; couvert bas franchi, mur plein bloquant.</x:v>
      </x:c>
      <x:c r="H11" s="9" t="str">
        <x:v>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ME2-POW-SHOCKWAVE dans src/universe-powers.js, exposition par src/universe-actors.js, action native dans src/combat.js. Les acteurs, scènes et préparations autorisés sont explicitement listés par getUniversePowerUsage().</x:v>
      </x:c>
      <x:c r="M11" s="9" t="str"/>
      <x:c r="N11" s="9" t="str">
        <x:v>La cible, la protection pertinente, le coût proposé, l’état appliqué et sa fin sont visibles ; une cible non admissible ne consomme pas la commande.</x:v>
      </x:c>
      <x:c r="O11" s="9" t="str"/>
      <x:c r="P11" s="9" t="str">
        <x:v>Table des pouvoirs ME2</x:v>
      </x:c>
      <x:c r="Q11" s="9" t="str">
        <x:v>ME2-SRC-POWERS</x:v>
      </x:c>
      <x:c r="R11" s="9" t="str">
        <x:v>https://masseffect.fandom.com/wiki/Powers</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96" customHeight="1">
      <x:c r="A12" s="19" t="str">
        <x:v>ME2-POW-SLAM</x:v>
      </x:c>
      <x:c r="B12" s="7" t="str">
        <x:v>Slam</x:v>
      </x:c>
      <x:c r="C12" s="15" t="str">
        <x:v>Prototype</x:v>
      </x:c>
      <x:c r="D12" s="17" t="str">
        <x:v>Établi</x:v>
      </x:c>
      <x:c r="E12" s="17" t="str">
        <x:v>P1</x:v>
      </x:c>
      <x:c r="F12" s="7" t="str">
        <x:v>Pouvoir de ME2.</x:v>
      </x:c>
      <x:c r="G12" s="7" t="str">
        <x:v>Conversion ATB proposée : Levée brève puis chute ; indiquer le point d’impact, immunité de boss partielle proposée.</x:v>
      </x:c>
      <x:c r="H12" s="7" t="str">
        <x:v>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 liaison ME2-POW-SLAM dans src/universe-powers.js, exposition par src/universe-actors.js, action native dans src/combat.js. Les acteurs, scènes et préparations autorisés sont explicitement listés par getUniversePowerUsage().</x:v>
      </x:c>
      <x:c r="M12" s="7" t="str"/>
      <x:c r="N12" s="7" t="str">
        <x:v>La cible, la protection pertinente, le coût proposé, l’état appliqué et sa fin sont visibles ; une cible non admissible ne consomme pas la commande.</x:v>
      </x:c>
      <x:c r="O12" s="7" t="str"/>
      <x:c r="P12" s="7" t="str">
        <x:v>Table des pouvoirs ME2</x:v>
      </x:c>
      <x:c r="Q12" s="7" t="str">
        <x:v>ME2-SRC-POWERS</x:v>
      </x:c>
      <x:c r="R12" s="7" t="str">
        <x:v>https://masseffect.fandom.com/wiki/Powers</x:v>
      </x:c>
      <x:c r="S1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3" ht="96" customHeight="1">
      <x:c r="A13" s="18" t="str">
        <x:v>ME2-POW-REAVE</x:v>
      </x:c>
      <x:c r="B13" s="9" t="str">
        <x:v>Reave</x:v>
      </x:c>
      <x:c r="C13" s="15" t="str">
        <x:v>Prototype</x:v>
      </x:c>
      <x:c r="D13" s="16" t="str">
        <x:v>Établi</x:v>
      </x:c>
      <x:c r="E13" s="16" t="str">
        <x:v>P1</x:v>
      </x:c>
      <x:c r="F13" s="9" t="str">
        <x:v>Pouvoir de ME2.</x:v>
      </x:c>
      <x:c r="G13" s="9" t="str">
        <x:v>Conversion ATB proposée : Affaiblir une cible organique et accorder une protection temporaire proposée à l’utilisateur ; statut visible.</x:v>
      </x:c>
      <x:c r="H13" s="9" t="str">
        <x:v>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ME2-POW-REAVE dans src/universe-powers.js, exposition par src/universe-actors.js, action native dans src/combat.js. Les acteurs, scènes et préparations autorisés sont explicitement listés par getUniversePowerUsage().</x:v>
      </x:c>
      <x:c r="M13" s="9" t="str"/>
      <x:c r="N13" s="9" t="str">
        <x:v>La cible, la protection pertinente, le coût proposé, l’état appliqué et sa fin sont visibles ; une cible non admissible ne consomme pas la commande.</x:v>
      </x:c>
      <x:c r="O13" s="9" t="str"/>
      <x:c r="P13" s="9" t="str">
        <x:v>Table des pouvoirs ME2</x:v>
      </x:c>
      <x:c r="Q13" s="9" t="str">
        <x:v>ME2-SRC-POWERS</x:v>
      </x:c>
      <x:c r="R13" s="9" t="str">
        <x:v>https://masseffect.fandom.com/wiki/Powers</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96" customHeight="1">
      <x:c r="A14" s="19" t="str">
        <x:v>ME2-POW-DOMINATE</x:v>
      </x:c>
      <x:c r="B14" s="7" t="str">
        <x:v>Dominate</x:v>
      </x:c>
      <x:c r="C14" s="15" t="str">
        <x:v>Prototype</x:v>
      </x:c>
      <x:c r="D14" s="17" t="str">
        <x:v>Établi</x:v>
      </x:c>
      <x:c r="E14" s="17" t="str">
        <x:v>P1</x:v>
      </x:c>
      <x:c r="F14" s="7" t="str">
        <x:v>Pouvoir de ME2.</x:v>
      </x:c>
      <x:c r="G14" s="7" t="str">
        <x:v>Conversion ATB proposée : Contrôle temporaire d’organique vulnérable ; empêcher le ciblage amical pendant sa conversion.</x:v>
      </x:c>
      <x:c r="H14" s="7" t="str">
        <x:v>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partiel : liaison ME2-POW-DOMINATE dans src/universe-powers.js, exposition par src/universe-actors.js, action native dans src/combat.js. Les acteurs, scènes et préparations autorisés sont explicitement listés par getUniversePowerUsage().</x:v>
      </x:c>
      <x:c r="M14" s="7" t="str"/>
      <x:c r="N14" s="7" t="str">
        <x:v>La cible, la protection pertinente, le coût proposé, l’état appliqué et sa fin sont visibles ; une cible non admissible ne consomme pas la commande.</x:v>
      </x:c>
      <x:c r="O14" s="7" t="str"/>
      <x:c r="P14" s="7" t="str">
        <x:v>Table des pouvoirs ME2</x:v>
      </x:c>
      <x:c r="Q14" s="7" t="str">
        <x:v>ME2-SRC-POWERS</x:v>
      </x:c>
      <x:c r="R14" s="7" t="str">
        <x:v>https://masseffect.fandom.com/wiki/Powers</x:v>
      </x:c>
      <x:c r="S1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5" ht="96" customHeight="1">
      <x:c r="A15" s="18" t="str">
        <x:v>ME2-POW-BARRIER</x:v>
      </x:c>
      <x:c r="B15" s="9" t="str">
        <x:v>Barrier</x:v>
      </x:c>
      <x:c r="C15" s="15" t="str">
        <x:v>Prototype</x:v>
      </x:c>
      <x:c r="D15" s="16" t="str">
        <x:v>Établi</x:v>
      </x:c>
      <x:c r="E15" s="16" t="str">
        <x:v>P1</x:v>
      </x:c>
      <x:c r="F15" s="9" t="str">
        <x:v>Pouvoir de ME2.</x:v>
      </x:c>
      <x:c r="G15" s="9" t="str">
        <x:v>Conversion ATB proposée : Ajouter une réserve biotique séparée ; son activation ne réinitialise pas tous les temps de récupération.</x:v>
      </x:c>
      <x:c r="H15" s="9" t="str">
        <x:v>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ME2-POW-BARRIER dans src/universe-powers.js, exposition par src/universe-actors.js, action native dans src/combat.js. Les acteurs, scènes et préparations autorisés sont explicitement listés par getUniversePowerUsage().</x:v>
      </x:c>
      <x:c r="M15" s="9" t="str"/>
      <x:c r="N15" s="9" t="str">
        <x:v>La cible, la protection pertinente, le coût proposé, l’état appliqué et sa fin sont visibles ; une cible non admissible ne consomme pas la commande.</x:v>
      </x:c>
      <x:c r="O15" s="9" t="str"/>
      <x:c r="P15" s="9" t="str">
        <x:v>Table des pouvoirs ME2</x:v>
      </x:c>
      <x:c r="Q15" s="9" t="str">
        <x:v>ME2-SRC-POWERS</x:v>
      </x:c>
      <x:c r="R15" s="9" t="str">
        <x:v>https://masseffect.fandom.com/wiki/Powers</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ME2-POW-CHARGE</x:v>
      </x:c>
      <x:c r="B16" s="7" t="str">
        <x:v>Biotic Charge</x:v>
      </x:c>
      <x:c r="C16" s="15" t="str">
        <x:v>Défini</x:v>
      </x:c>
      <x:c r="D16" s="17" t="str">
        <x:v>Établi</x:v>
      </x:c>
      <x:c r="E16" s="17" t="str">
        <x:v>P1</x:v>
      </x:c>
      <x:c r="F16" s="7" t="str">
        <x:v>Pouvoir de ME2.</x:v>
      </x:c>
      <x:c r="G16" s="7" t="str">
        <x:v>Conversion ATB proposée : Déplacement offensif vers une cible valide ; vérifier chemin d’atterrissage et espace du sprite avant paiement.</x:v>
      </x:c>
      <x:c r="H16" s="7" t="str">
        <x:v>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me2/powers/charge ; rattacher les ressources et états cités à cet identifiant. Aucun fichier de jeu créé par ce catalogue.</x:v>
      </x:c>
      <x:c r="M16" s="7" t="str"/>
      <x:c r="N16" s="7" t="str">
        <x:v>La cible, la protection pertinente, le coût proposé, l’état appliqué et sa fin sont visibles ; une cible non admissible ne consomme pas la commande.</x:v>
      </x:c>
      <x:c r="O16" s="7" t="str"/>
      <x:c r="P16" s="7" t="str">
        <x:v>Table des pouvoirs ME2</x:v>
      </x:c>
      <x:c r="Q16" s="7" t="str">
        <x:v>ME2-SRC-POWERS</x:v>
      </x:c>
      <x:c r="R16" s="7" t="str">
        <x:v>https://masseffect.fandom.com/wiki/Powers</x:v>
      </x:c>
      <x:c r="S16" s="7" t="str">
        <x:v>Spécification à réaliser. Les champs adaptation, gameplay, visual, animation, audio et implementation décrivent le fan game ; ils ne donnent pas des caractéristiques officielles de l’œuvre.</x:v>
      </x:c>
    </x:row>
    <x:row r="17" ht="96" customHeight="1">
      <x:c r="A17" s="18" t="str">
        <x:v>ME2-POW-OVERLOAD</x:v>
      </x:c>
      <x:c r="B17" s="9" t="str">
        <x:v>Overload</x:v>
      </x:c>
      <x:c r="C17" s="15" t="str">
        <x:v>Prototype</x:v>
      </x:c>
      <x:c r="D17" s="16" t="str">
        <x:v>Établi</x:v>
      </x:c>
      <x:c r="E17" s="16" t="str">
        <x:v>P1</x:v>
      </x:c>
      <x:c r="F17" s="9" t="str">
        <x:v>Pouvoir de ME2.</x:v>
      </x:c>
      <x:c r="G17" s="9" t="str">
        <x:v>Conversion ATB proposée : Retirer une protection électrique et interrompre une machine ; ne pas assimiler barrière biotique et bouclier.</x:v>
      </x:c>
      <x:c r="H17" s="9" t="str">
        <x:v>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ME2-POW-OVERLOAD dans src/universe-powers.js, exposition par src/universe-actors.js, action native dans src/combat.js. Les acteurs, scènes et préparations autorisés sont explicitement listés par getUniversePowerUsage().</x:v>
      </x:c>
      <x:c r="M17" s="9" t="str"/>
      <x:c r="N17" s="9" t="str">
        <x:v>La cible, la protection pertinente, le coût proposé, l’état appliqué et sa fin sont visibles ; une cible non admissible ne consomme pas la commande.</x:v>
      </x:c>
      <x:c r="O17" s="9" t="str"/>
      <x:c r="P17" s="9" t="str">
        <x:v>Table des pouvoirs ME2</x:v>
      </x:c>
      <x:c r="Q17" s="9" t="str">
        <x:v>ME2-SRC-POWERS</x:v>
      </x:c>
      <x:c r="R17" s="9" t="str">
        <x:v>https://masseffect.fandom.com/wiki/Powers</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ME2-POW-INCINERATE</x:v>
      </x:c>
      <x:c r="B18" s="7" t="str">
        <x:v>Incinerate</x:v>
      </x:c>
      <x:c r="C18" s="15" t="str">
        <x:v>Prototype</x:v>
      </x:c>
      <x:c r="D18" s="17" t="str">
        <x:v>Établi</x:v>
      </x:c>
      <x:c r="E18" s="17" t="str">
        <x:v>P1</x:v>
      </x:c>
      <x:c r="F18" s="7" t="str">
        <x:v>Pouvoir de ME2.</x:v>
      </x:c>
      <x:c r="G18" s="7" t="str">
        <x:v>Conversion ATB proposée : Appliquer combustion contre armure ; effet de panique limité aux cibles compatibles.</x:v>
      </x:c>
      <x:c r="H18" s="7" t="str">
        <x:v>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ME2-POW-INCINERATE dans src/universe-powers.js, exposition par src/universe-actors.js, action native dans src/combat.js. Les acteurs, scènes et préparations autorisés sont explicitement listés par getUniversePowerUsage().</x:v>
      </x:c>
      <x:c r="M18" s="7" t="str"/>
      <x:c r="N18" s="7" t="str">
        <x:v>La cible, la protection pertinente, le coût proposé, l’état appliqué et sa fin sont visibles ; une cible non admissible ne consomme pas la commande.</x:v>
      </x:c>
      <x:c r="O18" s="7" t="str"/>
      <x:c r="P18" s="7" t="str">
        <x:v>Table des pouvoirs ME2</x:v>
      </x:c>
      <x:c r="Q18" s="7" t="str">
        <x:v>ME2-SRC-POWERS</x:v>
      </x:c>
      <x:c r="R18" s="7" t="str">
        <x:v>https://masseffect.fandom.com/wiki/Powers</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ME2-POW-CRYO</x:v>
      </x:c>
      <x:c r="B19" s="9" t="str">
        <x:v>Cryo Blast</x:v>
      </x:c>
      <x:c r="C19" s="15" t="str">
        <x:v>Prototype</x:v>
      </x:c>
      <x:c r="D19" s="16" t="str">
        <x:v>Établi</x:v>
      </x:c>
      <x:c r="E19" s="16" t="str">
        <x:v>P1</x:v>
      </x:c>
      <x:c r="F19" s="9" t="str">
        <x:v>Pouvoir de ME2.</x:v>
      </x:c>
      <x:c r="G19" s="9" t="str">
        <x:v>Conversion ATB proposée : Refroidir puis geler une cible vulnérable ; boss ralenti sans pose brisée.</x:v>
      </x:c>
      <x:c r="H19" s="9" t="str">
        <x:v>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ME2-POW-CRYO dans src/universe-powers.js, exposition par src/universe-actors.js, action native dans src/combat.js. Les acteurs, scènes et préparations autorisés sont explicitement listés par getUniversePowerUsage().</x:v>
      </x:c>
      <x:c r="M19" s="9" t="str"/>
      <x:c r="N19" s="9" t="str">
        <x:v>La cible, la protection pertinente, le coût proposé, l’état appliqué et sa fin sont visibles ; une cible non admissible ne consomme pas la commande.</x:v>
      </x:c>
      <x:c r="O19" s="9" t="str"/>
      <x:c r="P19" s="9" t="str">
        <x:v>Table des pouvoirs ME2</x:v>
      </x:c>
      <x:c r="Q19" s="9" t="str">
        <x:v>ME2-SRC-POWERS</x:v>
      </x:c>
      <x:c r="R19" s="9" t="str">
        <x:v>https://masseffect.fandom.com/wiki/Powers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ME2-POW-HACK</x:v>
      </x:c>
      <x:c r="B20" s="7" t="str">
        <x:v>AI Hacking</x:v>
      </x:c>
      <x:c r="C20" s="15" t="str">
        <x:v>Prototype</x:v>
      </x:c>
      <x:c r="D20" s="17" t="str">
        <x:v>Établi</x:v>
      </x:c>
      <x:c r="E20" s="17" t="str">
        <x:v>P1</x:v>
      </x:c>
      <x:c r="F20" s="7" t="str">
        <x:v>Pouvoir de ME2.</x:v>
      </x:c>
      <x:c r="G20" s="7" t="str">
        <x:v>Conversion ATB proposée : Convertir temporairement une machine dépouillée de protection ; afficher faction provisoire sans ambiguïté.</x:v>
      </x:c>
      <x:c r="H20" s="7" t="str">
        <x:v>Convertir temporairement une machine dépouillée de protection ; afficher faction provisoire sans ambiguïté.</x:v>
      </x:c>
      <x:c r="I20" s="7" t="str">
        <x:v>Omni-outil orange et icône réseau.</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ME2-POW-HACK dans src/universe-powers.js, exposition par src/universe-actors.js, action native dans src/combat.js. Les acteurs, scènes et préparations autorisés sont explicitement listés par getUniversePowerUsage().</x:v>
      </x:c>
      <x:c r="M20" s="7" t="str"/>
      <x:c r="N20" s="7" t="str">
        <x:v>La cible, la protection pertinente, le coût proposé, l’état appliqué et sa fin sont visibles ; une cible non admissible ne consomme pas la commande.</x:v>
      </x:c>
      <x:c r="O20" s="7" t="str"/>
      <x:c r="P20" s="7" t="str">
        <x:v>Table des pouvoirs ME2</x:v>
      </x:c>
      <x:c r="Q20" s="7" t="str">
        <x:v>ME2-SRC-POWERS</x:v>
      </x:c>
      <x:c r="R20" s="7" t="str">
        <x:v>https://masseffect.fandom.com/wiki/Powers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68" customHeight="1">
      <x:c r="A21" s="18" t="str">
        <x:v>ME2-POW-DRONE</x:v>
      </x:c>
      <x:c r="B21" s="9" t="str">
        <x:v>Combat Drone</x:v>
      </x:c>
      <x:c r="C21" s="15" t="str">
        <x:v>Défini</x:v>
      </x:c>
      <x:c r="D21" s="16" t="str">
        <x:v>Établi</x:v>
      </x:c>
      <x:c r="E21" s="16" t="str">
        <x:v>P1</x:v>
      </x:c>
      <x:c r="F21" s="9" t="str">
        <x:v>Pouvoir de ME2.</x:v>
      </x:c>
      <x:c r="G21" s="9" t="str">
        <x:v>Conversion ATB proposée : Placer une diversion sur un emplacement libre ; le drone agit après un signal d’apparition.</x:v>
      </x:c>
      <x:c r="H21" s="9" t="str">
        <x:v>Placer une diversion sur un emplacement libre ; le drone agit après un signal d’apparition.</x:v>
      </x:c>
      <x:c r="I21" s="9" t="str">
        <x:v>Petite sphère holographique et ombre.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me2/powers/drone ; rattacher les ressources et états cités à cet identifiant. Aucun fichier de jeu créé par ce catalogue.</x:v>
      </x:c>
      <x:c r="M21" s="9" t="str"/>
      <x:c r="N21" s="9" t="str">
        <x:v>La cible, la protection pertinente, le coût proposé, l’état appliqué et sa fin sont visibles ; une cible non admissible ne consomme pas la commande.</x:v>
      </x:c>
      <x:c r="O21" s="9" t="str"/>
      <x:c r="P21" s="9" t="str">
        <x:v>Table des pouvoirs ME2</x:v>
      </x:c>
      <x:c r="Q21" s="9" t="str">
        <x:v>ME2-SRC-POWERS</x:v>
      </x:c>
      <x:c r="R21" s="9" t="str">
        <x:v>https://masseffect.fandom.com/wiki/Powers</x:v>
      </x:c>
      <x:c r="S21" s="9" t="str">
        <x:v>Spécification à réaliser. Les champs adaptation, gameplay, visual, animation, audio et implementation décrivent le fan game ; ils ne donnent pas des caractéristiques officielles de l’œuvre.</x:v>
      </x:c>
    </x:row>
    <x:row r="22" ht="96" customHeight="1">
      <x:c r="A22" s="19" t="str">
        <x:v>ME2-POW-ENERGY-DRAIN</x:v>
      </x:c>
      <x:c r="B22" s="7" t="str">
        <x:v>Energy Drain</x:v>
      </x:c>
      <x:c r="C22" s="15" t="str">
        <x:v>Prototype</x:v>
      </x:c>
      <x:c r="D22" s="17" t="str">
        <x:v>Établi</x:v>
      </x:c>
      <x:c r="E22" s="17" t="str">
        <x:v>P1</x:v>
      </x:c>
      <x:c r="F22" s="7" t="str">
        <x:v>Pouvoir de ME2.</x:v>
      </x:c>
      <x:c r="G22" s="7" t="str">
        <x:v>Conversion ATB proposée : Voler une part de bouclier disponible ; aucun gain sur cible incompatible selon la règle proposée.</x:v>
      </x:c>
      <x:c r="H22" s="7" t="str">
        <x:v>Voler une part de bouclier disponible ; aucun gain sur cible incompatible selon la règle proposée.</x:v>
      </x:c>
      <x:c r="I22" s="7" t="str">
        <x:v>Arc dirigé de la cible vers l’allié.</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partiel : liaison ME2-POW-ENERGY-DRAIN dans src/universe-powers.js, exposition par src/universe-actors.js, action native dans src/combat.js. Les acteurs, scènes et préparations autorisés sont explicitement listés par getUniversePowerUsage().</x:v>
      </x:c>
      <x:c r="M22" s="7" t="str"/>
      <x:c r="N22" s="7" t="str">
        <x:v>La cible, la protection pertinente, le coût proposé, l’état appliqué et sa fin sont visibles ; une cible non admissible ne consomme pas la commande.</x:v>
      </x:c>
      <x:c r="O22" s="7" t="str"/>
      <x:c r="P22" s="7" t="str">
        <x:v>Table des pouvoirs ME2</x:v>
      </x:c>
      <x:c r="Q22" s="7" t="str">
        <x:v>ME2-SRC-POWERS</x:v>
      </x:c>
      <x:c r="R22" s="7" t="str">
        <x:v>https://masseffect.fandom.com/wiki/Powers</x:v>
      </x:c>
      <x:c r="S2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3" ht="68" customHeight="1">
      <x:c r="A23" s="18" t="str">
        <x:v>ME2-POW-NEURAL</x:v>
      </x:c>
      <x:c r="B23" s="9" t="str">
        <x:v>Neural Shock</x:v>
      </x:c>
      <x:c r="C23" s="15" t="str">
        <x:v>Défini</x:v>
      </x:c>
      <x:c r="D23" s="16" t="str">
        <x:v>Établi</x:v>
      </x:c>
      <x:c r="E23" s="16" t="str">
        <x:v>P1</x:v>
      </x:c>
      <x:c r="F23" s="9" t="str">
        <x:v>Pouvoir de ME2.</x:v>
      </x:c>
      <x:c r="G23" s="9" t="str">
        <x:v>Conversion ATB proposée : Désorienter un organique vulnérable ; résistance des synthétiques annoncée avant confirmation.</x:v>
      </x:c>
      <x:c r="H23" s="9" t="str">
        <x:v>Désorienter un organique vulnérable ; résistance des synthétiques annoncée avant confirmation.</x:v>
      </x:c>
      <x:c r="I23" s="9" t="str">
        <x:v>Trait orange et pose d’étourdissement.</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me2/powers/neural ; rattacher les ressources et états cités à cet identifiant. Aucun fichier de jeu créé par ce catalogue.</x:v>
      </x:c>
      <x:c r="M23" s="9" t="str"/>
      <x:c r="N23" s="9" t="str">
        <x:v>La cible, la protection pertinente, le coût proposé, l’état appliqué et sa fin sont visibles ; une cible non admissible ne consomme pas la commande.</x:v>
      </x:c>
      <x:c r="O23" s="9" t="str"/>
      <x:c r="P23" s="9" t="str">
        <x:v>Table des pouvoirs ME2</x:v>
      </x:c>
      <x:c r="Q23" s="9" t="str">
        <x:v>ME2-SRC-POWERS</x:v>
      </x:c>
      <x:c r="R23" s="9" t="str">
        <x:v>https://masseffect.fandom.com/wiki/Powers</x:v>
      </x:c>
      <x:c r="S23" s="9" t="str">
        <x:v>Spécification à réaliser. Les champs adaptation, gameplay, visual, animation, audio et implementation décrivent le fan game ; ils ne donnent pas des caractéristiques officielles de l’œuvre.</x:v>
      </x:c>
    </x:row>
    <x:row r="24" ht="68" customHeight="1">
      <x:c r="A24" s="19" t="str">
        <x:v>ME2-POW-TACTICAL</x:v>
      </x:c>
      <x:c r="B24" s="7" t="str">
        <x:v>Tactical Cloak</x:v>
      </x:c>
      <x:c r="C24" s="15" t="str">
        <x:v>Défini</x:v>
      </x:c>
      <x:c r="D24" s="17" t="str">
        <x:v>Établi</x:v>
      </x:c>
      <x:c r="E24" s="17" t="str">
        <x:v>P1</x:v>
      </x:c>
      <x:c r="F24" s="7" t="str">
        <x:v>Pouvoir de ME2.</x:v>
      </x:c>
      <x:c r="G24" s="7" t="str">
        <x:v>Conversion ATB proposée : Réduire la sélection ennemie, puis sortir au tir ; une attaque déjà résolue ne disparaît pas rétroactivement.</x:v>
      </x:c>
      <x:c r="H24" s="7" t="str">
        <x:v>Réduire la sélection ennemie, puis sortir au tir ; une attaque déjà résolue ne disparaît pas rétroactivement.</x:v>
      </x:c>
      <x:c r="I24" s="7" t="str">
        <x:v>Réfraction et bord lumineux accessible.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me2/powers/tactical ; rattacher les ressources et états cités à cet identifiant. Aucun fichier de jeu créé par ce catalogue.</x:v>
      </x:c>
      <x:c r="M24" s="7" t="str"/>
      <x:c r="N24" s="7" t="str">
        <x:v>La cible, la protection pertinente, le coût proposé, l’état appliqué et sa fin sont visibles ; une cible non admissible ne consomme pas la commande.</x:v>
      </x:c>
      <x:c r="O24" s="7" t="str"/>
      <x:c r="P24" s="7" t="str">
        <x:v>Table des pouvoirs ME2</x:v>
      </x:c>
      <x:c r="Q24" s="7" t="str">
        <x:v>ME2-SRC-POWERS</x:v>
      </x:c>
      <x:c r="R24" s="7" t="str">
        <x:v>https://masseffect.fandom.com/wiki/Powers</x:v>
      </x:c>
      <x:c r="S24" s="7" t="str">
        <x:v>Spécification à réaliser. Les champs adaptation, gameplay, visual, animation, audio et implementation décrivent le fan game ; ils ne donnent pas des caractéristiques officielles de l’œuvre.</x:v>
      </x:c>
    </x:row>
    <x:row r="25" ht="68" customHeight="1">
      <x:c r="A25" s="18" t="str">
        <x:v>ME2-POW-TECH-ARMOR</x:v>
      </x:c>
      <x:c r="B25" s="9" t="str">
        <x:v>Tech Armor</x:v>
      </x:c>
      <x:c r="C25" s="15" t="str">
        <x:v>Défini</x:v>
      </x:c>
      <x:c r="D25" s="16" t="str">
        <x:v>Établi</x:v>
      </x:c>
      <x:c r="E25" s="16" t="str">
        <x:v>P1</x:v>
      </x:c>
      <x:c r="F25" s="9" t="str">
        <x:v>Pouvoir de ME2.</x:v>
      </x:c>
      <x:c r="G25" s="9" t="str">
        <x:v>Conversion ATB proposée : Protection technique avec rupture de proximité ; rendre visible le compromis de récupération.</x:v>
      </x:c>
      <x:c r="H25" s="9" t="str">
        <x:v>Protection technique avec rupture de proximité ; rendre visible le compromis de récupération.</x:v>
      </x:c>
      <x:c r="I25" s="9" t="str">
        <x:v>Plaques holographiques segmentées.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me2/powers/tech-armor ; rattacher les ressources et états cités à cet identifiant. Aucun fichier de jeu créé par ce catalogue.</x:v>
      </x:c>
      <x:c r="M25" s="9" t="str"/>
      <x:c r="N25" s="9" t="str">
        <x:v>La cible, la protection pertinente, le coût proposé, l’état appliqué et sa fin sont visibles ; une cible non admissible ne consomme pas la commande.</x:v>
      </x:c>
      <x:c r="O25" s="9" t="str"/>
      <x:c r="P25" s="9" t="str">
        <x:v>Table des pouvoirs ME2</x:v>
      </x:c>
      <x:c r="Q25" s="9" t="str">
        <x:v>ME2-SRC-POWERS</x:v>
      </x:c>
      <x:c r="R25" s="9" t="str">
        <x:v>https://masseffect.fandom.com/wiki/Powers</x:v>
      </x:c>
      <x:c r="S25" s="9" t="str">
        <x:v>Spécification à réaliser. Les champs adaptation, gameplay, visual, animation, audio et implementation décrivent le fan game ; ils ne donnent pas des caractéristiques officielles de l’œuvre.</x:v>
      </x:c>
    </x:row>
    <x:row r="26" ht="68" customHeight="1">
      <x:c r="A26" s="19" t="str">
        <x:v>ME2-POW-GETH-SHIELD</x:v>
      </x:c>
      <x:c r="B26" s="7" t="str">
        <x:v>Geth Shield Boost</x:v>
      </x:c>
      <x:c r="C26" s="15" t="str">
        <x:v>Défini</x:v>
      </x:c>
      <x:c r="D26" s="17" t="str">
        <x:v>Établi</x:v>
      </x:c>
      <x:c r="E26" s="17" t="str">
        <x:v>P1</x:v>
      </x:c>
      <x:c r="F26" s="7" t="str">
        <x:v>Pouvoir de ME2.</x:v>
      </x:c>
      <x:c r="G26" s="7" t="str">
        <x:v>Conversion ATB proposée : Renforcer le bouclier de Legion ; empêcher accumulation illimitée par réactivation répétée.</x:v>
      </x:c>
      <x:c r="H26" s="7" t="str">
        <x:v>Renforcer le bouclier de Legion ; empêcher accumulation illimitée par réactivation répétée.</x:v>
      </x:c>
      <x:c r="I26" s="7" t="str">
        <x:v>Grille bleue à motifs geth.</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me2/powers/geth-shield ; rattacher les ressources et états cités à cet identifiant. Aucun fichier de jeu créé par ce catalogue.</x:v>
      </x:c>
      <x:c r="M26" s="7" t="str"/>
      <x:c r="N26" s="7" t="str">
        <x:v>La cible, la protection pertinente, le coût proposé, l’état appliqué et sa fin sont visibles ; une cible non admissible ne consomme pas la commande.</x:v>
      </x:c>
      <x:c r="O26" s="7" t="str"/>
      <x:c r="P26" s="7" t="str">
        <x:v>Table des pouvoirs ME2</x:v>
      </x:c>
      <x:c r="Q26" s="7" t="str">
        <x:v>ME2-SRC-POWERS</x:v>
      </x:c>
      <x:c r="R26" s="7" t="str">
        <x:v>https://masseffect.fandom.com/wiki/Powers</x:v>
      </x:c>
      <x:c r="S26" s="7" t="str">
        <x:v>Spécification à réaliser. Les champs adaptation, gameplay, visual, animation, audio et implementation décrivent le fan game ; ils ne donnent pas des caractéristiques officielles de l’œuvre.</x:v>
      </x:c>
    </x:row>
    <x:row r="27" ht="96" customHeight="1">
      <x:c r="A27" s="18" t="str">
        <x:v>ME2-POW-FORTIFICATION</x:v>
      </x:c>
      <x:c r="B27" s="9" t="str">
        <x:v>Fortification</x:v>
      </x:c>
      <x:c r="C27" s="15" t="str">
        <x:v>Prototype</x:v>
      </x:c>
      <x:c r="D27" s="16" t="str">
        <x:v>Établi</x:v>
      </x:c>
      <x:c r="E27" s="16" t="str">
        <x:v>P1</x:v>
      </x:c>
      <x:c r="F27" s="9" t="str">
        <x:v>Pouvoir de ME2.</x:v>
      </x:c>
      <x:c r="G27" s="9" t="str">
        <x:v>Conversion ATB proposée : Défense de front qui engage le personnage ; retirer le buff après dépense de contre-charge proposée.</x:v>
      </x:c>
      <x:c r="H27" s="9" t="str">
        <x:v>Défense de front qui engage le personnage ; retirer le buff après dépense de contre-charge proposée.</x:v>
      </x:c>
      <x:c r="I27" s="9" t="str">
        <x:v>Halo dense et posture plantée.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 liaison ME2-POW-FORTIFICATION dans src/universe-powers.js, exposition par src/universe-actors.js, action native dans src/combat.js. Les acteurs, scènes et préparations autorisés sont explicitement listés par getUniversePowerUsage().</x:v>
      </x:c>
      <x:c r="M27" s="9" t="str"/>
      <x:c r="N27" s="9" t="str">
        <x:v>La cible, la protection pertinente, le coût proposé, l’état appliqué et sa fin sont visibles ; une cible non admissible ne consomme pas la commande.</x:v>
      </x:c>
      <x:c r="O27" s="9" t="str"/>
      <x:c r="P27" s="9" t="str">
        <x:v>Table des pouvoirs ME2</x:v>
      </x:c>
      <x:c r="Q27" s="9" t="str">
        <x:v>ME2-SRC-POWERS</x:v>
      </x:c>
      <x:c r="R27" s="9" t="str">
        <x:v>https://masseffect.fandom.com/wiki/Powers</x:v>
      </x:c>
      <x:c r="S2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8" ht="96" customHeight="1">
      <x:c r="A28" s="19" t="str">
        <x:v>ME2-POW-CONCUSSIVE</x:v>
      </x:c>
      <x:c r="B28" s="7" t="str">
        <x:v>Concussive Shot</x:v>
      </x:c>
      <x:c r="C28" s="15" t="str">
        <x:v>Prototype</x:v>
      </x:c>
      <x:c r="D28" s="17" t="str">
        <x:v>Établi</x:v>
      </x:c>
      <x:c r="E28" s="17" t="str">
        <x:v>P1</x:v>
      </x:c>
      <x:c r="F28" s="7" t="str">
        <x:v>Pouvoir de ME2.</x:v>
      </x:c>
      <x:c r="G28" s="7" t="str">
        <x:v>Conversion ATB proposée : Tir de déséquilibre ; la résistance réduit le recul sans supprimer la lecture de l’impact.</x:v>
      </x:c>
      <x:c r="H28" s="7" t="str">
        <x:v>Tir de déséquilibre ; la résistance réduit le recul sans supprimer la lecture de l’impact.</x:v>
      </x:c>
      <x:c r="I28" s="7" t="str">
        <x:v>Projectile blanc et recul bref.</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ME2-POW-CONCUSSIVE dans src/universe-powers.js, exposition par src/universe-actors.js, action native dans src/combat.js. Les acteurs, scènes et préparations autorisés sont explicitement listés par getUniversePowerUsage().</x:v>
      </x:c>
      <x:c r="M28" s="7" t="str"/>
      <x:c r="N28" s="7" t="str">
        <x:v>La cible, la protection pertinente, le coût proposé, l’état appliqué et sa fin sont visibles ; une cible non admissible ne consomme pas la commande.</x:v>
      </x:c>
      <x:c r="O28" s="7" t="str"/>
      <x:c r="P28" s="7" t="str">
        <x:v>Table des pouvoirs ME2</x:v>
      </x:c>
      <x:c r="Q28" s="7" t="str">
        <x:v>ME2-SRC-POWERS</x:v>
      </x:c>
      <x:c r="R28" s="7" t="str">
        <x:v>https://masseffect.fandom.com/wiki/Powers</x:v>
      </x:c>
      <x:c r="S2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9" ht="68" customHeight="1">
      <x:c r="A29" s="18" t="str">
        <x:v>ME2-POW-ADRENALINE</x:v>
      </x:c>
      <x:c r="B29" s="9" t="str">
        <x:v>Adrenaline Rush</x:v>
      </x:c>
      <x:c r="C29" s="15" t="str">
        <x:v>Défini</x:v>
      </x:c>
      <x:c r="D29" s="16" t="str">
        <x:v>Établi</x:v>
      </x:c>
      <x:c r="E29" s="16" t="str">
        <x:v>P1</x:v>
      </x:c>
      <x:c r="F29" s="9" t="str">
        <x:v>Pouvoir de ME2.</x:v>
      </x:c>
      <x:c r="G29" s="9" t="str">
        <x:v>Conversion ATB proposée : Accélérer la prochaine action armée de Shepard ; l’ATB global des autres ne change pas sans règle explicite.</x:v>
      </x:c>
      <x:c r="H29" s="9" t="str">
        <x:v>Accélérer la prochaine action armée de Shepard ; l’ATB global des autres ne change pas sans règle explicite.</x:v>
      </x:c>
      <x:c r="I29" s="9" t="str">
        <x:v>Traînée de visée et assourdissement modulable.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me2/powers/adrenaline ; rattacher les ressources et états cités à cet identifiant. Aucun fichier de jeu créé par ce catalogue.</x:v>
      </x:c>
      <x:c r="M29" s="9" t="str"/>
      <x:c r="N29" s="9" t="str">
        <x:v>La cible, la protection pertinente, le coût proposé, l’état appliqué et sa fin sont visibles ; une cible non admissible ne consomme pas la commande.</x:v>
      </x:c>
      <x:c r="O29" s="9" t="str"/>
      <x:c r="P29" s="9" t="str">
        <x:v>Table des pouvoirs ME2</x:v>
      </x:c>
      <x:c r="Q29" s="9" t="str">
        <x:v>ME2-SRC-POWERS</x:v>
      </x:c>
      <x:c r="R29" s="9" t="str">
        <x:v>https://masseffect.fandom.com/wiki/Powers</x:v>
      </x:c>
      <x:c r="S29" s="9" t="str">
        <x:v>Spécification à réaliser. Les champs adaptation, gameplay, visual, animation, audio et implementation décrivent le fan game ; ils ne donnent pas des caractéristiques officielles de l’œuvre.</x:v>
      </x:c>
    </x:row>
    <x:row r="30" ht="68" customHeight="1">
      <x:c r="A30" s="19" t="str">
        <x:v>ME2-POW-SHADOW-STRIKE</x:v>
      </x:c>
      <x:c r="B30" s="7" t="str">
        <x:v>Shadow Strike</x:v>
      </x:c>
      <x:c r="C30" s="15" t="str">
        <x:v>Défini</x:v>
      </x:c>
      <x:c r="D30" s="17" t="str">
        <x:v>Établi</x:v>
      </x:c>
      <x:c r="E30" s="17" t="str">
        <x:v>P1</x:v>
      </x:c>
      <x:c r="F30" s="7" t="str">
        <x:v>Pouvoir de ME2.</x:v>
      </x:c>
      <x:c r="G30" s="7" t="str">
        <x:v>Conversion ATB proposée : Kasumi approche une cible marquée puis revient ; chemin et cible de repli réservés avant action.</x:v>
      </x:c>
      <x:c r="H30" s="7" t="str">
        <x:v>Kasumi approche une cible marquée puis revient ; chemin et cible de repli réservés avant action.</x:v>
      </x:c>
      <x:c r="I30" s="7" t="str">
        <x:v>Disparition, silhouette brève et frappe de dos.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me2/powers/shadow-strike ; rattacher les ressources et états cités à cet identifiant. Aucun fichier de jeu créé par ce catalogue.</x:v>
      </x:c>
      <x:c r="M30" s="7" t="str"/>
      <x:c r="N30" s="7" t="str">
        <x:v>La cible, la protection pertinente, le coût proposé, l’état appliqué et sa fin sont visibles ; une cible non admissible ne consomme pas la commande.</x:v>
      </x:c>
      <x:c r="O30" s="7" t="str"/>
      <x:c r="P30" s="7" t="str">
        <x:v>Table des pouvoirs ME2</x:v>
      </x:c>
      <x:c r="Q30" s="7" t="str">
        <x:v>ME2-SRC-POWERS</x:v>
      </x:c>
      <x:c r="R30" s="7" t="str">
        <x:v>https://masseffect.fandom.com/wiki/Powers</x:v>
      </x:c>
      <x:c r="S30" s="7" t="str">
        <x:v>Spécification à réaliser. Les champs adaptation, gameplay, visual, animation, audio et implementation décrivent le fan game ; ils ne donnent pas des caractéristiques officielles de l’œuvre.</x:v>
      </x:c>
    </x:row>
    <x:row r="31" ht="68" customHeight="1">
      <x:c r="A31" s="18" t="str">
        <x:v>ME2-POW-FLASHBANG</x:v>
      </x:c>
      <x:c r="B31" s="9" t="str">
        <x:v>Flashbang Grenade</x:v>
      </x:c>
      <x:c r="C31" s="15" t="str">
        <x:v>Défini</x:v>
      </x:c>
      <x:c r="D31" s="16" t="str">
        <x:v>Établi</x:v>
      </x:c>
      <x:c r="E31" s="16" t="str">
        <x:v>P1</x:v>
      </x:c>
      <x:c r="F31" s="9" t="str">
        <x:v>Pouvoir de ME2.</x:v>
      </x:c>
      <x:c r="G31" s="9" t="str">
        <x:v>Conversion ATB proposée : Créer une zone de désorientation ; prévoir icône équivalente et réduction du flash.</x:v>
      </x:c>
      <x:c r="H31" s="9" t="str">
        <x:v>Créer une zone de désorientation ; prévoir icône équivalente et réduction du flash.</x:v>
      </x:c>
      <x:c r="I31" s="9" t="str">
        <x:v>Arc de grenade et étoile atténuable.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me2/powers/flashbang ; rattacher les ressources et états cités à cet identifiant. Aucun fichier de jeu créé par ce catalogue.</x:v>
      </x:c>
      <x:c r="M31" s="9" t="str"/>
      <x:c r="N31" s="9" t="str">
        <x:v>La cible, la protection pertinente, le coût proposé, l’état appliqué et sa fin sont visibles ; une cible non admissible ne consomme pas la commande.</x:v>
      </x:c>
      <x:c r="O31" s="9" t="str"/>
      <x:c r="P31" s="9" t="str">
        <x:v>Table des pouvoirs ME2</x:v>
      </x:c>
      <x:c r="Q31" s="9" t="str">
        <x:v>ME2-SRC-POWERS</x:v>
      </x:c>
      <x:c r="R31" s="9" t="str">
        <x:v>https://masseffect.fandom.com/wiki/Powers</x:v>
      </x:c>
      <x:c r="S31" s="9" t="str">
        <x:v>Spécification à réaliser. Les champs adaptation, gameplay, visual, animation, audio et implementation décrivent le fan game ; ils ne donnent pas des caractéristiques officielles de l’œuvre.</x:v>
      </x:c>
    </x:row>
    <x:row r="32" ht="68" customHeight="1">
      <x:c r="A32" s="19" t="str">
        <x:v>ME2-POW-INFERNO</x:v>
      </x:c>
      <x:c r="B32" s="7" t="str">
        <x:v>Inferno Grenade</x:v>
      </x:c>
      <x:c r="C32" s="15" t="str">
        <x:v>Défini</x:v>
      </x:c>
      <x:c r="D32" s="17" t="str">
        <x:v>Établi</x:v>
      </x:c>
      <x:c r="E32" s="17" t="str">
        <x:v>P1</x:v>
      </x:c>
      <x:c r="F32" s="7" t="str">
        <x:v>Pouvoir de ME2.</x:v>
      </x:c>
      <x:c r="G32" s="7" t="str">
        <x:v>Conversion ATB proposée : Éclats incendiaires de Zaeed ; zone de danger annoncée et dégagement allié.</x:v>
      </x:c>
      <x:c r="H32" s="7" t="str">
        <x:v>Éclats incendiaires de Zaeed ; zone de danger annoncée et dégagement allié.</x:v>
      </x:c>
      <x:c r="I32" s="7" t="str">
        <x:v>Éclats orange en éventail.</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me2/powers/inferno ; rattacher les ressources et états cités à cet identifiant. Aucun fichier de jeu créé par ce catalogue.</x:v>
      </x:c>
      <x:c r="M32" s="7" t="str"/>
      <x:c r="N32" s="7" t="str">
        <x:v>La cible, la protection pertinente, le coût proposé, l’état appliqué et sa fin sont visibles ; une cible non admissible ne consomme pas la commande.</x:v>
      </x:c>
      <x:c r="O32" s="7" t="str"/>
      <x:c r="P32" s="7" t="str">
        <x:v>Table des pouvoirs ME2</x:v>
      </x:c>
      <x:c r="Q32" s="7" t="str">
        <x:v>ME2-SRC-POWERS</x:v>
      </x:c>
      <x:c r="R32" s="7" t="str">
        <x:v>https://masseffect.fandom.com/wiki/Powers</x:v>
      </x:c>
      <x:c r="S32" s="7" t="str">
        <x:v>Spécification à réaliser. Les champs adaptation, gameplay, visual, animation, audio et implementation décrivent le fan game ; ils ne donnent pas des caractéristiques officielles de l’œuvre.</x:v>
      </x:c>
    </x:row>
    <x:row r="33" ht="68" customHeight="1">
      <x:c r="A33" s="18" t="str">
        <x:v>ME2-POW-AMMO-INCENDIARY</x:v>
      </x:c>
      <x:c r="B33" s="9" t="str">
        <x:v>Incendiary Ammo</x:v>
      </x:c>
      <x:c r="C33" s="15" t="str">
        <x:v>Défini</x:v>
      </x:c>
      <x:c r="D33" s="16" t="str">
        <x:v>Établi</x:v>
      </x:c>
      <x:c r="E33" s="16" t="str">
        <x:v>P1</x:v>
      </x:c>
      <x:c r="F33" s="9" t="str">
        <x:v>Pouvoir de ME2.</x:v>
      </x:c>
      <x:c r="G33" s="9" t="str">
        <x:v>Conversion ATB proposée : Mode de munitions de feu ; un seul mode actif par arme et aperçu du remplacement.</x:v>
      </x:c>
      <x:c r="H33" s="9" t="str">
        <x:v>Mode de munitions de feu ; un seul mode actif par arme et aperçu du remplacement.</x:v>
      </x:c>
      <x:c r="I33" s="9" t="str">
        <x:v>Marque orange au chargeur.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me2/powers/ammo-incendiary ; rattacher les ressources et états cités à cet identifiant. Aucun fichier de jeu créé par ce catalogue.</x:v>
      </x:c>
      <x:c r="M33" s="9" t="str"/>
      <x:c r="N33" s="9" t="str">
        <x:v>La cible, la protection pertinente, le coût proposé, l’état appliqué et sa fin sont visibles ; une cible non admissible ne consomme pas la commande.</x:v>
      </x:c>
      <x:c r="O33" s="9" t="str"/>
      <x:c r="P33" s="9" t="str">
        <x:v>Table des pouvoirs ME2</x:v>
      </x:c>
      <x:c r="Q33" s="9" t="str">
        <x:v>ME2-SRC-POWERS</x:v>
      </x:c>
      <x:c r="R33" s="9" t="str">
        <x:v>https://masseffect.fandom.com/wiki/Powers</x:v>
      </x:c>
      <x:c r="S33" s="9" t="str">
        <x:v>Spécification à réaliser. Les champs adaptation, gameplay, visual, animation, audio et implementation décrivent le fan game ; ils ne donnent pas des caractéristiques officielles de l’œuvre.</x:v>
      </x:c>
    </x:row>
    <x:row r="34" ht="68" customHeight="1">
      <x:c r="A34" s="19" t="str">
        <x:v>ME2-POW-AMMO-DISRUPTOR</x:v>
      </x:c>
      <x:c r="B34" s="7" t="str">
        <x:v>Disruptor Ammo</x:v>
      </x:c>
      <x:c r="C34" s="15" t="str">
        <x:v>Défini</x:v>
      </x:c>
      <x:c r="D34" s="17" t="str">
        <x:v>Établi</x:v>
      </x:c>
      <x:c r="E34" s="17" t="str">
        <x:v>P1</x:v>
      </x:c>
      <x:c r="F34" s="7" t="str">
        <x:v>Pouvoir de ME2.</x:v>
      </x:c>
      <x:c r="G34" s="7" t="str">
        <x:v>Conversion ATB proposée : Mode anti-bouclier ; effets et munitions comptés séparément.</x:v>
      </x:c>
      <x:c r="H34" s="7" t="str">
        <x:v>Mode anti-bouclier ; effets et munitions comptés séparément.</x:v>
      </x:c>
      <x:c r="I34" s="7" t="str">
        <x:v>Éclats électriques bleus.</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me2/powers/ammo-disruptor ; rattacher les ressources et états cités à cet identifiant. Aucun fichier de jeu créé par ce catalogue.</x:v>
      </x:c>
      <x:c r="M34" s="7" t="str"/>
      <x:c r="N34" s="7" t="str">
        <x:v>La cible, la protection pertinente, le coût proposé, l’état appliqué et sa fin sont visibles ; une cible non admissible ne consomme pas la commande.</x:v>
      </x:c>
      <x:c r="O34" s="7" t="str"/>
      <x:c r="P34" s="7" t="str">
        <x:v>Table des pouvoirs ME2</x:v>
      </x:c>
      <x:c r="Q34" s="7" t="str">
        <x:v>ME2-SRC-POWERS</x:v>
      </x:c>
      <x:c r="R34" s="7" t="str">
        <x:v>https://masseffect.fandom.com/wiki/Powers</x:v>
      </x:c>
      <x:c r="S34" s="7" t="str">
        <x:v>Spécification à réaliser. Les champs adaptation, gameplay, visual, animation, audio et implementation décrivent le fan game ; ils ne donnent pas des caractéristiques officielles de l’œuvre.</x:v>
      </x:c>
    </x:row>
    <x:row r="35" ht="68" customHeight="1">
      <x:c r="A35" s="18" t="str">
        <x:v>ME2-POW-AMMO-CRYO</x:v>
      </x:c>
      <x:c r="B35" s="9" t="str">
        <x:v>Cryo Ammo</x:v>
      </x:c>
      <x:c r="C35" s="15" t="str">
        <x:v>Défini</x:v>
      </x:c>
      <x:c r="D35" s="16" t="str">
        <x:v>Établi</x:v>
      </x:c>
      <x:c r="E35" s="16" t="str">
        <x:v>P1</x:v>
      </x:c>
      <x:c r="F35" s="9" t="str">
        <x:v>Pouvoir de ME2.</x:v>
      </x:c>
      <x:c r="G35" s="9" t="str">
        <x:v>Conversion ATB proposée : Mode de refroidissement progressif ; gel déclenché par seuil proposé affiché.</x:v>
      </x:c>
      <x:c r="H35" s="9" t="str">
        <x:v>Mode de refroidissement progressif ; gel déclenché par seuil proposé affiché.</x:v>
      </x:c>
      <x:c r="I35" s="9" t="str">
        <x:v>Liseré blanc au projectile.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me2/powers/ammo-cryo ; rattacher les ressources et états cités à cet identifiant. Aucun fichier de jeu créé par ce catalogue.</x:v>
      </x:c>
      <x:c r="M35" s="9" t="str"/>
      <x:c r="N35" s="9" t="str">
        <x:v>La cible, la protection pertinente, le coût proposé, l’état appliqué et sa fin sont visibles ; une cible non admissible ne consomme pas la commande.</x:v>
      </x:c>
      <x:c r="O35" s="9" t="str"/>
      <x:c r="P35" s="9" t="str">
        <x:v>Table des pouvoirs ME2</x:v>
      </x:c>
      <x:c r="Q35" s="9" t="str">
        <x:v>ME2-SRC-POWERS</x:v>
      </x:c>
      <x:c r="R35" s="9" t="str">
        <x:v>https://masseffect.fandom.com/wiki/Powers</x:v>
      </x:c>
      <x:c r="S35" s="9" t="str">
        <x:v>Spécification à réaliser. Les champs adaptation, gameplay, visual, animation, audio et implementation décrivent le fan game ; ils ne donnent pas des caractéristiques officielles de l’œuvre.</x:v>
      </x:c>
    </x:row>
    <x:row r="36" ht="68" customHeight="1">
      <x:c r="A36" s="19" t="str">
        <x:v>ME2-POW-AMMO-AP</x:v>
      </x:c>
      <x:c r="B36" s="7" t="str">
        <x:v>Armor-Piercing Ammo</x:v>
      </x:c>
      <x:c r="C36" s="15" t="str">
        <x:v>Défini</x:v>
      </x:c>
      <x:c r="D36" s="17" t="str">
        <x:v>Établi</x:v>
      </x:c>
      <x:c r="E36" s="17" t="str">
        <x:v>P1</x:v>
      </x:c>
      <x:c r="F36" s="7" t="str">
        <x:v>Pouvoir de ME2.</x:v>
      </x:c>
      <x:c r="G36" s="7" t="str">
        <x:v>Conversion ATB proposée : Mode contre armure ; ne pas promettre pénétration de chaque décor sans règle du fan game.</x:v>
      </x:c>
      <x:c r="H36" s="7" t="str">
        <x:v>Mode contre armure ; ne pas promettre pénétration de chaque décor sans règle du fan game.</x:v>
      </x:c>
      <x:c r="I36" s="7" t="str">
        <x:v>Icône de plaque perforée.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me2/powers/ammo-ap ; rattacher les ressources et états cités à cet identifiant. Aucun fichier de jeu créé par ce catalogue.</x:v>
      </x:c>
      <x:c r="M36" s="7" t="str"/>
      <x:c r="N36" s="7" t="str">
        <x:v>La cible, la protection pertinente, le coût proposé, l’état appliqué et sa fin sont visibles ; une cible non admissible ne consomme pas la commande.</x:v>
      </x:c>
      <x:c r="O36" s="7" t="str"/>
      <x:c r="P36" s="7" t="str">
        <x:v>Table des pouvoirs ME2</x:v>
      </x:c>
      <x:c r="Q36" s="7" t="str">
        <x:v>ME2-SRC-POWERS</x:v>
      </x:c>
      <x:c r="R36" s="7" t="str">
        <x:v>https://masseffect.fandom.com/wiki/Powers</x:v>
      </x:c>
      <x:c r="S36" s="7" t="str">
        <x:v>Spécification à réaliser. Les champs adaptation, gameplay, visual, animation, audio et implementation décrivent le fan game ; ils ne donnent pas des caractéristiques officielles de l’œuvre.</x:v>
      </x:c>
    </x:row>
    <x:row r="37" ht="68" customHeight="1">
      <x:c r="A37" s="18" t="str">
        <x:v>ME2-POW-AMMO-WARP</x:v>
      </x:c>
      <x:c r="B37" s="9" t="str">
        <x:v>Warp Ammo</x:v>
      </x:c>
      <x:c r="C37" s="15" t="str">
        <x:v>Défini</x:v>
      </x:c>
      <x:c r="D37" s="16" t="str">
        <x:v>Établi</x:v>
      </x:c>
      <x:c r="E37" s="16" t="str">
        <x:v>P1</x:v>
      </x:c>
      <x:c r="F37" s="9" t="str">
        <x:v>Pouvoir de ME2.</x:v>
      </x:c>
      <x:c r="G37" s="9" t="str">
        <x:v>Conversion ATB proposée : Mode associé aux défenses biotiques ; bonus sur cible suspendue si retenu au réglage.</x:v>
      </x:c>
      <x:c r="H37" s="9" t="str">
        <x:v>Mode associé aux défenses biotiques ; bonus sur cible suspendue si retenu au réglage.</x:v>
      </x:c>
      <x:c r="I37" s="9" t="str">
        <x:v>Impact violet.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me2/powers/ammo-warp ; rattacher les ressources et états cités à cet identifiant. Aucun fichier de jeu créé par ce catalogue.</x:v>
      </x:c>
      <x:c r="M37" s="9" t="str"/>
      <x:c r="N37" s="9" t="str">
        <x:v>La cible, la protection pertinente, le coût proposé, l’état appliqué et sa fin sont visibles ; une cible non admissible ne consomme pas la commande.</x:v>
      </x:c>
      <x:c r="O37" s="9" t="str"/>
      <x:c r="P37" s="9" t="str">
        <x:v>Table des pouvoirs ME2</x:v>
      </x:c>
      <x:c r="Q37" s="9" t="str">
        <x:v>ME2-SRC-POWERS</x:v>
      </x:c>
      <x:c r="R37" s="9" t="str">
        <x:v>https://masseffect.fandom.com/wiki/Powers</x:v>
      </x:c>
      <x:c r="S37" s="9" t="str">
        <x:v>Spécification à réaliser. Les champs adaptation, gameplay, visual, animation, audio et implementation décrivent le fan game ; ils ne donnent pas des caractéristiques officielles de l’œuvre.</x:v>
      </x:c>
    </x:row>
    <x:row r="38" ht="68" customHeight="1">
      <x:c r="A38" s="19" t="str">
        <x:v>ME2-POW-AMMO-SHREDDER</x:v>
      </x:c>
      <x:c r="B38" s="7" t="str">
        <x:v>Shredder Ammo</x:v>
      </x:c>
      <x:c r="C38" s="15" t="str">
        <x:v>Défini</x:v>
      </x:c>
      <x:c r="D38" s="17" t="str">
        <x:v>Établi</x:v>
      </x:c>
      <x:c r="E38" s="17" t="str">
        <x:v>P1</x:v>
      </x:c>
      <x:c r="F38" s="7" t="str">
        <x:v>Pouvoir de ME2.</x:v>
      </x:c>
      <x:c r="G38" s="7" t="str">
        <x:v>Conversion ATB proposée : Mode contre santé organique ; avertissement sur cible encore protégée.</x:v>
      </x:c>
      <x:c r="H38" s="7" t="str">
        <x:v>Mode contre santé organique ; avertissement sur cible encore protégée.</x:v>
      </x:c>
      <x:c r="I38" s="7" t="str">
        <x:v>Icône d’impact rouge sans gore.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me2/powers/ammo-shredder ; rattacher les ressources et états cités à cet identifiant. Aucun fichier de jeu créé par ce catalogue.</x:v>
      </x:c>
      <x:c r="M38" s="7" t="str"/>
      <x:c r="N38" s="7" t="str">
        <x:v>La cible, la protection pertinente, le coût proposé, l’état appliqué et sa fin sont visibles ; une cible non admissible ne consomme pas la commande.</x:v>
      </x:c>
      <x:c r="O38" s="7" t="str"/>
      <x:c r="P38" s="7" t="str">
        <x:v>Table des pouvoirs ME2</x:v>
      </x:c>
      <x:c r="Q38" s="7" t="str">
        <x:v>ME2-SRC-POWERS</x:v>
      </x:c>
      <x:c r="R38" s="7" t="str">
        <x:v>https://masseffect.fandom.com/wiki/Powers</x:v>
      </x:c>
      <x:c r="S38" s="7" t="str">
        <x:v>Spécification à réaliser. Les champs adaptation, gameplay, visual, animation, audio et implementation décrivent le fan game ; ils ne donnent pas des caractéristiques officielles de l’œuvre.</x:v>
      </x:c>
    </x:row>
    <x:row r="39" ht="82" customHeight="1">
      <x:c r="A39" s="18" t="str">
        <x:v>ME2-POW-STASIS</x:v>
      </x:c>
      <x:c r="B39" s="9" t="str">
        <x:v>Stasis</x:v>
      </x:c>
      <x:c r="C39" s="15" t="str">
        <x:v>Prototype</x:v>
      </x:c>
      <x:c r="D39" s="16" t="str">
        <x:v>Établi</x:v>
      </x:c>
      <x:c r="E39" s="16" t="str">
        <x:v>P1</x:v>
      </x:c>
      <x:c r="F39" s="9" t="str">
        <x:v>Pouvoir de ME2.</x:v>
      </x:c>
      <x:c r="G39" s="9" t="str">
        <x:v>Conversion ATB proposée : Immobiliser une cible pendant une durée bornée ; mesurer précisément entrée et sortie de la fenêtre.</x:v>
      </x:c>
      <x:c r="H39" s="9" t="str">
        <x:v>Immobiliser une cible pendant une durée bornée ; mesurer précisément entrée et sortie de la fenêtre.</x:v>
      </x:c>
      <x:c r="I39" s="9" t="str">
        <x:v>Silhouette figée dans un cadre bleu.</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ME2-POW-STASIS → stasis dans src/universe-powers.js ; action native dans src/combat.js. Exposé par les profils/préparations autorisés dans me2-shadow-broker, avec provenance et restrictions de la fiche conservées.</x:v>
      </x:c>
      <x:c r="M39" s="9" t="str"/>
      <x:c r="N39" s="9" t="str">
        <x:v>La cible, la protection pertinente, le coût proposé, l’état appliqué et sa fin sont visibles ; une cible non admissible ne consomme pas la commande.</x:v>
      </x:c>
      <x:c r="O39" s="9" t="str"/>
      <x:c r="P39" s="9" t="str">
        <x:v>Table des pouvoirs ME2</x:v>
      </x:c>
      <x:c r="Q39" s="9" t="str">
        <x:v>ME2-SRC-POWERS</x:v>
      </x:c>
      <x:c r="R39" s="9" t="str">
        <x:v>https://masseffect.fandom.com/wiki/Powers</x:v>
      </x:c>
      <x:c r="S39" s="9"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40" ht="68" customHeight="1">
      <x:c r="A40" s="19" t="str">
        <x:v>ME2-POW-UNITY</x:v>
      </x:c>
      <x:c r="B40" s="7" t="str">
        <x:v>Unity</x:v>
      </x:c>
      <x:c r="C40" s="15" t="str">
        <x:v>Défini</x:v>
      </x:c>
      <x:c r="D40" s="17" t="str">
        <x:v>Établi</x:v>
      </x:c>
      <x:c r="E40" s="17" t="str">
        <x:v>P1</x:v>
      </x:c>
      <x:c r="F40" s="7" t="str">
        <x:v>Pouvoir de ME2.</x:v>
      </x:c>
      <x:c r="G40" s="7" t="str">
        <x:v>Conversion ATB proposée : Relever des alliés avec medi-gel ; sélectionner les cibles valides avant de consommer.</x:v>
      </x:c>
      <x:c r="H40" s="7" t="str">
        <x:v>Relever des alliés avec medi-gel ; sélectionner les cibles valides avant de consommer.</x:v>
      </x:c>
      <x:c r="I40" s="7" t="str">
        <x:v>Pulse médical et portrait qui se relève.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me2/powers/unity ; rattacher les ressources et états cités à cet identifiant. Aucun fichier de jeu créé par ce catalogue.</x:v>
      </x:c>
      <x:c r="M40" s="7" t="str"/>
      <x:c r="N40" s="7" t="str">
        <x:v>La cible, la protection pertinente, le coût proposé, l’état appliqué et sa fin sont visibles ; une cible non admissible ne consomme pas la commande.</x:v>
      </x:c>
      <x:c r="O40" s="7" t="str"/>
      <x:c r="P40" s="7" t="str">
        <x:v>Table des pouvoirs ME2</x:v>
      </x:c>
      <x:c r="Q40" s="7" t="str">
        <x:v>ME2-SRC-COMBAT</x:v>
      </x:c>
      <x:c r="R40" s="7" t="str">
        <x:v>https://masseffect.fandom.com/wiki/Combat_%28Mass_Effect_2%29</x:v>
      </x:c>
      <x:c r="S40" s="7" t="str">
        <x:v>Spécification à réaliser. Les champs adaptation, gameplay, visual, animation, audio et implementation décrivent le fan game ; ils ne donnent pas des caractéristiques officielles de l’œuvre.</x:v>
      </x:c>
    </x:row>
  </x:sheetData>
  <x:conditionalFormatting sqref="D7:D40">
    <x:cfRule type="cellIs" dxfId="64" priority="1" operator="equal">
      <x:formula>"À vérifier"</x:formula>
    </x:cfRule>
    <x:cfRule type="cellIs" dxfId="65" priority="2" operator="equal">
      <x:formula>"Extrapolation"</x:formula>
    </x:cfRule>
  </x:conditionalFormatting>
  <x:conditionalFormatting sqref="C7:C40">
    <x:cfRule type="cellIs" dxfId="66" priority="3" operator="equal">
      <x:formula>"Validé"</x:formula>
    </x:cfRule>
  </x:conditionalFormatting>
  <x:conditionalFormatting sqref="E7:E40">
    <x:cfRule type="cellIs" dxfId="67" priority="4" operator="equal">
      <x:formula>"P0"</x:formula>
    </x:cfRule>
  </x:conditionalFormatting>
  <x:dataValidations count="3">
    <x:dataValidation type="list" sqref="C7:C40">
      <x:formula1>"Défini,Prototype,Intégré,Validé"</x:formula1>
    </x:dataValidation>
    <x:dataValidation type="list" sqref="D7:D40">
      <x:formula1>"Établi,À vérifier,Extrapolation,Coupé attesté,Concept abandonné,Allégation écartée"</x:formula1>
    </x:dataValidation>
    <x:dataValidation type="list" sqref="E7:E40">
      <x:formula1>"P0,P1,P2"</x:formula1>
    </x:dataValidation>
  </x:dataValidations>
  <x:pageMargins left="0.7" right="0.7" top="0.75" bottom="0.75" header="0.3" footer="0.3"/>
  <x:tableParts count="1">
    <x:tablePart xmlns:r="http://schemas.openxmlformats.org/officeDocument/2006/relationships" r:id="Rad704bbb064f4cb8"/>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2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ME2-AMV-MIRANDA-OPEN</x:v>
      </x:c>
      <x:c r="B7" s="9" t="str">
        <x:v>Miranda — ouvrir une fenêtre hybride</x:v>
      </x:c>
      <x:c r="C7" s="15" t="str">
        <x:v>Défini</x:v>
      </x:c>
      <x:c r="D7" s="16" t="str">
        <x:v>Extrapolation</x:v>
      </x:c>
      <x:c r="E7" s="16" t="str">
        <x:v>P1</x:v>
      </x:c>
      <x:c r="F7" s="9" t="str">
        <x:v>Livrable original proposé : Miranda — ouvrir une fenêtre hybride.</x:v>
      </x:c>
      <x:c r="G7" s="9" t="str">
        <x:v>Surcharge un bouclier puis réserve l’ordre suivant pour Distorsion lorsque l’allié applique un contrôle ; choix de conserver la jauge si la protection n’a pas cédé.</x:v>
      </x:c>
      <x:c r="H7" s="9" t="str">
        <x:v>Surcharge un bouclier puis réserve l’ordre suivant pour Distorsion lorsque l’allié applique un contrôle ; choix de conserver la jauge si la protection n’a pas cédé.</x:v>
      </x:c>
      <x:c r="I7" s="9" t="str">
        <x:v>Arc orange suivi d’halo violet, deux icônes distinctes.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me2/ally_moves/miranda-open ; rattacher les ressources et états cités à cet identifiant. Aucun fichier de jeu créé par ce catalogue.</x:v>
      </x:c>
      <x:c r="M7" s="9" t="str"/>
      <x:c r="N7" s="9" t="str">
        <x:v>Le livrable « Miranda — ouvrir une fenêtre hybride » possède une scène ou un scénario de contrôle ; ses règles proposées, ses conditions et ses retours visuels sont vérifiables séparément.</x:v>
      </x:c>
      <x:c r="O7" s="9" t="str">
        <x:v>ME2-CHR-MIRANDA, ME2-POW-OVERLOAD, ME2-POW-WARP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ME2-AMV-JACOB-GUARD</x:v>
      </x:c>
      <x:c r="B8" s="7" t="str">
        <x:v>Jacob — ligne de secours</x:v>
      </x:c>
      <x:c r="C8" s="15" t="str">
        <x:v>Défini</x:v>
      </x:c>
      <x:c r="D8" s="17" t="str">
        <x:v>Extrapolation</x:v>
      </x:c>
      <x:c r="E8" s="17" t="str">
        <x:v>P1</x:v>
      </x:c>
      <x:c r="F8" s="7" t="str">
        <x:v>Livrable original proposé : Jacob — ligne de secours.</x:v>
      </x:c>
      <x:c r="G8" s="7" t="str">
        <x:v>Interpose une garde courte devant un allié puis projette l’assaillant exposé ; l’interposition ne téléporte pas Jacob à travers les murs.</x:v>
      </x:c>
      <x:c r="H8" s="7" t="str">
        <x:v>Interpose une garde courte devant un allié puis projette l’assaillant exposé ; l’interposition ne téléporte pas Jacob à travers les murs.</x:v>
      </x:c>
      <x:c r="I8" s="7" t="str">
        <x:v>Pas latéral et bras biotique orienté vers la menace.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me2/ally_moves/jacob-guard ; rattacher les ressources et états cités à cet identifiant. Aucun fichier de jeu créé par ce catalogue.</x:v>
      </x:c>
      <x:c r="M8" s="7" t="str"/>
      <x:c r="N8" s="7" t="str">
        <x:v>Le livrable « Jacob — ligne de secours » possède une scène ou un scénario de contrôle ; ses règles proposées, ses conditions et ses retours visuels sont vérifiables séparément.</x:v>
      </x:c>
      <x:c r="O8" s="7" t="str">
        <x:v>ME2-CHR-JACOB, ME2-POW-PULL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ME2-AMV-MORDIN-TRIAGE</x:v>
      </x:c>
      <x:c r="B9" s="9" t="str">
        <x:v>Mordin — diagnostic et brûlure</x:v>
      </x:c>
      <x:c r="C9" s="15" t="str">
        <x:v>Défini</x:v>
      </x:c>
      <x:c r="D9" s="16" t="str">
        <x:v>Extrapolation</x:v>
      </x:c>
      <x:c r="E9" s="16" t="str">
        <x:v>P1</x:v>
      </x:c>
      <x:c r="F9" s="9" t="str">
        <x:v>Livrable original proposé : Mordin — diagnostic et brûlure.</x:v>
      </x:c>
      <x:c r="G9" s="9" t="str">
        <x:v>Marque le type de protection puis lance Incinération contre l’armure ; la recommandation n’exécute jamais une action sans confirmation.</x:v>
      </x:c>
      <x:c r="H9" s="9" t="str">
        <x:v>Marque le type de protection puis lance Incinération contre l’armure ; la recommandation n’exécute jamais une action sans confirmation.</x:v>
      </x:c>
      <x:c r="I9" s="9" t="str">
        <x:v>Omni-outil, pictogramme de plaque et projectile orange.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me2/ally_moves/mordin-triage ; rattacher les ressources et états cités à cet identifiant. Aucun fichier de jeu créé par ce catalogue.</x:v>
      </x:c>
      <x:c r="M9" s="9" t="str"/>
      <x:c r="N9" s="9" t="str">
        <x:v>Le livrable « Mordin — diagnostic et brûlure » possède une scène ou un scénario de contrôle ; ses règles proposées, ses conditions et ses retours visuels sont vérifiables séparément.</x:v>
      </x:c>
      <x:c r="O9" s="9" t="str">
        <x:v>ME2-CHR-MORDIN, 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ME2-AMV-GARRUS-CROSS</x:v>
      </x:c>
      <x:c r="B10" s="7" t="str">
        <x:v>Garrus — tir de croisement</x:v>
      </x:c>
      <x:c r="C10" s="15" t="str">
        <x:v>Défini</x:v>
      </x:c>
      <x:c r="D10" s="17" t="str">
        <x:v>Extrapolation</x:v>
      </x:c>
      <x:c r="E10" s="17" t="str">
        <x:v>P1</x:v>
      </x:c>
      <x:c r="F10" s="7" t="str">
        <x:v>Livrable original proposé : Garrus — tir de croisement.</x:v>
      </x:c>
      <x:c r="G10" s="7" t="str">
        <x:v>Verrouille une ligne ; un équipier déloge la cible, déclenchant le tir préparé si la ligne reste libre.</x:v>
      </x:c>
      <x:c r="H10" s="7" t="str">
        <x:v>Verrouille une ligne ; un équipier déloge la cible, déclenchant le tir préparé si la ligne reste libre.</x:v>
      </x:c>
      <x:c r="I10" s="7" t="str">
        <x:v>Viseur bleu et trait discontinu à travers le couloir.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me2/ally_moves/garrus-cross ; rattacher les ressources et états cités à cet identifiant. Aucun fichier de jeu créé par ce catalogue.</x:v>
      </x:c>
      <x:c r="M10" s="7" t="str"/>
      <x:c r="N10" s="7" t="str">
        <x:v>Le livrable « Garrus — tir de croisement » possède une scène ou un scénario de contrôle ; ses règles proposées, ses conditions et ses retours visuels sont vérifiables séparément.</x:v>
      </x:c>
      <x:c r="O10" s="7" t="str">
        <x:v>ME2-CHR-GARRUS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ME2-AMV-GRUNT-BREACH</x:v>
      </x:c>
      <x:c r="B11" s="9" t="str">
        <x:v>Grunt — percée protégée</x:v>
      </x:c>
      <x:c r="C11" s="15" t="str">
        <x:v>Défini</x:v>
      </x:c>
      <x:c r="D11" s="16" t="str">
        <x:v>Extrapolation</x:v>
      </x:c>
      <x:c r="E11" s="16" t="str">
        <x:v>P1</x:v>
      </x:c>
      <x:c r="F11" s="9" t="str">
        <x:v>Livrable original proposé : Grunt — percée protégée.</x:v>
      </x:c>
      <x:c r="G11" s="9" t="str">
        <x:v>Fortification puis avancée d’une bande ; repousse un ennemi léger et crée un couvert corporel temporaire sans immunité totale.</x:v>
      </x:c>
      <x:c r="H11" s="9" t="str">
        <x:v>Fortification puis avancée d’une bande ; repousse un ennemi léger et crée un couvert corporel temporaire sans immunité totale.</x:v>
      </x:c>
      <x:c r="I11" s="9" t="str">
        <x:v>Charge basse, carapace en avant et onde brève.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me2/ally_moves/grunt-breach ; rattacher les ressources et états cités à cet identifiant. Aucun fichier de jeu créé par ce catalogue.</x:v>
      </x:c>
      <x:c r="M11" s="9" t="str"/>
      <x:c r="N11" s="9" t="str">
        <x:v>Le livrable « Grunt — percée protégée » possède une scène ou un scénario de contrôle ; ses règles proposées, ses conditions et ses retours visuels sont vérifiables séparément.</x:v>
      </x:c>
      <x:c r="O11" s="9" t="str">
        <x:v>ME2-CHR-GRUNT, ME2-POW-FORTIFICATION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ME2-AMV-JACK-LIFT</x:v>
      </x:c>
      <x:c r="B12" s="7" t="str">
        <x:v>Jack — rampe biotique</x:v>
      </x:c>
      <x:c r="C12" s="15" t="str">
        <x:v>Défini</x:v>
      </x:c>
      <x:c r="D12" s="17" t="str">
        <x:v>Extrapolation</x:v>
      </x:c>
      <x:c r="E12" s="17" t="str">
        <x:v>P1</x:v>
      </x:c>
      <x:c r="F12" s="7" t="str">
        <x:v>Livrable original proposé : Jack — rampe biotique.</x:v>
      </x:c>
      <x:c r="G12" s="7" t="str">
        <x:v>Lance Pull sur le premier ennemi puis une onde au sol ; limiter le combo à la fenêtre affichée et ne pas soulever les boss.</x:v>
      </x:c>
      <x:c r="H12" s="7" t="str">
        <x:v>Lance Pull sur le premier ennemi puis une onde au sol ; limiter le combo à la fenêtre affichée et ne pas soulever les boss.</x:v>
      </x:c>
      <x:c r="I12" s="7" t="str">
        <x:v>Bras écartés, ligne bleue et cible suspendue.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me2/ally_moves/jack-lift ; rattacher les ressources et états cités à cet identifiant. Aucun fichier de jeu créé par ce catalogue.</x:v>
      </x:c>
      <x:c r="M12" s="7" t="str"/>
      <x:c r="N12" s="7" t="str">
        <x:v>Le livrable « Jack — rampe biotique » possède une scène ou un scénario de contrôle ; ses règles proposées, ses conditions et ses retours visuels sont vérifiables séparément.</x:v>
      </x:c>
      <x:c r="O12" s="7" t="str">
        <x:v>ME2-CHR-JACK, ME2-POW-PULL, ME2-POW-SHOCKWAVE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ME2-AMV-TALI-BAIT</x:v>
      </x:c>
      <x:c r="B13" s="9" t="str">
        <x:v>Tali — diversion piratée</x:v>
      </x:c>
      <x:c r="C13" s="15" t="str">
        <x:v>Défini</x:v>
      </x:c>
      <x:c r="D13" s="16" t="str">
        <x:v>Extrapolation</x:v>
      </x:c>
      <x:c r="E13" s="16" t="str">
        <x:v>P1</x:v>
      </x:c>
      <x:c r="F13" s="9" t="str">
        <x:v>Livrable original proposé : Tali — diversion piratée.</x:v>
      </x:c>
      <x:c r="G13" s="9" t="str">
        <x:v>Place le drone sur le côté d’un robot ; lorsque celui-ci se tourne, Tali tente le piratage après suppression de son bouclier.</x:v>
      </x:c>
      <x:c r="H13" s="9" t="str">
        <x:v>Place le drone sur le côté d’un robot ; lorsque celui-ci se tourne, Tali tente le piratage après suppression de son bouclier.</x:v>
      </x:c>
      <x:c r="I13" s="9" t="str">
        <x:v>Drone violet, arc de verrou et icône de faction temporaire.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me2/ally_moves/tali-bait ; rattacher les ressources et états cités à cet identifiant. Aucun fichier de jeu créé par ce catalogue.</x:v>
      </x:c>
      <x:c r="M13" s="9" t="str"/>
      <x:c r="N13" s="9" t="str">
        <x:v>Le livrable « Tali — diversion piratée » possède une scène ou un scénario de contrôle ; ses règles proposées, ses conditions et ses retours visuels sont vérifiables séparément.</x:v>
      </x:c>
      <x:c r="O13" s="9" t="str">
        <x:v>ME2-CHR-TALI, ME2-POW-DRONE, ME2-POW-HACK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ME2-AMV-THANE-SUSPEND</x:v>
      </x:c>
      <x:c r="B14" s="7" t="str">
        <x:v>Thane — cible suspendue</x:v>
      </x:c>
      <x:c r="C14" s="15" t="str">
        <x:v>Défini</x:v>
      </x:c>
      <x:c r="D14" s="17" t="str">
        <x:v>Extrapolation</x:v>
      </x:c>
      <x:c r="E14" s="17" t="str">
        <x:v>P1</x:v>
      </x:c>
      <x:c r="F14" s="7" t="str">
        <x:v>Livrable original proposé : Thane — cible suspendue.</x:v>
      </x:c>
      <x:c r="G14" s="7" t="str">
        <x:v>Prépare un tir de précision pendant une suspension alliée ; le tir reste annulable avant impact pour éviter une cible disparue.</x:v>
      </x:c>
      <x:c r="H14" s="7" t="str">
        <x:v>Prépare un tir de précision pendant une suspension alliée ; le tir reste annulable avant impact pour éviter une cible disparue.</x:v>
      </x:c>
      <x:c r="I14" s="7" t="str">
        <x:v>Posture basse, respiration et lunette stabilisée.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me2/ally_moves/thane-suspend ; rattacher les ressources et états cités à cet identifiant. Aucun fichier de jeu créé par ce catalogue.</x:v>
      </x:c>
      <x:c r="M14" s="7" t="str"/>
      <x:c r="N14" s="7" t="str">
        <x:v>Le livrable « Thane — cible suspendue » possède une scène ou un scénario de contrôle ; ses règles proposées, ses conditions et ses retours visuels sont vérifiables séparément.</x:v>
      </x:c>
      <x:c r="O14" s="7" t="str">
        <x:v>ME2-CHR-THANE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ME2-AMV-SAMARA-CORRIDOR</x:v>
      </x:c>
      <x:c r="B15" s="9" t="str">
        <x:v>Samara — corridor de recul</x:v>
      </x:c>
      <x:c r="C15" s="15" t="str">
        <x:v>Défini</x:v>
      </x:c>
      <x:c r="D15" s="16" t="str">
        <x:v>Extrapolation</x:v>
      </x:c>
      <x:c r="E15" s="16" t="str">
        <x:v>P1</x:v>
      </x:c>
      <x:c r="F15" s="9" t="str">
        <x:v>Livrable original proposé : Samara — corridor de recul.</x:v>
      </x:c>
      <x:c r="G15" s="9" t="str">
        <x:v>Projette les menaces vers une bande libre ; Reave verrouille le plus résistant pendant le repli du groupe.</x:v>
      </x:c>
      <x:c r="H15" s="9" t="str">
        <x:v>Projette les menaces vers une bande libre ; Reave verrouille le plus résistant pendant le repli du groupe.</x:v>
      </x:c>
      <x:c r="I15" s="9" t="str">
        <x:v>Arc de bras calme et ligne de recul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me2/ally_moves/samara-corridor ; rattacher les ressources et états cités à cet identifiant. Aucun fichier de jeu créé par ce catalogue.</x:v>
      </x:c>
      <x:c r="M15" s="9" t="str"/>
      <x:c r="N15" s="9" t="str">
        <x:v>Le livrable « Samara — corridor de recul » possède une scène ou un scénario de contrôle ; ses règles proposées, ses conditions et ses retours visuels sont vérifiables séparément.</x:v>
      </x:c>
      <x:c r="O15" s="9" t="str">
        <x:v>ME2-CHR-SAMARA, ME2-POW-THROW, ME2-POW-REAVE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ME2-AMV-MORINTH-TURN</x:v>
      </x:c>
      <x:c r="B16" s="7" t="str">
        <x:v>Morinth — détour d’attention</x:v>
      </x:c>
      <x:c r="C16" s="15" t="str">
        <x:v>Défini</x:v>
      </x:c>
      <x:c r="D16" s="17" t="str">
        <x:v>Extrapolation</x:v>
      </x:c>
      <x:c r="E16" s="17" t="str">
        <x:v>P1</x:v>
      </x:c>
      <x:c r="F16" s="7" t="str">
        <x:v>Livrable original proposé : Morinth — détour d’attention.</x:v>
      </x:c>
      <x:c r="G16" s="7" t="str">
        <x:v>Convertit une cible organique isolée et révèle au joueur sa durée de loyauté provisoire ; le groupe évite de la prendre automatiquement pour cible.</x:v>
      </x:c>
      <x:c r="H16" s="7" t="str">
        <x:v>Convertit une cible organique isolée et révèle au joueur sa durée de loyauté provisoire ; le groupe évite de la prendre automatiquement pour cible.</x:v>
      </x:c>
      <x:c r="I16" s="7" t="str">
        <x:v>Lien violet et portrait de cible barré d’un minuteur.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me2/ally_moves/morinth-turn ; rattacher les ressources et états cités à cet identifiant. Aucun fichier de jeu créé par ce catalogue.</x:v>
      </x:c>
      <x:c r="M16" s="7" t="str"/>
      <x:c r="N16" s="7" t="str">
        <x:v>Le livrable « Morinth — détour d’attention » possède une scène ou un scénario de contrôle ; ses règles proposées, ses conditions et ses retours visuels sont vérifiables séparément.</x:v>
      </x:c>
      <x:c r="O16" s="7" t="str">
        <x:v>ME2-CHR-MORINTH, ME2-POW-DOMINATE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ME2-AMV-LEGION-NET</x:v>
      </x:c>
      <x:c r="B17" s="9" t="str">
        <x:v>Legion — contrôle de réseau</x:v>
      </x:c>
      <x:c r="C17" s="15" t="str">
        <x:v>Défini</x:v>
      </x:c>
      <x:c r="D17" s="16" t="str">
        <x:v>Extrapolation</x:v>
      </x:c>
      <x:c r="E17" s="16" t="str">
        <x:v>P1</x:v>
      </x:c>
      <x:c r="F17" s="9" t="str">
        <x:v>Livrable original proposé : Legion — contrôle de réseau.</x:v>
      </x:c>
      <x:c r="G17" s="9" t="str">
        <x:v>Un drone force une rotation, puis le tir de Legion frappe la cible marquée ; ne pas utiliser l’identité geth pour ouvrir arbitrairement tout terminal.</x:v>
      </x:c>
      <x:c r="H17" s="9" t="str">
        <x:v>Un drone force une rotation, puis le tir de Legion frappe la cible marquée ; ne pas utiliser l’identité geth pour ouvrir arbitrairement tout terminal.</x:v>
      </x:c>
      <x:c r="I17" s="9" t="str">
        <x:v>Optique éclairée, drone et ligne de tir droite.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me2/ally_moves/legion-net ; rattacher les ressources et états cités à cet identifiant. Aucun fichier de jeu créé par ce catalogue.</x:v>
      </x:c>
      <x:c r="M17" s="9" t="str"/>
      <x:c r="N17" s="9" t="str">
        <x:v>Le livrable « Legion — contrôle de réseau » possède une scène ou un scénario de contrôle ; ses règles proposées, ses conditions et ses retours visuels sont vérifiables séparément.</x:v>
      </x:c>
      <x:c r="O17" s="9" t="str">
        <x:v>ME2-CHR-LEGION, ME2-POW-DRONE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ME2-AMV-KASUMI-EXIT</x:v>
      </x:c>
      <x:c r="B18" s="7" t="str">
        <x:v>Kasumi — entrée et repli</x:v>
      </x:c>
      <x:c r="C18" s="15" t="str">
        <x:v>Défini</x:v>
      </x:c>
      <x:c r="D18" s="17" t="str">
        <x:v>Extrapolation</x:v>
      </x:c>
      <x:c r="E18" s="17" t="str">
        <x:v>P1</x:v>
      </x:c>
      <x:c r="F18" s="7" t="str">
        <x:v>Livrable original proposé : Kasumi — entrée et repli.</x:v>
      </x:c>
      <x:c r="G18" s="7" t="str">
        <x:v>Réserve une case de retour avant Shadow Strike ; si elle est occupée à la fin, choisir l’abri adjacent sûr sans téléporter hors arène.</x:v>
      </x:c>
      <x:c r="H18" s="7" t="str">
        <x:v>Réserve une case de retour avant Shadow Strike ; si elle est occupée à la fin, choisir l’abri adjacent sûr sans téléporter hors arène.</x:v>
      </x:c>
      <x:c r="I18" s="7" t="str">
        <x:v>Après-image sombre et marqueur de retour.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me2/ally_moves/kasumi-exit ; rattacher les ressources et états cités à cet identifiant. Aucun fichier de jeu créé par ce catalogue.</x:v>
      </x:c>
      <x:c r="M18" s="7" t="str"/>
      <x:c r="N18" s="7" t="str">
        <x:v>Le livrable « Kasumi — entrée et repli » possède une scène ou un scénario de contrôle ; ses règles proposées, ses conditions et ses retours visuels sont vérifiables séparément.</x:v>
      </x:c>
      <x:c r="O18" s="7" t="str">
        <x:v>ME2-CHR-KASUMI, ME2-POW-SHADOW-STRIKE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ME2-AMV-ZAEED-LANE</x:v>
      </x:c>
      <x:c r="B19" s="9" t="str">
        <x:v>Zaeed — couper une route</x:v>
      </x:c>
      <x:c r="C19" s="15" t="str">
        <x:v>Défini</x:v>
      </x:c>
      <x:c r="D19" s="16" t="str">
        <x:v>Extrapolation</x:v>
      </x:c>
      <x:c r="E19" s="16" t="str">
        <x:v>P1</x:v>
      </x:c>
      <x:c r="F19" s="9" t="str">
        <x:v>Livrable original proposé : Zaeed — couper une route.</x:v>
      </x:c>
      <x:c r="G19" s="9" t="str">
        <x:v>Grenade incendiaire derrière un abri puis tir de couverture sur l’issue ; un compteur montre l’entretien de suppression.</x:v>
      </x:c>
      <x:c r="H19" s="9" t="str">
        <x:v>Grenade incendiaire derrière un abri puis tir de couverture sur l’issue ; un compteur montre l’entretien de suppression.</x:v>
      </x:c>
      <x:c r="I19" s="9" t="str">
        <x:v>Éventail orange et arme calée sur l’épaule.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me2/ally_moves/zaeed-lane ; rattacher les ressources et états cités à cet identifiant. Aucun fichier de jeu créé par ce catalogue.</x:v>
      </x:c>
      <x:c r="M19" s="9" t="str"/>
      <x:c r="N19" s="9" t="str">
        <x:v>Le livrable « Zaeed — couper une route » possède une scène ou un scénario de contrôle ; ses règles proposées, ses conditions et ses retours visuels sont vérifiables séparément.</x:v>
      </x:c>
      <x:c r="O19" s="9" t="str">
        <x:v>ME2-CHR-ZAEED, ME2-POW-INFERNO</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ME2-AMV-LIARA-DUO</x:v>
      </x:c>
      <x:c r="B20" s="7" t="str">
        <x:v>Liara — ouverture du bouclier yahg</x:v>
      </x:c>
      <x:c r="C20" s="15" t="str">
        <x:v>Défini</x:v>
      </x:c>
      <x:c r="D20" s="17" t="str">
        <x:v>Extrapolation</x:v>
      </x:c>
      <x:c r="E20" s="17" t="str">
        <x:v>P1</x:v>
      </x:c>
      <x:c r="F20" s="7" t="str">
        <x:v>Livrable original proposé : Liara — ouverture du bouclier yahg.</x:v>
      </x:c>
      <x:c r="G20" s="7" t="str">
        <x:v>Après une fenêtre de mêlée, Liara intervient sur le bouclier ; un ordre de duo consomme les deux disponibilités prévues et ne peut se doubler.</x:v>
      </x:c>
      <x:c r="H20" s="7" t="str">
        <x:v>Après une fenêtre de mêlée, Liara intervient sur le bouclier ; un ordre de duo consomme les deux disponibilités prévues et ne peut se doubler.</x:v>
      </x:c>
      <x:c r="I20" s="7" t="str">
        <x:v>Deux trajectoires de protagonistes encadrent le boss.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me2/ally_moves/liara-duo ; rattacher les ressources et états cités à cet identifiant. Aucun fichier de jeu créé par ce catalogue.</x:v>
      </x:c>
      <x:c r="M20" s="7" t="str">
        <x:v>Extension Shadow Broker.</x:v>
      </x:c>
      <x:c r="N20" s="7" t="str">
        <x:v>Le livrable « Liara — ouverture du bouclier yahg » possède une scène ou un scénario de contrôle ; ses règles proposées, ses conditions et ses retours visuels sont vérifiables séparément.</x:v>
      </x:c>
      <x:c r="O20" s="7" t="str">
        <x:v>ME2-CHR-LIARA, ME2-ENM-BROKER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ME2-AMV-SHEPARD-RALLY</x:v>
      </x:c>
      <x:c r="B21" s="9" t="str">
        <x:v>Shepard — regroupement</x:v>
      </x:c>
      <x:c r="C21" s="15" t="str">
        <x:v>Défini</x:v>
      </x:c>
      <x:c r="D21" s="16" t="str">
        <x:v>Extrapolation</x:v>
      </x:c>
      <x:c r="E21" s="16" t="str">
        <x:v>P1</x:v>
      </x:c>
      <x:c r="F21" s="9" t="str">
        <x:v>Livrable original proposé : Shepard — regroupement.</x:v>
      </x:c>
      <x:c r="G21" s="9" t="str">
        <x:v>Ordre collectif déplace les deux équipiers vers des positions sûres ; n’efface pas les projectiles déjà en vol.</x:v>
      </x:c>
      <x:c r="H21" s="9" t="str">
        <x:v>Ordre collectif déplace les deux équipiers vers des positions sûres ; n’efface pas les projectiles déjà en vol.</x:v>
      </x:c>
      <x:c r="I21" s="9" t="str">
        <x:v>Icône de point de rassemblement et flèches individuelles.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me2/ally_moves/shepard-rally ; rattacher les ressources et états cités à cet identifiant. Aucun fichier de jeu créé par ce catalogue.</x:v>
      </x:c>
      <x:c r="M21" s="9" t="str"/>
      <x:c r="N21" s="9" t="str">
        <x:v>Le livrable « Shepard — regroupement » possède une scène ou un scénario de contrôle ; ses règles proposées, ses conditions et ses retours visuels sont vérifiables séparément.</x:v>
      </x:c>
      <x:c r="O21" s="9" t="str">
        <x:v>ME2-CHR-SHEPARD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ME2-AMV-KENSON-PANEL</x:v>
      </x:c>
      <x:c r="B22" s="7" t="str">
        <x:v>Kenson — travail de console</x:v>
      </x:c>
      <x:c r="C22" s="15" t="str">
        <x:v>Défini</x:v>
      </x:c>
      <x:c r="D22" s="17" t="str">
        <x:v>Extrapolation</x:v>
      </x:c>
      <x:c r="E22" s="17" t="str">
        <x:v>P1</x:v>
      </x:c>
      <x:c r="F22" s="7" t="str">
        <x:v>Livrable original proposé : Kenson — travail de console.</x:v>
      </x:c>
      <x:c r="G22" s="7" t="str">
        <x:v>Pendant sa séquence alliée, un événement de console progresse si l’espace proche est protégé ; une interruption ralentit sans perdre tous les progrès.</x:v>
      </x:c>
      <x:c r="H22" s="7" t="str">
        <x:v>Pendant sa séquence alliée, un événement de console progresse si l’espace proche est protégé ; une interruption ralentit sans perdre tous les progrès.</x:v>
      </x:c>
      <x:c r="I22" s="7" t="str">
        <x:v>Posture de saisie et écran à barres de progression.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me2/ally_moves/kenson-panel ; rattacher les ressources et états cités à cet identifiant. Aucun fichier de jeu créé par ce catalogue.</x:v>
      </x:c>
      <x:c r="M22" s="7" t="str">
        <x:v>Arrival uniquement.</x:v>
      </x:c>
      <x:c r="N22" s="7" t="str">
        <x:v>Le livrable « Kenson — travail de console » possède une scène ou un scénario de contrôle ; ses règles proposées, ses conditions et ses retours visuels sont vérifiables séparément.</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68" priority="1" operator="equal">
      <x:formula>"À vérifier"</x:formula>
    </x:cfRule>
    <x:cfRule type="cellIs" dxfId="69" priority="2" operator="equal">
      <x:formula>"Extrapolation"</x:formula>
    </x:cfRule>
  </x:conditionalFormatting>
  <x:conditionalFormatting sqref="C7:C22">
    <x:cfRule type="cellIs" dxfId="70" priority="3" operator="equal">
      <x:formula>"Validé"</x:formula>
    </x:cfRule>
  </x:conditionalFormatting>
  <x:conditionalFormatting sqref="E7:E22">
    <x:cfRule type="cellIs" dxfId="7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285b7d99cc664ed9"/>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2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ME2-EMV-BS-TROOPER</x:v>
      </x:c>
      <x:c r="B7" s="9" t="str">
        <x:v>Blue Suns Trooper — Rafale croisée</x:v>
      </x:c>
      <x:c r="C7" s="15" t="str">
        <x:v>Défini</x:v>
      </x:c>
      <x:c r="D7" s="16" t="str">
        <x:v>Extrapolation</x:v>
      </x:c>
      <x:c r="E7" s="16" t="str">
        <x:v>P1</x:v>
      </x:c>
      <x:c r="F7" s="9" t="str">
        <x:v>Livrable original proposé : Blue Suns Trooper — Rafale croisée.</x:v>
      </x:c>
      <x:c r="G7" s="9" t="str">
        <x:v>Vise la dernière position connue ; un déplacement latéral ou un écran biotique rompt le tir.</x:v>
      </x:c>
      <x:c r="H7" s="9" t="str">
        <x:v>Vise la dernière position connue ; un déplacement latéral ou un écran biotique rompt le tir.</x:v>
      </x:c>
      <x:c r="I7" s="9" t="str">
        <x:v>Armure bleue, fusil et visière rectiligne. Ajouter un télégraphe de préparation indépendant du décor.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me2/enemy_moves/bs-trooper ; rattacher les ressources et états cités à cet identifiant. Aucun fichier de jeu créé par ce catalogue.</x:v>
      </x:c>
      <x:c r="M7" s="9" t="str"/>
      <x:c r="N7" s="9" t="str">
        <x:v>En duel puis en groupe, « Rafale croisée » laisse une réponse observable ; l’impact ne précède jamais son télégraphe et l’interruption n’exécute pas les dégâts annulés.</x:v>
      </x:c>
      <x:c r="O7" s="9" t="str">
        <x:v>ME2-ENM-BS-TROOPER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ME2-EMV-BS-HEAVY</x:v>
      </x:c>
      <x:c r="B8" s="7" t="str">
        <x:v>Blue Suns Heavy — Roquette annoncée</x:v>
      </x:c>
      <x:c r="C8" s="15" t="str">
        <x:v>Défini</x:v>
      </x:c>
      <x:c r="D8" s="17" t="str">
        <x:v>Extrapolation</x:v>
      </x:c>
      <x:c r="E8" s="17" t="str">
        <x:v>P1</x:v>
      </x:c>
      <x:c r="F8" s="7" t="str">
        <x:v>Livrable original proposé : Blue Suns Heavy — Roquette annoncée.</x:v>
      </x:c>
      <x:c r="G8" s="7" t="str">
        <x:v>Pose un marqueur au sol avant départ ; quitter le couvert ciblé ou interrompre le tireur.</x:v>
      </x:c>
      <x:c r="H8" s="7" t="str">
        <x:v>Pose un marqueur au sol avant départ ; quitter le couvert ciblé ou interrompre le tireur.</x:v>
      </x:c>
      <x:c r="I8" s="7" t="str">
        <x:v>Tube de roquette haut sur l’épaule. Ajouter un télégraphe de préparation indépendant du décor.</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me2/enemy_moves/bs-heavy ; rattacher les ressources et états cités à cet identifiant. Aucun fichier de jeu créé par ce catalogue.</x:v>
      </x:c>
      <x:c r="M8" s="7" t="str"/>
      <x:c r="N8" s="7" t="str">
        <x:v>En duel puis en groupe, « Roquette annoncée » laisse une réponse observable ; l’impact ne précède jamais son télégraphe et l’interruption n’exécute pas les dégâts annulés.</x:v>
      </x:c>
      <x:c r="O8" s="7" t="str">
        <x:v>ME2-ENM-BS-HEAVY</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ME2-EMV-BS-CENTURION</x:v>
      </x:c>
      <x:c r="B9" s="9" t="str">
        <x:v>Blue Suns Centurion — Ordre de concentration</x:v>
      </x:c>
      <x:c r="C9" s="15" t="str">
        <x:v>Défini</x:v>
      </x:c>
      <x:c r="D9" s="16" t="str">
        <x:v>Extrapolation</x:v>
      </x:c>
      <x:c r="E9" s="16" t="str">
        <x:v>P1</x:v>
      </x:c>
      <x:c r="F9" s="9" t="str">
        <x:v>Livrable original proposé : Blue Suns Centurion — Ordre de concentration.</x:v>
      </x:c>
      <x:c r="G9" s="9" t="str">
        <x:v>Désigne un allié à harceler ; casser sa ligne de vue annule le bonus d’équipe proposé.</x:v>
      </x:c>
      <x:c r="H9" s="9" t="str">
        <x:v>Désigne un allié à harceler ; casser sa ligne de vue annule le bonus d’équipe proposé.</x:v>
      </x:c>
      <x:c r="I9" s="9" t="str">
        <x:v>Armure bleue renforcée et signe d’officier. Ajouter un télégraphe de préparation indépendant du décor.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me2/enemy_moves/bs-centurion ; rattacher les ressources et états cités à cet identifiant. Aucun fichier de jeu créé par ce catalogue.</x:v>
      </x:c>
      <x:c r="M9" s="9" t="str"/>
      <x:c r="N9" s="9" t="str">
        <x:v>En duel puis en groupe, « Ordre de concentration » laisse une réponse observable ; l’impact ne précède jamais son télégraphe et l’interruption n’exécute pas les dégâts annulés.</x:v>
      </x:c>
      <x:c r="O9" s="9" t="str">
        <x:v>ME2-ENM-BS-CENTURION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ME2-EMV-BS-LEGION</x:v>
      </x:c>
      <x:c r="B10" s="7" t="str">
        <x:v>Blue Suns Legionnaire — Avancée sous bouclier</x:v>
      </x:c>
      <x:c r="C10" s="15" t="str">
        <x:v>Défini</x:v>
      </x:c>
      <x:c r="D10" s="17" t="str">
        <x:v>Extrapolation</x:v>
      </x:c>
      <x:c r="E10" s="17" t="str">
        <x:v>P1</x:v>
      </x:c>
      <x:c r="F10" s="7" t="str">
        <x:v>Livrable original proposé : Blue Suns Legionnaire — Avancée sous bouclier.</x:v>
      </x:c>
      <x:c r="G10" s="7" t="str">
        <x:v>Progresse d’un abri à l’autre ; Surcharge ouvre une fenêtre de recul.</x:v>
      </x:c>
      <x:c r="H10" s="7" t="str">
        <x:v>Progresse d’un abri à l’autre ; Surcharge ouvre une fenêtre de recul.</x:v>
      </x:c>
      <x:c r="I10" s="7" t="str">
        <x:v>Silhouette blindée et forte protection frontale. Ajouter un télégraphe de préparation indépendant du décor.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me2/enemy_moves/bs-legion ; rattacher les ressources et états cités à cet identifiant. Aucun fichier de jeu créé par ce catalogue.</x:v>
      </x:c>
      <x:c r="M10" s="7" t="str"/>
      <x:c r="N10" s="7" t="str">
        <x:v>En duel puis en groupe, « Avancée sous bouclier » laisse une réponse observable ; l’impact ne précède jamais son télégraphe et l’interruption n’exécute pas les dégâts annulés.</x:v>
      </x:c>
      <x:c r="O10" s="7" t="str">
        <x:v>ME2-ENM-BS-LEGION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ME2-EMV-EC-TROOPER</x:v>
      </x:c>
      <x:c r="B11" s="9" t="str">
        <x:v>Eclipse Trooper — Tir de maintien</x:v>
      </x:c>
      <x:c r="C11" s="15" t="str">
        <x:v>Défini</x:v>
      </x:c>
      <x:c r="D11" s="16" t="str">
        <x:v>Extrapolation</x:v>
      </x:c>
      <x:c r="E11" s="16" t="str">
        <x:v>P1</x:v>
      </x:c>
      <x:c r="F11" s="9" t="str">
        <x:v>Livrable original proposé : Eclipse Trooper — Tir de maintien.</x:v>
      </x:c>
      <x:c r="G11" s="9" t="str">
        <x:v>Couvre un corridor ; le détour latéral force un changement de position coûteux.</x:v>
      </x:c>
      <x:c r="H11" s="9" t="str">
        <x:v>Couvre un corridor ; le détour latéral force un changement de position coûteux.</x:v>
      </x:c>
      <x:c r="I11" s="9" t="str">
        <x:v>Armure jaune et noire, arme légère. Ajouter un télégraphe de préparation indépendant du décor.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me2/enemy_moves/ec-trooper ; rattacher les ressources et états cités à cet identifiant. Aucun fichier de jeu créé par ce catalogue.</x:v>
      </x:c>
      <x:c r="M11" s="9" t="str"/>
      <x:c r="N11" s="9" t="str">
        <x:v>En duel puis en groupe, « Tir de maintien » laisse une réponse observable ; l’impact ne précède jamais son télégraphe et l’interruption n’exécute pas les dégâts annulés.</x:v>
      </x:c>
      <x:c r="O11" s="9" t="str">
        <x:v>ME2-ENM-EC-TROOPER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ME2-EMV-EC-HEAVY</x:v>
      </x:c>
      <x:c r="B12" s="7" t="str">
        <x:v>Eclipse Heavy — Salve de zone</x:v>
      </x:c>
      <x:c r="C12" s="15" t="str">
        <x:v>Défini</x:v>
      </x:c>
      <x:c r="D12" s="17" t="str">
        <x:v>Extrapolation</x:v>
      </x:c>
      <x:c r="E12" s="17" t="str">
        <x:v>P1</x:v>
      </x:c>
      <x:c r="F12" s="7" t="str">
        <x:v>Livrable original proposé : Eclipse Heavy — Salve de zone.</x:v>
      </x:c>
      <x:c r="G12" s="7" t="str">
        <x:v>Prépare une explosion derrière l’abri ; le joueur peut tirer sur le projectile ou sortir de la zone.</x:v>
      </x:c>
      <x:c r="H12" s="7" t="str">
        <x:v>Prépare une explosion derrière l’abri ; le joueur peut tirer sur le projectile ou sortir de la zone.</x:v>
      </x:c>
      <x:c r="I12" s="7" t="str">
        <x:v>Lanceur et bandes jaunes larges. Ajouter un télégraphe de préparation indépendant du décor.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me2/enemy_moves/ec-heavy ; rattacher les ressources et états cités à cet identifiant. Aucun fichier de jeu créé par ce catalogue.</x:v>
      </x:c>
      <x:c r="M12" s="7" t="str"/>
      <x:c r="N12" s="7" t="str">
        <x:v>En duel puis en groupe, « Salve de zone » laisse une réponse observable ; l’impact ne précède jamais son télégraphe et l’interruption n’exécute pas les dégâts annulés.</x:v>
      </x:c>
      <x:c r="O12" s="7" t="str">
        <x:v>ME2-ENM-EC-HEAVY</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ME2-EMV-EC-ENGINEER</x:v>
      </x:c>
      <x:c r="B13" s="9" t="str">
        <x:v>Eclipse Engineer — Déploiement de drone</x:v>
      </x:c>
      <x:c r="C13" s="15" t="str">
        <x:v>Défini</x:v>
      </x:c>
      <x:c r="D13" s="16" t="str">
        <x:v>Extrapolation</x:v>
      </x:c>
      <x:c r="E13" s="16" t="str">
        <x:v>P1</x:v>
      </x:c>
      <x:c r="F13" s="9" t="str">
        <x:v>Livrable original proposé : Eclipse Engineer — Déploiement de drone.</x:v>
      </x:c>
      <x:c r="G13" s="9" t="str">
        <x:v>Un point de construction apparaît ; interrompre la pose ou pirater le drone déjà actif.</x:v>
      </x:c>
      <x:c r="H13" s="9" t="str">
        <x:v>Un point de construction apparaît ; interrompre la pose ou pirater le drone déjà actif.</x:v>
      </x:c>
      <x:c r="I13" s="9" t="str">
        <x:v>Omni-outil et équipement jaune technique. Ajouter un télégraphe de préparation indépendant du décor.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me2/enemy_moves/ec-engineer ; rattacher les ressources et états cités à cet identifiant. Aucun fichier de jeu créé par ce catalogue.</x:v>
      </x:c>
      <x:c r="M13" s="9" t="str"/>
      <x:c r="N13" s="9" t="str">
        <x:v>En duel puis en groupe, « Déploiement de drone » laisse une réponse observable ; l’impact ne précède jamais son télégraphe et l’interruption n’exécute pas les dégâts annulés.</x:v>
      </x:c>
      <x:c r="O13" s="9" t="str">
        <x:v>ME2-ENM-EC-ENGINEER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ME2-EMV-EC-VANGUARD</x:v>
      </x:c>
      <x:c r="B14" s="7" t="str">
        <x:v>Eclipse Vanguard — Poussée de proximité</x:v>
      </x:c>
      <x:c r="C14" s="15" t="str">
        <x:v>Défini</x:v>
      </x:c>
      <x:c r="D14" s="17" t="str">
        <x:v>Extrapolation</x:v>
      </x:c>
      <x:c r="E14" s="17" t="str">
        <x:v>P1</x:v>
      </x:c>
      <x:c r="F14" s="7" t="str">
        <x:v>Livrable original proposé : Eclipse Vanguard — Poussée de proximité.</x:v>
      </x:c>
      <x:c r="G14" s="7" t="str">
        <x:v>Chargement des mains puis projection en cône ; se placer derrière ou casser sa barrière.</x:v>
      </x:c>
      <x:c r="H14" s="7" t="str">
        <x:v>Chargement des mains puis projection en cône ; se placer derrière ou casser sa barrière.</x:v>
      </x:c>
      <x:c r="I14" s="7" t="str">
        <x:v>Halo biotique et posture penchée. Ajouter un télégraphe de préparation indépendant du décor.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me2/enemy_moves/ec-vanguard ; rattacher les ressources et états cités à cet identifiant. Aucun fichier de jeu créé par ce catalogue.</x:v>
      </x:c>
      <x:c r="M14" s="7" t="str"/>
      <x:c r="N14" s="7" t="str">
        <x:v>En duel puis en groupe, « Poussée de proximité » laisse une réponse observable ; l’impact ne précède jamais son télégraphe et l’interruption n’exécute pas les dégâts annulés.</x:v>
      </x:c>
      <x:c r="O14" s="7" t="str">
        <x:v>ME2-ENM-EC-VANGUARD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ME2-EMV-EC-COMMANDO</x:v>
      </x:c>
      <x:c r="B15" s="9" t="str">
        <x:v>Eclipse Commando — Barrière offensive</x:v>
      </x:c>
      <x:c r="C15" s="15" t="str">
        <x:v>Défini</x:v>
      </x:c>
      <x:c r="D15" s="16" t="str">
        <x:v>Extrapolation</x:v>
      </x:c>
      <x:c r="E15" s="16" t="str">
        <x:v>P1</x:v>
      </x:c>
      <x:c r="F15" s="9" t="str">
        <x:v>Livrable original proposé : Eclipse Commando — Barrière offensive.</x:v>
      </x:c>
      <x:c r="G15" s="9" t="str">
        <x:v>Alterne protection et décharge ; le pouvoir anti-barrière permet un contre pendant la récupération.</x:v>
      </x:c>
      <x:c r="H15" s="9" t="str">
        <x:v>Alterne protection et décharge ; le pouvoir anti-barrière permet un contre pendant la récupération.</x:v>
      </x:c>
      <x:c r="I15" s="9" t="str">
        <x:v>Asari en armure jaune, bulle bleu-violet. Ajouter un télégraphe de préparation indépendant du décor.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me2/enemy_moves/ec-commando ; rattacher les ressources et états cités à cet identifiant. Aucun fichier de jeu créé par ce catalogue.</x:v>
      </x:c>
      <x:c r="M15" s="9" t="str"/>
      <x:c r="N15" s="9" t="str">
        <x:v>En duel puis en groupe, « Barrière offensive » laisse une réponse observable ; l’impact ne précède jamais son télégraphe et l’interruption n’exécute pas les dégâts annulés.</x:v>
      </x:c>
      <x:c r="O15" s="9" t="str">
        <x:v>ME2-ENM-EC-COMMANDO</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ME2-EMV-BP-TROOPER</x:v>
      </x:c>
      <x:c r="B16" s="7" t="str">
        <x:v>Blood Pack Trooper — Ruée désordonnée</x:v>
      </x:c>
      <x:c r="C16" s="15" t="str">
        <x:v>Défini</x:v>
      </x:c>
      <x:c r="D16" s="17" t="str">
        <x:v>Extrapolation</x:v>
      </x:c>
      <x:c r="E16" s="17" t="str">
        <x:v>P1</x:v>
      </x:c>
      <x:c r="F16" s="7" t="str">
        <x:v>Livrable original proposé : Blood Pack Trooper — Ruée désordonnée.</x:v>
      </x:c>
      <x:c r="G16" s="7" t="str">
        <x:v>Attaque par courtes courses ; contrôler les premières lignes empêche l’encerclement.</x:v>
      </x:c>
      <x:c r="H16" s="7" t="str">
        <x:v>Attaque par courtes courses ; contrôler les premières lignes empêche l’encerclement.</x:v>
      </x:c>
      <x:c r="I16" s="7" t="str">
        <x:v>Vorcha rougeâtre et plaques mal ajustées. Ajouter un télégraphe de préparation indépendant du décor.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me2/enemy_moves/bp-trooper ; rattacher les ressources et états cités à cet identifiant. Aucun fichier de jeu créé par ce catalogue.</x:v>
      </x:c>
      <x:c r="M16" s="7" t="str"/>
      <x:c r="N16" s="7" t="str">
        <x:v>En duel puis en groupe, « Ruée désordonnée » laisse une réponse observable ; l’impact ne précède jamais son télégraphe et l’interruption n’exécute pas les dégâts annulés.</x:v>
      </x:c>
      <x:c r="O16" s="7" t="str">
        <x:v>ME2-ENM-BP-TROOPER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ME2-EMV-BP-WARRIOR</x:v>
      </x:c>
      <x:c r="B17" s="9" t="str">
        <x:v>Blood Pack Warrior — Charge lourde</x:v>
      </x:c>
      <x:c r="C17" s="15" t="str">
        <x:v>Défini</x:v>
      </x:c>
      <x:c r="D17" s="16" t="str">
        <x:v>Extrapolation</x:v>
      </x:c>
      <x:c r="E17" s="16" t="str">
        <x:v>P1</x:v>
      </x:c>
      <x:c r="F17" s="9" t="str">
        <x:v>Livrable original proposé : Blood Pack Warrior — Charge lourde.</x:v>
      </x:c>
      <x:c r="G17" s="9" t="str">
        <x:v>Pied planté et tête baissée annoncent l’assaut ; esquive latérale puis attaque du dos.</x:v>
      </x:c>
      <x:c r="H17" s="9" t="str">
        <x:v>Pied planté et tête baissée annoncent l’assaut ; esquive latérale puis attaque du dos.</x:v>
      </x:c>
      <x:c r="I17" s="9" t="str">
        <x:v>Grande silhouette krogan rouge sombre. Ajouter un télégraphe de préparation indépendant du décor.</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me2/enemy_moves/bp-warrior ; rattacher les ressources et états cités à cet identifiant. Aucun fichier de jeu créé par ce catalogue.</x:v>
      </x:c>
      <x:c r="M17" s="9" t="str"/>
      <x:c r="N17" s="9" t="str">
        <x:v>En duel puis en groupe, « Charge lourde » laisse une réponse observable ; l’impact ne précède jamais son télégraphe et l’interruption n’exécute pas les dégâts annulés.</x:v>
      </x:c>
      <x:c r="O17" s="9" t="str">
        <x:v>ME2-ENM-BP-WARRIOR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ME2-EMV-BP-PYRO</x:v>
      </x:c>
      <x:c r="B18" s="7" t="str">
        <x:v>Blood Pack Pyro — Balayage de flammes</x:v>
      </x:c>
      <x:c r="C18" s="15" t="str">
        <x:v>Défini</x:v>
      </x:c>
      <x:c r="D18" s="17" t="str">
        <x:v>Extrapolation</x:v>
      </x:c>
      <x:c r="E18" s="17" t="str">
        <x:v>P1</x:v>
      </x:c>
      <x:c r="F18" s="7" t="str">
        <x:v>Livrable original proposé : Blood Pack Pyro — Balayage de flammes.</x:v>
      </x:c>
      <x:c r="G18" s="7" t="str">
        <x:v>Trace un arc continu de portée courte ; sortir du cône et viser le réservoir après anticipation.</x:v>
      </x:c>
      <x:c r="H18" s="7" t="str">
        <x:v>Trace un arc continu de portée courte ; sortir du cône et viser le réservoir après anticipation.</x:v>
      </x:c>
      <x:c r="I18" s="7" t="str">
        <x:v>Réservoir dorsal et brûleur. Ajouter un télégraphe de préparation indépendant du décor.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me2/enemy_moves/bp-pyro ; rattacher les ressources et états cités à cet identifiant. Aucun fichier de jeu créé par ce catalogue.</x:v>
      </x:c>
      <x:c r="M18" s="7" t="str"/>
      <x:c r="N18" s="7" t="str">
        <x:v>En duel puis en groupe, « Balayage de flammes » laisse une réponse observable ; l’impact ne précède jamais son télégraphe et l’interruption n’exécute pas les dégâts annulés.</x:v>
      </x:c>
      <x:c r="O18" s="7" t="str">
        <x:v>ME2-ENM-BP-PYRO</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ME2-EMV-BP-BOOM</x:v>
      </x:c>
      <x:c r="B19" s="9" t="str">
        <x:v>Blood Pack Boom-Squad — Tir explosif</x:v>
      </x:c>
      <x:c r="C19" s="15" t="str">
        <x:v>Défini</x:v>
      </x:c>
      <x:c r="D19" s="16" t="str">
        <x:v>Extrapolation</x:v>
      </x:c>
      <x:c r="E19" s="16" t="str">
        <x:v>P1</x:v>
      </x:c>
      <x:c r="F19" s="9" t="str">
        <x:v>Livrable original proposé : Blood Pack Boom-Squad — Tir explosif.</x:v>
      </x:c>
      <x:c r="G19" s="9" t="str">
        <x:v>Prend appui avant d’arroser une bande de terrain ; couverts épais ou déplacement interrompent l’exposition.</x:v>
      </x:c>
      <x:c r="H19" s="9" t="str">
        <x:v>Prend appui avant d’arroser une bande de terrain ; couverts épais ou déplacement interrompent l’exposition.</x:v>
      </x:c>
      <x:c r="I19" s="9" t="str">
        <x:v>Lanceur volumineux et appui large. Ajouter un télégraphe de préparation indépendant du décor.</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me2/enemy_moves/bp-boom ; rattacher les ressources et états cités à cet identifiant. Aucun fichier de jeu créé par ce catalogue.</x:v>
      </x:c>
      <x:c r="M19" s="9" t="str"/>
      <x:c r="N19" s="9" t="str">
        <x:v>En duel puis en groupe, « Tir explosif » laisse une réponse observable ; l’impact ne précède jamais son télégraphe et l’interruption n’exécute pas les dégâts annulés.</x:v>
      </x:c>
      <x:c r="O19" s="9" t="str">
        <x:v>ME2-ENM-BP-BOOM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ME2-EMV-LOKI</x:v>
      </x:c>
      <x:c r="B20" s="7" t="str">
        <x:v>LOKI Mech — Acquisition lente</x:v>
      </x:c>
      <x:c r="C20" s="15" t="str">
        <x:v>Défini</x:v>
      </x:c>
      <x:c r="D20" s="17" t="str">
        <x:v>Extrapolation</x:v>
      </x:c>
      <x:c r="E20" s="17" t="str">
        <x:v>P1</x:v>
      </x:c>
      <x:c r="F20" s="7" t="str">
        <x:v>Livrable original proposé : LOKI Mech — Acquisition lente.</x:v>
      </x:c>
      <x:c r="G20" s="7" t="str">
        <x:v>Laser bref puis tir ; le gel ou piratage interrompt l’acquisition.</x:v>
      </x:c>
      <x:c r="H20" s="7" t="str">
        <x:v>Laser bref puis tir ; le gel ou piratage interrompt l’acquisition.</x:v>
      </x:c>
      <x:c r="I20" s="7" t="str">
        <x:v>Humanoïde blanc, articulations fines et optique rouge. Ajouter un télégraphe de préparation indépendant du décor.</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me2/enemy_moves/loki ; rattacher les ressources et états cités à cet identifiant. Aucun fichier de jeu créé par ce catalogue.</x:v>
      </x:c>
      <x:c r="M20" s="7" t="str"/>
      <x:c r="N20" s="7" t="str">
        <x:v>En duel puis en groupe, « Acquisition lente » laisse une réponse observable ; l’impact ne précède jamais son télégraphe et l’interruption n’exécute pas les dégâts annulés.</x:v>
      </x:c>
      <x:c r="O20" s="7" t="str">
        <x:v>ME2-ENM-LOKI</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ME2-EMV-FENRIS</x:v>
      </x:c>
      <x:c r="B21" s="9" t="str">
        <x:v>FENRIS Mech — Bond de morsure</x:v>
      </x:c>
      <x:c r="C21" s="15" t="str">
        <x:v>Défini</x:v>
      </x:c>
      <x:c r="D21" s="16" t="str">
        <x:v>Extrapolation</x:v>
      </x:c>
      <x:c r="E21" s="16" t="str">
        <x:v>P1</x:v>
      </x:c>
      <x:c r="F21" s="9" t="str">
        <x:v>Livrable original proposé : FENRIS Mech — Bond de morsure.</x:v>
      </x:c>
      <x:c r="G21" s="9" t="str">
        <x:v>Pattes arrière comprimées puis bond ; repousser ou esquiver, éviter de camper le même abri.</x:v>
      </x:c>
      <x:c r="H21" s="9" t="str">
        <x:v>Pattes arrière comprimées puis bond ; repousser ou esquiver, éviter de camper le même abri.</x:v>
      </x:c>
      <x:c r="I21" s="9" t="str">
        <x:v>Châssis canin métallique. Ajouter un télégraphe de préparation indépendant du décor.</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me2/enemy_moves/fenris ; rattacher les ressources et états cités à cet identifiant. Aucun fichier de jeu créé par ce catalogue.</x:v>
      </x:c>
      <x:c r="M21" s="9" t="str"/>
      <x:c r="N21" s="9" t="str">
        <x:v>En duel puis en groupe, « Bond de morsure » laisse une réponse observable ; l’impact ne précède jamais son télégraphe et l’interruption n’exécute pas les dégâts annulés.</x:v>
      </x:c>
      <x:c r="O21" s="9" t="str">
        <x:v>ME2-ENM-FENRIS</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ME2-EMV-YMIR</x:v>
      </x:c>
      <x:c r="B22" s="7" t="str">
        <x:v>YMIR Mech — Saturation alternée</x:v>
      </x:c>
      <x:c r="C22" s="15" t="str">
        <x:v>Défini</x:v>
      </x:c>
      <x:c r="D22" s="17" t="str">
        <x:v>Extrapolation</x:v>
      </x:c>
      <x:c r="E22" s="17" t="str">
        <x:v>P1</x:v>
      </x:c>
      <x:c r="F22" s="7" t="str">
        <x:v>Livrable original proposé : YMIR Mech — Saturation alternée.</x:v>
      </x:c>
      <x:c r="G22" s="7" t="str">
        <x:v>Alterner mitrailleuse et roquette ; l’optique passe au rouge avant la salve de zone.</x:v>
      </x:c>
      <x:c r="H22" s="7" t="str">
        <x:v>Alterner mitrailleuse et roquette ; l’optique passe au rouge avant la salve de zone.</x:v>
      </x:c>
      <x:c r="I22" s="7" t="str">
        <x:v>Buste massif, bras d’armes et pas lourds. Ajouter un télégraphe de préparation indépendant du décor.</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me2/enemy_moves/ymir ; rattacher les ressources et états cités à cet identifiant. Aucun fichier de jeu créé par ce catalogue.</x:v>
      </x:c>
      <x:c r="M22" s="7" t="str"/>
      <x:c r="N22" s="7" t="str">
        <x:v>En duel puis en groupe, « Saturation alternée » laisse une réponse observable ; l’impact ne précède jamais son télégraphe et l’interruption n’exécute pas les dégâts annulés.</x:v>
      </x:c>
      <x:c r="O22" s="7" t="str">
        <x:v>ME2-ENM-YMIR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ME2-EMV-GETH-TROOPER</x:v>
      </x:c>
      <x:c r="B23" s="9" t="str">
        <x:v>Geth Trooper — Rafale calculée</x:v>
      </x:c>
      <x:c r="C23" s="15" t="str">
        <x:v>Défini</x:v>
      </x:c>
      <x:c r="D23" s="16" t="str">
        <x:v>Extrapolation</x:v>
      </x:c>
      <x:c r="E23" s="16" t="str">
        <x:v>P1</x:v>
      </x:c>
      <x:c r="F23" s="9" t="str">
        <x:v>Livrable original proposé : Geth Trooper — Rafale calculée.</x:v>
      </x:c>
      <x:c r="G23" s="9" t="str">
        <x:v>Tir à intervalle régulier ; surcharge puis déplacement empêchent l’alignement de plusieurs unités.</x:v>
      </x:c>
      <x:c r="H23" s="9" t="str">
        <x:v>Tir à intervalle régulier ; surcharge puis déplacement empêchent l’alignement de plusieurs unités.</x:v>
      </x:c>
      <x:c r="I23" s="9" t="str">
        <x:v>Optique unique et châssis synthétique fin. Ajouter un télégraphe de préparation indépendant du décor.</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me2/enemy_moves/geth-trooper ; rattacher les ressources et états cités à cet identifiant. Aucun fichier de jeu créé par ce catalogue.</x:v>
      </x:c>
      <x:c r="M23" s="9" t="str"/>
      <x:c r="N23" s="9" t="str">
        <x:v>En duel puis en groupe, « Rafale calculée » laisse une réponse observable ; l’impact ne précède jamais son télégraphe et l’interruption n’exécute pas les dégâts annulés.</x:v>
      </x:c>
      <x:c r="O23" s="9" t="str">
        <x:v>ME2-ENM-GETH-TROOPER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ME2-EMV-GETH-ROCKET</x:v>
      </x:c>
      <x:c r="B24" s="7" t="str">
        <x:v>Geth Rocket Trooper — Verrou de cible</x:v>
      </x:c>
      <x:c r="C24" s="15" t="str">
        <x:v>Défini</x:v>
      </x:c>
      <x:c r="D24" s="17" t="str">
        <x:v>Extrapolation</x:v>
      </x:c>
      <x:c r="E24" s="17" t="str">
        <x:v>P1</x:v>
      </x:c>
      <x:c r="F24" s="7" t="str">
        <x:v>Livrable original proposé : Geth Rocket Trooper — Verrou de cible.</x:v>
      </x:c>
      <x:c r="G24" s="7" t="str">
        <x:v>Un trait annonce l’axe ; rompre le verrou ou contourner par l’abri opposé.</x:v>
      </x:c>
      <x:c r="H24" s="7" t="str">
        <x:v>Un trait annonce l’axe ; rompre le verrou ou contourner par l’abri opposé.</x:v>
      </x:c>
      <x:c r="I24" s="7" t="str">
        <x:v>Tube d’arme et lumière d’optique nette. Ajouter un télégraphe de préparation indépendant du décor.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me2/enemy_moves/geth-rocket ; rattacher les ressources et états cités à cet identifiant. Aucun fichier de jeu créé par ce catalogue.</x:v>
      </x:c>
      <x:c r="M24" s="7" t="str"/>
      <x:c r="N24" s="7" t="str">
        <x:v>En duel puis en groupe, « Verrou de cible » laisse une réponse observable ; l’impact ne précède jamais son télégraphe et l’interruption n’exécute pas les dégâts annulés.</x:v>
      </x:c>
      <x:c r="O24" s="7" t="str">
        <x:v>ME2-ENM-GETH-ROCKET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ME2-EMV-GETH-HUNTER</x:v>
      </x:c>
      <x:c r="B25" s="9" t="str">
        <x:v>Geth Hunter — Approche masquée</x:v>
      </x:c>
      <x:c r="C25" s="15" t="str">
        <x:v>Défini</x:v>
      </x:c>
      <x:c r="D25" s="16" t="str">
        <x:v>Extrapolation</x:v>
      </x:c>
      <x:c r="E25" s="16" t="str">
        <x:v>P1</x:v>
      </x:c>
      <x:c r="F25" s="9" t="str">
        <x:v>Livrable original proposé : Geth Hunter — Approche masquée.</x:v>
      </x:c>
      <x:c r="G25" s="9" t="str">
        <x:v>Brève distorsion au départ, pas détectables et silhouette au tir ; révéler par effet de zone.</x:v>
      </x:c>
      <x:c r="H25" s="9" t="str">
        <x:v>Brève distorsion au départ, pas détectables et silhouette au tir ; révéler par effet de zone.</x:v>
      </x:c>
      <x:c r="I25" s="9" t="str">
        <x:v>Châssis sombre semi-transparent, optique temporaire. Ajouter un télégraphe de préparation indépendant du décor.</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me2/enemy_moves/geth-hunter ; rattacher les ressources et états cités à cet identifiant. Aucun fichier de jeu créé par ce catalogue.</x:v>
      </x:c>
      <x:c r="M25" s="9" t="str"/>
      <x:c r="N25" s="9" t="str">
        <x:v>En duel puis en groupe, « Approche masquée » laisse une réponse observable ; l’impact ne précède jamais son télégraphe et l’interruption n’exécute pas les dégâts annulés.</x:v>
      </x:c>
      <x:c r="O25" s="9" t="str">
        <x:v>ME2-ENM-GETH-HUNTER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ME2-EMV-GETH-DESTROYER</x:v>
      </x:c>
      <x:c r="B26" s="7" t="str">
        <x:v>Geth Destroyer — Pression rapprochée</x:v>
      </x:c>
      <x:c r="C26" s="15" t="str">
        <x:v>Défini</x:v>
      </x:c>
      <x:c r="D26" s="17" t="str">
        <x:v>Extrapolation</x:v>
      </x:c>
      <x:c r="E26" s="17" t="str">
        <x:v>P1</x:v>
      </x:c>
      <x:c r="F26" s="7" t="str">
        <x:v>Livrable original proposé : Geth Destroyer — Pression rapprochée.</x:v>
      </x:c>
      <x:c r="G26" s="7" t="str">
        <x:v>Réduit l’espace avec une menace courte ; geler la progression après avoir retiré ses défenses.</x:v>
      </x:c>
      <x:c r="H26" s="7" t="str">
        <x:v>Réduit l’espace avec une menace courte ; geler la progression après avoir retiré ses défenses.</x:v>
      </x:c>
      <x:c r="I26" s="7" t="str">
        <x:v>Geth robuste et arme à effet continu. Ajouter un télégraphe de préparation indépendant du décor.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me2/enemy_moves/geth-destroyer ; rattacher les ressources et états cités à cet identifiant. Aucun fichier de jeu créé par ce catalogue.</x:v>
      </x:c>
      <x:c r="M26" s="7" t="str"/>
      <x:c r="N26" s="7" t="str">
        <x:v>En duel puis en groupe, « Pression rapprochée » laisse une réponse observable ; l’impact ne précède jamais son télégraphe et l’interruption n’exécute pas les dégâts annulés.</x:v>
      </x:c>
      <x:c r="O26" s="7" t="str">
        <x:v>ME2-ENM-GETH-DESTROYER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ME2-EMV-GETH-PRIME</x:v>
      </x:c>
      <x:c r="B27" s="9" t="str">
        <x:v>Geth Prime — Commandement de réseau</x:v>
      </x:c>
      <x:c r="C27" s="15" t="str">
        <x:v>Défini</x:v>
      </x:c>
      <x:c r="D27" s="16" t="str">
        <x:v>Extrapolation</x:v>
      </x:c>
      <x:c r="E27" s="16" t="str">
        <x:v>P1</x:v>
      </x:c>
      <x:c r="F27" s="9" t="str">
        <x:v>Livrable original proposé : Geth Prime — Commandement de réseau.</x:v>
      </x:c>
      <x:c r="G27" s="9" t="str">
        <x:v>Une impulsion renforce ses proches ; éliminer les soutiens avant d’exposer le noyau.</x:v>
      </x:c>
      <x:c r="H27" s="9" t="str">
        <x:v>Une impulsion renforce ses proches ; éliminer les soutiens avant d’exposer le noyau.</x:v>
      </x:c>
      <x:c r="I27" s="9" t="str">
        <x:v>Grand châssis rouge et blanc, large torse. Ajouter un télégraphe de préparation indépendant du décor.</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me2/enemy_moves/geth-prime ; rattacher les ressources et états cités à cet identifiant. Aucun fichier de jeu créé par ce catalogue.</x:v>
      </x:c>
      <x:c r="M27" s="9" t="str"/>
      <x:c r="N27" s="9" t="str">
        <x:v>En duel puis en groupe, « Commandement de réseau » laisse une réponse observable ; l’impact ne précède jamais son télégraphe et l’interruption n’exécute pas les dégâts annulés.</x:v>
      </x:c>
      <x:c r="O27" s="9" t="str">
        <x:v>ME2-ENM-GETH-PRIME</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ME2-EMV-GETH-COLOSSUS</x:v>
      </x:c>
      <x:c r="B28" s="7" t="str">
        <x:v>Geth Colossus — Canon et réparation</x:v>
      </x:c>
      <x:c r="C28" s="15" t="str">
        <x:v>Défini</x:v>
      </x:c>
      <x:c r="D28" s="17" t="str">
        <x:v>Extrapolation</x:v>
      </x:c>
      <x:c r="E28" s="17" t="str">
        <x:v>P1</x:v>
      </x:c>
      <x:c r="F28" s="7" t="str">
        <x:v>Livrable original proposé : Geth Colossus — Canon et réparation.</x:v>
      </x:c>
      <x:c r="G28" s="7" t="str">
        <x:v>Charge lumineuse visible, tir sur bande puis phase de réparation ; flanquer pour stopper la reprise.</x:v>
      </x:c>
      <x:c r="H28" s="7" t="str">
        <x:v>Charge lumineuse visible, tir sur bande puis phase de réparation ; flanquer pour stopper la reprise.</x:v>
      </x:c>
      <x:c r="I28" s="7" t="str">
        <x:v>Quadrupède colossal sur cour surélevée. Ajouter un télégraphe de préparation indépendant du décor.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me2/enemy_moves/geth-colossus ; rattacher les ressources et états cités à cet identifiant. Aucun fichier de jeu créé par ce catalogue.</x:v>
      </x:c>
      <x:c r="M28" s="7" t="str"/>
      <x:c r="N28" s="7" t="str">
        <x:v>En duel puis en groupe, « Canon et réparation » laisse une réponse observable ; l’impact ne précède jamais son télégraphe et l’interruption n’exécute pas les dégâts annulés.</x:v>
      </x:c>
      <x:c r="O28" s="7" t="str">
        <x:v>ME2-ENM-GETH-COLOSSUS</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ME2-EMV-GETH-DRONE</x:v>
      </x:c>
      <x:c r="B29" s="9" t="str">
        <x:v>Geth Recon Drone — Passage aérien</x:v>
      </x:c>
      <x:c r="C29" s="15" t="str">
        <x:v>Défini</x:v>
      </x:c>
      <x:c r="D29" s="16" t="str">
        <x:v>Extrapolation</x:v>
      </x:c>
      <x:c r="E29" s="16" t="str">
        <x:v>P1</x:v>
      </x:c>
      <x:c r="F29" s="9" t="str">
        <x:v>Livrable original proposé : Geth Recon Drone — Passage aérien.</x:v>
      </x:c>
      <x:c r="G29" s="9" t="str">
        <x:v>Annonce son trajet par moteur et ombre ; tire en ligne puis s’expose au retour.</x:v>
      </x:c>
      <x:c r="H29" s="9" t="str">
        <x:v>Annonce son trajet par moteur et ombre ; tire en ligne puis s’expose au retour.</x:v>
      </x:c>
      <x:c r="I29" s="9" t="str">
        <x:v>Petit drone volant et optique. Ajouter un télégraphe de préparation indépendant du décor.</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me2/enemy_moves/geth-drone ; rattacher les ressources et états cités à cet identifiant. Aucun fichier de jeu créé par ce catalogue.</x:v>
      </x:c>
      <x:c r="M29" s="9" t="str"/>
      <x:c r="N29" s="9" t="str">
        <x:v>En duel puis en groupe, « Passage aérien » laisse une réponse observable ; l’impact ne précède jamais son télégraphe et l’interruption n’exécute pas les dégâts annulés.</x:v>
      </x:c>
      <x:c r="O29" s="9" t="str">
        <x:v>ME2-ENM-GETH-DRONE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ME2-EMV-HUSK</x:v>
      </x:c>
      <x:c r="B30" s="7" t="str">
        <x:v>Husk — Agrippement de groupe</x:v>
      </x:c>
      <x:c r="C30" s="15" t="str">
        <x:v>Défini</x:v>
      </x:c>
      <x:c r="D30" s="17" t="str">
        <x:v>Extrapolation</x:v>
      </x:c>
      <x:c r="E30" s="17" t="str">
        <x:v>P1</x:v>
      </x:c>
      <x:c r="F30" s="7" t="str">
        <x:v>Livrable original proposé : Husk — Agrippement de groupe.</x:v>
      </x:c>
      <x:c r="G30" s="7" t="str">
        <x:v>Approche en meute ; pousser le premier brise temporairement la chaîne d’assaut.</x:v>
      </x:c>
      <x:c r="H30" s="7" t="str">
        <x:v>Approche en meute ; pousser le premier brise temporairement la chaîne d’assaut.</x:v>
      </x:c>
      <x:c r="I30" s="7" t="str">
        <x:v>Humanoïde cybernétique bleu, posture courbée. Ajouter un télégraphe de préparation indépendant du décor.</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me2/enemy_moves/husk ; rattacher les ressources et états cités à cet identifiant. Aucun fichier de jeu créé par ce catalogue.</x:v>
      </x:c>
      <x:c r="M30" s="7" t="str"/>
      <x:c r="N30" s="7" t="str">
        <x:v>En duel puis en groupe, « Agrippement de groupe » laisse une réponse observable ; l’impact ne précède jamais son télégraphe et l’interruption n’exécute pas les dégâts annulés.</x:v>
      </x:c>
      <x:c r="O30" s="7" t="str">
        <x:v>ME2-ENM-HUSK</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ME2-EMV-ABOMINATION</x:v>
      </x:c>
      <x:c r="B31" s="9" t="str">
        <x:v>Abomination — Explosion de proximité</x:v>
      </x:c>
      <x:c r="C31" s="15" t="str">
        <x:v>Défini</x:v>
      </x:c>
      <x:c r="D31" s="16" t="str">
        <x:v>Extrapolation</x:v>
      </x:c>
      <x:c r="E31" s="16" t="str">
        <x:v>P1</x:v>
      </x:c>
      <x:c r="F31" s="9" t="str">
        <x:v>Livrable original proposé : Abomination — Explosion de proximité.</x:v>
      </x:c>
      <x:c r="G31" s="9" t="str">
        <x:v>Lueur et contraction signalent l’explosion ; éloigner la cible avant de l’éliminer.</x:v>
      </x:c>
      <x:c r="H31" s="9" t="str">
        <x:v>Lueur et contraction signalent l’explosion ; éloigner la cible avant de l’éliminer.</x:v>
      </x:c>
      <x:c r="I31" s="9" t="str">
        <x:v>Husk rouge-orangé très contrasté. Ajouter un télégraphe de préparation indépendant du décor.</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me2/enemy_moves/abomination ; rattacher les ressources et états cités à cet identifiant. Aucun fichier de jeu créé par ce catalogue.</x:v>
      </x:c>
      <x:c r="M31" s="9" t="str"/>
      <x:c r="N31" s="9" t="str">
        <x:v>En duel puis en groupe, « Explosion de proximité » laisse une réponse observable ; l’impact ne précède jamais son télégraphe et l’interruption n’exécute pas les dégâts annulés.</x:v>
      </x:c>
      <x:c r="O31" s="9" t="str">
        <x:v>ME2-ENM-ABOMINATION</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ME2-EMV-SCION</x:v>
      </x:c>
      <x:c r="B32" s="7" t="str">
        <x:v>Scion — Onde au sol</x:v>
      </x:c>
      <x:c r="C32" s="15" t="str">
        <x:v>Défini</x:v>
      </x:c>
      <x:c r="D32" s="17" t="str">
        <x:v>Extrapolation</x:v>
      </x:c>
      <x:c r="E32" s="17" t="str">
        <x:v>P1</x:v>
      </x:c>
      <x:c r="F32" s="7" t="str">
        <x:v>Livrable original proposé : Scion — Onde au sol.</x:v>
      </x:c>
      <x:c r="G32" s="7" t="str">
        <x:v>Bras et corps chargent une ligne d’onde ; changer de bande ou stopper la préparation.</x:v>
      </x:c>
      <x:c r="H32" s="7" t="str">
        <x:v>Bras et corps chargent une ligne d’onde ; changer de bande ou stopper la préparation.</x:v>
      </x:c>
      <x:c r="I32" s="7" t="str">
        <x:v>Masse tordue, bras-canon et silhouette asymétrique. Ajouter un télégraphe de préparation indépendant du décor.</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me2/enemy_moves/scion ; rattacher les ressources et états cités à cet identifiant. Aucun fichier de jeu créé par ce catalogue.</x:v>
      </x:c>
      <x:c r="M32" s="7" t="str"/>
      <x:c r="N32" s="7" t="str">
        <x:v>En duel puis en groupe, « Onde au sol » laisse une réponse observable ; l’impact ne précède jamais son télégraphe et l’interruption n’exécute pas les dégâts annulés.</x:v>
      </x:c>
      <x:c r="O32" s="7" t="str">
        <x:v>ME2-ENM-SCION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ME2-EMV-COLLECTOR-DRONE</x:v>
      </x:c>
      <x:c r="B33" s="9" t="str">
        <x:v>Collector Drone — Rafale organique</x:v>
      </x:c>
      <x:c r="C33" s="15" t="str">
        <x:v>Défini</x:v>
      </x:c>
      <x:c r="D33" s="16" t="str">
        <x:v>Extrapolation</x:v>
      </x:c>
      <x:c r="E33" s="16" t="str">
        <x:v>P1</x:v>
      </x:c>
      <x:c r="F33" s="9" t="str">
        <x:v>Livrable original proposé : Collector Drone — Rafale organique.</x:v>
      </x:c>
      <x:c r="G33" s="9" t="str">
        <x:v>Tir depuis couvert et repositionnement ailé ; les tirs de suppression bloquent le vol proposé.</x:v>
      </x:c>
      <x:c r="H33" s="9" t="str">
        <x:v>Tir depuis couvert et repositionnement ailé ; les tirs de suppression bloquent le vol proposé.</x:v>
      </x:c>
      <x:c r="I33" s="9" t="str">
        <x:v>Chitine brune, aile repliée et arme organique. Ajouter un télégraphe de préparation indépendant du décor.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me2/enemy_moves/collector-drone ; rattacher les ressources et états cités à cet identifiant. Aucun fichier de jeu créé par ce catalogue.</x:v>
      </x:c>
      <x:c r="M33" s="9" t="str"/>
      <x:c r="N33" s="9" t="str">
        <x:v>En duel puis en groupe, « Rafale organique » laisse une réponse observable ; l’impact ne précède jamais son télégraphe et l’interruption n’exécute pas les dégâts annulés.</x:v>
      </x:c>
      <x:c r="O33" s="9" t="str">
        <x:v>ME2-ENM-COLLECTOR-DRONE</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ME2-EMV-COLLECTOR-GUARDIAN</x:v>
      </x:c>
      <x:c r="B34" s="7" t="str">
        <x:v>Collector Guardian — Écran de passage</x:v>
      </x:c>
      <x:c r="C34" s="15" t="str">
        <x:v>Défini</x:v>
      </x:c>
      <x:c r="D34" s="17" t="str">
        <x:v>Extrapolation</x:v>
      </x:c>
      <x:c r="E34" s="17" t="str">
        <x:v>P1</x:v>
      </x:c>
      <x:c r="F34" s="7" t="str">
        <x:v>Livrable original proposé : Collector Guardian — Écran de passage.</x:v>
      </x:c>
      <x:c r="G34" s="7" t="str">
        <x:v>Place une protection sur une voie ; contourner ou employer un pouvoir anti-barrière.</x:v>
      </x:c>
      <x:c r="H34" s="7" t="str">
        <x:v>Place une protection sur une voie ; contourner ou employer un pouvoir anti-barrière.</x:v>
      </x:c>
      <x:c r="I34" s="7" t="str">
        <x:v>Silhouette de Collecteur et lueur de projection. Ajouter un télégraphe de préparation indépendant du décor.</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me2/enemy_moves/collector-guardian ; rattacher les ressources et états cités à cet identifiant. Aucun fichier de jeu créé par ce catalogue.</x:v>
      </x:c>
      <x:c r="M34" s="7" t="str"/>
      <x:c r="N34" s="7" t="str">
        <x:v>En duel puis en groupe, « Écran de passage » laisse une réponse observable ; l’impact ne précède jamais son télégraphe et l’interruption n’exécute pas les dégâts annulés.</x:v>
      </x:c>
      <x:c r="O34" s="7" t="str">
        <x:v>ME2-ENM-COLLECTOR-GUARDIAN</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ME2-EMV-COLLECTOR-ASSASSIN</x:v>
      </x:c>
      <x:c r="B35" s="9" t="str">
        <x:v>Collector Assassin — Rayon de précision</x:v>
      </x:c>
      <x:c r="C35" s="15" t="str">
        <x:v>Défini</x:v>
      </x:c>
      <x:c r="D35" s="16" t="str">
        <x:v>Extrapolation</x:v>
      </x:c>
      <x:c r="E35" s="16" t="str">
        <x:v>P1</x:v>
      </x:c>
      <x:c r="F35" s="9" t="str">
        <x:v>Livrable original proposé : Collector Assassin — Rayon de précision.</x:v>
      </x:c>
      <x:c r="G35" s="9" t="str">
        <x:v>Canal lumineux fixe une cible ; passer derrière un couvert épais ou interrompre le canal.</x:v>
      </x:c>
      <x:c r="H35" s="9" t="str">
        <x:v>Canal lumineux fixe une cible ; passer derrière un couvert épais ou interrompre le canal.</x:v>
      </x:c>
      <x:c r="I35" s="9" t="str">
        <x:v>Arme-faisceau et visée stable. Ajouter un télégraphe de préparation indépendant du décor.</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me2/enemy_moves/collector-assassin ; rattacher les ressources et états cités à cet identifiant. Aucun fichier de jeu créé par ce catalogue.</x:v>
      </x:c>
      <x:c r="M35" s="9" t="str"/>
      <x:c r="N35" s="9" t="str">
        <x:v>En duel puis en groupe, « Rayon de précision » laisse une réponse observable ; l’impact ne précède jamais son télégraphe et l’interruption n’exécute pas les dégâts annulés.</x:v>
      </x:c>
      <x:c r="O35" s="9" t="str">
        <x:v>ME2-ENM-COLLECTOR-ASSASSIN</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ME2-EMV-HARBINGER</x:v>
      </x:c>
      <x:c r="B36" s="7" t="str">
        <x:v>Collecteur possédé par Harbinger — Transfert d’autorité</x:v>
      </x:c>
      <x:c r="C36" s="15" t="str">
        <x:v>Défini</x:v>
      </x:c>
      <x:c r="D36" s="17" t="str">
        <x:v>Extrapolation</x:v>
      </x:c>
      <x:c r="E36" s="17" t="str">
        <x:v>P1</x:v>
      </x:c>
      <x:c r="F36" s="7" t="str">
        <x:v>Livrable original proposé : Collecteur possédé par Harbinger — Transfert d’autorité.</x:v>
      </x:c>
      <x:c r="G36" s="7" t="str">
        <x:v>L’hôte brûle puis avance ; neutraliser ses soutiens limite les prochaines prises de contrôle.</x:v>
      </x:c>
      <x:c r="H36" s="7" t="str">
        <x:v>L’hôte brûle puis avance ; neutraliser ses soutiens limite les prochaines prises de contrôle.</x:v>
      </x:c>
      <x:c r="I36" s="7" t="str">
        <x:v>Chitine embrasée et tête éclairée. Ajouter un télégraphe de préparation indépendant du décor.</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me2/enemy_moves/harbinger ; rattacher les ressources et états cités à cet identifiant. Aucun fichier de jeu créé par ce catalogue.</x:v>
      </x:c>
      <x:c r="M36" s="7" t="str"/>
      <x:c r="N36" s="7" t="str">
        <x:v>En duel puis en groupe, « Transfert d’autorité » laisse une réponse observable ; l’impact ne précède jamais son télégraphe et l’interruption n’exécute pas les dégâts annulés.</x:v>
      </x:c>
      <x:c r="O36" s="7" t="str">
        <x:v>ME2-ENM-HARBINGER</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ME2-EMV-PRAETORIAN</x:v>
      </x:c>
      <x:c r="B37" s="9" t="str">
        <x:v>Praetorian — Poursuite et atterrissage</x:v>
      </x:c>
      <x:c r="C37" s="15" t="str">
        <x:v>Défini</x:v>
      </x:c>
      <x:c r="D37" s="16" t="str">
        <x:v>Extrapolation</x:v>
      </x:c>
      <x:c r="E37" s="16" t="str">
        <x:v>P1</x:v>
      </x:c>
      <x:c r="F37" s="9" t="str">
        <x:v>Livrable original proposé : Praetorian — Poursuite et atterrissage.</x:v>
      </x:c>
      <x:c r="G37" s="9" t="str">
        <x:v>Faisceau pendant poursuite, onde autour de l’atterrissage ; maintenir un pilier entre lui et la cible puis reculer.</x:v>
      </x:c>
      <x:c r="H37" s="9" t="str">
        <x:v>Faisceau pendant poursuite, onde autour de l’atterrissage ; maintenir un pilier entre lui et la cible puis reculer.</x:v>
      </x:c>
      <x:c r="I37" s="9" t="str">
        <x:v>Carapace noire, membres pendants, plusieurs visages regroupés. Ajouter un télégraphe de préparation indépendant du décor.</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me2/enemy_moves/praetorian ; rattacher les ressources et états cités à cet identifiant. Aucun fichier de jeu créé par ce catalogue.</x:v>
      </x:c>
      <x:c r="M37" s="9" t="str"/>
      <x:c r="N37" s="9" t="str">
        <x:v>En duel puis en groupe, « Poursuite et atterrissage » laisse une réponse observable ; l’impact ne précède jamais son télégraphe et l’interruption n’exécute pas les dégâts annulés.</x:v>
      </x:c>
      <x:c r="O37" s="9" t="str">
        <x:v>ME2-ENM-PRAETORIAN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ME2-EMV-OCULUS</x:v>
      </x:c>
      <x:c r="B38" s="7" t="str">
        <x:v>Oculus — Percée de coque</x:v>
      </x:c>
      <x:c r="C38" s="15" t="str">
        <x:v>Défini</x:v>
      </x:c>
      <x:c r="D38" s="17" t="str">
        <x:v>Extrapolation</x:v>
      </x:c>
      <x:c r="E38" s="17" t="str">
        <x:v>P1</x:v>
      </x:c>
      <x:c r="F38" s="7" t="str">
        <x:v>Livrable original proposé : Oculus — Percée de coque.</x:v>
      </x:c>
      <x:c r="G38" s="7" t="str">
        <x:v>Entrée annoncée, balayage puis recul ; le groupe rejoint le couvert opposé à son iris.</x:v>
      </x:c>
      <x:c r="H38" s="7" t="str">
        <x:v>Entrée annoncée, balayage puis recul ; le groupe rejoint le couvert opposé à son iris.</x:v>
      </x:c>
      <x:c r="I38" s="7" t="str">
        <x:v>Sphère mécanique à iris central. Ajouter un télégraphe de préparation indépendant du décor.</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me2/enemy_moves/oculus ; rattacher les ressources et états cités à cet identifiant. Aucun fichier de jeu créé par ce catalogue.</x:v>
      </x:c>
      <x:c r="M38" s="7" t="str"/>
      <x:c r="N38" s="7" t="str">
        <x:v>En duel puis en groupe, « Percée de coque » laisse une réponse observable ; l’impact ne précède jamais son télégraphe et l’interruption n’exécute pas les dégâts annulés.</x:v>
      </x:c>
      <x:c r="O38" s="7" t="str">
        <x:v>ME2-ENM-OCULUS</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ME2-EMV-HUMAN-REAPER</x:v>
      </x:c>
      <x:c r="B39" s="9" t="str">
        <x:v>Moissonneur humain — Bras et tubes</x:v>
      </x:c>
      <x:c r="C39" s="15" t="str">
        <x:v>Défini</x:v>
      </x:c>
      <x:c r="D39" s="16" t="str">
        <x:v>Extrapolation</x:v>
      </x:c>
      <x:c r="E39" s="16" t="str">
        <x:v>P1</x:v>
      </x:c>
      <x:c r="F39" s="9" t="str">
        <x:v>Livrable original proposé : Moissonneur humain — Bras et tubes.</x:v>
      </x:c>
      <x:c r="G39" s="9" t="str">
        <x:v>Attaques de bandes puis exposition de points faibles ; détruire des alimentations sans confondre décor et cibles.</x:v>
      </x:c>
      <x:c r="H39" s="9" t="str">
        <x:v>Attaques de bandes puis exposition de points faibles ; détruire des alimentations sans confondre décor et cibles.</x:v>
      </x:c>
      <x:c r="I39" s="9" t="str">
        <x:v>Immense torse humanoïde métallique, yeux et tubes éclairés. Ajouter un télégraphe de préparation indépendant du décor.</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me2/enemy_moves/human-reaper ; rattacher les ressources et états cités à cet identifiant. Aucun fichier de jeu créé par ce catalogue.</x:v>
      </x:c>
      <x:c r="M39" s="9" t="str"/>
      <x:c r="N39" s="9" t="str">
        <x:v>En duel puis en groupe, « Bras et tubes » laisse une réponse observable ; l’impact ne précède jamais son télégraphe et l’interruption n’exécute pas les dégâts annulés.</x:v>
      </x:c>
      <x:c r="O39" s="9" t="str">
        <x:v>ME2-ENM-HUMAN-REAPER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ME2-EMV-VARRREN</x:v>
      </x:c>
      <x:c r="B40" s="7" t="str">
        <x:v>Varren — Morsure en tenaille</x:v>
      </x:c>
      <x:c r="C40" s="15" t="str">
        <x:v>Défini</x:v>
      </x:c>
      <x:c r="D40" s="17" t="str">
        <x:v>Extrapolation</x:v>
      </x:c>
      <x:c r="E40" s="17" t="str">
        <x:v>P1</x:v>
      </x:c>
      <x:c r="F40" s="7" t="str">
        <x:v>Livrable original proposé : Varren — Morsure en tenaille.</x:v>
      </x:c>
      <x:c r="G40" s="7" t="str">
        <x:v>Deux approches décalées ; garde au contact ou projection empêchent d’être encerclé.</x:v>
      </x:c>
      <x:c r="H40" s="7" t="str">
        <x:v>Deux approches décalées ; garde au contact ou projection empêchent d’être encerclé.</x:v>
      </x:c>
      <x:c r="I40" s="7" t="str">
        <x:v>Quadrupède trapu, gueule large, peau écailleuse. Ajouter un télégraphe de préparation indépendant du décor.</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me2/enemy_moves/varrren ; rattacher les ressources et états cités à cet identifiant. Aucun fichier de jeu créé par ce catalogue.</x:v>
      </x:c>
      <x:c r="M40" s="7" t="str"/>
      <x:c r="N40" s="7" t="str">
        <x:v>En duel puis en groupe, « Morsure en tenaille » laisse une réponse observable ; l’impact ne précède jamais son télégraphe et l’interruption n’exécute pas les dégâts annulés.</x:v>
      </x:c>
      <x:c r="O40" s="7" t="str">
        <x:v>ME2-ENM-VARRREN</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ME2-EMV-THRESHER</x:v>
      </x:c>
      <x:c r="B41" s="9" t="str">
        <x:v>Dévoreur du rite — Émergence et projection</x:v>
      </x:c>
      <x:c r="C41" s="15" t="str">
        <x:v>Défini</x:v>
      </x:c>
      <x:c r="D41" s="16" t="str">
        <x:v>Extrapolation</x:v>
      </x:c>
      <x:c r="E41" s="16" t="str">
        <x:v>P1</x:v>
      </x:c>
      <x:c r="F41" s="9" t="str">
        <x:v>Livrable original proposé : Dévoreur du rite — Émergence et projection.</x:v>
      </x:c>
      <x:c r="G41" s="9" t="str">
        <x:v>Sol secoué avant sortie ; dissocier esquive et visée puis garder une marge de déplacement.</x:v>
      </x:c>
      <x:c r="H41" s="9" t="str">
        <x:v>Sol secoué avant sortie ; dissocier esquive et visée puis garder une marge de déplacement.</x:v>
      </x:c>
      <x:c r="I41" s="9" t="str">
        <x:v>Ver géant, bouche segmentée et poussière. Ajouter un télégraphe de préparation indépendant du décor.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me2/enemy_moves/thresher ; rattacher les ressources et états cités à cet identifiant. Aucun fichier de jeu créé par ce catalogue.</x:v>
      </x:c>
      <x:c r="M41" s="9" t="str"/>
      <x:c r="N41" s="9" t="str">
        <x:v>En duel puis en groupe, « Émergence et projection » laisse une réponse observable ; l’impact ne précède jamais son télégraphe et l’interruption n’exécute pas les dégâts annulés.</x:v>
      </x:c>
      <x:c r="O41" s="9" t="str">
        <x:v>ME2-ENM-THRESHER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ME2-EMV-GUNSHIP</x:v>
      </x:c>
      <x:c r="B42" s="7" t="str">
        <x:v>Aéronef de combat — Passe de mitraillage</x:v>
      </x:c>
      <x:c r="C42" s="15" t="str">
        <x:v>Défini</x:v>
      </x:c>
      <x:c r="D42" s="17" t="str">
        <x:v>Extrapolation</x:v>
      </x:c>
      <x:c r="E42" s="17" t="str">
        <x:v>P1</x:v>
      </x:c>
      <x:c r="F42" s="7" t="str">
        <x:v>Livrable original proposé : Aéronef de combat — Passe de mitraillage.</x:v>
      </x:c>
      <x:c r="G42" s="7" t="str">
        <x:v>Ombre annonçant le secteur balayé ; changer d’abri puis attaquer pendant le demi-tour.</x:v>
      </x:c>
      <x:c r="H42" s="7" t="str">
        <x:v>Ombre annonçant le secteur balayé ; changer d’abri puis attaquer pendant le demi-tour.</x:v>
      </x:c>
      <x:c r="I42" s="7" t="str">
        <x:v>Coque de gunship, canons et moteurs latéraux. Ajouter un télégraphe de préparation indépendant du décor.</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me2/enemy_moves/gunship ; rattacher les ressources et états cités à cet identifiant. Aucun fichier de jeu créé par ce catalogue.</x:v>
      </x:c>
      <x:c r="M42" s="7" t="str"/>
      <x:c r="N42" s="7" t="str">
        <x:v>En duel puis en groupe, « Passe de mitraillage » laisse une réponse observable ; l’impact ne précède jamais son télégraphe et l’interruption n’exécute pas les dégâts annulés.</x:v>
      </x:c>
      <x:c r="O42" s="7" t="str">
        <x:v>ME2-ENM-GUNSHIP</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ME2-EMV-BROKER-AGENT</x:v>
      </x:c>
      <x:c r="B43" s="9" t="str">
        <x:v>Shadow Broker Agent — Grenade d’éblouissement</x:v>
      </x:c>
      <x:c r="C43" s="15" t="str">
        <x:v>Défini</x:v>
      </x:c>
      <x:c r="D43" s="16" t="str">
        <x:v>Extrapolation</x:v>
      </x:c>
      <x:c r="E43" s="16" t="str">
        <x:v>P1</x:v>
      </x:c>
      <x:c r="F43" s="9" t="str">
        <x:v>Livrable original proposé : Shadow Broker Agent — Grenade d’éblouissement.</x:v>
      </x:c>
      <x:c r="G43" s="9" t="str">
        <x:v>Objet lancé et icône de délai ; se couvrir ou viser le lanceur avant émission.</x:v>
      </x:c>
      <x:c r="H43" s="9" t="str">
        <x:v>Objet lancé et icône de délai ; se couvrir ou viser le lanceur avant émission.</x:v>
      </x:c>
      <x:c r="I43" s="9" t="str">
        <x:v>Armure sombre et visière opaque. Ajouter un télégraphe de préparation indépendant du décor.</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me2/enemy_moves/broker-agent ; rattacher les ressources et états cités à cet identifiant. Aucun fichier de jeu créé par ce catalogue.</x:v>
      </x:c>
      <x:c r="M43" s="9" t="str"/>
      <x:c r="N43" s="9" t="str">
        <x:v>En duel puis en groupe, « Grenade d’éblouissement » laisse une réponse observable ; l’impact ne précède jamais son télégraphe et l’interruption n’exécute pas les dégâts annulés.</x:v>
      </x:c>
      <x:c r="O43" s="9" t="str">
        <x:v>ME2-ENM-BROKER-AGENT</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ME2-EMV-BROKER-VANGUARD</x:v>
      </x:c>
      <x:c r="B44" s="7" t="str">
        <x:v>Shadow Broker Vanguard — Charge oblique</x:v>
      </x:c>
      <x:c r="C44" s="15" t="str">
        <x:v>Défini</x:v>
      </x:c>
      <x:c r="D44" s="17" t="str">
        <x:v>Extrapolation</x:v>
      </x:c>
      <x:c r="E44" s="17" t="str">
        <x:v>P1</x:v>
      </x:c>
      <x:c r="F44" s="7" t="str">
        <x:v>Livrable original proposé : Shadow Broker Vanguard — Charge oblique.</x:v>
      </x:c>
      <x:c r="G44" s="7" t="str">
        <x:v>Marqueur d’arrivée avant déplacement ; esquive latérale et contre anti-barrière.</x:v>
      </x:c>
      <x:c r="H44" s="7" t="str">
        <x:v>Marqueur d’arrivée avant déplacement ; esquive latérale et contre anti-barrière.</x:v>
      </x:c>
      <x:c r="I44" s="7" t="str">
        <x:v>Armure noire et énergie bleue. Ajouter un télégraphe de préparation indépendant du décor.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me2/enemy_moves/broker-vanguard ; rattacher les ressources et états cités à cet identifiant. Aucun fichier de jeu créé par ce catalogue.</x:v>
      </x:c>
      <x:c r="M44" s="7" t="str"/>
      <x:c r="N44" s="7" t="str">
        <x:v>En duel puis en groupe, « Charge oblique » laisse une réponse observable ; l’impact ne précède jamais son télégraphe et l’interruption n’exécute pas les dégâts annulés.</x:v>
      </x:c>
      <x:c r="O44" s="7" t="str">
        <x:v>ME2-ENM-BROKER-VANGUARD</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ME2-EMV-VASIR</x:v>
      </x:c>
      <x:c r="B45" s="9" t="str">
        <x:v>Tela Vasir — boss — Chaîne de charges</x:v>
      </x:c>
      <x:c r="C45" s="15" t="str">
        <x:v>Défini</x:v>
      </x:c>
      <x:c r="D45" s="16" t="str">
        <x:v>Extrapolation</x:v>
      </x:c>
      <x:c r="E45" s="16" t="str">
        <x:v>P1</x:v>
      </x:c>
      <x:c r="F45" s="9" t="str">
        <x:v>Livrable original proposé : Tela Vasir — boss — Chaîne de charges.</x:v>
      </x:c>
      <x:c r="G45" s="9" t="str">
        <x:v>Tracer plusieurs segments avant résolution ; casser une phase en exploitant sa récupération.</x:v>
      </x:c>
      <x:c r="H45" s="9" t="str">
        <x:v>Tracer plusieurs segments avant résolution ; casser une phase en exploitant sa récupération.</x:v>
      </x:c>
      <x:c r="I45" s="9" t="str">
        <x:v>Asari en armure, traînée biotique et posture d’élan. Ajouter un télégraphe de préparation indépendant du décor.</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me2/enemy_moves/vasir ; rattacher les ressources et états cités à cet identifiant. Aucun fichier de jeu créé par ce catalogue.</x:v>
      </x:c>
      <x:c r="M45" s="9" t="str"/>
      <x:c r="N45" s="9" t="str">
        <x:v>En duel puis en groupe, « Chaîne de charges » laisse une réponse observable ; l’impact ne précède jamais son télégraphe et l’interruption n’exécute pas les dégâts annulés.</x:v>
      </x:c>
      <x:c r="O45" s="9" t="str">
        <x:v>ME2-ENM-VASIR</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ME2-EMV-BROKER</x:v>
      </x:c>
      <x:c r="B46" s="7" t="str">
        <x:v>Courtier de l’Ombre — yahg — Bouclier et coup lourd</x:v>
      </x:c>
      <x:c r="C46" s="15" t="str">
        <x:v>Défini</x:v>
      </x:c>
      <x:c r="D46" s="17" t="str">
        <x:v>Extrapolation</x:v>
      </x:c>
      <x:c r="E46" s="17" t="str">
        <x:v>P1</x:v>
      </x:c>
      <x:c r="F46" s="7" t="str">
        <x:v>Livrable original proposé : Courtier de l’Ombre — yahg — Bouclier et coup lourd.</x:v>
      </x:c>
      <x:c r="G46" s="7" t="str">
        <x:v>Alterner tir, mêlée et coordination de Liara ; le côté protégé reste signalé.</x:v>
      </x:c>
      <x:c r="H46" s="7" t="str">
        <x:v>Alterner tir, mêlée et coordination de Liara ; le côté protégé reste signalé.</x:v>
      </x:c>
      <x:c r="I46" s="7" t="str">
        <x:v>Yahg massif, yeux multiples et bouclier de grande taille. Ajouter un télégraphe de préparation indépendant du décor.</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me2/enemy_moves/broker ; rattacher les ressources et états cités à cet identifiant. Aucun fichier de jeu créé par ce catalogue.</x:v>
      </x:c>
      <x:c r="M46" s="7" t="str"/>
      <x:c r="N46" s="7" t="str">
        <x:v>En duel puis en groupe, « Bouclier et coup lourd » laisse une réponse observable ; l’impact ne précède jamais son télégraphe et l’interruption n’exécute pas les dégâts annulés.</x:v>
      </x:c>
      <x:c r="O46" s="7" t="str">
        <x:v>ME2-ENM-BROKER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ME2-EMV-OVERLORD</x:v>
      </x:c>
      <x:c r="B47" s="9" t="str">
        <x:v>Dispositif VI Overlord — Transfert par relais</x:v>
      </x:c>
      <x:c r="C47" s="15" t="str">
        <x:v>Défini</x:v>
      </x:c>
      <x:c r="D47" s="16" t="str">
        <x:v>Extrapolation</x:v>
      </x:c>
      <x:c r="E47" s="16" t="str">
        <x:v>P1</x:v>
      </x:c>
      <x:c r="F47" s="9" t="str">
        <x:v>Livrable original proposé : Dispositif VI Overlord — Transfert par relais.</x:v>
      </x:c>
      <x:c r="G47" s="9" t="str">
        <x:v>Nœuds activés successivement ; prioriser le relais qui annonce l’envoi sans attaquer la personne captive.</x:v>
      </x:c>
      <x:c r="H47" s="9" t="str">
        <x:v>Nœuds activés successivement ; prioriser le relais qui annonce l’envoi sans attaquer la personne captive.</x:v>
      </x:c>
      <x:c r="I47" s="9" t="str">
        <x:v>Visage numérique vert et câbles de laboratoire. Ajouter un télégraphe de préparation indépendant du décor.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me2/enemy_moves/overlord ; rattacher les ressources et états cités à cet identifiant. Aucun fichier de jeu créé par ce catalogue.</x:v>
      </x:c>
      <x:c r="M47" s="9" t="str"/>
      <x:c r="N47" s="9" t="str">
        <x:v>En duel puis en groupe, « Transfert par relais » laisse une réponse observable ; l’impact ne précède jamais son télégraphe et l’interruption n’exécute pas les dégâts annulés.</x:v>
      </x:c>
      <x:c r="O47" s="9" t="str">
        <x:v>ME2-ENM-OVERLORD</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ME2-EMV-PROJECT-GUARD</x:v>
      </x:c>
      <x:c r="B48" s="7" t="str">
        <x:v>Project Guard — Verrouillage de couloir</x:v>
      </x:c>
      <x:c r="C48" s="15" t="str">
        <x:v>Défini</x:v>
      </x:c>
      <x:c r="D48" s="17" t="str">
        <x:v>Extrapolation</x:v>
      </x:c>
      <x:c r="E48" s="17" t="str">
        <x:v>P1</x:v>
      </x:c>
      <x:c r="F48" s="7" t="str">
        <x:v>Livrable original proposé : Project Guard — Verrouillage de couloir.</x:v>
      </x:c>
      <x:c r="G48" s="7" t="str">
        <x:v>Avance après une grenade ; l’interface avertit du changement de couverture.</x:v>
      </x:c>
      <x:c r="H48" s="7" t="str">
        <x:v>Avance après une grenade ; l’interface avertit du changement de couverture.</x:v>
      </x:c>
      <x:c r="I48" s="7" t="str">
        <x:v>Tenue technique et arme Cerberus. Ajouter un télégraphe de préparation indépendant du décor.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me2/enemy_moves/project-guard ; rattacher les ressources et états cités à cet identifiant. Aucun fichier de jeu créé par ce catalogue.</x:v>
      </x:c>
      <x:c r="M48" s="7" t="str"/>
      <x:c r="N48" s="7" t="str">
        <x:v>En duel puis en groupe, « Verrouillage de couloir » laisse une réponse observable ; l’impact ne précède jamais son télégraphe et l’interruption n’exécute pas les dégâts annulés.</x:v>
      </x:c>
      <x:c r="O48" s="7" t="str">
        <x:v>ME2-ENM-PROJECT-GUARD</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ME2-EMV-PROJECT-PYRO</x:v>
      </x:c>
      <x:c r="B49" s="9" t="str">
        <x:v>Project Pyro — Nettoyage de sas</x:v>
      </x:c>
      <x:c r="C49" s="15" t="str">
        <x:v>Défini</x:v>
      </x:c>
      <x:c r="D49" s="16" t="str">
        <x:v>Extrapolation</x:v>
      </x:c>
      <x:c r="E49" s="16" t="str">
        <x:v>P1</x:v>
      </x:c>
      <x:c r="F49" s="9" t="str">
        <x:v>Livrable original proposé : Project Pyro — Nettoyage de sas.</x:v>
      </x:c>
      <x:c r="G49" s="9" t="str">
        <x:v>Brûleur le long d’un corridor ; détour court disponible et réservoir exposé après tir.</x:v>
      </x:c>
      <x:c r="H49" s="9" t="str">
        <x:v>Brûleur le long d’un corridor ; détour court disponible et réservoir exposé après tir.</x:v>
      </x:c>
      <x:c r="I49" s="9" t="str">
        <x:v>Tenue de projet, réservoir et flammes. Ajouter un télégraphe de préparation indépendant du décor.</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me2/enemy_moves/project-pyro ; rattacher les ressources et états cités à cet identifiant. Aucun fichier de jeu créé par ce catalogue.</x:v>
      </x:c>
      <x:c r="M49" s="9" t="str"/>
      <x:c r="N49" s="9" t="str">
        <x:v>En duel puis en groupe, « Nettoyage de sas » laisse une réponse observable ; l’impact ne précède jamais son télégraphe et l’interruption n’exécute pas les dégâts annulés.</x:v>
      </x:c>
      <x:c r="O49" s="9" t="str">
        <x:v>ME2-ENM-PROJECT-PYRO</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ME2-EMV-PRISON-GUARD</x:v>
      </x:c>
      <x:c r="B50" s="7" t="str">
        <x:v>Prison Guard — Alerte par témoin</x:v>
      </x:c>
      <x:c r="C50" s="15" t="str">
        <x:v>Défini</x:v>
      </x:c>
      <x:c r="D50" s="17" t="str">
        <x:v>Extrapolation</x:v>
      </x:c>
      <x:c r="E50" s="17" t="str">
        <x:v>P1</x:v>
      </x:c>
      <x:c r="F50" s="7" t="str">
        <x:v>Livrable original proposé : Prison Guard — Alerte par témoin.</x:v>
      </x:c>
      <x:c r="G50" s="7" t="str">
        <x:v>Observe, enquête puis transmet ; neutraliser la transmission ou choisir l’affrontement.</x:v>
      </x:c>
      <x:c r="H50" s="7" t="str">
        <x:v>Observe, enquête puis transmet ; neutraliser la transmission ou choisir l’affrontement.</x:v>
      </x:c>
      <x:c r="I50" s="7" t="str">
        <x:v>Batarien armé dans la prison. Ajouter un télégraphe de préparation indépendant du décor.</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me2/enemy_moves/prison-guard ; rattacher les ressources et états cités à cet identifiant. Aucun fichier de jeu créé par ce catalogue.</x:v>
      </x:c>
      <x:c r="M50" s="7" t="str"/>
      <x:c r="N50" s="7" t="str">
        <x:v>En duel puis en groupe, « Alerte par témoin » laisse une réponse observable ; l’impact ne précède jamais son télégraphe et l’interruption n’exécute pas les dégâts annulés.</x:v>
      </x:c>
      <x:c r="O50" s="7" t="str">
        <x:v>ME2-ENM-PRISON-GUARD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72" priority="1" operator="equal">
      <x:formula>"À vérifier"</x:formula>
    </x:cfRule>
    <x:cfRule type="cellIs" dxfId="73" priority="2" operator="equal">
      <x:formula>"Extrapolation"</x:formula>
    </x:cfRule>
  </x:conditionalFormatting>
  <x:conditionalFormatting sqref="C7:C50">
    <x:cfRule type="cellIs" dxfId="74" priority="3" operator="equal">
      <x:formula>"Validé"</x:formula>
    </x:cfRule>
  </x:conditionalFormatting>
  <x:conditionalFormatting sqref="E7:E50">
    <x:cfRule type="cellIs" dxfId="7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a449b2c486e74679"/>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2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ME2-ANI-SHEP-COVER</x:v>
      </x:c>
      <x:c r="B7" s="9" t="str">
        <x:v>Shepard — entrée et sortie de couvert</x:v>
      </x:c>
      <x:c r="C7" s="15" t="str">
        <x:v>Défini</x:v>
      </x:c>
      <x:c r="D7" s="16" t="str">
        <x:v>Extrapolation</x:v>
      </x:c>
      <x:c r="E7" s="16" t="str">
        <x:v>P1</x:v>
      </x:c>
      <x:c r="F7" s="9" t="str">
        <x:v>Livrable original proposé : Shepard — entrée et sortie de couvert.</x:v>
      </x:c>
      <x:c r="G7" s="9" t="str">
        <x:v>Animer approche, appui et retrait ; le ciblage au sol ne bouge qu’au début du déplacement autorisé.</x:v>
      </x:c>
      <x:c r="H7" s="9" t="str">
        <x:v>Animer approche, appui et retrait ; le ciblage au sol ne bouge qu’au début du déplacement autorisé.</x:v>
      </x:c>
      <x:c r="I7" s="9" t="str">
        <x:v>Variantes debout/accroupi et arme longue/courte.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me2/animations/shep-cover ; rattacher les ressources et états cités à cet identifiant. Aucun fichier de jeu créé par ce catalogue.</x:v>
      </x:c>
      <x:c r="M7" s="9" t="str"/>
      <x:c r="N7" s="9" t="str">
        <x:v>Le livrable « Shepard — entrée et sortie de couvert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ME2-ANI-SHEP-RELOAD</x:v>
      </x:c>
      <x:c r="B8" s="7" t="str">
        <x:v>Shepard — changement de clip</x:v>
      </x:c>
      <x:c r="C8" s="15" t="str">
        <x:v>Défini</x:v>
      </x:c>
      <x:c r="D8" s="17" t="str">
        <x:v>Extrapolation</x:v>
      </x:c>
      <x:c r="E8" s="17" t="str">
        <x:v>P1</x:v>
      </x:c>
      <x:c r="F8" s="7" t="str">
        <x:v>Livrable original proposé : Shepard — changement de clip.</x:v>
      </x:c>
      <x:c r="G8" s="7" t="str">
        <x:v>Éjection, prise et verrou distincts ; événement de munition unique au verrou ; annulation avant verrou préserve l’ancien compte.</x:v>
      </x:c>
      <x:c r="H8" s="7" t="str">
        <x:v>Éjection, prise et verrou distincts ; événement de munition unique au verrou ; annulation avant verrou préserve l’ancien compte.</x:v>
      </x:c>
      <x:c r="I8" s="7" t="str">
        <x:v>Petit bloc chaud et geste de main lisible.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me2/animations/shep-reload ; rattacher les ressources et états cités à cet identifiant. Aucun fichier de jeu créé par ce catalogue.</x:v>
      </x:c>
      <x:c r="M8" s="7" t="str"/>
      <x:c r="N8" s="7" t="str">
        <x:v>Le livrable « Shepard — changement de clip » possède une scène ou un scénario de contrôle ; ses règles proposées, ses conditions et ses retours visuels sont vérifiables séparément.</x:v>
      </x:c>
      <x:c r="O8" s="7" t="str">
        <x:v>ME2-EQP-THERMAL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ME2-ANI-SHEP-OMNI</x:v>
      </x:c>
      <x:c r="B9" s="9" t="str">
        <x:v>Shepard — geste omni-outil</x:v>
      </x:c>
      <x:c r="C9" s="15" t="str">
        <x:v>Défini</x:v>
      </x:c>
      <x:c r="D9" s="16" t="str">
        <x:v>Extrapolation</x:v>
      </x:c>
      <x:c r="E9" s="16" t="str">
        <x:v>P1</x:v>
      </x:c>
      <x:c r="F9" s="9" t="str">
        <x:v>Livrable original proposé : Shepard — geste omni-outil.</x:v>
      </x:c>
      <x:c r="G9" s="9" t="str">
        <x:v>Main libre pour canal technique ; transition correcte depuis chaque famille d’arme.</x:v>
      </x:c>
      <x:c r="H9" s="9" t="str">
        <x:v>Main libre pour canal technique ; transition correcte depuis chaque famille d’arme.</x:v>
      </x:c>
      <x:c r="I9" s="9" t="str">
        <x:v>Arc orange extérieur à la silhouette.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me2/animations/shep-omni ; rattacher les ressources et états cités à cet identifiant. Aucun fichier de jeu créé par ce catalogue.</x:v>
      </x:c>
      <x:c r="M9" s="9" t="str"/>
      <x:c r="N9" s="9" t="str">
        <x:v>Le livrable « Shepard — geste omni-outil » possède une scène ou un scénario de contrôle ; ses règles proposées, ses conditions et ses retours visuels sont vérifiables séparément.</x:v>
      </x:c>
      <x:c r="O9" s="9" t="str">
        <x:v>ME2-POW-OVERLOAD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ME2-ANI-SHEP-BIOTIC</x:v>
      </x:c>
      <x:c r="B10" s="7" t="str">
        <x:v>Shepard — anticipation biotique</x:v>
      </x:c>
      <x:c r="C10" s="15" t="str">
        <x:v>Défini</x:v>
      </x:c>
      <x:c r="D10" s="17" t="str">
        <x:v>Extrapolation</x:v>
      </x:c>
      <x:c r="E10" s="17" t="str">
        <x:v>P1</x:v>
      </x:c>
      <x:c r="F10" s="7" t="str">
        <x:v>Livrable original proposé : Shepard — anticipation biotique.</x:v>
      </x:c>
      <x:c r="G10" s="7" t="str">
        <x:v>Poids du corps puis geste ; lire préparation, déclenchement et récupération même sans particules.</x:v>
      </x:c>
      <x:c r="H10" s="7" t="str">
        <x:v>Poids du corps puis geste ; lire préparation, déclenchement et récupération même sans particules.</x:v>
      </x:c>
      <x:c r="I10" s="7" t="str">
        <x:v>Trois poses fortes et paume ouverte.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me2/animations/shep-biotic ; rattacher les ressources et états cités à cet identifiant. Aucun fichier de jeu créé par ce catalogue.</x:v>
      </x:c>
      <x:c r="M10" s="7" t="str"/>
      <x:c r="N10" s="7" t="str">
        <x:v>Le livrable « Shepard — anticipation biotique » possède une scène ou un scénario de contrôle ; ses règles proposées, ses conditions et ses retours visuels sont vérifiables séparément.</x:v>
      </x:c>
      <x:c r="O10" s="7" t="str">
        <x:v>ME2-POW-WARP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ME2-ANI-GRUNT-CHARGE</x:v>
      </x:c>
      <x:c r="B11" s="9" t="str">
        <x:v>Grunt — charge et freinage</x:v>
      </x:c>
      <x:c r="C11" s="15" t="str">
        <x:v>Défini</x:v>
      </x:c>
      <x:c r="D11" s="16" t="str">
        <x:v>Extrapolation</x:v>
      </x:c>
      <x:c r="E11" s="16" t="str">
        <x:v>P1</x:v>
      </x:c>
      <x:c r="F11" s="9" t="str">
        <x:v>Livrable original proposé : Grunt — charge et freinage.</x:v>
      </x:c>
      <x:c r="G11" s="9" t="str">
        <x:v>Abaisser le centre, accélérer puis glisser à l’arrêt ; aucun passage à travers un allié.</x:v>
      </x:c>
      <x:c r="H11" s="9" t="str">
        <x:v>Abaisser le centre, accélérer puis glisser à l’arrêt ; aucun passage à travers un allié.</x:v>
      </x:c>
      <x:c r="I11" s="9" t="str">
        <x:v>Carapace avançant avant le corps.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me2/animations/grunt-charge ; rattacher les ressources et états cités à cet identifiant. Aucun fichier de jeu créé par ce catalogue.</x:v>
      </x:c>
      <x:c r="M11" s="9" t="str"/>
      <x:c r="N11" s="9" t="str">
        <x:v>Le livrable « Grunt — charge et freinage » possède une scène ou un scénario de contrôle ; ses règles proposées, ses conditions et ses retours visuels sont vérifiables séparément.</x:v>
      </x:c>
      <x:c r="O11" s="9" t="str">
        <x:v>ME2-CHR-GRUNT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ME2-ANI-JACK-SHOCK</x:v>
      </x:c>
      <x:c r="B12" s="7" t="str">
        <x:v>Jack — onde au sol</x:v>
      </x:c>
      <x:c r="C12" s="15" t="str">
        <x:v>Défini</x:v>
      </x:c>
      <x:c r="D12" s="17" t="str">
        <x:v>Extrapolation</x:v>
      </x:c>
      <x:c r="E12" s="17" t="str">
        <x:v>P1</x:v>
      </x:c>
      <x:c r="F12" s="7" t="str">
        <x:v>Livrable original proposé : Jack — onde au sol.</x:v>
      </x:c>
      <x:c r="G12" s="7" t="str">
        <x:v>Deux appuis au sol, projection des bras et reprise ; la ligne de choc commence au contact de la pose clé.</x:v>
      </x:c>
      <x:c r="H12" s="7" t="str">
        <x:v>Deux appuis au sol, projection des bras et reprise ; la ligne de choc commence au contact de la pose clé.</x:v>
      </x:c>
      <x:c r="I12" s="7" t="str">
        <x:v>Silhouette ouverte et effet horizontal.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me2/animations/jack-shock ; rattacher les ressources et états cités à cet identifiant. Aucun fichier de jeu créé par ce catalogue.</x:v>
      </x:c>
      <x:c r="M12" s="7" t="str"/>
      <x:c r="N12" s="7" t="str">
        <x:v>Le livrable « Jack — onde au sol » possède une scène ou un scénario de contrôle ; ses règles proposées, ses conditions et ses retours visuels sont vérifiables séparément.</x:v>
      </x:c>
      <x:c r="O12" s="7" t="str">
        <x:v>ME2-CHR-JACK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ME2-ANI-GARRUS-SNIPE</x:v>
      </x:c>
      <x:c r="B13" s="9" t="str">
        <x:v>Garrus — visée suspendue</x:v>
      </x:c>
      <x:c r="C13" s="15" t="str">
        <x:v>Défini</x:v>
      </x:c>
      <x:c r="D13" s="16" t="str">
        <x:v>Extrapolation</x:v>
      </x:c>
      <x:c r="E13" s="16" t="str">
        <x:v>P1</x:v>
      </x:c>
      <x:c r="F13" s="9" t="str">
        <x:v>Livrable original proposé : Garrus — visée suspendue.</x:v>
      </x:c>
      <x:c r="G13" s="9" t="str">
        <x:v>Épauler, immobiliser le viseur, tir et retour ; garder cicatrice du même côté selon orientation.</x:v>
      </x:c>
      <x:c r="H13" s="9" t="str">
        <x:v>Épauler, immobiliser le viseur, tir et retour ; garder cicatrice du même côté selon orientation.</x:v>
      </x:c>
      <x:c r="I13" s="9" t="str">
        <x:v>Armure asymétrique et longue arme.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me2/animations/garrus-snipe ; rattacher les ressources et états cités à cet identifiant. Aucun fichier de jeu créé par ce catalogue.</x:v>
      </x:c>
      <x:c r="M13" s="9" t="str"/>
      <x:c r="N13" s="9" t="str">
        <x:v>Le livrable « Garrus — visée suspendue » possède une scène ou un scénario de contrôle ; ses règles proposées, ses conditions et ses retours visuels sont vérifiables séparément.</x:v>
      </x:c>
      <x:c r="O13" s="9" t="str">
        <x:v>ME2-CHR-GARRUS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ME2-ANI-KASUMI-STRIKE</x:v>
      </x:c>
      <x:c r="B14" s="7" t="str">
        <x:v>Kasumi — disparition et retour</x:v>
      </x:c>
      <x:c r="C14" s="15" t="str">
        <x:v>Défini</x:v>
      </x:c>
      <x:c r="D14" s="17" t="str">
        <x:v>Extrapolation</x:v>
      </x:c>
      <x:c r="E14" s="17" t="str">
        <x:v>P1</x:v>
      </x:c>
      <x:c r="F14" s="7" t="str">
        <x:v>Livrable original proposé : Kasumi — disparition et retour.</x:v>
      </x:c>
      <x:c r="G14" s="7" t="str">
        <x:v>Fondre dans l’ombre après anticipation puis frapper ; les frames de retour choisissent l’emplacement validé.</x:v>
      </x:c>
      <x:c r="H14" s="7" t="str">
        <x:v>Fondre dans l’ombre après anticipation puis frapper ; les frames de retour choisissent l’emplacement validé.</x:v>
      </x:c>
      <x:c r="I14" s="7" t="str">
        <x:v>Capuche, lame de geste et ombre au sol.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me2/animations/kasumi-strike ; rattacher les ressources et états cités à cet identifiant. Aucun fichier de jeu créé par ce catalogue.</x:v>
      </x:c>
      <x:c r="M14" s="7" t="str"/>
      <x:c r="N14" s="7" t="str">
        <x:v>Le livrable « Kasumi — disparition et retour » possède une scène ou un scénario de contrôle ; ses règles proposées, ses conditions et ses retours visuels sont vérifiables séparément.</x:v>
      </x:c>
      <x:c r="O14" s="7" t="str">
        <x:v>ME2-CHR-KASUMI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ME2-ANI-LEGION-IDLE</x:v>
      </x:c>
      <x:c r="B15" s="9" t="str">
        <x:v>Legion — optique et panneaux</x:v>
      </x:c>
      <x:c r="C15" s="15" t="str">
        <x:v>Défini</x:v>
      </x:c>
      <x:c r="D15" s="16" t="str">
        <x:v>Extrapolation</x:v>
      </x:c>
      <x:c r="E15" s="16" t="str">
        <x:v>P1</x:v>
      </x:c>
      <x:c r="F15" s="9" t="str">
        <x:v>Livrable original proposé : Legion — optique et panneaux.</x:v>
      </x:c>
      <x:c r="G15" s="9" t="str">
        <x:v>Mouvements de tête et panneaux substituent les expressions faciales ; garder le trou du torse non miroir.</x:v>
      </x:c>
      <x:c r="H15" s="9" t="str">
        <x:v>Mouvements de tête et panneaux substituent les expressions faciales ; garder le trou du torse non miroir.</x:v>
      </x:c>
      <x:c r="I15" s="9" t="str">
        <x:v>Optique unique et plaques mobiles.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me2/animations/legion-idle ; rattacher les ressources et états cités à cet identifiant. Aucun fichier de jeu créé par ce catalogue.</x:v>
      </x:c>
      <x:c r="M15" s="9" t="str"/>
      <x:c r="N15" s="9" t="str">
        <x:v>Le livrable « Legion — optique et panneaux » possède une scène ou un scénario de contrôle ; ses règles proposées, ses conditions et ses retours visuels sont vérifiables séparément.</x:v>
      </x:c>
      <x:c r="O15" s="9" t="str">
        <x:v>ME2-CHR-LEGION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ME2-ANI-TALI-DRONE</x:v>
      </x:c>
      <x:c r="B16" s="7" t="str">
        <x:v>Tali — invocation de drone</x:v>
      </x:c>
      <x:c r="C16" s="15" t="str">
        <x:v>Défini</x:v>
      </x:c>
      <x:c r="D16" s="17" t="str">
        <x:v>Extrapolation</x:v>
      </x:c>
      <x:c r="E16" s="17" t="str">
        <x:v>P1</x:v>
      </x:c>
      <x:c r="F16" s="7" t="str">
        <x:v>Livrable original proposé : Tali — invocation de drone.</x:v>
      </x:c>
      <x:c r="G16" s="7" t="str">
        <x:v>Omni-outil puis libération ; un point lumineux relie clairement la créatrice au drone.</x:v>
      </x:c>
      <x:c r="H16" s="7" t="str">
        <x:v>Omni-outil puis libération ; un point lumineux relie clairement la créatrice au drone.</x:v>
      </x:c>
      <x:c r="I16" s="7" t="str">
        <x:v>Paume et capuche sans masquer l’optique.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me2/animations/tali-drone ; rattacher les ressources et états cités à cet identifiant. Aucun fichier de jeu créé par ce catalogue.</x:v>
      </x:c>
      <x:c r="M16" s="7" t="str"/>
      <x:c r="N16" s="7" t="str">
        <x:v>Le livrable « Tali — invocation de drone » possède une scène ou un scénario de contrôle ; ses règles proposées, ses conditions et ses retours visuels sont vérifiables séparément.</x:v>
      </x:c>
      <x:c r="O16" s="7" t="str">
        <x:v>ME2-CHR-TALI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ME2-ANI-MORDIN-WORK</x:v>
      </x:c>
      <x:c r="B17" s="9" t="str">
        <x:v>Mordin — diagnostic et conversation</x:v>
      </x:c>
      <x:c r="C17" s="15" t="str">
        <x:v>Défini</x:v>
      </x:c>
      <x:c r="D17" s="16" t="str">
        <x:v>Extrapolation</x:v>
      </x:c>
      <x:c r="E17" s="16" t="str">
        <x:v>P1</x:v>
      </x:c>
      <x:c r="F17" s="9" t="str">
        <x:v>Livrable original proposé : Mordin — diagnostic et conversation.</x:v>
      </x:c>
      <x:c r="G17" s="9" t="str">
        <x:v>Gestes rapides mais arrêts aux phrases importantes ; conserver la lisibilité des doigts en petite taille.</x:v>
      </x:c>
      <x:c r="H17" s="9" t="str">
        <x:v>Gestes rapides mais arrêts aux phrases importantes ; conserver la lisibilité des doigts en petite taille.</x:v>
      </x:c>
      <x:c r="I17" s="9" t="str">
        <x:v>Tête inclinée et omni-outil.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me2/animations/mordin-work ; rattacher les ressources et états cités à cet identifiant. Aucun fichier de jeu créé par ce catalogue.</x:v>
      </x:c>
      <x:c r="M17" s="9" t="str"/>
      <x:c r="N17" s="9" t="str">
        <x:v>Le livrable « Mordin — diagnostic et conversation » possède une scène ou un scénario de contrôle ; ses règles proposées, ses conditions et ses retours visuels sont vérifiables séparément.</x:v>
      </x:c>
      <x:c r="O17" s="9" t="str">
        <x:v>ME2-CHR-MORDIN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ME2-ANI-JOKER-WALK</x:v>
      </x:c>
      <x:c r="B18" s="7" t="str">
        <x:v>Joker — marche de fuite</x:v>
      </x:c>
      <x:c r="C18" s="15" t="str">
        <x:v>Défini</x:v>
      </x:c>
      <x:c r="D18" s="17" t="str">
        <x:v>Extrapolation</x:v>
      </x:c>
      <x:c r="E18" s="17" t="str">
        <x:v>P1</x:v>
      </x:c>
      <x:c r="F18" s="7" t="str">
        <x:v>Livrable original proposé : Joker — marche de fuite.</x:v>
      </x:c>
      <x:c r="G18" s="7" t="str">
        <x:v>Cycle prudent avec appuis ; ne pas utiliser le sprint générique du héros.</x:v>
      </x:c>
      <x:c r="H18" s="7" t="str">
        <x:v>Cycle prudent avec appuis ; ne pas utiliser le sprint générique du héros.</x:v>
      </x:c>
      <x:c r="I18" s="7" t="str">
        <x:v>Casquette et déplacements courts.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me2/animations/joker-walk ; rattacher les ressources et états cités à cet identifiant. Aucun fichier de jeu créé par ce catalogue.</x:v>
      </x:c>
      <x:c r="M18" s="7" t="str"/>
      <x:c r="N18" s="7" t="str">
        <x:v>Le livrable « Joker — marche de fuite » possède une scène ou un scénario de contrôle ; ses règles proposées, ses conditions et ses retours visuels sont vérifiables séparément.</x:v>
      </x:c>
      <x:c r="O18" s="7" t="str">
        <x:v>ME2-NPC-JOKER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ME2-ANI-FENRIS-LEAP</x:v>
      </x:c>
      <x:c r="B19" s="9" t="str">
        <x:v>FENRIS — bond</x:v>
      </x:c>
      <x:c r="C19" s="15" t="str">
        <x:v>Défini</x:v>
      </x:c>
      <x:c r="D19" s="16" t="str">
        <x:v>Extrapolation</x:v>
      </x:c>
      <x:c r="E19" s="16" t="str">
        <x:v>P1</x:v>
      </x:c>
      <x:c r="F19" s="9" t="str">
        <x:v>Livrable original proposé : FENRIS — bond.</x:v>
      </x:c>
      <x:c r="G19" s="9" t="str">
        <x:v>Compression des pattes, décollage, trajectoire et réception ; collider suit la position au sol prévue.</x:v>
      </x:c>
      <x:c r="H19" s="9" t="str">
        <x:v>Compression des pattes, décollage, trajectoire et réception ; collider suit la position au sol prévue.</x:v>
      </x:c>
      <x:c r="I19" s="9" t="str">
        <x:v>Quatre pattes nettement séparées.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me2/animations/fenris-leap ; rattacher les ressources et états cités à cet identifiant. Aucun fichier de jeu créé par ce catalogue.</x:v>
      </x:c>
      <x:c r="M19" s="9" t="str"/>
      <x:c r="N19" s="9" t="str">
        <x:v>Le livrable « FENRIS — bond » possède une scène ou un scénario de contrôle ; ses règles proposées, ses conditions et ses retours visuels sont vérifiables séparément.</x:v>
      </x:c>
      <x:c r="O19" s="9" t="str">
        <x:v>ME2-ENM-FENRIS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ME2-ANI-YMIR-TURN</x:v>
      </x:c>
      <x:c r="B20" s="7" t="str">
        <x:v>YMIR — rotation armée</x:v>
      </x:c>
      <x:c r="C20" s="15" t="str">
        <x:v>Défini</x:v>
      </x:c>
      <x:c r="D20" s="17" t="str">
        <x:v>Extrapolation</x:v>
      </x:c>
      <x:c r="E20" s="17" t="str">
        <x:v>P1</x:v>
      </x:c>
      <x:c r="F20" s="7" t="str">
        <x:v>Livrable original proposé : YMIR — rotation armée.</x:v>
      </x:c>
      <x:c r="G20" s="7" t="str">
        <x:v>Buste tourne avant les pieds ; fenêtre de flanc lisible pendant le pivot.</x:v>
      </x:c>
      <x:c r="H20" s="7" t="str">
        <x:v>Buste tourne avant les pieds ; fenêtre de flanc lisible pendant le pivot.</x:v>
      </x:c>
      <x:c r="I20" s="7" t="str">
        <x:v>Grand torse et jambes lourdes.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me2/animations/ymir-turn ; rattacher les ressources et états cités à cet identifiant. Aucun fichier de jeu créé par ce catalogue.</x:v>
      </x:c>
      <x:c r="M20" s="7" t="str"/>
      <x:c r="N20" s="7" t="str">
        <x:v>Le livrable « YMIR — rotation armée » possède une scène ou un scénario de contrôle ; ses règles proposées, ses conditions et ses retours visuels sont vérifiables séparément.</x:v>
      </x:c>
      <x:c r="O20" s="7" t="str">
        <x:v>ME2-ENM-YMIR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ME2-ANI-PRAET-LAND</x:v>
      </x:c>
      <x:c r="B21" s="9" t="str">
        <x:v>Praetorian — atterrissage</x:v>
      </x:c>
      <x:c r="C21" s="15" t="str">
        <x:v>Défini</x:v>
      </x:c>
      <x:c r="D21" s="16" t="str">
        <x:v>Extrapolation</x:v>
      </x:c>
      <x:c r="E21" s="16" t="str">
        <x:v>P1</x:v>
      </x:c>
      <x:c r="F21" s="9" t="str">
        <x:v>Livrable original proposé : Praetorian — atterrissage.</x:v>
      </x:c>
      <x:c r="G21" s="9" t="str">
        <x:v>Baisser le corps puis déployer la décharge ; anneau de danger apparaît avant contact.</x:v>
      </x:c>
      <x:c r="H21" s="9" t="str">
        <x:v>Baisser le corps puis déployer la décharge ; anneau de danger apparaît avant contact.</x:v>
      </x:c>
      <x:c r="I21" s="9" t="str">
        <x:v>Silhouette suspendue devenant masse au sol.</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me2/animations/praet-land ; rattacher les ressources et états cités à cet identifiant. Aucun fichier de jeu créé par ce catalogue.</x:v>
      </x:c>
      <x:c r="M21" s="9" t="str"/>
      <x:c r="N21" s="9" t="str">
        <x:v>Le livrable « Praetorian — atterrissage » possède une scène ou un scénario de contrôle ; ses règles proposées, ses conditions et ses retours visuels sont vérifiables séparément.</x:v>
      </x:c>
      <x:c r="O21" s="9" t="str">
        <x:v>ME2-ENM-PRAETORIAN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ME2-ANI-SCION-WAVE</x:v>
      </x:c>
      <x:c r="B22" s="7" t="str">
        <x:v>Scion — préparation d’onde</x:v>
      </x:c>
      <x:c r="C22" s="15" t="str">
        <x:v>Défini</x:v>
      </x:c>
      <x:c r="D22" s="17" t="str">
        <x:v>Extrapolation</x:v>
      </x:c>
      <x:c r="E22" s="17" t="str">
        <x:v>P1</x:v>
      </x:c>
      <x:c r="F22" s="7" t="str">
        <x:v>Livrable original proposé : Scion — préparation d’onde.</x:v>
      </x:c>
      <x:c r="G22" s="7" t="str">
        <x:v>Gonflement/armement du bras puis ligne d’onde ; conserver l’asymétrie sur toutes les vues.</x:v>
      </x:c>
      <x:c r="H22" s="7" t="str">
        <x:v>Gonflement/armement du bras puis ligne d’onde ; conserver l’asymétrie sur toutes les vues.</x:v>
      </x:c>
      <x:c r="I22" s="7" t="str">
        <x:v>Bras-canon et épaule lourde.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me2/animations/scion-wave ; rattacher les ressources et états cités à cet identifiant. Aucun fichier de jeu créé par ce catalogue.</x:v>
      </x:c>
      <x:c r="M22" s="7" t="str"/>
      <x:c r="N22" s="7" t="str">
        <x:v>Le livrable « Scion — préparation d’onde » possède une scène ou un scénario de contrôle ; ses règles proposées, ses conditions et ses retours visuels sont vérifiables séparément.</x:v>
      </x:c>
      <x:c r="O22" s="7" t="str">
        <x:v>ME2-ENM-SCION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ME2-ANI-HARBINGER-TAKE</x:v>
      </x:c>
      <x:c r="B23" s="9" t="str">
        <x:v>Possession d’un Collecteur</x:v>
      </x:c>
      <x:c r="C23" s="15" t="str">
        <x:v>Défini</x:v>
      </x:c>
      <x:c r="D23" s="16" t="str">
        <x:v>Extrapolation</x:v>
      </x:c>
      <x:c r="E23" s="16" t="str">
        <x:v>P1</x:v>
      </x:c>
      <x:c r="F23" s="9" t="str">
        <x:v>Livrable original proposé : Possession d’un Collecteur.</x:v>
      </x:c>
      <x:c r="G23" s="9" t="str">
        <x:v>Arrêt du porteur, allumage puis posture de Harbinger ; conversion unique de l’état d’IA à la frame de prise.</x:v>
      </x:c>
      <x:c r="H23" s="9" t="str">
        <x:v>Arrêt du porteur, allumage puis posture de Harbinger ; conversion unique de l’état d’IA à la frame de prise.</x:v>
      </x:c>
      <x:c r="I23" s="9" t="str">
        <x:v>Chitine orange lumineuse.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me2/animations/harbinger-take ; rattacher les ressources et états cités à cet identifiant. Aucun fichier de jeu créé par ce catalogue.</x:v>
      </x:c>
      <x:c r="M23" s="9" t="str"/>
      <x:c r="N23" s="9" t="str">
        <x:v>Le livrable « Possession d’un Collecteur » possède une scène ou un scénario de contrôle ; ses règles proposées, ses conditions et ses retours visuels sont vérifiables séparément.</x:v>
      </x:c>
      <x:c r="O23" s="9" t="str">
        <x:v>ME2-ENM-HARBINGER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ME2-ANI-BROKER-SHIELD</x:v>
      </x:c>
      <x:c r="B24" s="7" t="str">
        <x:v>Yahg — alternance de bouclier</x:v>
      </x:c>
      <x:c r="C24" s="15" t="str">
        <x:v>Défini</x:v>
      </x:c>
      <x:c r="D24" s="17" t="str">
        <x:v>Extrapolation</x:v>
      </x:c>
      <x:c r="E24" s="17" t="str">
        <x:v>P1</x:v>
      </x:c>
      <x:c r="F24" s="7" t="str">
        <x:v>Livrable original proposé : Yahg — alternance de bouclier.</x:v>
      </x:c>
      <x:c r="G24" s="7" t="str">
        <x:v>Pose défensive haute, ouverture et frappe ; l’état de collision suit la surface dessinée.</x:v>
      </x:c>
      <x:c r="H24" s="7" t="str">
        <x:v>Pose défensive haute, ouverture et frappe ; l’état de collision suit la surface dessinée.</x:v>
      </x:c>
      <x:c r="I24" s="7" t="str">
        <x:v>Bouclier géant et silhouette quadrupède redressée.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me2/animations/broker-shield ; rattacher les ressources et états cités à cet identifiant. Aucun fichier de jeu créé par ce catalogue.</x:v>
      </x:c>
      <x:c r="M24" s="7" t="str"/>
      <x:c r="N24" s="7" t="str">
        <x:v>Le livrable « Yahg — alternance de bouclier » possède une scène ou un scénario de contrôle ; ses règles proposées, ses conditions et ses retours visuels sont vérifiables séparément.</x:v>
      </x:c>
      <x:c r="O24" s="7" t="str">
        <x:v>ME2-ENM-BROKER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ME2-ANI-HAMMER-HOVER</x:v>
      </x:c>
      <x:c r="B25" s="9" t="str">
        <x:v>Hammerhead — sustentation et saut</x:v>
      </x:c>
      <x:c r="C25" s="15" t="str">
        <x:v>Défini</x:v>
      </x:c>
      <x:c r="D25" s="16" t="str">
        <x:v>Extrapolation</x:v>
      </x:c>
      <x:c r="E25" s="16" t="str">
        <x:v>P1</x:v>
      </x:c>
      <x:c r="F25" s="9" t="str">
        <x:v>Livrable original proposé : Hammerhead — sustentation et saut.</x:v>
      </x:c>
      <x:c r="G25" s="9" t="str">
        <x:v>Boucle de vol bas, jets de montée puis réception ; échelle du groupe invisible durant le véhicule.</x:v>
      </x:c>
      <x:c r="H25" s="9" t="str">
        <x:v>Boucle de vol bas, jets de montée puis réception ; échelle du groupe invisible durant le véhicule.</x:v>
      </x:c>
      <x:c r="I25" s="9" t="str">
        <x:v>Jets latéraux et poussière au sol.</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me2/animations/hammer-hover ; rattacher les ressources et états cités à cet identifiant. Aucun fichier de jeu créé par ce catalogue.</x:v>
      </x:c>
      <x:c r="M25" s="9" t="str"/>
      <x:c r="N25" s="9" t="str">
        <x:v>Le livrable « Hammerhead — sustentation et saut » possède une scène ou un scénario de contrôle ; ses règles proposées, ses conditions et ses retours visuels sont vérifiables séparément.</x:v>
      </x:c>
      <x:c r="O25" s="9" t="str">
        <x:v>ME2-EQP-HAMMERHEAD</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ME2-ANI-CREW-RESCUE</x:v>
      </x:c>
      <x:c r="B26" s="7" t="str">
        <x:v>Équipage — sortie des pods</x:v>
      </x:c>
      <x:c r="C26" s="15" t="str">
        <x:v>Défini</x:v>
      </x:c>
      <x:c r="D26" s="17" t="str">
        <x:v>Extrapolation</x:v>
      </x:c>
      <x:c r="E26" s="17" t="str">
        <x:v>P1</x:v>
      </x:c>
      <x:c r="F26" s="7" t="str">
        <x:v>Livrable original proposé : Équipage — sortie des pods.</x:v>
      </x:c>
      <x:c r="G26" s="7" t="str">
        <x:v>Pose de réveil, appui et marche assistée ; variantes seulement pour survivants présents.</x:v>
      </x:c>
      <x:c r="H26" s="7" t="str">
        <x:v>Pose de réveil, appui et marche assistée ; variantes seulement pour survivants présents.</x:v>
      </x:c>
      <x:c r="I26" s="7" t="str">
        <x:v>Humains affaiblis et pods ouverts.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me2/animations/crew-rescue ; rattacher les ressources et états cités à cet identifiant. Aucun fichier de jeu créé par ce catalogue.</x:v>
      </x:c>
      <x:c r="M26" s="7" t="str"/>
      <x:c r="N26" s="7" t="str">
        <x:v>Le livrable « Équipage — sortie des pods » possède une scène ou un scénario de contrôle ; ses règles proposées, ses conditions et ses retours visuels sont vérifiables séparément.</x:v>
      </x:c>
      <x:c r="O26" s="7" t="str">
        <x:v>ME2-MQ-LONG-WALK</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76" priority="1" operator="equal">
      <x:formula>"À vérifier"</x:formula>
    </x:cfRule>
    <x:cfRule type="cellIs" dxfId="77" priority="2" operator="equal">
      <x:formula>"Extrapolation"</x:formula>
    </x:cfRule>
  </x:conditionalFormatting>
  <x:conditionalFormatting sqref="C7:C26">
    <x:cfRule type="cellIs" dxfId="78" priority="3" operator="equal">
      <x:formula>"Validé"</x:formula>
    </x:cfRule>
  </x:conditionalFormatting>
  <x:conditionalFormatting sqref="E7:E26">
    <x:cfRule type="cellIs" dxfId="7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6cfa7d1d3a8f40b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2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ME2-SPR-CHR-SHEPARD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modulable, visage et carrure paramétrables ; cicatrices en calque séparé.</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me2/sprites/chr-shepard ; rattacher les ressources et états cités à cet identifiant. Aucun fichier de jeu créé par ce catalogue.</x:v>
      </x:c>
      <x:c r="M7" s="9" t="str">
        <x:v>Historique et état importés ; aucune apparence unique imposée.</x:v>
      </x:c>
      <x:c r="N7" s="9" t="str">
        <x:v>À l’échelle de jeu, Commandant Shepard est identifiable en silhouette ; pivot aux pieds, masque de profondeur et huit orientations proposés restent stables devant les couverts.</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ME2-SPR-CHR-MIRANDA</x:v>
      </x:c>
      <x:c r="B8" s="7" t="str">
        <x:v>Planche sprites — Miranda Lawson</x:v>
      </x:c>
      <x:c r="C8" s="15" t="str">
        <x:v>Défini</x:v>
      </x:c>
      <x:c r="D8" s="17" t="str">
        <x:v>Extrapolation</x:v>
      </x:c>
      <x:c r="E8" s="17" t="str">
        <x:v>P1</x:v>
      </x:c>
      <x:c r="F8" s="7" t="str">
        <x:v>Livrable original proposé : Planche sprites — Miranda Lawson.</x:v>
      </x:c>
      <x:c r="G8" s="7" t="str">
        <x:v>Produire une planche originale de Miranda Lawson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Combinaison claire à panneaux noirs ; silhouette droite et démarche maîtrisée.</x:v>
      </x:c>
      <x:c r="J8" s="7" t="str">
        <x:v>Prévoir un état neutre, déplacement, préparation de l’action signature, impact reçu, mise à terre et retour en contrôle pour Miranda Lawson. Éviter la duplication miroir des signes asymétriques.</x:v>
      </x:c>
      <x:c r="K8" s="7" t="str">
        <x:v>Sans bande sonore embarquée dans la planche ; émettre uniquement des événements nommés vers le système audio pour éviter les doublons.</x:v>
      </x:c>
      <x:c r="L8" s="7" t="str">
        <x:v>Prévu : fiche de données me2/sprites/chr-miranda ; rattacher les ressources et états cités à cet identifiant. Aucun fichier de jeu créé par ce catalogue.</x:v>
      </x:c>
      <x:c r="M8" s="7" t="str"/>
      <x:c r="N8" s="7" t="str">
        <x:v>À l’échelle de jeu, Miranda Lawson est identifiable en silhouette ; pivot aux pieds, masque de profondeur et huit orientations proposés restent stables devant les couverts.</x:v>
      </x:c>
      <x:c r="O8" s="7" t="str">
        <x:v>ME2-CHR-MIRANDA</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ME2-SPR-CHR-JACOB</x:v>
      </x:c>
      <x:c r="B9" s="9" t="str">
        <x:v>Planche sprites — Jacob Taylor</x:v>
      </x:c>
      <x:c r="C9" s="15" t="str">
        <x:v>Défini</x:v>
      </x:c>
      <x:c r="D9" s="16" t="str">
        <x:v>Extrapolation</x:v>
      </x:c>
      <x:c r="E9" s="16" t="str">
        <x:v>P1</x:v>
      </x:c>
      <x:c r="F9" s="9" t="str">
        <x:v>Livrable original proposé : Planche sprites — Jacob Taylor.</x:v>
      </x:c>
      <x:c r="G9" s="9" t="str">
        <x:v>Produire une planche originale de Jacob Taylor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Tenue noire Cerberus, épaules larges et fusil compact.</x:v>
      </x:c>
      <x:c r="J9" s="9" t="str">
        <x:v>Prévoir un état neutre, déplacement, préparation de l’action signature, impact reçu, mise à terre et retour en contrôle pour Jacob Taylor. Éviter la duplication miroir des signes asymétriques.</x:v>
      </x:c>
      <x:c r="K9" s="9" t="str">
        <x:v>Sans bande sonore embarquée dans la planche ; émettre uniquement des événements nommés vers le système audio pour éviter les doublons.</x:v>
      </x:c>
      <x:c r="L9" s="9" t="str">
        <x:v>Prévu : fiche de données me2/sprites/chr-jacob ; rattacher les ressources et états cités à cet identifiant. Aucun fichier de jeu créé par ce catalogue.</x:v>
      </x:c>
      <x:c r="M9" s="9" t="str"/>
      <x:c r="N9" s="9" t="str">
        <x:v>À l’échelle de jeu, Jacob Taylor est identifiable en silhouette ; pivot aux pieds, masque de profondeur et huit orientations proposés restent stables devant les couverts.</x:v>
      </x:c>
      <x:c r="O9" s="9" t="str">
        <x:v>ME2-CHR-JACOB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ME2-SPR-CHR-MORDIN</x:v>
      </x:c>
      <x:c r="B10" s="7" t="str">
        <x:v>Planche sprites — Mordin Solus</x:v>
      </x:c>
      <x:c r="C10" s="15" t="str">
        <x:v>Défini</x:v>
      </x:c>
      <x:c r="D10" s="17" t="str">
        <x:v>Extrapolation</x:v>
      </x:c>
      <x:c r="E10" s="17" t="str">
        <x:v>P1</x:v>
      </x:c>
      <x:c r="F10" s="7" t="str">
        <x:v>Livrable original proposé : Planche sprites — Mordin Solus.</x:v>
      </x:c>
      <x:c r="G10" s="7" t="str">
        <x:v>Produire une planche originale de Mordin Solus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Visage anguleux, crête asymétrique, manteau clair ; gestes précis.</x:v>
      </x:c>
      <x:c r="J10" s="7" t="str">
        <x:v>Prévoir un état neutre, déplacement, préparation de l’action signature, impact reçu, mise à terre et retour en contrôle pour Mordin Solus. Éviter la duplication miroir des signes asymétriques.</x:v>
      </x:c>
      <x:c r="K10" s="7" t="str">
        <x:v>Sans bande sonore embarquée dans la planche ; émettre uniquement des événements nommés vers le système audio pour éviter les doublons.</x:v>
      </x:c>
      <x:c r="L10" s="7" t="str">
        <x:v>Prévu : fiche de données me2/sprites/chr-mordin ; rattacher les ressources et états cités à cet identifiant. Aucun fichier de jeu créé par ce catalogue.</x:v>
      </x:c>
      <x:c r="M10" s="7" t="str"/>
      <x:c r="N10" s="7" t="str">
        <x:v>À l’échelle de jeu, Mordin Solus est identifiable en silhouette ; pivot aux pieds, masque de profondeur et huit orientations proposés restent stables devant les couverts.</x:v>
      </x:c>
      <x:c r="O10" s="7" t="str">
        <x:v>ME2-CHR-MORDIN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ME2-SPR-CHR-GARRUS</x:v>
      </x:c>
      <x:c r="B11" s="9" t="str">
        <x:v>Planche sprites — Garrus Vakarian</x:v>
      </x:c>
      <x:c r="C11" s="15" t="str">
        <x:v>Défini</x:v>
      </x:c>
      <x:c r="D11" s="16" t="str">
        <x:v>Extrapolation</x:v>
      </x:c>
      <x:c r="E11" s="16" t="str">
        <x:v>P1</x:v>
      </x:c>
      <x:c r="F11" s="9" t="str">
        <x:v>Livrable original proposé : Planche sprites — Garrus Vakarian.</x:v>
      </x:c>
      <x:c r="G11" s="9" t="str">
        <x:v>Produire une planche originale de Garrus Vakarian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Armure bleue abîmée, viseur, mandibule cicatrisée ; asymétrie conservée.</x:v>
      </x:c>
      <x:c r="J11" s="9" t="str">
        <x:v>Prévoir un état neutre, déplacement, préparation de l’action signature, impact reçu, mise à terre et retour en contrôle pour Garrus Vakarian. Éviter la duplication miroir des signes asymétriques.</x:v>
      </x:c>
      <x:c r="K11" s="9" t="str">
        <x:v>Sans bande sonore embarquée dans la planche ; émettre uniquement des événements nommés vers le système audio pour éviter les doublons.</x:v>
      </x:c>
      <x:c r="L11" s="9" t="str">
        <x:v>Prévu : fiche de données me2/sprites/chr-garrus ; rattacher les ressources et états cités à cet identifiant. Aucun fichier de jeu créé par ce catalogue.</x:v>
      </x:c>
      <x:c r="M11" s="9" t="str"/>
      <x:c r="N11" s="9" t="str">
        <x:v>À l’échelle de jeu, Garrus Vakarian est identifiable en silhouette ; pivot aux pieds, masque de profondeur et huit orientations proposés restent stables devant les couverts.</x:v>
      </x:c>
      <x:c r="O11" s="9" t="str">
        <x:v>ME2-CHR-GARRUS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ME2-SPR-CHR-GRUNT</x:v>
      </x:c>
      <x:c r="B12" s="7" t="str">
        <x:v>Planche sprites — Grunt</x:v>
      </x:c>
      <x:c r="C12" s="15" t="str">
        <x:v>Défini</x:v>
      </x:c>
      <x:c r="D12" s="17" t="str">
        <x:v>Extrapolation</x:v>
      </x:c>
      <x:c r="E12" s="17" t="str">
        <x:v>P1</x:v>
      </x:c>
      <x:c r="F12" s="7" t="str">
        <x:v>Livrable original proposé : Planche sprites — Grunt.</x:v>
      </x:c>
      <x:c r="G12" s="7" t="str">
        <x:v>Produire une planche originale de Grunt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Masse krogan, carapace claire et armure sombre ; centre de gravité bas.</x:v>
      </x:c>
      <x:c r="J12" s="7" t="str">
        <x:v>Prévoir un état neutre, déplacement, préparation de l’action signature, impact reçu, mise à terre et retour en contrôle pour Grunt. Éviter la duplication miroir des signes asymétriques.</x:v>
      </x:c>
      <x:c r="K12" s="7" t="str">
        <x:v>Sans bande sonore embarquée dans la planche ; émettre uniquement des événements nommés vers le système audio pour éviter les doublons.</x:v>
      </x:c>
      <x:c r="L12" s="7" t="str">
        <x:v>Prévu : fiche de données me2/sprites/chr-grunt ; rattacher les ressources et états cités à cet identifiant. Aucun fichier de jeu créé par ce catalogue.</x:v>
      </x:c>
      <x:c r="M12" s="7" t="str">
        <x:v>Activation de la cuve nécessaire.</x:v>
      </x:c>
      <x:c r="N12" s="7" t="str">
        <x:v>À l’échelle de jeu, Grunt est identifiable en silhouette ; pivot aux pieds, masque de profondeur et huit orientations proposés restent stables devant les couverts.</x:v>
      </x:c>
      <x:c r="O12" s="7" t="str">
        <x:v>ME2-CHR-GRUNT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ME2-SPR-CHR-JACK</x:v>
      </x:c>
      <x:c r="B13" s="9" t="str">
        <x:v>Planche sprites — Jack</x:v>
      </x:c>
      <x:c r="C13" s="15" t="str">
        <x:v>Défini</x:v>
      </x:c>
      <x:c r="D13" s="16" t="str">
        <x:v>Extrapolation</x:v>
      </x:c>
      <x:c r="E13" s="16" t="str">
        <x:v>P1</x:v>
      </x:c>
      <x:c r="F13" s="9" t="str">
        <x:v>Livrable original proposé : Planche sprites — Jack.</x:v>
      </x:c>
      <x:c r="G13" s="9" t="str">
        <x:v>Produire une planche originale de Jack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Crâne rasé, tatouages simplifiés lisibles, posture nerveuse.</x:v>
      </x:c>
      <x:c r="J13" s="9" t="str">
        <x:v>Prévoir un état neutre, déplacement, préparation de l’action signature, impact reçu, mise à terre et retour en contrôle pour Jack. Éviter la duplication miroir des signes asymétriques.</x:v>
      </x:c>
      <x:c r="K13" s="9" t="str">
        <x:v>Sans bande sonore embarquée dans la planche ; émettre uniquement des événements nommés vers le système audio pour éviter les doublons.</x:v>
      </x:c>
      <x:c r="L13" s="9" t="str">
        <x:v>Prévu : fiche de données me2/sprites/chr-jack ; rattacher les ressources et états cités à cet identifiant. Aucun fichier de jeu créé par ce catalogue.</x:v>
      </x:c>
      <x:c r="M13" s="9" t="str"/>
      <x:c r="N13" s="9" t="str">
        <x:v>À l’échelle de jeu, Jack est identifiable en silhouette ; pivot aux pieds, masque de profondeur et huit orientations proposés restent stables devant les couverts.</x:v>
      </x:c>
      <x:c r="O13" s="9" t="str">
        <x:v>ME2-CHR-JACK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ME2-SPR-CHR-TALI</x:v>
      </x:c>
      <x:c r="B14" s="7" t="str">
        <x:v>Planche sprites — Tali’Zorah vas Neema / vas Normandy</x:v>
      </x:c>
      <x:c r="C14" s="15" t="str">
        <x:v>Défini</x:v>
      </x:c>
      <x:c r="D14" s="17" t="str">
        <x:v>Extrapolation</x:v>
      </x:c>
      <x:c r="E14" s="17" t="str">
        <x:v>P1</x:v>
      </x:c>
      <x:c r="F14" s="7" t="str">
        <x:v>Livrable original proposé : Planche sprites — Tali’Zorah vas Neema / vas Normandy.</x:v>
      </x:c>
      <x:c r="G14" s="7" t="str">
        <x:v>Produire une planche originale de Tali’Zorah vas Neema / vas Normandy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Capuche violette, visière opaque lumineuse, jambes et mains quariens.</x:v>
      </x:c>
      <x:c r="J14" s="7" t="str">
        <x:v>Prévoir un état neutre, déplacement, préparation de l’action signature, impact reçu, mise à terre et retour en contrôle pour Tali’Zorah vas Neema / vas Normandy. Éviter la duplication miroir des signes asymétriques.</x:v>
      </x:c>
      <x:c r="K14" s="7" t="str">
        <x:v>Sans bande sonore embarquée dans la planche ; émettre uniquement des événements nommés vers le système audio pour éviter les doublons.</x:v>
      </x:c>
      <x:c r="L14" s="7" t="str">
        <x:v>Prévu : fiche de données me2/sprites/chr-tali ; rattacher les ressources et états cités à cet identifiant. Aucun fichier de jeu créé par ce catalogue.</x:v>
      </x:c>
      <x:c r="M14" s="7" t="str">
        <x:v>Nom selon étape du procès ; ne pas l’uniformiser.</x:v>
      </x:c>
      <x:c r="N14" s="7" t="str">
        <x:v>À l’échelle de jeu, Tali’Zorah vas Neema / vas Normandy est identifiable en silhouette ; pivot aux pieds, masque de profondeur et huit orientations proposés restent stables devant les couverts.</x:v>
      </x:c>
      <x:c r="O14" s="7" t="str">
        <x:v>ME2-CHR-TALI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ME2-SPR-CHR-THANE</x:v>
      </x:c>
      <x:c r="B15" s="9" t="str">
        <x:v>Planche sprites — Thane Krios</x:v>
      </x:c>
      <x:c r="C15" s="15" t="str">
        <x:v>Défini</x:v>
      </x:c>
      <x:c r="D15" s="16" t="str">
        <x:v>Extrapolation</x:v>
      </x:c>
      <x:c r="E15" s="16" t="str">
        <x:v>P1</x:v>
      </x:c>
      <x:c r="F15" s="9" t="str">
        <x:v>Livrable original proposé : Planche sprites — Thane Krios.</x:v>
      </x:c>
      <x:c r="G15" s="9" t="str">
        <x:v>Produire une planche originale de Thane Krios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Écailles vertes, yeux sombres, manteau noir à ouverture thoracique.</x:v>
      </x:c>
      <x:c r="J15" s="9" t="str">
        <x:v>Prévoir un état neutre, déplacement, préparation de l’action signature, impact reçu, mise à terre et retour en contrôle pour Thane Krios. Éviter la duplication miroir des signes asymétriques.</x:v>
      </x:c>
      <x:c r="K15" s="9" t="str">
        <x:v>Sans bande sonore embarquée dans la planche ; émettre uniquement des événements nommés vers le système audio pour éviter les doublons.</x:v>
      </x:c>
      <x:c r="L15" s="9" t="str">
        <x:v>Prévu : fiche de données me2/sprites/chr-thane ; rattacher les ressources et états cités à cet identifiant. Aucun fichier de jeu créé par ce catalogue.</x:v>
      </x:c>
      <x:c r="M15" s="9" t="str"/>
      <x:c r="N15" s="9" t="str">
        <x:v>À l’échelle de jeu, Thane Krios est identifiable en silhouette ; pivot aux pieds, masque de profondeur et huit orientations proposés restent stables devant les couverts.</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ME2-SPR-CHR-SAMARA</x:v>
      </x:c>
      <x:c r="B16" s="7" t="str">
        <x:v>Planche sprites — Samara</x:v>
      </x:c>
      <x:c r="C16" s="15" t="str">
        <x:v>Défini</x:v>
      </x:c>
      <x:c r="D16" s="17" t="str">
        <x:v>Extrapolation</x:v>
      </x:c>
      <x:c r="E16" s="17" t="str">
        <x:v>P1</x:v>
      </x:c>
      <x:c r="F16" s="7" t="str">
        <x:v>Livrable original proposé : Planche sprites — Samara.</x:v>
      </x:c>
      <x:c r="G16" s="7" t="str">
        <x:v>Produire une planche originale de Samara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Armure rouge, tête bleue et posture verticale ; mains ouvertes en préparation.</x:v>
      </x:c>
      <x:c r="J16" s="7" t="str">
        <x:v>Prévoir un état neutre, déplacement, préparation de l’action signature, impact reçu, mise à terre et retour en contrôle pour Samara. Éviter la duplication miroir des signes asymétriques.</x:v>
      </x:c>
      <x:c r="K16" s="7" t="str">
        <x:v>Sans bande sonore embarquée dans la planche ; émettre uniquement des événements nommés vers le système audio pour éviter les doublons.</x:v>
      </x:c>
      <x:c r="L16" s="7" t="str">
        <x:v>Prévu : fiche de données me2/sprites/chr-samara ; rattacher les ressources et états cités à cet identifiant. Aucun fichier de jeu créé par ce catalogue.</x:v>
      </x:c>
      <x:c r="M16" s="7" t="str"/>
      <x:c r="N16" s="7" t="str">
        <x:v>À l’échelle de jeu, Samara est identifiable en silhouette ; pivot aux pieds, masque de profondeur et huit orientations proposés restent stables devant les couverts.</x:v>
      </x:c>
      <x:c r="O16" s="7" t="str">
        <x:v>ME2-CHR-SAMARA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ME2-SPR-CHR-MORINTH</x:v>
      </x:c>
      <x:c r="B17" s="9" t="str">
        <x:v>Planche sprites — Morinth</x:v>
      </x:c>
      <x:c r="C17" s="15" t="str">
        <x:v>Défini</x:v>
      </x:c>
      <x:c r="D17" s="16" t="str">
        <x:v>Extrapolation</x:v>
      </x:c>
      <x:c r="E17" s="16" t="str">
        <x:v>P1</x:v>
      </x:c>
      <x:c r="F17" s="9" t="str">
        <x:v>Livrable original proposé : Planche sprites — Morinth.</x:v>
      </x:c>
      <x:c r="G17" s="9" t="str">
        <x:v>Produire une planche originale de Morinth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Variante de Samara avec détails faciaux séparés ; portrait de secret facultatif.</x:v>
      </x:c>
      <x:c r="J17" s="9" t="str">
        <x:v>Prévoir un état neutre, déplacement, préparation de l’action signature, impact reçu, mise à terre et retour en contrôle pour Morinth. Éviter la duplication miroir des signes asymétriques.</x:v>
      </x:c>
      <x:c r="K17" s="9" t="str">
        <x:v>Sans bande sonore embarquée dans la planche ; émettre uniquement des événements nommés vers le système audio pour éviter les doublons.</x:v>
      </x:c>
      <x:c r="L17" s="9" t="str">
        <x:v>Prévu : fiche de données me2/sprites/chr-morinth ; rattacher les ressources et états cités à cet identifiant. Aucun fichier de jeu créé par ce catalogue.</x:v>
      </x:c>
      <x:c r="M17" s="9" t="str">
        <x:v>Exclusivité Samara/Morinth ; embranchement de loyauté.</x:v>
      </x:c>
      <x:c r="N17" s="9" t="str">
        <x:v>À l’échelle de jeu, Morinth est identifiable en silhouette ; pivot aux pieds, masque de profondeur et huit orientations proposés restent stables devant les couverts.</x:v>
      </x:c>
      <x:c r="O17" s="9" t="str">
        <x:v>ME2-CHR-MORINTH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ME2-SPR-CHR-LEGION</x:v>
      </x:c>
      <x:c r="B18" s="7" t="str">
        <x:v>Planche sprites — Legion</x:v>
      </x:c>
      <x:c r="C18" s="15" t="str">
        <x:v>Défini</x:v>
      </x:c>
      <x:c r="D18" s="17" t="str">
        <x:v>Extrapolation</x:v>
      </x:c>
      <x:c r="E18" s="17" t="str">
        <x:v>P1</x:v>
      </x:c>
      <x:c r="F18" s="7" t="str">
        <x:v>Livrable original proposé : Planche sprites — Legion.</x:v>
      </x:c>
      <x:c r="G18" s="7" t="str">
        <x:v>Produire une planche originale de Legion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Optique unique, plaques geth, partie d’armure N7 rapportée et trou thoracique.</x:v>
      </x:c>
      <x:c r="J18" s="7" t="str">
        <x:v>Prévoir un état neutre, déplacement, préparation de l’action signature, impact reçu, mise à terre et retour en contrôle pour Legion. Éviter la duplication miroir des signes asymétriques.</x:v>
      </x:c>
      <x:c r="K18" s="7" t="str">
        <x:v>Sans bande sonore embarquée dans la planche ; émettre uniquement des événements nommés vers le système audio pour éviter les doublons.</x:v>
      </x:c>
      <x:c r="L18" s="7" t="str">
        <x:v>Prévu : fiche de données me2/sprites/chr-legion ; rattacher les ressources et états cités à cet identifiant. Aucun fichier de jeu créé par ce catalogue.</x:v>
      </x:c>
      <x:c r="M18" s="7" t="str">
        <x:v>Décision d’activation ; disponibilité tardive.</x:v>
      </x:c>
      <x:c r="N18" s="7" t="str">
        <x:v>À l’échelle de jeu, Legion est identifiable en silhouette ; pivot aux pieds, masque de profondeur et huit orientations proposés restent stables devant les couverts.</x:v>
      </x:c>
      <x:c r="O18" s="7" t="str">
        <x:v>ME2-CHR-LEGION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ME2-SPR-CHR-KASUMI</x:v>
      </x:c>
      <x:c r="B19" s="9" t="str">
        <x:v>Planche sprites — Kasumi Goto</x:v>
      </x:c>
      <x:c r="C19" s="15" t="str">
        <x:v>Défini</x:v>
      </x:c>
      <x:c r="D19" s="16" t="str">
        <x:v>Extrapolation</x:v>
      </x:c>
      <x:c r="E19" s="16" t="str">
        <x:v>P1</x:v>
      </x:c>
      <x:c r="F19" s="9" t="str">
        <x:v>Livrable original proposé : Planche sprites — Kasumi Goto.</x:v>
      </x:c>
      <x:c r="G19" s="9" t="str">
        <x:v>Produire une planche originale de Kasumi Goto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Capuche sombre, bordures ocre, un œil visible ; ombre distincte.</x:v>
      </x:c>
      <x:c r="J19" s="9" t="str">
        <x:v>Prévoir un état neutre, déplacement, préparation de l’action signature, impact reçu, mise à terre et retour en contrôle pour Kasumi Goto. Éviter la duplication miroir des signes asymétriques.</x:v>
      </x:c>
      <x:c r="K19" s="9" t="str">
        <x:v>Sans bande sonore embarquée dans la planche ; émettre uniquement des événements nommés vers le système audio pour éviter les doublons.</x:v>
      </x:c>
      <x:c r="L19" s="9" t="str">
        <x:v>Prévu : fiche de données me2/sprites/chr-kasumi ; rattacher les ressources et états cités à cet identifiant. Aucun fichier de jeu créé par ce catalogue.</x:v>
      </x:c>
      <x:c r="M19" s="9" t="str"/>
      <x:c r="N19" s="9" t="str">
        <x:v>À l’échelle de jeu, Kasumi Goto est identifiable en silhouette ; pivot aux pieds, masque de profondeur et huit orientations proposés restent stables devant les couverts.</x:v>
      </x:c>
      <x:c r="O19" s="9" t="str">
        <x:v>ME2-CHR-KASUMI</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ME2-SPR-CHR-ZAEED</x:v>
      </x:c>
      <x:c r="B20" s="7" t="str">
        <x:v>Planche sprites — Zaeed Massani</x:v>
      </x:c>
      <x:c r="C20" s="15" t="str">
        <x:v>Défini</x:v>
      </x:c>
      <x:c r="D20" s="17" t="str">
        <x:v>Extrapolation</x:v>
      </x:c>
      <x:c r="E20" s="17" t="str">
        <x:v>P1</x:v>
      </x:c>
      <x:c r="F20" s="7" t="str">
        <x:v>Livrable original proposé : Planche sprites — Zaeed Massani.</x:v>
      </x:c>
      <x:c r="G20" s="7" t="str">
        <x:v>Produire une planche originale de Zaeed Massani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Armure usée, visage marqué, œil altéré et fusil tenu sans cérémonie.</x:v>
      </x:c>
      <x:c r="J20" s="7" t="str">
        <x:v>Prévoir un état neutre, déplacement, préparation de l’action signature, impact reçu, mise à terre et retour en contrôle pour Zaeed Massani. Éviter la duplication miroir des signes asymétriques.</x:v>
      </x:c>
      <x:c r="K20" s="7" t="str">
        <x:v>Sans bande sonore embarquée dans la planche ; émettre uniquement des événements nommés vers le système audio pour éviter les doublons.</x:v>
      </x:c>
      <x:c r="L20" s="7" t="str">
        <x:v>Prévu : fiche de données me2/sprites/chr-zaeed ; rattacher les ressources et états cités à cet identifiant. Aucun fichier de jeu créé par ce catalogue.</x:v>
      </x:c>
      <x:c r="M20" s="7" t="str"/>
      <x:c r="N20" s="7" t="str">
        <x:v>À l’échelle de jeu, Zaeed Massani est identifiable en silhouette ; pivot aux pieds, masque de profondeur et huit orientations proposés restent stables devant les couverts.</x:v>
      </x:c>
      <x:c r="O20" s="7" t="str">
        <x:v>ME2-CHR-ZAEED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ME2-SPR-CHR-LIARA</x:v>
      </x:c>
      <x:c r="B21" s="9" t="str">
        <x:v>Planche sprites — Liara T’Soni — équipière temporaire</x:v>
      </x:c>
      <x:c r="C21" s="15" t="str">
        <x:v>Défini</x:v>
      </x:c>
      <x:c r="D21" s="16" t="str">
        <x:v>Extrapolation</x:v>
      </x:c>
      <x:c r="E21" s="16" t="str">
        <x:v>P1</x:v>
      </x:c>
      <x:c r="F21" s="9" t="str">
        <x:v>Livrable original proposé : Planche sprites — Liara T’Soni — équipière temporaire.</x:v>
      </x:c>
      <x:c r="G21" s="9" t="str">
        <x:v>Produire une planche originale de Liara T’Soni — équipière temporaire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Combinaison blanche, bleu asari et détails de ceinture.</x:v>
      </x:c>
      <x:c r="J21" s="9" t="str">
        <x:v>Prévoir un état neutre, déplacement, préparation de l’action signature, impact reçu, mise à terre et retour en contrôle pour Liara T’Soni — équipière temporaire. Éviter la duplication miroir des signes asymétriques.</x:v>
      </x:c>
      <x:c r="K21" s="9" t="str">
        <x:v>Sans bande sonore embarquée dans la planche ; émettre uniquement des événements nommés vers le système audio pour éviter les doublons.</x:v>
      </x:c>
      <x:c r="L21" s="9" t="str">
        <x:v>Prévu : fiche de données me2/sprites/chr-liara ; rattacher les ressources et états cités à cet identifiant. Aucun fichier de jeu créé par ce catalogue.</x:v>
      </x:c>
      <x:c r="M21" s="9" t="str">
        <x:v>Équipière limitée à cette extension ; contacts possibles ailleurs.</x:v>
      </x:c>
      <x:c r="N21" s="9" t="str">
        <x:v>À l’échelle de jeu, Liara T’Soni — équipière temporaire est identifiable en silhouette ; pivot aux pieds, masque de profondeur et huit orientations proposés restent stables devant les couverts.</x:v>
      </x:c>
      <x:c r="O21" s="9" t="str">
        <x:v>ME2-CHR-LIARA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ME2-SPR-CHR-KENSON</x:v>
      </x:c>
      <x:c r="B22" s="7" t="str">
        <x:v>Planche sprites — Amanda Kenson — alliée temporaire</x:v>
      </x:c>
      <x:c r="C22" s="15" t="str">
        <x:v>Défini</x:v>
      </x:c>
      <x:c r="D22" s="17" t="str">
        <x:v>Extrapolation</x:v>
      </x:c>
      <x:c r="E22" s="17" t="str">
        <x:v>P1</x:v>
      </x:c>
      <x:c r="F22" s="7" t="str">
        <x:v>Livrable original proposé : Planche sprites — Amanda Kenson — alliée temporaire.</x:v>
      </x:c>
      <x:c r="G22" s="7" t="str">
        <x:v>Produire une planche originale de Amanda Kenson — alliée temporaire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Scientifique humaine en tenue technique sobre.</x:v>
      </x:c>
      <x:c r="J22" s="7" t="str">
        <x:v>Prévoir un état neutre, déplacement, préparation de l’action signature, impact reçu, mise à terre et retour en contrôle pour Amanda Kenson — alliée temporaire. Éviter la duplication miroir des signes asymétriques.</x:v>
      </x:c>
      <x:c r="K22" s="7" t="str">
        <x:v>Sans bande sonore embarquée dans la planche ; émettre uniquement des événements nommés vers le système audio pour éviter les doublons.</x:v>
      </x:c>
      <x:c r="L22" s="7" t="str">
        <x:v>Prévu : fiche de données me2/sprites/chr-kenson ; rattacher les ressources et états cités à cet identifiant. Aucun fichier de jeu créé par ce catalogue.</x:v>
      </x:c>
      <x:c r="M22" s="7" t="str">
        <x:v>Arc Arrival uniquement ; son rôle change pendant l’histoire.</x:v>
      </x:c>
      <x:c r="N22" s="7" t="str">
        <x:v>À l’échelle de jeu, Amanda Kenson — alliée temporaire est identifiable en silhouette ; pivot aux pieds, masque de profondeur et huit orientations proposés restent stables devant les couverts.</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ME2-SPR-ENM-BS-TROOPER</x:v>
      </x:c>
      <x:c r="B23" s="9" t="str">
        <x:v>Planche sprites — Blue Suns Trooper</x:v>
      </x:c>
      <x:c r="C23" s="15" t="str">
        <x:v>Défini</x:v>
      </x:c>
      <x:c r="D23" s="16" t="str">
        <x:v>Extrapolation</x:v>
      </x:c>
      <x:c r="E23" s="16" t="str">
        <x:v>P1</x:v>
      </x:c>
      <x:c r="F23" s="9" t="str">
        <x:v>Livrable original proposé : Planche sprites — Blue Suns Trooper.</x:v>
      </x:c>
      <x:c r="G23" s="9" t="str">
        <x:v>Produire une planche originale de Blue Suns Trooper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bleue, fusil et visière rectiligne.</x:v>
      </x:c>
      <x:c r="J23" s="9" t="str">
        <x:v>Prévoir un état neutre, déplacement, préparation de l’action signature, impact reçu, mise à terre et retour en contrôle pour Blue Suns Trooper. Éviter la duplication miroir des signes asymétriques.</x:v>
      </x:c>
      <x:c r="K23" s="9" t="str">
        <x:v>Sans bande sonore embarquée dans la planche ; émettre uniquement des événements nommés vers le système audio pour éviter les doublons.</x:v>
      </x:c>
      <x:c r="L23" s="9" t="str">
        <x:v>Prévu : fiche de données me2/sprites/enm-bs-trooper ; rattacher les ressources et états cités à cet identifiant. Aucun fichier de jeu créé par ce catalogue.</x:v>
      </x:c>
      <x:c r="M23" s="9" t="str"/>
      <x:c r="N23" s="9" t="str">
        <x:v>À l’échelle de jeu, Blue Suns Trooper est identifiable en silhouette ; pivot aux pieds, masque de profondeur et huit orientations proposés restent stables devant les couverts.</x:v>
      </x:c>
      <x:c r="O23" s="9" t="str">
        <x:v>ME2-ENM-BS-TROOPER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ME2-SPR-ENM-BS-HEAVY</x:v>
      </x:c>
      <x:c r="B24" s="7" t="str">
        <x:v>Planche sprites — Blue Suns Heavy</x:v>
      </x:c>
      <x:c r="C24" s="15" t="str">
        <x:v>Défini</x:v>
      </x:c>
      <x:c r="D24" s="17" t="str">
        <x:v>Extrapolation</x:v>
      </x:c>
      <x:c r="E24" s="17" t="str">
        <x:v>P1</x:v>
      </x:c>
      <x:c r="F24" s="7" t="str">
        <x:v>Livrable original proposé : Planche sprites — Blue Suns Heavy.</x:v>
      </x:c>
      <x:c r="G24" s="7" t="str">
        <x:v>Produire une planche originale de Blue Suns Heavy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Tube de roquette haut sur l’épaule.</x:v>
      </x:c>
      <x:c r="J24" s="7" t="str">
        <x:v>Prévoir un état neutre, déplacement, préparation de l’action signature, impact reçu, mise à terre et retour en contrôle pour Blue Suns Heavy. Éviter la duplication miroir des signes asymétriques.</x:v>
      </x:c>
      <x:c r="K24" s="7" t="str">
        <x:v>Sans bande sonore embarquée dans la planche ; émettre uniquement des événements nommés vers le système audio pour éviter les doublons.</x:v>
      </x:c>
      <x:c r="L24" s="7" t="str">
        <x:v>Prévu : fiche de données me2/sprites/enm-bs-heavy ; rattacher les ressources et états cités à cet identifiant. Aucun fichier de jeu créé par ce catalogue.</x:v>
      </x:c>
      <x:c r="M24" s="7" t="str"/>
      <x:c r="N24" s="7" t="str">
        <x:v>À l’échelle de jeu, Blue Suns Heavy est identifiable en silhouette ; pivot aux pieds, masque de profondeur et huit orientations proposés restent stables devant les couverts.</x:v>
      </x:c>
      <x:c r="O24" s="7" t="str">
        <x:v>ME2-ENM-BS-HEAVY</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ME2-SPR-ENM-BS-CENTURION</x:v>
      </x:c>
      <x:c r="B25" s="9" t="str">
        <x:v>Planche sprites — Blue Suns Centurion</x:v>
      </x:c>
      <x:c r="C25" s="15" t="str">
        <x:v>Défini</x:v>
      </x:c>
      <x:c r="D25" s="16" t="str">
        <x:v>Extrapolation</x:v>
      </x:c>
      <x:c r="E25" s="16" t="str">
        <x:v>P1</x:v>
      </x:c>
      <x:c r="F25" s="9" t="str">
        <x:v>Livrable original proposé : Planche sprites — Blue Suns Centurion.</x:v>
      </x:c>
      <x:c r="G25" s="9" t="str">
        <x:v>Produire une planche originale de Blue Suns Centurion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bleue renforcée et signe d’officier.</x:v>
      </x:c>
      <x:c r="J25" s="9" t="str">
        <x:v>Prévoir un état neutre, déplacement, préparation de l’action signature, impact reçu, mise à terre et retour en contrôle pour Blue Suns Centurion. Éviter la duplication miroir des signes asymétriques.</x:v>
      </x:c>
      <x:c r="K25" s="9" t="str">
        <x:v>Sans bande sonore embarquée dans la planche ; émettre uniquement des événements nommés vers le système audio pour éviter les doublons.</x:v>
      </x:c>
      <x:c r="L25" s="9" t="str">
        <x:v>Prévu : fiche de données me2/sprites/enm-bs-centurion ; rattacher les ressources et états cités à cet identifiant. Aucun fichier de jeu créé par ce catalogue.</x:v>
      </x:c>
      <x:c r="M25" s="9" t="str"/>
      <x:c r="N25" s="9" t="str">
        <x:v>À l’échelle de jeu, Blue Suns Centurion est identifiable en silhouette ; pivot aux pieds, masque de profondeur et huit orientations proposés restent stables devant les couverts.</x:v>
      </x:c>
      <x:c r="O25" s="9" t="str">
        <x:v>ME2-ENM-BS-CENTURION</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ME2-SPR-ENM-BS-LEGION</x:v>
      </x:c>
      <x:c r="B26" s="7" t="str">
        <x:v>Planche sprites — Blue Suns Legionnaire</x:v>
      </x:c>
      <x:c r="C26" s="15" t="str">
        <x:v>Défini</x:v>
      </x:c>
      <x:c r="D26" s="17" t="str">
        <x:v>Extrapolation</x:v>
      </x:c>
      <x:c r="E26" s="17" t="str">
        <x:v>P1</x:v>
      </x:c>
      <x:c r="F26" s="7" t="str">
        <x:v>Livrable original proposé : Planche sprites — Blue Suns Legionnaire.</x:v>
      </x:c>
      <x:c r="G26" s="7" t="str">
        <x:v>Produire une planche originale de Blue Suns Legionnaire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Silhouette blindée et forte protection frontale.</x:v>
      </x:c>
      <x:c r="J26" s="7" t="str">
        <x:v>Prévoir un état neutre, déplacement, préparation de l’action signature, impact reçu, mise à terre et retour en contrôle pour Blue Suns Legionnaire. Éviter la duplication miroir des signes asymétriques.</x:v>
      </x:c>
      <x:c r="K26" s="7" t="str">
        <x:v>Sans bande sonore embarquée dans la planche ; émettre uniquement des événements nommés vers le système audio pour éviter les doublons.</x:v>
      </x:c>
      <x:c r="L26" s="7" t="str">
        <x:v>Prévu : fiche de données me2/sprites/enm-bs-legion ; rattacher les ressources et états cités à cet identifiant. Aucun fichier de jeu créé par ce catalogue.</x:v>
      </x:c>
      <x:c r="M26" s="7" t="str"/>
      <x:c r="N26" s="7" t="str">
        <x:v>À l’échelle de jeu, Blue Suns Legionnaire est identifiable en silhouette ; pivot aux pieds, masque de profondeur et huit orientations proposés restent stables devant les couverts.</x:v>
      </x:c>
      <x:c r="O26" s="7" t="str">
        <x:v>ME2-ENM-BS-LEGION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ME2-SPR-ENM-EC-TROOPER</x:v>
      </x:c>
      <x:c r="B27" s="9" t="str">
        <x:v>Planche sprites — Eclipse Trooper</x:v>
      </x:c>
      <x:c r="C27" s="15" t="str">
        <x:v>Défini</x:v>
      </x:c>
      <x:c r="D27" s="16" t="str">
        <x:v>Extrapolation</x:v>
      </x:c>
      <x:c r="E27" s="16" t="str">
        <x:v>P1</x:v>
      </x:c>
      <x:c r="F27" s="9" t="str">
        <x:v>Livrable original proposé : Planche sprites — Eclipse Trooper.</x:v>
      </x:c>
      <x:c r="G27" s="9" t="str">
        <x:v>Produire une planche originale de Eclipse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jaune et noire, arme légère.</x:v>
      </x:c>
      <x:c r="J27" s="9" t="str">
        <x:v>Prévoir un état neutre, déplacement, préparation de l’action signature, impact reçu, mise à terre et retour en contrôle pour Eclipse Trooper. Éviter la duplication miroir des signes asymétriques.</x:v>
      </x:c>
      <x:c r="K27" s="9" t="str">
        <x:v>Sans bande sonore embarquée dans la planche ; émettre uniquement des événements nommés vers le système audio pour éviter les doublons.</x:v>
      </x:c>
      <x:c r="L27" s="9" t="str">
        <x:v>Prévu : fiche de données me2/sprites/enm-ec-trooper ; rattacher les ressources et états cités à cet identifiant. Aucun fichier de jeu créé par ce catalogue.</x:v>
      </x:c>
      <x:c r="M27" s="9" t="str"/>
      <x:c r="N27" s="9" t="str">
        <x:v>À l’échelle de jeu, Eclipse Trooper est identifiable en silhouette ; pivot aux pieds, masque de profondeur et huit orientations proposés restent stables devant les couverts.</x:v>
      </x:c>
      <x:c r="O27" s="9" t="str">
        <x:v>ME2-ENM-EC-TROOPER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ME2-SPR-ENM-EC-HEAVY</x:v>
      </x:c>
      <x:c r="B28" s="7" t="str">
        <x:v>Planche sprites — Eclipse Heavy</x:v>
      </x:c>
      <x:c r="C28" s="15" t="str">
        <x:v>Défini</x:v>
      </x:c>
      <x:c r="D28" s="17" t="str">
        <x:v>Extrapolation</x:v>
      </x:c>
      <x:c r="E28" s="17" t="str">
        <x:v>P1</x:v>
      </x:c>
      <x:c r="F28" s="7" t="str">
        <x:v>Livrable original proposé : Planche sprites — Eclipse Heavy.</x:v>
      </x:c>
      <x:c r="G28" s="7" t="str">
        <x:v>Produire une planche originale de Eclipse Heavy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Lanceur et bandes jaunes larges.</x:v>
      </x:c>
      <x:c r="J28" s="7" t="str">
        <x:v>Prévoir un état neutre, déplacement, préparation de l’action signature, impact reçu, mise à terre et retour en contrôle pour Eclipse Heavy. Éviter la duplication miroir des signes asymétriques.</x:v>
      </x:c>
      <x:c r="K28" s="7" t="str">
        <x:v>Sans bande sonore embarquée dans la planche ; émettre uniquement des événements nommés vers le système audio pour éviter les doublons.</x:v>
      </x:c>
      <x:c r="L28" s="7" t="str">
        <x:v>Prévu : fiche de données me2/sprites/enm-ec-heavy ; rattacher les ressources et états cités à cet identifiant. Aucun fichier de jeu créé par ce catalogue.</x:v>
      </x:c>
      <x:c r="M28" s="7" t="str"/>
      <x:c r="N28" s="7" t="str">
        <x:v>À l’échelle de jeu, Eclipse Heavy est identifiable en silhouette ; pivot aux pieds, masque de profondeur et huit orientations proposés restent stables devant les couverts.</x:v>
      </x:c>
      <x:c r="O28" s="7" t="str">
        <x:v>ME2-ENM-EC-HEAVY</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ME2-SPR-ENM-EC-ENGINEER</x:v>
      </x:c>
      <x:c r="B29" s="9" t="str">
        <x:v>Planche sprites — Eclipse Engineer</x:v>
      </x:c>
      <x:c r="C29" s="15" t="str">
        <x:v>Défini</x:v>
      </x:c>
      <x:c r="D29" s="16" t="str">
        <x:v>Extrapolation</x:v>
      </x:c>
      <x:c r="E29" s="16" t="str">
        <x:v>P1</x:v>
      </x:c>
      <x:c r="F29" s="9" t="str">
        <x:v>Livrable original proposé : Planche sprites — Eclipse Engineer.</x:v>
      </x:c>
      <x:c r="G29" s="9" t="str">
        <x:v>Produire une planche originale de Eclipse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équipement jaune technique.</x:v>
      </x:c>
      <x:c r="J29" s="9" t="str">
        <x:v>Prévoir un état neutre, déplacement, préparation de l’action signature, impact reçu, mise à terre et retour en contrôle pour Eclipse Engineer. Éviter la duplication miroir des signes asymétriques.</x:v>
      </x:c>
      <x:c r="K29" s="9" t="str">
        <x:v>Sans bande sonore embarquée dans la planche ; émettre uniquement des événements nommés vers le système audio pour éviter les doublons.</x:v>
      </x:c>
      <x:c r="L29" s="9" t="str">
        <x:v>Prévu : fiche de données me2/sprites/enm-ec-engineer ; rattacher les ressources et états cités à cet identifiant. Aucun fichier de jeu créé par ce catalogue.</x:v>
      </x:c>
      <x:c r="M29" s="9" t="str"/>
      <x:c r="N29" s="9" t="str">
        <x:v>À l’échelle de jeu, Eclipse Engineer est identifiable en silhouette ; pivot aux pieds, masque de profondeur et huit orientations proposés restent stables devant les couverts.</x:v>
      </x:c>
      <x:c r="O29" s="9" t="str">
        <x:v>ME2-ENM-EC-ENGINEER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ME2-SPR-ENM-EC-VANGUARD</x:v>
      </x:c>
      <x:c r="B30" s="7" t="str">
        <x:v>Planche sprites — Eclipse Vanguard</x:v>
      </x:c>
      <x:c r="C30" s="15" t="str">
        <x:v>Défini</x:v>
      </x:c>
      <x:c r="D30" s="17" t="str">
        <x:v>Extrapolation</x:v>
      </x:c>
      <x:c r="E30" s="17" t="str">
        <x:v>P1</x:v>
      </x:c>
      <x:c r="F30" s="7" t="str">
        <x:v>Livrable original proposé : Planche sprites — Eclipse Vanguard.</x:v>
      </x:c>
      <x:c r="G30" s="7" t="str">
        <x:v>Produire une planche originale de Eclipse Vanguard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Halo biotique et posture penchée.</x:v>
      </x:c>
      <x:c r="J30" s="7" t="str">
        <x:v>Prévoir un état neutre, déplacement, préparation de l’action signature, impact reçu, mise à terre et retour en contrôle pour Eclipse Vanguard. Éviter la duplication miroir des signes asymétriques.</x:v>
      </x:c>
      <x:c r="K30" s="7" t="str">
        <x:v>Sans bande sonore embarquée dans la planche ; émettre uniquement des événements nommés vers le système audio pour éviter les doublons.</x:v>
      </x:c>
      <x:c r="L30" s="7" t="str">
        <x:v>Prévu : fiche de données me2/sprites/enm-ec-vanguard ; rattacher les ressources et états cités à cet identifiant. Aucun fichier de jeu créé par ce catalogue.</x:v>
      </x:c>
      <x:c r="M30" s="7" t="str"/>
      <x:c r="N30" s="7" t="str">
        <x:v>À l’échelle de jeu, Eclipse Vanguard est identifiable en silhouette ; pivot aux pieds, masque de profondeur et huit orientations proposés restent stables devant les couverts.</x:v>
      </x:c>
      <x:c r="O30" s="7" t="str">
        <x:v>ME2-ENM-EC-VANGUARD</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ME2-SPR-ENM-EC-COMMANDO</x:v>
      </x:c>
      <x:c r="B31" s="9" t="str">
        <x:v>Planche sprites — Eclipse Commando</x:v>
      </x:c>
      <x:c r="C31" s="15" t="str">
        <x:v>Défini</x:v>
      </x:c>
      <x:c r="D31" s="16" t="str">
        <x:v>Extrapolation</x:v>
      </x:c>
      <x:c r="E31" s="16" t="str">
        <x:v>P1</x:v>
      </x:c>
      <x:c r="F31" s="9" t="str">
        <x:v>Livrable original proposé : Planche sprites — Eclipse Commando.</x:v>
      </x:c>
      <x:c r="G31" s="9" t="str">
        <x:v>Produire une planche originale de Eclipse Commando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Asari en armure jaune, bulle bleu-violet.</x:v>
      </x:c>
      <x:c r="J31" s="9" t="str">
        <x:v>Prévoir un état neutre, déplacement, préparation de l’action signature, impact reçu, mise à terre et retour en contrôle pour Eclipse Commando. Éviter la duplication miroir des signes asymétriques.</x:v>
      </x:c>
      <x:c r="K31" s="9" t="str">
        <x:v>Sans bande sonore embarquée dans la planche ; émettre uniquement des événements nommés vers le système audio pour éviter les doublons.</x:v>
      </x:c>
      <x:c r="L31" s="9" t="str">
        <x:v>Prévu : fiche de données me2/sprites/enm-ec-commando ; rattacher les ressources et états cités à cet identifiant. Aucun fichier de jeu créé par ce catalogue.</x:v>
      </x:c>
      <x:c r="M31" s="9" t="str"/>
      <x:c r="N31" s="9" t="str">
        <x:v>À l’échelle de jeu, Eclipse Commando est identifiable en silhouette ; pivot aux pieds, masque de profondeur et huit orientations proposés restent stables devant les couverts.</x:v>
      </x:c>
      <x:c r="O31" s="9" t="str">
        <x:v>ME2-ENM-EC-COMMANDO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ME2-SPR-ENM-BP-TROOPER</x:v>
      </x:c>
      <x:c r="B32" s="7" t="str">
        <x:v>Planche sprites — Blood Pack Trooper</x:v>
      </x:c>
      <x:c r="C32" s="15" t="str">
        <x:v>Défini</x:v>
      </x:c>
      <x:c r="D32" s="17" t="str">
        <x:v>Extrapolation</x:v>
      </x:c>
      <x:c r="E32" s="17" t="str">
        <x:v>P1</x:v>
      </x:c>
      <x:c r="F32" s="7" t="str">
        <x:v>Livrable original proposé : Planche sprites — Blood Pack Trooper.</x:v>
      </x:c>
      <x:c r="G32" s="7" t="str">
        <x:v>Produire une planche originale de Blood Pack Trooper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Vorcha rougeâtre et plaques mal ajustées.</x:v>
      </x:c>
      <x:c r="J32" s="7" t="str">
        <x:v>Prévoir un état neutre, déplacement, préparation de l’action signature, impact reçu, mise à terre et retour en contrôle pour Blood Pack Trooper. Éviter la duplication miroir des signes asymétriques.</x:v>
      </x:c>
      <x:c r="K32" s="7" t="str">
        <x:v>Sans bande sonore embarquée dans la planche ; émettre uniquement des événements nommés vers le système audio pour éviter les doublons.</x:v>
      </x:c>
      <x:c r="L32" s="7" t="str">
        <x:v>Prévu : fiche de données me2/sprites/enm-bp-trooper ; rattacher les ressources et états cités à cet identifiant. Aucun fichier de jeu créé par ce catalogue.</x:v>
      </x:c>
      <x:c r="M32" s="7" t="str"/>
      <x:c r="N32" s="7" t="str">
        <x:v>À l’échelle de jeu, Blood Pack Trooper est identifiable en silhouette ; pivot aux pieds, masque de profondeur et huit orientations proposés restent stables devant les couverts.</x:v>
      </x:c>
      <x:c r="O32" s="7" t="str">
        <x:v>ME2-ENM-BP-TROOPER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82" customHeight="1">
      <x:c r="A33" s="18" t="str">
        <x:v>ME2-SPR-ENM-BP-WARRIOR</x:v>
      </x:c>
      <x:c r="B33" s="9" t="str">
        <x:v>Planche sprites — Blood Pack Warrior</x:v>
      </x:c>
      <x:c r="C33" s="15" t="str">
        <x:v>Défini</x:v>
      </x:c>
      <x:c r="D33" s="16" t="str">
        <x:v>Extrapolation</x:v>
      </x:c>
      <x:c r="E33" s="16" t="str">
        <x:v>P1</x:v>
      </x:c>
      <x:c r="F33" s="9" t="str">
        <x:v>Livrable original proposé : Planche sprites — Blood Pack Warrior.</x:v>
      </x:c>
      <x:c r="G33" s="9" t="str">
        <x:v>Produire une planche originale de Blood Pack Warrior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Grande silhouette krogan rouge sombre.</x:v>
      </x:c>
      <x:c r="J33" s="9" t="str">
        <x:v>Prévoir un état neutre, déplacement, préparation de l’action signature, impact reçu, mise à terre et retour en contrôle pour Blood Pack Warrior. Éviter la duplication miroir des signes asymétriques.</x:v>
      </x:c>
      <x:c r="K33" s="9" t="str">
        <x:v>Sans bande sonore embarquée dans la planche ; émettre uniquement des événements nommés vers le système audio pour éviter les doublons.</x:v>
      </x:c>
      <x:c r="L33" s="9" t="str">
        <x:v>Prévu : fiche de données me2/sprites/enm-bp-warrior ; rattacher les ressources et états cités à cet identifiant. Aucun fichier de jeu créé par ce catalogue.</x:v>
      </x:c>
      <x:c r="M33" s="9" t="str"/>
      <x:c r="N33" s="9" t="str">
        <x:v>À l’échelle de jeu, Blood Pack Warrior est identifiable en silhouette ; pivot aux pieds, masque de profondeur et huit orientations proposés restent stables devant les couverts.</x:v>
      </x:c>
      <x:c r="O33" s="9" t="str">
        <x:v>ME2-ENM-BP-WARRIOR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ME2-SPR-ENM-BP-PYRO</x:v>
      </x:c>
      <x:c r="B34" s="7" t="str">
        <x:v>Planche sprites — Blood Pack Pyro</x:v>
      </x:c>
      <x:c r="C34" s="15" t="str">
        <x:v>Défini</x:v>
      </x:c>
      <x:c r="D34" s="17" t="str">
        <x:v>Extrapolation</x:v>
      </x:c>
      <x:c r="E34" s="17" t="str">
        <x:v>P1</x:v>
      </x:c>
      <x:c r="F34" s="7" t="str">
        <x:v>Livrable original proposé : Planche sprites — Blood Pack Pyro.</x:v>
      </x:c>
      <x:c r="G34" s="7" t="str">
        <x:v>Produire une planche originale de Blood Pack Pyro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Réservoir dorsal et brûleur.</x:v>
      </x:c>
      <x:c r="J34" s="7" t="str">
        <x:v>Prévoir un état neutre, déplacement, préparation de l’action signature, impact reçu, mise à terre et retour en contrôle pour Blood Pack Pyro. Éviter la duplication miroir des signes asymétriques.</x:v>
      </x:c>
      <x:c r="K34" s="7" t="str">
        <x:v>Sans bande sonore embarquée dans la planche ; émettre uniquement des événements nommés vers le système audio pour éviter les doublons.</x:v>
      </x:c>
      <x:c r="L34" s="7" t="str">
        <x:v>Prévu : fiche de données me2/sprites/enm-bp-pyro ; rattacher les ressources et états cités à cet identifiant. Aucun fichier de jeu créé par ce catalogue.</x:v>
      </x:c>
      <x:c r="M34" s="7" t="str"/>
      <x:c r="N34" s="7" t="str">
        <x:v>À l’échelle de jeu, Blood Pack Pyro est identifiable en silhouette ; pivot aux pieds, masque de profondeur et huit orientations proposés restent stables devant les couverts.</x:v>
      </x:c>
      <x:c r="O34" s="7" t="str">
        <x:v>ME2-ENM-BP-PYRO</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ME2-SPR-ENM-BP-BOOM</x:v>
      </x:c>
      <x:c r="B35" s="9" t="str">
        <x:v>Planche sprites — Blood Pack Boom-Squad</x:v>
      </x:c>
      <x:c r="C35" s="15" t="str">
        <x:v>Défini</x:v>
      </x:c>
      <x:c r="D35" s="16" t="str">
        <x:v>Extrapolation</x:v>
      </x:c>
      <x:c r="E35" s="16" t="str">
        <x:v>P1</x:v>
      </x:c>
      <x:c r="F35" s="9" t="str">
        <x:v>Livrable original proposé : Planche sprites — Blood Pack Boom-Squad.</x:v>
      </x:c>
      <x:c r="G35" s="9" t="str">
        <x:v>Produire une planche originale de Blood Pack Boom-Squad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Lanceur volumineux et appui large.</x:v>
      </x:c>
      <x:c r="J35" s="9" t="str">
        <x:v>Prévoir un état neutre, déplacement, préparation de l’action signature, impact reçu, mise à terre et retour en contrôle pour Blood Pack Boom-Squad. Éviter la duplication miroir des signes asymétriques.</x:v>
      </x:c>
      <x:c r="K35" s="9" t="str">
        <x:v>Sans bande sonore embarquée dans la planche ; émettre uniquement des événements nommés vers le système audio pour éviter les doublons.</x:v>
      </x:c>
      <x:c r="L35" s="9" t="str">
        <x:v>Prévu : fiche de données me2/sprites/enm-bp-boom ; rattacher les ressources et états cités à cet identifiant. Aucun fichier de jeu créé par ce catalogue.</x:v>
      </x:c>
      <x:c r="M35" s="9" t="str"/>
      <x:c r="N35" s="9" t="str">
        <x:v>À l’échelle de jeu, Blood Pack Boom-Squad est identifiable en silhouette ; pivot aux pieds, masque de profondeur et huit orientations proposés restent stables devant les couverts.</x:v>
      </x:c>
      <x:c r="O35" s="9" t="str">
        <x:v>ME2-ENM-BP-BOOM</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ME2-SPR-ENM-LOKI</x:v>
      </x:c>
      <x:c r="B36" s="7" t="str">
        <x:v>Planche sprites — LOKI Mech</x:v>
      </x:c>
      <x:c r="C36" s="15" t="str">
        <x:v>Défini</x:v>
      </x:c>
      <x:c r="D36" s="17" t="str">
        <x:v>Extrapolation</x:v>
      </x:c>
      <x:c r="E36" s="17" t="str">
        <x:v>P1</x:v>
      </x:c>
      <x:c r="F36" s="7" t="str">
        <x:v>Livrable original proposé : Planche sprites — LOKI Mech.</x:v>
      </x:c>
      <x:c r="G36" s="7" t="str">
        <x:v>Produire une planche originale de LOKI Mech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Humanoïde blanc, articulations fines et optique rouge.</x:v>
      </x:c>
      <x:c r="J36" s="7" t="str">
        <x:v>Prévoir un état neutre, déplacement, préparation de l’action signature, impact reçu, mise à terre et retour en contrôle pour LOKI Mech. Éviter la duplication miroir des signes asymétriques.</x:v>
      </x:c>
      <x:c r="K36" s="7" t="str">
        <x:v>Sans bande sonore embarquée dans la planche ; émettre uniquement des événements nommés vers le système audio pour éviter les doublons.</x:v>
      </x:c>
      <x:c r="L36" s="7" t="str">
        <x:v>Prévu : fiche de données me2/sprites/enm-loki ; rattacher les ressources et états cités à cet identifiant. Aucun fichier de jeu créé par ce catalogue.</x:v>
      </x:c>
      <x:c r="M36" s="7" t="str"/>
      <x:c r="N36" s="7" t="str">
        <x:v>À l’échelle de jeu, LOKI Mech est identifiable en silhouette ; pivot aux pieds, masque de profondeur et huit orientations proposés restent stables devant les couverts.</x:v>
      </x:c>
      <x:c r="O36" s="7" t="str">
        <x:v>ME2-ENM-LOKI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ME2-SPR-ENM-FENRIS</x:v>
      </x:c>
      <x:c r="B37" s="9" t="str">
        <x:v>Planche sprites — FENRIS Mech</x:v>
      </x:c>
      <x:c r="C37" s="15" t="str">
        <x:v>Défini</x:v>
      </x:c>
      <x:c r="D37" s="16" t="str">
        <x:v>Extrapolation</x:v>
      </x:c>
      <x:c r="E37" s="16" t="str">
        <x:v>P1</x:v>
      </x:c>
      <x:c r="F37" s="9" t="str">
        <x:v>Livrable original proposé : Planche sprites — FENRIS Mech.</x:v>
      </x:c>
      <x:c r="G37" s="9" t="str">
        <x:v>Produire une planche originale de FENRIS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Châssis canin métallique.</x:v>
      </x:c>
      <x:c r="J37" s="9" t="str">
        <x:v>Prévoir un état neutre, déplacement, préparation de l’action signature, impact reçu, mise à terre et retour en contrôle pour FENRIS Mech. Éviter la duplication miroir des signes asymétriques.</x:v>
      </x:c>
      <x:c r="K37" s="9" t="str">
        <x:v>Sans bande sonore embarquée dans la planche ; émettre uniquement des événements nommés vers le système audio pour éviter les doublons.</x:v>
      </x:c>
      <x:c r="L37" s="9" t="str">
        <x:v>Prévu : fiche de données me2/sprites/enm-fenris ; rattacher les ressources et états cités à cet identifiant. Aucun fichier de jeu créé par ce catalogue.</x:v>
      </x:c>
      <x:c r="M37" s="9" t="str"/>
      <x:c r="N37" s="9" t="str">
        <x:v>À l’échelle de jeu, FENRIS Mech est identifiable en silhouette ; pivot aux pieds, masque de profondeur et huit orientations proposés restent stables devant les couverts.</x:v>
      </x:c>
      <x:c r="O37" s="9" t="str">
        <x:v>ME2-ENM-FENRIS</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ME2-SPR-ENM-YMIR</x:v>
      </x:c>
      <x:c r="B38" s="7" t="str">
        <x:v>Planche sprites — YMIR Mech</x:v>
      </x:c>
      <x:c r="C38" s="15" t="str">
        <x:v>Défini</x:v>
      </x:c>
      <x:c r="D38" s="17" t="str">
        <x:v>Extrapolation</x:v>
      </x:c>
      <x:c r="E38" s="17" t="str">
        <x:v>P1</x:v>
      </x:c>
      <x:c r="F38" s="7" t="str">
        <x:v>Livrable original proposé : Planche sprites — YMIR Mech.</x:v>
      </x:c>
      <x:c r="G38" s="7" t="str">
        <x:v>Produire une planche originale de YMIR Mech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Buste massif, bras d’armes et pas lourds.</x:v>
      </x:c>
      <x:c r="J38" s="7" t="str">
        <x:v>Prévoir un état neutre, déplacement, préparation de l’action signature, impact reçu, mise à terre et retour en contrôle pour YMIR Mech. Éviter la duplication miroir des signes asymétriques.</x:v>
      </x:c>
      <x:c r="K38" s="7" t="str">
        <x:v>Sans bande sonore embarquée dans la planche ; émettre uniquement des événements nommés vers le système audio pour éviter les doublons.</x:v>
      </x:c>
      <x:c r="L38" s="7" t="str">
        <x:v>Prévu : fiche de données me2/sprites/enm-ymir ; rattacher les ressources et états cités à cet identifiant. Aucun fichier de jeu créé par ce catalogue.</x:v>
      </x:c>
      <x:c r="M38" s="7" t="str"/>
      <x:c r="N38" s="7" t="str">
        <x:v>À l’échelle de jeu, YMIR Mech est identifiable en silhouette ; pivot aux pieds, masque de profondeur et huit orientations proposés restent stables devant les couverts.</x:v>
      </x:c>
      <x:c r="O38" s="7" t="str">
        <x:v>ME2-ENM-YMIR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ME2-SPR-ENM-GETH-TROOPER</x:v>
      </x:c>
      <x:c r="B39" s="9" t="str">
        <x:v>Planche sprites — Geth Trooper</x:v>
      </x:c>
      <x:c r="C39" s="15" t="str">
        <x:v>Défini</x:v>
      </x:c>
      <x:c r="D39" s="16" t="str">
        <x:v>Extrapolation</x:v>
      </x:c>
      <x:c r="E39" s="16" t="str">
        <x:v>P1</x:v>
      </x:c>
      <x:c r="F39" s="9" t="str">
        <x:v>Livrable original proposé : Planche sprites — Geth Trooper.</x:v>
      </x:c>
      <x:c r="G39" s="9" t="str">
        <x:v>Produire une planche originale de Geth Trooper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Optique unique et châssis synthétique fin.</x:v>
      </x:c>
      <x:c r="J39" s="9" t="str">
        <x:v>Prévoir un état neutre, déplacement, préparation de l’action signature, impact reçu, mise à terre et retour en contrôle pour Geth Trooper. Éviter la duplication miroir des signes asymétriques.</x:v>
      </x:c>
      <x:c r="K39" s="9" t="str">
        <x:v>Sans bande sonore embarquée dans la planche ; émettre uniquement des événements nommés vers le système audio pour éviter les doublons.</x:v>
      </x:c>
      <x:c r="L39" s="9" t="str">
        <x:v>Prévu : fiche de données me2/sprites/enm-geth-trooper ; rattacher les ressources et états cités à cet identifiant. Aucun fichier de jeu créé par ce catalogue.</x:v>
      </x:c>
      <x:c r="M39" s="9" t="str"/>
      <x:c r="N39" s="9" t="str">
        <x:v>À l’échelle de jeu, Geth Trooper est identifiable en silhouette ; pivot aux pieds, masque de profondeur et huit orientations proposés restent stables devant les couverts.</x:v>
      </x:c>
      <x:c r="O39" s="9" t="str">
        <x:v>ME2-ENM-GETH-TROOPER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82" customHeight="1">
      <x:c r="A40" s="19" t="str">
        <x:v>ME2-SPR-ENM-GETH-ROCKET</x:v>
      </x:c>
      <x:c r="B40" s="7" t="str">
        <x:v>Planche sprites — Geth Rocket Trooper</x:v>
      </x:c>
      <x:c r="C40" s="15" t="str">
        <x:v>Défini</x:v>
      </x:c>
      <x:c r="D40" s="17" t="str">
        <x:v>Extrapolation</x:v>
      </x:c>
      <x:c r="E40" s="17" t="str">
        <x:v>P1</x:v>
      </x:c>
      <x:c r="F40" s="7" t="str">
        <x:v>Livrable original proposé : Planche sprites — Geth Rocket Trooper.</x:v>
      </x:c>
      <x:c r="G40" s="7" t="str">
        <x:v>Produire une planche originale de Geth Rocket Trooper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Tube d’arme et lumière d’optique nette.</x:v>
      </x:c>
      <x:c r="J40" s="7" t="str">
        <x:v>Prévoir un état neutre, déplacement, préparation de l’action signature, impact reçu, mise à terre et retour en contrôle pour Geth Rocket Trooper. Éviter la duplication miroir des signes asymétriques.</x:v>
      </x:c>
      <x:c r="K40" s="7" t="str">
        <x:v>Sans bande sonore embarquée dans la planche ; émettre uniquement des événements nommés vers le système audio pour éviter les doublons.</x:v>
      </x:c>
      <x:c r="L40" s="7" t="str">
        <x:v>Prévu : fiche de données me2/sprites/enm-geth-rocket ; rattacher les ressources et états cités à cet identifiant. Aucun fichier de jeu créé par ce catalogue.</x:v>
      </x:c>
      <x:c r="M40" s="7" t="str"/>
      <x:c r="N40" s="7" t="str">
        <x:v>À l’échelle de jeu, Geth Rocket Trooper est identifiable en silhouette ; pivot aux pieds, masque de profondeur et huit orientations proposés restent stables devant les couverts.</x:v>
      </x:c>
      <x:c r="O40" s="7" t="str">
        <x:v>ME2-ENM-GETH-ROCKET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ME2-SPR-ENM-GETH-HUNTER</x:v>
      </x:c>
      <x:c r="B41" s="9" t="str">
        <x:v>Planche sprites — Geth Hunter</x:v>
      </x:c>
      <x:c r="C41" s="15" t="str">
        <x:v>Défini</x:v>
      </x:c>
      <x:c r="D41" s="16" t="str">
        <x:v>Extrapolation</x:v>
      </x:c>
      <x:c r="E41" s="16" t="str">
        <x:v>P1</x:v>
      </x:c>
      <x:c r="F41" s="9" t="str">
        <x:v>Livrable original proposé : Planche sprites — Geth Hunter.</x:v>
      </x:c>
      <x:c r="G41" s="9" t="str">
        <x:v>Produire une planche originale de Geth Hunter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sombre semi-transparent, optique temporaire.</x:v>
      </x:c>
      <x:c r="J41" s="9" t="str">
        <x:v>Prévoir un état neutre, déplacement, préparation de l’action signature, impact reçu, mise à terre et retour en contrôle pour Geth Hunter. Éviter la duplication miroir des signes asymétriques.</x:v>
      </x:c>
      <x:c r="K41" s="9" t="str">
        <x:v>Sans bande sonore embarquée dans la planche ; émettre uniquement des événements nommés vers le système audio pour éviter les doublons.</x:v>
      </x:c>
      <x:c r="L41" s="9" t="str">
        <x:v>Prévu : fiche de données me2/sprites/enm-geth-hunter ; rattacher les ressources et états cités à cet identifiant. Aucun fichier de jeu créé par ce catalogue.</x:v>
      </x:c>
      <x:c r="M41" s="9" t="str"/>
      <x:c r="N41" s="9" t="str">
        <x:v>À l’échelle de jeu, Geth Hunter est identifiable en silhouette ; pivot aux pieds, masque de profondeur et huit orientations proposés restent stables devant les couverts.</x:v>
      </x:c>
      <x:c r="O41" s="9" t="str">
        <x:v>ME2-ENM-GETH-HUNTER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ME2-SPR-ENM-GETH-DESTROYER</x:v>
      </x:c>
      <x:c r="B42" s="7" t="str">
        <x:v>Planche sprites — Geth Destroyer</x:v>
      </x:c>
      <x:c r="C42" s="15" t="str">
        <x:v>Défini</x:v>
      </x:c>
      <x:c r="D42" s="17" t="str">
        <x:v>Extrapolation</x:v>
      </x:c>
      <x:c r="E42" s="17" t="str">
        <x:v>P1</x:v>
      </x:c>
      <x:c r="F42" s="7" t="str">
        <x:v>Livrable original proposé : Planche sprites — Geth Destroyer.</x:v>
      </x:c>
      <x:c r="G42" s="7" t="str">
        <x:v>Produire une planche originale de Geth Destroyer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Geth robuste et arme à effet continu.</x:v>
      </x:c>
      <x:c r="J42" s="7" t="str">
        <x:v>Prévoir un état neutre, déplacement, préparation de l’action signature, impact reçu, mise à terre et retour en contrôle pour Geth Destroyer. Éviter la duplication miroir des signes asymétriques.</x:v>
      </x:c>
      <x:c r="K42" s="7" t="str">
        <x:v>Sans bande sonore embarquée dans la planche ; émettre uniquement des événements nommés vers le système audio pour éviter les doublons.</x:v>
      </x:c>
      <x:c r="L42" s="7" t="str">
        <x:v>Prévu : fiche de données me2/sprites/enm-geth-destroyer ; rattacher les ressources et états cités à cet identifiant. Aucun fichier de jeu créé par ce catalogue.</x:v>
      </x:c>
      <x:c r="M42" s="7" t="str"/>
      <x:c r="N42" s="7" t="str">
        <x:v>À l’échelle de jeu, Geth Destroyer est identifiable en silhouette ; pivot aux pieds, masque de profondeur et huit orientations proposés restent stables devant les couverts.</x:v>
      </x:c>
      <x:c r="O42" s="7" t="str">
        <x:v>ME2-ENM-GETH-DESTROYER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ME2-SPR-ENM-GETH-PRIME</x:v>
      </x:c>
      <x:c r="B43" s="9" t="str">
        <x:v>Planche sprites — Geth Prime</x:v>
      </x:c>
      <x:c r="C43" s="15" t="str">
        <x:v>Défini</x:v>
      </x:c>
      <x:c r="D43" s="16" t="str">
        <x:v>Extrapolation</x:v>
      </x:c>
      <x:c r="E43" s="16" t="str">
        <x:v>P1</x:v>
      </x:c>
      <x:c r="F43" s="9" t="str">
        <x:v>Livrable original proposé : Planche sprites — Geth Prime.</x:v>
      </x:c>
      <x:c r="G43" s="9" t="str">
        <x:v>Produire une planche originale de Geth Prime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Grand châssis rouge et blanc, large torse.</x:v>
      </x:c>
      <x:c r="J43" s="9" t="str">
        <x:v>Prévoir un état neutre, déplacement, préparation de l’action signature, impact reçu, mise à terre et retour en contrôle pour Geth Prime. Éviter la duplication miroir des signes asymétriques.</x:v>
      </x:c>
      <x:c r="K43" s="9" t="str">
        <x:v>Sans bande sonore embarquée dans la planche ; émettre uniquement des événements nommés vers le système audio pour éviter les doublons.</x:v>
      </x:c>
      <x:c r="L43" s="9" t="str">
        <x:v>Prévu : fiche de données me2/sprites/enm-geth-prime ; rattacher les ressources et états cités à cet identifiant. Aucun fichier de jeu créé par ce catalogue.</x:v>
      </x:c>
      <x:c r="M43" s="9" t="str"/>
      <x:c r="N43" s="9" t="str">
        <x:v>À l’échelle de jeu, Geth Prime est identifiable en silhouette ; pivot aux pieds, masque de profondeur et huit orientations proposés restent stables devant les couverts.</x:v>
      </x:c>
      <x:c r="O43" s="9" t="str">
        <x:v>ME2-ENM-GETH-PRIME</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ME2-SPR-ENM-GETH-COLOSSUS</x:v>
      </x:c>
      <x:c r="B44" s="7" t="str">
        <x:v>Planche sprites — Geth Colossus</x:v>
      </x:c>
      <x:c r="C44" s="15" t="str">
        <x:v>Défini</x:v>
      </x:c>
      <x:c r="D44" s="17" t="str">
        <x:v>Extrapolation</x:v>
      </x:c>
      <x:c r="E44" s="17" t="str">
        <x:v>P1</x:v>
      </x:c>
      <x:c r="F44" s="7" t="str">
        <x:v>Livrable original proposé : Planche sprites — Geth Colossus.</x:v>
      </x:c>
      <x:c r="G44" s="7" t="str">
        <x:v>Produire une planche originale de Geth Colossus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Quadrupède colossal sur cour surélevée.</x:v>
      </x:c>
      <x:c r="J44" s="7" t="str">
        <x:v>Prévoir un état neutre, déplacement, préparation de l’action signature, impact reçu, mise à terre et retour en contrôle pour Geth Colossus. Éviter la duplication miroir des signes asymétriques.</x:v>
      </x:c>
      <x:c r="K44" s="7" t="str">
        <x:v>Sans bande sonore embarquée dans la planche ; émettre uniquement des événements nommés vers le système audio pour éviter les doublons.</x:v>
      </x:c>
      <x:c r="L44" s="7" t="str">
        <x:v>Prévu : fiche de données me2/sprites/enm-geth-colossus ; rattacher les ressources et états cités à cet identifiant. Aucun fichier de jeu créé par ce catalogue.</x:v>
      </x:c>
      <x:c r="M44" s="7" t="str"/>
      <x:c r="N44" s="7" t="str">
        <x:v>À l’échelle de jeu, Geth Colossus est identifiable en silhouette ; pivot aux pieds, masque de profondeur et huit orientations proposés restent stables devant les couverts.</x:v>
      </x:c>
      <x:c r="O44" s="7" t="str">
        <x:v>ME2-ENM-GETH-COLOSSUS</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ME2-SPR-ENM-GETH-DRONE</x:v>
      </x:c>
      <x:c r="B45" s="9" t="str">
        <x:v>Planche sprites — Geth Recon Drone</x:v>
      </x:c>
      <x:c r="C45" s="15" t="str">
        <x:v>Défini</x:v>
      </x:c>
      <x:c r="D45" s="16" t="str">
        <x:v>Extrapolation</x:v>
      </x:c>
      <x:c r="E45" s="16" t="str">
        <x:v>P1</x:v>
      </x:c>
      <x:c r="F45" s="9" t="str">
        <x:v>Livrable original proposé : Planche sprites — Geth Recon Drone.</x:v>
      </x:c>
      <x:c r="G45" s="9" t="str">
        <x:v>Produire une planche originale de Geth Recon Drone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Petit drone volant et optique.</x:v>
      </x:c>
      <x:c r="J45" s="9" t="str">
        <x:v>Prévoir un état neutre, déplacement, préparation de l’action signature, impact reçu, mise à terre et retour en contrôle pour Geth Recon Drone. Éviter la duplication miroir des signes asymétriques.</x:v>
      </x:c>
      <x:c r="K45" s="9" t="str">
        <x:v>Sans bande sonore embarquée dans la planche ; émettre uniquement des événements nommés vers le système audio pour éviter les doublons.</x:v>
      </x:c>
      <x:c r="L45" s="9" t="str">
        <x:v>Prévu : fiche de données me2/sprites/enm-geth-drone ; rattacher les ressources et états cités à cet identifiant. Aucun fichier de jeu créé par ce catalogue.</x:v>
      </x:c>
      <x:c r="M45" s="9" t="str"/>
      <x:c r="N45" s="9" t="str">
        <x:v>À l’échelle de jeu, Geth Recon Drone est identifiable en silhouette ; pivot aux pieds, masque de profondeur et huit orientations proposés restent stables devant les couverts.</x:v>
      </x:c>
      <x:c r="O45" s="9" t="str">
        <x:v>ME2-ENM-GETH-DRONE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ME2-SPR-ENM-HUSK</x:v>
      </x:c>
      <x:c r="B46" s="7" t="str">
        <x:v>Planche sprites — Husk</x:v>
      </x:c>
      <x:c r="C46" s="15" t="str">
        <x:v>Défini</x:v>
      </x:c>
      <x:c r="D46" s="17" t="str">
        <x:v>Extrapolation</x:v>
      </x:c>
      <x:c r="E46" s="17" t="str">
        <x:v>P1</x:v>
      </x:c>
      <x:c r="F46" s="7" t="str">
        <x:v>Livrable original proposé : Planche sprites — Husk.</x:v>
      </x:c>
      <x:c r="G46" s="7" t="str">
        <x:v>Produire une planche originale de Husk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Humanoïde cybernétique bleu, posture courbée.</x:v>
      </x:c>
      <x:c r="J46" s="7" t="str">
        <x:v>Prévoir un état neutre, déplacement, préparation de l’action signature, impact reçu, mise à terre et retour en contrôle pour Husk. Éviter la duplication miroir des signes asymétriques.</x:v>
      </x:c>
      <x:c r="K46" s="7" t="str">
        <x:v>Sans bande sonore embarquée dans la planche ; émettre uniquement des événements nommés vers le système audio pour éviter les doublons.</x:v>
      </x:c>
      <x:c r="L46" s="7" t="str">
        <x:v>Prévu : fiche de données me2/sprites/enm-husk ; rattacher les ressources et états cités à cet identifiant. Aucun fichier de jeu créé par ce catalogue.</x:v>
      </x:c>
      <x:c r="M46" s="7" t="str"/>
      <x:c r="N46" s="7" t="str">
        <x:v>À l’échelle de jeu, Husk est identifiable en silhouette ; pivot aux pieds, masque de profondeur et huit orientations proposés restent stables devant les couverts.</x:v>
      </x:c>
      <x:c r="O46" s="7" t="str">
        <x:v>ME2-ENM-HUSK</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ME2-SPR-ENM-ABOMINATION</x:v>
      </x:c>
      <x:c r="B47" s="9" t="str">
        <x:v>Planche sprites — Abomination</x:v>
      </x:c>
      <x:c r="C47" s="15" t="str">
        <x:v>Défini</x:v>
      </x:c>
      <x:c r="D47" s="16" t="str">
        <x:v>Extrapolation</x:v>
      </x:c>
      <x:c r="E47" s="16" t="str">
        <x:v>P1</x:v>
      </x:c>
      <x:c r="F47" s="9" t="str">
        <x:v>Livrable original proposé : Planche sprites — Abomination.</x:v>
      </x:c>
      <x:c r="G47" s="9" t="str">
        <x:v>Produire une planche originale de Abomination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Husk rouge-orangé très contrasté.</x:v>
      </x:c>
      <x:c r="J47" s="9" t="str">
        <x:v>Prévoir un état neutre, déplacement, préparation de l’action signature, impact reçu, mise à terre et retour en contrôle pour Abomination. Éviter la duplication miroir des signes asymétriques.</x:v>
      </x:c>
      <x:c r="K47" s="9" t="str">
        <x:v>Sans bande sonore embarquée dans la planche ; émettre uniquement des événements nommés vers le système audio pour éviter les doublons.</x:v>
      </x:c>
      <x:c r="L47" s="9" t="str">
        <x:v>Prévu : fiche de données me2/sprites/enm-abomination ; rattacher les ressources et états cités à cet identifiant. Aucun fichier de jeu créé par ce catalogue.</x:v>
      </x:c>
      <x:c r="M47" s="9" t="str"/>
      <x:c r="N47" s="9" t="str">
        <x:v>À l’échelle de jeu, Abomination est identifiable en silhouette ; pivot aux pieds, masque de profondeur et huit orientations proposés restent stables devant les couverts.</x:v>
      </x:c>
      <x:c r="O47" s="9" t="str">
        <x:v>ME2-ENM-ABOMINATION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ME2-SPR-ENM-SCION</x:v>
      </x:c>
      <x:c r="B48" s="7" t="str">
        <x:v>Planche sprites — Scion</x:v>
      </x:c>
      <x:c r="C48" s="15" t="str">
        <x:v>Défini</x:v>
      </x:c>
      <x:c r="D48" s="17" t="str">
        <x:v>Extrapolation</x:v>
      </x:c>
      <x:c r="E48" s="17" t="str">
        <x:v>P1</x:v>
      </x:c>
      <x:c r="F48" s="7" t="str">
        <x:v>Livrable original proposé : Planche sprites — Scion.</x:v>
      </x:c>
      <x:c r="G48" s="7" t="str">
        <x:v>Produire une planche originale de Scion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Masse tordue, bras-canon et silhouette asymétrique.</x:v>
      </x:c>
      <x:c r="J48" s="7" t="str">
        <x:v>Prévoir un état neutre, déplacement, préparation de l’action signature, impact reçu, mise à terre et retour en contrôle pour Scion. Éviter la duplication miroir des signes asymétriques.</x:v>
      </x:c>
      <x:c r="K48" s="7" t="str">
        <x:v>Sans bande sonore embarquée dans la planche ; émettre uniquement des événements nommés vers le système audio pour éviter les doublons.</x:v>
      </x:c>
      <x:c r="L48" s="7" t="str">
        <x:v>Prévu : fiche de données me2/sprites/enm-scion ; rattacher les ressources et états cités à cet identifiant. Aucun fichier de jeu créé par ce catalogue.</x:v>
      </x:c>
      <x:c r="M48" s="7" t="str"/>
      <x:c r="N48" s="7" t="str">
        <x:v>À l’échelle de jeu, Scion est identifiable en silhouette ; pivot aux pieds, masque de profondeur et huit orientations proposés restent stables devant les couverts.</x:v>
      </x:c>
      <x:c r="O48" s="7" t="str">
        <x:v>ME2-ENM-SCION</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ME2-SPR-ENM-COLLECTOR-DRONE</x:v>
      </x:c>
      <x:c r="B49" s="9" t="str">
        <x:v>Planche sprites — Collector Drone</x:v>
      </x:c>
      <x:c r="C49" s="15" t="str">
        <x:v>Défini</x:v>
      </x:c>
      <x:c r="D49" s="16" t="str">
        <x:v>Extrapolation</x:v>
      </x:c>
      <x:c r="E49" s="16" t="str">
        <x:v>P1</x:v>
      </x:c>
      <x:c r="F49" s="9" t="str">
        <x:v>Livrable original proposé : Planche sprites — Collector Drone.</x:v>
      </x:c>
      <x:c r="G49" s="9" t="str">
        <x:v>Produire une planche originale de Collector Drone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Chitine brune, aile repliée et arme organique.</x:v>
      </x:c>
      <x:c r="J49" s="9" t="str">
        <x:v>Prévoir un état neutre, déplacement, préparation de l’action signature, impact reçu, mise à terre et retour en contrôle pour Collector Drone. Éviter la duplication miroir des signes asymétriques.</x:v>
      </x:c>
      <x:c r="K49" s="9" t="str">
        <x:v>Sans bande sonore embarquée dans la planche ; émettre uniquement des événements nommés vers le système audio pour éviter les doublons.</x:v>
      </x:c>
      <x:c r="L49" s="9" t="str">
        <x:v>Prévu : fiche de données me2/sprites/enm-collector-drone ; rattacher les ressources et états cités à cet identifiant. Aucun fichier de jeu créé par ce catalogue.</x:v>
      </x:c>
      <x:c r="M49" s="9" t="str"/>
      <x:c r="N49" s="9" t="str">
        <x:v>À l’échelle de jeu, Collector Drone est identifiable en silhouette ; pivot aux pieds, masque de profondeur et huit orientations proposés restent stables devant les couverts.</x:v>
      </x:c>
      <x:c r="O49" s="9" t="str">
        <x:v>ME2-ENM-COLLECTOR-DRONE</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82" customHeight="1">
      <x:c r="A50" s="19" t="str">
        <x:v>ME2-SPR-ENM-COLLECTOR-GUARDIAN</x:v>
      </x:c>
      <x:c r="B50" s="7" t="str">
        <x:v>Planche sprites — Collector Guardian</x:v>
      </x:c>
      <x:c r="C50" s="15" t="str">
        <x:v>Défini</x:v>
      </x:c>
      <x:c r="D50" s="17" t="str">
        <x:v>Extrapolation</x:v>
      </x:c>
      <x:c r="E50" s="17" t="str">
        <x:v>P1</x:v>
      </x:c>
      <x:c r="F50" s="7" t="str">
        <x:v>Livrable original proposé : Planche sprites — Collector Guardian.</x:v>
      </x:c>
      <x:c r="G50" s="7" t="str">
        <x:v>Produire une planche originale de Collector Guardian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Silhouette de Collecteur et lueur de projection.</x:v>
      </x:c>
      <x:c r="J50" s="7" t="str">
        <x:v>Prévoir un état neutre, déplacement, préparation de l’action signature, impact reçu, mise à terre et retour en contrôle pour Collector Guardian. Éviter la duplication miroir des signes asymétriques.</x:v>
      </x:c>
      <x:c r="K50" s="7" t="str">
        <x:v>Sans bande sonore embarquée dans la planche ; émettre uniquement des événements nommés vers le système audio pour éviter les doublons.</x:v>
      </x:c>
      <x:c r="L50" s="7" t="str">
        <x:v>Prévu : fiche de données me2/sprites/enm-collector-guardian ; rattacher les ressources et états cités à cet identifiant. Aucun fichier de jeu créé par ce catalogue.</x:v>
      </x:c>
      <x:c r="M50" s="7" t="str"/>
      <x:c r="N50" s="7" t="str">
        <x:v>À l’échelle de jeu, Collector Guardian est identifiable en silhouette ; pivot aux pieds, masque de profondeur et huit orientations proposés restent stables devant les couverts.</x:v>
      </x:c>
      <x:c r="O50" s="7" t="str">
        <x:v>ME2-ENM-COLLECTOR-GUARDIAN</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82" customHeight="1">
      <x:c r="A51" s="18" t="str">
        <x:v>ME2-SPR-ENM-COLLECTOR-ASSASSIN</x:v>
      </x:c>
      <x:c r="B51" s="9" t="str">
        <x:v>Planche sprites — Collector Assassin</x:v>
      </x:c>
      <x:c r="C51" s="15" t="str">
        <x:v>Défini</x:v>
      </x:c>
      <x:c r="D51" s="16" t="str">
        <x:v>Extrapolation</x:v>
      </x:c>
      <x:c r="E51" s="16" t="str">
        <x:v>P1</x:v>
      </x:c>
      <x:c r="F51" s="9" t="str">
        <x:v>Livrable original proposé : Planche sprites — Collector Assassin.</x:v>
      </x:c>
      <x:c r="G51" s="9" t="str">
        <x:v>Produire une planche originale de Collector Assassin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Arme-faisceau et visée stable.</x:v>
      </x:c>
      <x:c r="J51" s="9" t="str">
        <x:v>Prévoir un état neutre, déplacement, préparation de l’action signature, impact reçu, mise à terre et retour en contrôle pour Collector Assassin. Éviter la duplication miroir des signes asymétriques.</x:v>
      </x:c>
      <x:c r="K51" s="9" t="str">
        <x:v>Sans bande sonore embarquée dans la planche ; émettre uniquement des événements nommés vers le système audio pour éviter les doublons.</x:v>
      </x:c>
      <x:c r="L51" s="9" t="str">
        <x:v>Prévu : fiche de données me2/sprites/enm-collector-assassin ; rattacher les ressources et états cités à cet identifiant. Aucun fichier de jeu créé par ce catalogue.</x:v>
      </x:c>
      <x:c r="M51" s="9" t="str"/>
      <x:c r="N51" s="9" t="str">
        <x:v>À l’échelle de jeu, Collector Assassin est identifiable en silhouette ; pivot aux pieds, masque de profondeur et huit orientations proposés restent stables devant les couverts.</x:v>
      </x:c>
      <x:c r="O51" s="9" t="str">
        <x:v>ME2-ENM-COLLECTOR-ASSASSIN</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82" customHeight="1">
      <x:c r="A52" s="19" t="str">
        <x:v>ME2-SPR-ENM-HARBINGER</x:v>
      </x:c>
      <x:c r="B52" s="7" t="str">
        <x:v>Planche sprites — Collecteur possédé par Harbinger</x:v>
      </x:c>
      <x:c r="C52" s="15" t="str">
        <x:v>Défini</x:v>
      </x:c>
      <x:c r="D52" s="17" t="str">
        <x:v>Extrapolation</x:v>
      </x:c>
      <x:c r="E52" s="17" t="str">
        <x:v>P1</x:v>
      </x:c>
      <x:c r="F52" s="7" t="str">
        <x:v>Livrable original proposé : Planche sprites — Collecteur possédé par Harbinger.</x:v>
      </x:c>
      <x:c r="G52" s="7" t="str">
        <x:v>Produire une planche originale de Collecteur possédé par Harbinger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Chitine embrasée et tête éclairée.</x:v>
      </x:c>
      <x:c r="J52" s="7" t="str">
        <x:v>Prévoir un état neutre, déplacement, préparation de l’action signature, impact reçu, mise à terre et retour en contrôle pour Collecteur possédé par Harbinger. Éviter la duplication miroir des signes asymétriques.</x:v>
      </x:c>
      <x:c r="K52" s="7" t="str">
        <x:v>Sans bande sonore embarquée dans la planche ; émettre uniquement des événements nommés vers le système audio pour éviter les doublons.</x:v>
      </x:c>
      <x:c r="L52" s="7" t="str">
        <x:v>Prévu : fiche de données me2/sprites/enm-harbinger ; rattacher les ressources et états cités à cet identifiant. Aucun fichier de jeu créé par ce catalogue.</x:v>
      </x:c>
      <x:c r="M52" s="7" t="str"/>
      <x:c r="N52" s="7" t="str">
        <x:v>À l’échelle de jeu, Collecteur possédé par Harbinger est identifiable en silhouette ; pivot aux pieds, masque de profondeur et huit orientations proposés restent stables devant les couverts.</x:v>
      </x:c>
      <x:c r="O52" s="7" t="str">
        <x:v>ME2-ENM-HARBINGER</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ME2-SPR-ENM-PRAETORIAN</x:v>
      </x:c>
      <x:c r="B53" s="9" t="str">
        <x:v>Planche sprites — Praetorian</x:v>
      </x:c>
      <x:c r="C53" s="15" t="str">
        <x:v>Défini</x:v>
      </x:c>
      <x:c r="D53" s="16" t="str">
        <x:v>Extrapolation</x:v>
      </x:c>
      <x:c r="E53" s="16" t="str">
        <x:v>P1</x:v>
      </x:c>
      <x:c r="F53" s="9" t="str">
        <x:v>Livrable original proposé : Planche sprites — Praetorian.</x:v>
      </x:c>
      <x:c r="G53" s="9" t="str">
        <x:v>Produire une planche originale de Praetorian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Carapace noire, membres pendants, plusieurs visages regroupés.</x:v>
      </x:c>
      <x:c r="J53" s="9" t="str">
        <x:v>Prévoir un état neutre, déplacement, préparation de l’action signature, impact reçu, mise à terre et retour en contrôle pour Praetorian. Éviter la duplication miroir des signes asymétriques.</x:v>
      </x:c>
      <x:c r="K53" s="9" t="str">
        <x:v>Sans bande sonore embarquée dans la planche ; émettre uniquement des événements nommés vers le système audio pour éviter les doublons.</x:v>
      </x:c>
      <x:c r="L53" s="9" t="str">
        <x:v>Prévu : fiche de données me2/sprites/enm-praetorian ; rattacher les ressources et états cités à cet identifiant. Aucun fichier de jeu créé par ce catalogue.</x:v>
      </x:c>
      <x:c r="M53" s="9" t="str"/>
      <x:c r="N53" s="9" t="str">
        <x:v>À l’échelle de jeu, Praetorian est identifiable en silhouette ; pivot aux pieds, masque de profondeur et huit orientations proposés restent stables devant les couverts.</x:v>
      </x:c>
      <x:c r="O53" s="9" t="str">
        <x:v>ME2-ENM-PRAETORIAN</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ME2-SPR-ENM-OCULUS</x:v>
      </x:c>
      <x:c r="B54" s="7" t="str">
        <x:v>Planche sprites — Oculus</x:v>
      </x:c>
      <x:c r="C54" s="15" t="str">
        <x:v>Défini</x:v>
      </x:c>
      <x:c r="D54" s="17" t="str">
        <x:v>Extrapolation</x:v>
      </x:c>
      <x:c r="E54" s="17" t="str">
        <x:v>P1</x:v>
      </x:c>
      <x:c r="F54" s="7" t="str">
        <x:v>Livrable original proposé : Planche sprites — Oculus.</x:v>
      </x:c>
      <x:c r="G54" s="7" t="str">
        <x:v>Produire une planche originale de Oculus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Sphère mécanique à iris central.</x:v>
      </x:c>
      <x:c r="J54" s="7" t="str">
        <x:v>Prévoir un état neutre, déplacement, préparation de l’action signature, impact reçu, mise à terre et retour en contrôle pour Oculus. Éviter la duplication miroir des signes asymétriques.</x:v>
      </x:c>
      <x:c r="K54" s="7" t="str">
        <x:v>Sans bande sonore embarquée dans la planche ; émettre uniquement des événements nommés vers le système audio pour éviter les doublons.</x:v>
      </x:c>
      <x:c r="L54" s="7" t="str">
        <x:v>Prévu : fiche de données me2/sprites/enm-oculus ; rattacher les ressources et états cités à cet identifiant. Aucun fichier de jeu créé par ce catalogue.</x:v>
      </x:c>
      <x:c r="M54" s="7" t="str"/>
      <x:c r="N54" s="7" t="str">
        <x:v>À l’échelle de jeu, Oculus est identifiable en silhouette ; pivot aux pieds, masque de profondeur et huit orientations proposés restent stables devant les couverts.</x:v>
      </x:c>
      <x:c r="O54" s="7" t="str">
        <x:v>ME2-ENM-OCULUS</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82" customHeight="1">
      <x:c r="A55" s="18" t="str">
        <x:v>ME2-SPR-ENM-HUMAN-REAPER</x:v>
      </x:c>
      <x:c r="B55" s="9" t="str">
        <x:v>Planche sprites — Moissonneur humain</x:v>
      </x:c>
      <x:c r="C55" s="15" t="str">
        <x:v>Défini</x:v>
      </x:c>
      <x:c r="D55" s="16" t="str">
        <x:v>Extrapolation</x:v>
      </x:c>
      <x:c r="E55" s="16" t="str">
        <x:v>P1</x:v>
      </x:c>
      <x:c r="F55" s="9" t="str">
        <x:v>Livrable original proposé : Planche sprites — Moissonneur humain.</x:v>
      </x:c>
      <x:c r="G55" s="9" t="str">
        <x:v>Produire une planche originale de Moissonneur humain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Immense torse humanoïde métallique, yeux et tubes éclairés.</x:v>
      </x:c>
      <x:c r="J55" s="9" t="str">
        <x:v>Prévoir un état neutre, déplacement, préparation de l’action signature, impact reçu, mise à terre et retour en contrôle pour Moissonneur humain. Éviter la duplication miroir des signes asymétriques.</x:v>
      </x:c>
      <x:c r="K55" s="9" t="str">
        <x:v>Sans bande sonore embarquée dans la planche ; émettre uniquement des événements nommés vers le système audio pour éviter les doublons.</x:v>
      </x:c>
      <x:c r="L55" s="9" t="str">
        <x:v>Prévu : fiche de données me2/sprites/enm-human-reaper ; rattacher les ressources et états cités à cet identifiant. Aucun fichier de jeu créé par ce catalogue.</x:v>
      </x:c>
      <x:c r="M55" s="9" t="str"/>
      <x:c r="N55" s="9" t="str">
        <x:v>À l’échelle de jeu, Moissonneur humain est identifiable en silhouette ; pivot aux pieds, masque de profondeur et huit orientations proposés restent stables devant les couverts.</x:v>
      </x:c>
      <x:c r="O55" s="9" t="str">
        <x:v>ME2-ENM-HUMAN-REAPER</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ME2-SPR-ENM-VARRREN</x:v>
      </x:c>
      <x:c r="B56" s="7" t="str">
        <x:v>Planche sprites — Varren</x:v>
      </x:c>
      <x:c r="C56" s="15" t="str">
        <x:v>Défini</x:v>
      </x:c>
      <x:c r="D56" s="17" t="str">
        <x:v>Extrapolation</x:v>
      </x:c>
      <x:c r="E56" s="17" t="str">
        <x:v>P1</x:v>
      </x:c>
      <x:c r="F56" s="7" t="str">
        <x:v>Livrable original proposé : Planche sprites — Varren.</x:v>
      </x:c>
      <x:c r="G56" s="7" t="str">
        <x:v>Produire une planche originale de Varren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Quadrupède trapu, gueule large, peau écailleuse.</x:v>
      </x:c>
      <x:c r="J56" s="7" t="str">
        <x:v>Prévoir un état neutre, déplacement, préparation de l’action signature, impact reçu, mise à terre et retour en contrôle pour Varren. Éviter la duplication miroir des signes asymétriques.</x:v>
      </x:c>
      <x:c r="K56" s="7" t="str">
        <x:v>Sans bande sonore embarquée dans la planche ; émettre uniquement des événements nommés vers le système audio pour éviter les doublons.</x:v>
      </x:c>
      <x:c r="L56" s="7" t="str">
        <x:v>Prévu : fiche de données me2/sprites/enm-varrren ; rattacher les ressources et états cités à cet identifiant. Aucun fichier de jeu créé par ce catalogue.</x:v>
      </x:c>
      <x:c r="M56" s="7" t="str"/>
      <x:c r="N56" s="7" t="str">
        <x:v>À l’échelle de jeu, Varren est identifiable en silhouette ; pivot aux pieds, masque de profondeur et huit orientations proposés restent stables devant les couverts.</x:v>
      </x:c>
      <x:c r="O56" s="7" t="str">
        <x:v>ME2-ENM-VARRREN</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ME2-SPR-ENM-THRESHER</x:v>
      </x:c>
      <x:c r="B57" s="9" t="str">
        <x:v>Planche sprites — Dévoreur du rite</x:v>
      </x:c>
      <x:c r="C57" s="15" t="str">
        <x:v>Défini</x:v>
      </x:c>
      <x:c r="D57" s="16" t="str">
        <x:v>Extrapolation</x:v>
      </x:c>
      <x:c r="E57" s="16" t="str">
        <x:v>P1</x:v>
      </x:c>
      <x:c r="F57" s="9" t="str">
        <x:v>Livrable original proposé : Planche sprites — Dévoreur du rite.</x:v>
      </x:c>
      <x:c r="G57" s="9" t="str">
        <x:v>Produire une planche originale de Dévoreur du rite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Ver géant, bouche segmentée et poussière.</x:v>
      </x:c>
      <x:c r="J57" s="9" t="str">
        <x:v>Prévoir un état neutre, déplacement, préparation de l’action signature, impact reçu, mise à terre et retour en contrôle pour Dévoreur du rite. Éviter la duplication miroir des signes asymétriques.</x:v>
      </x:c>
      <x:c r="K57" s="9" t="str">
        <x:v>Sans bande sonore embarquée dans la planche ; émettre uniquement des événements nommés vers le système audio pour éviter les doublons.</x:v>
      </x:c>
      <x:c r="L57" s="9" t="str">
        <x:v>Prévu : fiche de données me2/sprites/enm-thresher ; rattacher les ressources et états cités à cet identifiant. Aucun fichier de jeu créé par ce catalogue.</x:v>
      </x:c>
      <x:c r="M57" s="9" t="str"/>
      <x:c r="N57" s="9" t="str">
        <x:v>À l’échelle de jeu, Dévoreur du rite est identifiable en silhouette ; pivot aux pieds, masque de profondeur et huit orientations proposés restent stables devant les couverts.</x:v>
      </x:c>
      <x:c r="O57" s="9" t="str">
        <x:v>ME2-ENM-THRESHER</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ME2-SPR-ENM-GUNSHIP</x:v>
      </x:c>
      <x:c r="B58" s="7" t="str">
        <x:v>Planche sprites — Aéronef de combat</x:v>
      </x:c>
      <x:c r="C58" s="15" t="str">
        <x:v>Défini</x:v>
      </x:c>
      <x:c r="D58" s="17" t="str">
        <x:v>Extrapolation</x:v>
      </x:c>
      <x:c r="E58" s="17" t="str">
        <x:v>P1</x:v>
      </x:c>
      <x:c r="F58" s="7" t="str">
        <x:v>Livrable original proposé : Planche sprites — Aéronef de combat.</x:v>
      </x:c>
      <x:c r="G58" s="7" t="str">
        <x:v>Produire une planche originale de Aéronef de combat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Coque de gunship, canons et moteurs latéraux.</x:v>
      </x:c>
      <x:c r="J58" s="7" t="str">
        <x:v>Prévoir un état neutre, déplacement, préparation de l’action signature, impact reçu, mise à terre et retour en contrôle pour Aéronef de combat. Éviter la duplication miroir des signes asymétriques.</x:v>
      </x:c>
      <x:c r="K58" s="7" t="str">
        <x:v>Sans bande sonore embarquée dans la planche ; émettre uniquement des événements nommés vers le système audio pour éviter les doublons.</x:v>
      </x:c>
      <x:c r="L58" s="7" t="str">
        <x:v>Prévu : fiche de données me2/sprites/enm-gunship ; rattacher les ressources et états cités à cet identifiant. Aucun fichier de jeu créé par ce catalogue.</x:v>
      </x:c>
      <x:c r="M58" s="7" t="str"/>
      <x:c r="N58" s="7" t="str">
        <x:v>À l’échelle de jeu, Aéronef de combat est identifiable en silhouette ; pivot aux pieds, masque de profondeur et huit orientations proposés restent stables devant les couverts.</x:v>
      </x:c>
      <x:c r="O58" s="7" t="str">
        <x:v>ME2-ENM-GUNSHIP</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ME2-SPR-ENM-BROKER-AGENT</x:v>
      </x:c>
      <x:c r="B59" s="9" t="str">
        <x:v>Planche sprites — Shadow Broker Agent</x:v>
      </x:c>
      <x:c r="C59" s="15" t="str">
        <x:v>Défini</x:v>
      </x:c>
      <x:c r="D59" s="16" t="str">
        <x:v>Extrapolation</x:v>
      </x:c>
      <x:c r="E59" s="16" t="str">
        <x:v>P1</x:v>
      </x:c>
      <x:c r="F59" s="9" t="str">
        <x:v>Livrable original proposé : Planche sprites — Shadow Broker Agent.</x:v>
      </x:c>
      <x:c r="G59" s="9" t="str">
        <x:v>Produire une planche originale de Shadow Broker Agent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Armure sombre et visière opaque.</x:v>
      </x:c>
      <x:c r="J59" s="9" t="str">
        <x:v>Prévoir un état neutre, déplacement, préparation de l’action signature, impact reçu, mise à terre et retour en contrôle pour Shadow Broker Agent. Éviter la duplication miroir des signes asymétriques.</x:v>
      </x:c>
      <x:c r="K59" s="9" t="str">
        <x:v>Sans bande sonore embarquée dans la planche ; émettre uniquement des événements nommés vers le système audio pour éviter les doublons.</x:v>
      </x:c>
      <x:c r="L59" s="9" t="str">
        <x:v>Prévu : fiche de données me2/sprites/enm-broker-agent ; rattacher les ressources et états cités à cet identifiant. Aucun fichier de jeu créé par ce catalogue.</x:v>
      </x:c>
      <x:c r="M59" s="9" t="str"/>
      <x:c r="N59" s="9" t="str">
        <x:v>À l’échelle de jeu, Shadow Broker Agent est identifiable en silhouette ; pivot aux pieds, masque de profondeur et huit orientations proposés restent stables devant les couverts.</x:v>
      </x:c>
      <x:c r="O59" s="9" t="str">
        <x:v>ME2-ENM-BROKER-AGENT</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ME2-SPR-ENM-BROKER-VANGUARD</x:v>
      </x:c>
      <x:c r="B60" s="7" t="str">
        <x:v>Planche sprites — Shadow Broker Vanguard</x:v>
      </x:c>
      <x:c r="C60" s="15" t="str">
        <x:v>Défini</x:v>
      </x:c>
      <x:c r="D60" s="17" t="str">
        <x:v>Extrapolation</x:v>
      </x:c>
      <x:c r="E60" s="17" t="str">
        <x:v>P1</x:v>
      </x:c>
      <x:c r="F60" s="7" t="str">
        <x:v>Livrable original proposé : Planche sprites — Shadow Broker Vanguard.</x:v>
      </x:c>
      <x:c r="G60" s="7" t="str">
        <x:v>Produire une planche originale de Shadow Broker Vanguard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Armure noire et énergie bleue.</x:v>
      </x:c>
      <x:c r="J60" s="7" t="str">
        <x:v>Prévoir un état neutre, déplacement, préparation de l’action signature, impact reçu, mise à terre et retour en contrôle pour Shadow Broker Vanguard. Éviter la duplication miroir des signes asymétriques.</x:v>
      </x:c>
      <x:c r="K60" s="7" t="str">
        <x:v>Sans bande sonore embarquée dans la planche ; émettre uniquement des événements nommés vers le système audio pour éviter les doublons.</x:v>
      </x:c>
      <x:c r="L60" s="7" t="str">
        <x:v>Prévu : fiche de données me2/sprites/enm-broker-vanguard ; rattacher les ressources et états cités à cet identifiant. Aucun fichier de jeu créé par ce catalogue.</x:v>
      </x:c>
      <x:c r="M60" s="7" t="str"/>
      <x:c r="N60" s="7" t="str">
        <x:v>À l’échelle de jeu, Shadow Broker Vanguard est identifiable en silhouette ; pivot aux pieds, masque de profondeur et huit orientations proposés restent stables devant les couverts.</x:v>
      </x:c>
      <x:c r="O60" s="7" t="str">
        <x:v>ME2-ENM-BROKER-VANGUARD</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ME2-SPR-ENM-VASIR</x:v>
      </x:c>
      <x:c r="B61" s="9" t="str">
        <x:v>Planche sprites — Tela Vasir — boss</x:v>
      </x:c>
      <x:c r="C61" s="15" t="str">
        <x:v>Défini</x:v>
      </x:c>
      <x:c r="D61" s="16" t="str">
        <x:v>Extrapolation</x:v>
      </x:c>
      <x:c r="E61" s="16" t="str">
        <x:v>P1</x:v>
      </x:c>
      <x:c r="F61" s="9" t="str">
        <x:v>Livrable original proposé : Planche sprites — Tela Vasir — boss.</x:v>
      </x:c>
      <x:c r="G61" s="9" t="str">
        <x:v>Produire une planche originale de Tela Vasir — boss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Asari en armure, traînée biotique et posture d’élan.</x:v>
      </x:c>
      <x:c r="J61" s="9" t="str">
        <x:v>Prévoir un état neutre, déplacement, préparation de l’action signature, impact reçu, mise à terre et retour en contrôle pour Tela Vasir — boss. Éviter la duplication miroir des signes asymétriques.</x:v>
      </x:c>
      <x:c r="K61" s="9" t="str">
        <x:v>Sans bande sonore embarquée dans la planche ; émettre uniquement des événements nommés vers le système audio pour éviter les doublons.</x:v>
      </x:c>
      <x:c r="L61" s="9" t="str">
        <x:v>Prévu : fiche de données me2/sprites/enm-vasir ; rattacher les ressources et états cités à cet identifiant. Aucun fichier de jeu créé par ce catalogue.</x:v>
      </x:c>
      <x:c r="M61" s="9" t="str"/>
      <x:c r="N61" s="9" t="str">
        <x:v>À l’échelle de jeu, Tela Vasir — boss est identifiable en silhouette ; pivot aux pieds, masque de profondeur et huit orientations proposés restent stables devant les couverts.</x:v>
      </x:c>
      <x:c r="O61" s="9" t="str">
        <x:v>ME2-ENM-VASIR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ME2-SPR-ENM-BROKER</x:v>
      </x:c>
      <x:c r="B62" s="7" t="str">
        <x:v>Planche sprites — Courtier de l’Ombre — yahg</x:v>
      </x:c>
      <x:c r="C62" s="15" t="str">
        <x:v>Défini</x:v>
      </x:c>
      <x:c r="D62" s="17" t="str">
        <x:v>Extrapolation</x:v>
      </x:c>
      <x:c r="E62" s="17" t="str">
        <x:v>P1</x:v>
      </x:c>
      <x:c r="F62" s="7" t="str">
        <x:v>Livrable original proposé : Planche sprites — Courtier de l’Ombre — yahg.</x:v>
      </x:c>
      <x:c r="G62" s="7" t="str">
        <x:v>Produire une planche originale de Courtier de l’Ombre — yahg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Yahg massif, yeux multiples et bouclier de grande taille.</x:v>
      </x:c>
      <x:c r="J62" s="7" t="str">
        <x:v>Prévoir un état neutre, déplacement, préparation de l’action signature, impact reçu, mise à terre et retour en contrôle pour Courtier de l’Ombre — yahg. Éviter la duplication miroir des signes asymétriques.</x:v>
      </x:c>
      <x:c r="K62" s="7" t="str">
        <x:v>Sans bande sonore embarquée dans la planche ; émettre uniquement des événements nommés vers le système audio pour éviter les doublons.</x:v>
      </x:c>
      <x:c r="L62" s="7" t="str">
        <x:v>Prévu : fiche de données me2/sprites/enm-broker ; rattacher les ressources et états cités à cet identifiant. Aucun fichier de jeu créé par ce catalogue.</x:v>
      </x:c>
      <x:c r="M62" s="7" t="str"/>
      <x:c r="N62" s="7" t="str">
        <x:v>À l’échelle de jeu, Courtier de l’Ombre — yahg est identifiable en silhouette ; pivot aux pieds, masque de profondeur et huit orientations proposés restent stables devant les couverts.</x:v>
      </x:c>
      <x:c r="O62" s="7" t="str">
        <x:v>ME2-ENM-BROKER</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ME2-SPR-ENM-OVERLORD</x:v>
      </x:c>
      <x:c r="B63" s="9" t="str">
        <x:v>Planche sprites — Dispositif VI Overlord</x:v>
      </x:c>
      <x:c r="C63" s="15" t="str">
        <x:v>Défini</x:v>
      </x:c>
      <x:c r="D63" s="16" t="str">
        <x:v>Extrapolation</x:v>
      </x:c>
      <x:c r="E63" s="16" t="str">
        <x:v>P1</x:v>
      </x:c>
      <x:c r="F63" s="9" t="str">
        <x:v>Livrable original proposé : Planche sprites — Dispositif VI Overlord.</x:v>
      </x:c>
      <x:c r="G63" s="9" t="str">
        <x:v>Produire une planche originale de Dispositif VI Overlord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Visage numérique vert et câbles de laboratoire.</x:v>
      </x:c>
      <x:c r="J63" s="9" t="str">
        <x:v>Prévoir un état neutre, déplacement, préparation de l’action signature, impact reçu, mise à terre et retour en contrôle pour Dispositif VI Overlord. Éviter la duplication miroir des signes asymétriques.</x:v>
      </x:c>
      <x:c r="K63" s="9" t="str">
        <x:v>Sans bande sonore embarquée dans la planche ; émettre uniquement des événements nommés vers le système audio pour éviter les doublons.</x:v>
      </x:c>
      <x:c r="L63" s="9" t="str">
        <x:v>Prévu : fiche de données me2/sprites/enm-overlord ; rattacher les ressources et états cités à cet identifiant. Aucun fichier de jeu créé par ce catalogue.</x:v>
      </x:c>
      <x:c r="M63" s="9" t="str"/>
      <x:c r="N63" s="9" t="str">
        <x:v>À l’échelle de jeu, Dispositif VI Overlord est identifiable en silhouette ; pivot aux pieds, masque de profondeur et huit orientations proposés restent stables devant les couverts.</x:v>
      </x:c>
      <x:c r="O63" s="9" t="str">
        <x:v>ME2-ENM-OVERLORD</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68" customHeight="1">
      <x:c r="A64" s="19" t="str">
        <x:v>ME2-SPR-ENM-PROJECT-GUARD</x:v>
      </x:c>
      <x:c r="B64" s="7" t="str">
        <x:v>Planche sprites — Project Guard</x:v>
      </x:c>
      <x:c r="C64" s="15" t="str">
        <x:v>Défini</x:v>
      </x:c>
      <x:c r="D64" s="17" t="str">
        <x:v>Extrapolation</x:v>
      </x:c>
      <x:c r="E64" s="17" t="str">
        <x:v>P1</x:v>
      </x:c>
      <x:c r="F64" s="7" t="str">
        <x:v>Livrable original proposé : Planche sprites — Project Guard.</x:v>
      </x:c>
      <x:c r="G64" s="7" t="str">
        <x:v>Produire une planche originale de Project Guard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Tenue technique et arme Cerberus.</x:v>
      </x:c>
      <x:c r="J64" s="7" t="str">
        <x:v>Prévoir un état neutre, déplacement, préparation de l’action signature, impact reçu, mise à terre et retour en contrôle pour Project Guard. Éviter la duplication miroir des signes asymétriques.</x:v>
      </x:c>
      <x:c r="K64" s="7" t="str">
        <x:v>Sans bande sonore embarquée dans la planche ; émettre uniquement des événements nommés vers le système audio pour éviter les doublons.</x:v>
      </x:c>
      <x:c r="L64" s="7" t="str">
        <x:v>Prévu : fiche de données me2/sprites/enm-project-guard ; rattacher les ressources et états cités à cet identifiant. Aucun fichier de jeu créé par ce catalogue.</x:v>
      </x:c>
      <x:c r="M64" s="7" t="str"/>
      <x:c r="N64" s="7" t="str">
        <x:v>À l’échelle de jeu, Project Guard est identifiable en silhouette ; pivot aux pieds, masque de profondeur et huit orientations proposés restent stables devant les couverts.</x:v>
      </x:c>
      <x:c r="O64" s="7" t="str">
        <x:v>ME2-ENM-PROJECT-GUARD</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68" customHeight="1">
      <x:c r="A65" s="18" t="str">
        <x:v>ME2-SPR-ENM-PROJECT-PYRO</x:v>
      </x:c>
      <x:c r="B65" s="9" t="str">
        <x:v>Planche sprites — Project Pyro</x:v>
      </x:c>
      <x:c r="C65" s="15" t="str">
        <x:v>Défini</x:v>
      </x:c>
      <x:c r="D65" s="16" t="str">
        <x:v>Extrapolation</x:v>
      </x:c>
      <x:c r="E65" s="16" t="str">
        <x:v>P1</x:v>
      </x:c>
      <x:c r="F65" s="9" t="str">
        <x:v>Livrable original proposé : Planche sprites — Project Pyro.</x:v>
      </x:c>
      <x:c r="G65" s="9" t="str">
        <x:v>Produire une planche originale de Project Pyro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Tenue de projet, réservoir et flammes.</x:v>
      </x:c>
      <x:c r="J65" s="9" t="str">
        <x:v>Prévoir un état neutre, déplacement, préparation de l’action signature, impact reçu, mise à terre et retour en contrôle pour Project Pyro. Éviter la duplication miroir des signes asymétriques.</x:v>
      </x:c>
      <x:c r="K65" s="9" t="str">
        <x:v>Sans bande sonore embarquée dans la planche ; émettre uniquement des événements nommés vers le système audio pour éviter les doublons.</x:v>
      </x:c>
      <x:c r="L65" s="9" t="str">
        <x:v>Prévu : fiche de données me2/sprites/enm-project-pyro ; rattacher les ressources et états cités à cet identifiant. Aucun fichier de jeu créé par ce catalogue.</x:v>
      </x:c>
      <x:c r="M65" s="9" t="str"/>
      <x:c r="N65" s="9" t="str">
        <x:v>À l’échelle de jeu, Project Pyro est identifiable en silhouette ; pivot aux pieds, masque de profondeur et huit orientations proposés restent stables devant les couverts.</x:v>
      </x:c>
      <x:c r="O65" s="9" t="str">
        <x:v>ME2-ENM-PROJECT-PYRO</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row r="66" ht="68" customHeight="1">
      <x:c r="A66" s="19" t="str">
        <x:v>ME2-SPR-ENM-PRISON-GUARD</x:v>
      </x:c>
      <x:c r="B66" s="7" t="str">
        <x:v>Planche sprites — Prison Guard</x:v>
      </x:c>
      <x:c r="C66" s="15" t="str">
        <x:v>Défini</x:v>
      </x:c>
      <x:c r="D66" s="17" t="str">
        <x:v>Extrapolation</x:v>
      </x:c>
      <x:c r="E66" s="17" t="str">
        <x:v>P1</x:v>
      </x:c>
      <x:c r="F66" s="7" t="str">
        <x:v>Livrable original proposé : Planche sprites — Prison Guard.</x:v>
      </x:c>
      <x:c r="G66" s="7" t="str">
        <x:v>Produire une planche originale de Prison Guard pour le groupe 2D sur décor 3D. Séparer visage, arme et effets pour préserver les variantes d’état décrites dans la fiche de rôle.</x:v>
      </x:c>
      <x:c r="H66" s="7" t="str">
        <x:v>Le sprite ne définit pas la hitbox. Distinguer position au sol, hauteur visuelle et zone ciblable afin que les grandes silhouettes ne cachent pas les cibles voisines.</x:v>
      </x:c>
      <x:c r="I66" s="7" t="str">
        <x:v>Batarien armé dans la prison.</x:v>
      </x:c>
      <x:c r="J66" s="7" t="str">
        <x:v>Prévoir un état neutre, déplacement, préparation de l’action signature, impact reçu, mise à terre et retour en contrôle pour Prison Guard. Éviter la duplication miroir des signes asymétriques.</x:v>
      </x:c>
      <x:c r="K66" s="7" t="str">
        <x:v>Sans bande sonore embarquée dans la planche ; émettre uniquement des événements nommés vers le système audio pour éviter les doublons.</x:v>
      </x:c>
      <x:c r="L66" s="7" t="str">
        <x:v>Prévu : fiche de données me2/sprites/enm-prison-guard ; rattacher les ressources et états cités à cet identifiant. Aucun fichier de jeu créé par ce catalogue.</x:v>
      </x:c>
      <x:c r="M66" s="7" t="str"/>
      <x:c r="N66" s="7" t="str">
        <x:v>À l’échelle de jeu, Prison Guard est identifiable en silhouette ; pivot aux pieds, masque de profondeur et huit orientations proposés restent stables devant les couverts.</x:v>
      </x:c>
      <x:c r="O66" s="7" t="str">
        <x:v>ME2-ENM-PRISON-GUARD</x:v>
      </x:c>
      <x:c r="P66" s="7" t="str">
        <x:v>Adaptation originale — spécification de production</x:v>
      </x:c>
      <x:c r="Q66" s="7" t="str"/>
      <x:c r="R66" s="7" t="str"/>
      <x:c r="S66" s="7" t="str">
        <x:v>Spécification à réaliser. Les champs adaptation, gameplay, visual, animation, audio et implementation décrivent le fan game ; ils ne donnent pas des caractéristiques officielles de l’œuvre.</x:v>
      </x:c>
    </x:row>
  </x:sheetData>
  <x:conditionalFormatting sqref="D7:D66">
    <x:cfRule type="cellIs" dxfId="80" priority="1" operator="equal">
      <x:formula>"À vérifier"</x:formula>
    </x:cfRule>
    <x:cfRule type="cellIs" dxfId="81" priority="2" operator="equal">
      <x:formula>"Extrapolation"</x:formula>
    </x:cfRule>
  </x:conditionalFormatting>
  <x:conditionalFormatting sqref="C7:C66">
    <x:cfRule type="cellIs" dxfId="82" priority="3" operator="equal">
      <x:formula>"Validé"</x:formula>
    </x:cfRule>
  </x:conditionalFormatting>
  <x:conditionalFormatting sqref="E7:E66">
    <x:cfRule type="cellIs" dxfId="83" priority="4" operator="equal">
      <x:formula>"P0"</x:formula>
    </x:cfRule>
  </x:conditionalFormatting>
  <x:dataValidations count="3">
    <x:dataValidation type="list" sqref="C7:C66">
      <x:formula1>"Défini,Prototype,Intégré,Validé"</x:formula1>
    </x:dataValidation>
    <x:dataValidation type="list" sqref="D7:D66">
      <x:formula1>"Établi,À vérifier,Extrapolation,Coupé attesté,Concept abandonné,Allégation écartée"</x:formula1>
    </x:dataValidation>
    <x:dataValidation type="list" sqref="E7:E66">
      <x:formula1>"P0,P1,P2"</x:formula1>
    </x:dataValidation>
  </x:dataValidations>
  <x:pageMargins left="0.7" right="0.7" top="0.75" bottom="0.75" header="0.3" footer="0.3"/>
  <x:tableParts count="1">
    <x:tablePart xmlns:r="http://schemas.openxmlformats.org/officeDocument/2006/relationships" r:id="R960e5f2fcc8744b9"/>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2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ME2-VFX-SHIELD</x:v>
      </x:c>
      <x:c r="B7" s="9" t="str">
        <x:v>Rupture de bouclier</x:v>
      </x:c>
      <x:c r="C7" s="15" t="str">
        <x:v>Défini</x:v>
      </x:c>
      <x:c r="D7" s="16" t="str">
        <x:v>Extrapolation</x:v>
      </x:c>
      <x:c r="E7" s="16" t="str">
        <x:v>P1</x:v>
      </x:c>
      <x:c r="F7" s="9" t="str">
        <x:v>Livrable original proposé : Rupture de bouclier.</x:v>
      </x:c>
      <x:c r="G7" s="9" t="str">
        <x:v>Décharge bleue courte avec pictogramme ; pas de flash plein écran obligatoire.</x:v>
      </x:c>
      <x:c r="H7" s="9" t="str">
        <x:v>Décharge bleue courte avec pictogramme ; pas de flash plein écran obligatoire.</x:v>
      </x:c>
      <x:c r="I7" s="9" t="str">
        <x:v>Contour et éclats directionnels.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me2/vfx/shield ; rattacher les ressources et états cités à cet identifiant. Aucun fichier de jeu créé par ce catalogue.</x:v>
      </x:c>
      <x:c r="M7" s="9" t="str"/>
      <x:c r="N7" s="9" t="str">
        <x:v>Le livrable « Rupture de bouclier » possède une scène ou un scénario de contrôle ; ses règles proposées, ses conditions et ses retours visuels sont vérifiables séparément.</x:v>
      </x:c>
      <x:c r="O7" s="9" t="str">
        <x:v>ME2-POW-OVERLOAD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ME2-VFX-BARRIER</x:v>
      </x:c>
      <x:c r="B8" s="7" t="str">
        <x:v>Rupture de barrière</x:v>
      </x:c>
      <x:c r="C8" s="15" t="str">
        <x:v>Défini</x:v>
      </x:c>
      <x:c r="D8" s="17" t="str">
        <x:v>Extrapolation</x:v>
      </x:c>
      <x:c r="E8" s="17" t="str">
        <x:v>P1</x:v>
      </x:c>
      <x:c r="F8" s="7" t="str">
        <x:v>Livrable original proposé : Rupture de barrière.</x:v>
      </x:c>
      <x:c r="G8" s="7" t="str">
        <x:v>Effet violet en fragments souples distinct du bouclier technique ; texture et forme doublent la couleur.</x:v>
      </x:c>
      <x:c r="H8" s="7" t="str">
        <x:v>Effet violet en fragments souples distinct du bouclier technique ; texture et forme doublent la couleur.</x:v>
      </x:c>
      <x:c r="I8" s="7" t="str">
        <x:v>Arc brisé et icône 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me2/vfx/barrier ; rattacher les ressources et états cités à cet identifiant. Aucun fichier de jeu créé par ce catalogue.</x:v>
      </x:c>
      <x:c r="M8" s="7" t="str"/>
      <x:c r="N8" s="7" t="str">
        <x:v>Le livrable « Rupture de barrière » possède une scène ou un scénario de contrôle ; ses règles proposées, ses conditions et ses retours visuels sont vérifiables séparément.</x:v>
      </x:c>
      <x:c r="O8" s="7" t="str">
        <x:v>ME2-POW-WARP</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ME2-VFX-ARMOR</x:v>
      </x:c>
      <x:c r="B9" s="9" t="str">
        <x:v>Impact sur armure</x:v>
      </x:c>
      <x:c r="C9" s="15" t="str">
        <x:v>Défini</x:v>
      </x:c>
      <x:c r="D9" s="16" t="str">
        <x:v>Extrapolation</x:v>
      </x:c>
      <x:c r="E9" s="16" t="str">
        <x:v>P1</x:v>
      </x:c>
      <x:c r="F9" s="9" t="str">
        <x:v>Livrable original proposé : Impact sur armure.</x:v>
      </x:c>
      <x:c r="G9" s="9" t="str">
        <x:v>Étincelles localisées et marque de plaque ; la protection reste visible sans gore.</x:v>
      </x:c>
      <x:c r="H9" s="9" t="str">
        <x:v>Étincelles localisées et marque de plaque ; la protection reste visible sans gore.</x:v>
      </x:c>
      <x:c r="I9" s="9" t="str">
        <x:v>Petits impacts jaunes et plaque striée.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me2/vfx/armor ; rattacher les ressources et états cités à cet identifiant. Aucun fichier de jeu créé par ce catalogue.</x:v>
      </x:c>
      <x:c r="M9" s="9" t="str"/>
      <x:c r="N9" s="9" t="str">
        <x:v>Le livrable « Impact sur armure » possède une scène ou un scénario de contrôle ; ses règles proposées, ses conditions et ses retours visuels sont vérifiables séparément.</x:v>
      </x:c>
      <x:c r="O9" s="9" t="str">
        <x:v>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ME2-VFX-WARP-COMBO</x:v>
      </x:c>
      <x:c r="B10" s="7" t="str">
        <x:v>Détonation biotique proposée</x:v>
      </x:c>
      <x:c r="C10" s="15" t="str">
        <x:v>Défini</x:v>
      </x:c>
      <x:c r="D10" s="17" t="str">
        <x:v>Extrapolation</x:v>
      </x:c>
      <x:c r="E10" s="17" t="str">
        <x:v>P1</x:v>
      </x:c>
      <x:c r="F10" s="7" t="str">
        <x:v>Livrable original proposé : Détonation biotique proposée.</x:v>
      </x:c>
      <x:c r="G10" s="7" t="str">
        <x:v>Anneau borné et lecture de l’origine ; ne pas masquer le retour d’ennemis prêts à agir.</x:v>
      </x:c>
      <x:c r="H10" s="7" t="str">
        <x:v>Anneau borné et lecture de l’origine ; ne pas masquer le retour d’ennemis prêts à agir.</x:v>
      </x:c>
      <x:c r="I10" s="7" t="str">
        <x:v>Violet/bleu, centre sombre.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me2/vfx/warp-combo ; rattacher les ressources et états cités à cet identifiant. Aucun fichier de jeu créé par ce catalogue.</x:v>
      </x:c>
      <x:c r="M10" s="7" t="str"/>
      <x:c r="N10" s="7" t="str">
        <x:v>Le livrable « Détonation biotique proposée » possède une scène ou un scénario de contrôle ; ses règles proposées, ses conditions et ses retours visuels sont vérifiables séparément.</x:v>
      </x:c>
      <x:c r="O10" s="7" t="str">
        <x:v>ME2-POW-WARP, ME2-POW-PULL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ME2-VFX-CRYO</x:v>
      </x:c>
      <x:c r="B11" s="9" t="str">
        <x:v>Gel et dégel</x:v>
      </x:c>
      <x:c r="C11" s="15" t="str">
        <x:v>Défini</x:v>
      </x:c>
      <x:c r="D11" s="16" t="str">
        <x:v>Extrapolation</x:v>
      </x:c>
      <x:c r="E11" s="16" t="str">
        <x:v>P1</x:v>
      </x:c>
      <x:c r="F11" s="9" t="str">
        <x:v>Livrable original proposé : Gel et dégel.</x:v>
      </x:c>
      <x:c r="G11" s="9" t="str">
        <x:v>Givre progressif sur le contour, fissure à la fin ; bosses utilisent une variante de ralentissement.</x:v>
      </x:c>
      <x:c r="H11" s="9" t="str">
        <x:v>Givre progressif sur le contour, fissure à la fin ; bosses utilisent une variante de ralentissement.</x:v>
      </x:c>
      <x:c r="I11" s="9" t="str">
        <x:v>Blanc opaque en bord et cœur visible.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me2/vfx/cryo ; rattacher les ressources et états cités à cet identifiant. Aucun fichier de jeu créé par ce catalogue.</x:v>
      </x:c>
      <x:c r="M11" s="9" t="str"/>
      <x:c r="N11" s="9" t="str">
        <x:v>Le livrable « Gel et dégel » possède une scène ou un scénario de contrôle ; ses règles proposées, ses conditions et ses retours visuels sont vérifiables séparément.</x:v>
      </x:c>
      <x:c r="O11" s="9" t="str">
        <x:v>ME2-POW-CRYO</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ME2-VFX-FIRE</x:v>
      </x:c>
      <x:c r="B12" s="7" t="str">
        <x:v>Combustion persistante</x:v>
      </x:c>
      <x:c r="C12" s="15" t="str">
        <x:v>Défini</x:v>
      </x:c>
      <x:c r="D12" s="17" t="str">
        <x:v>Extrapolation</x:v>
      </x:c>
      <x:c r="E12" s="17" t="str">
        <x:v>P1</x:v>
      </x:c>
      <x:c r="F12" s="7" t="str">
        <x:v>Livrable original proposé : Combustion persistante.</x:v>
      </x:c>
      <x:c r="G12" s="7" t="str">
        <x:v>Flammes limitées au contour et icône de durée ; pas de confusion avec une mort de personnage.</x:v>
      </x:c>
      <x:c r="H12" s="7" t="str">
        <x:v>Flammes limitées au contour et icône de durée ; pas de confusion avec une mort de personnage.</x:v>
      </x:c>
      <x:c r="I12" s="7" t="str">
        <x:v>Orange et braises petites.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me2/vfx/fire ; rattacher les ressources et états cités à cet identifiant. Aucun fichier de jeu créé par ce catalogue.</x:v>
      </x:c>
      <x:c r="M12" s="7" t="str"/>
      <x:c r="N12" s="7" t="str">
        <x:v>Le livrable « Combustion persistante » possède une scène ou un scénario de contrôle ; ses règles proposées, ses conditions et ses retours visuels sont vérifiables séparément.</x:v>
      </x:c>
      <x:c r="O12" s="7" t="str">
        <x:v>ME2-POW-INCINERATE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ME2-VFX-CLOAK</x:v>
      </x:c>
      <x:c r="B13" s="9" t="str">
        <x:v>Camouflage accessible</x:v>
      </x:c>
      <x:c r="C13" s="15" t="str">
        <x:v>Défini</x:v>
      </x:c>
      <x:c r="D13" s="16" t="str">
        <x:v>Extrapolation</x:v>
      </x:c>
      <x:c r="E13" s="16" t="str">
        <x:v>P1</x:v>
      </x:c>
      <x:c r="F13" s="9" t="str">
        <x:v>Livrable original proposé : Camouflage accessible.</x:v>
      </x:c>
      <x:c r="G13" s="9" t="str">
        <x:v>Réfraction accompagnée d’un bord réglable pour le joueur ; silhouette ennemie perceptible par indice de mouvement.</x:v>
      </x:c>
      <x:c r="H13" s="9" t="str">
        <x:v>Réfraction accompagnée d’un bord réglable pour le joueur ; silhouette ennemie perceptible par indice de mouvement.</x:v>
      </x:c>
      <x:c r="I13" s="9" t="str">
        <x:v>Contour discontinu et distorsion légère.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me2/vfx/cloak ; rattacher les ressources et états cités à cet identifiant. Aucun fichier de jeu créé par ce catalogue.</x:v>
      </x:c>
      <x:c r="M13" s="9" t="str"/>
      <x:c r="N13" s="9" t="str">
        <x:v>Le livrable « Camouflage accessible » possède une scène ou un scénario de contrôle ; ses règles proposées, ses conditions et ses retours visuels sont vérifiables séparément.</x:v>
      </x:c>
      <x:c r="O13" s="9" t="str">
        <x:v>ME2-POW-TACTICAL, ME2-ENM-GETH-HUNTER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ME2-VFX-SEEKER</x:v>
      </x:c>
      <x:c r="B14" s="7" t="str">
        <x:v>Essaim de Seeker</x:v>
      </x:c>
      <x:c r="C14" s="15" t="str">
        <x:v>Défini</x:v>
      </x:c>
      <x:c r="D14" s="17" t="str">
        <x:v>Extrapolation</x:v>
      </x:c>
      <x:c r="E14" s="17" t="str">
        <x:v>P1</x:v>
      </x:c>
      <x:c r="F14" s="7" t="str">
        <x:v>Livrable original proposé : Essaim de Seeker.</x:v>
      </x:c>
      <x:c r="G14" s="7" t="str">
        <x:v>Nuage à densité plafonnée et masque de visibilité ; dôme protecteur garde toujours son bord visible.</x:v>
      </x:c>
      <x:c r="H14" s="7" t="str">
        <x:v>Nuage à densité plafonnée et masque de visibilité ; dôme protecteur garde toujours son bord visible.</x:v>
      </x:c>
      <x:c r="I14" s="7" t="str">
        <x:v>Insectes en particules regroupées.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me2/vfx/seeker ; rattacher les ressources et états cités à cet identifiant. Aucun fichier de jeu créé par ce catalogue.</x:v>
      </x:c>
      <x:c r="M14" s="7" t="str"/>
      <x:c r="N14" s="7" t="str">
        <x:v>Le livrable « Essaim de Seeker » possède une scène ou un scénario de contrôle ; ses règles proposées, ses conditions et ses retours visuels sont vérifiables séparément.</x:v>
      </x:c>
      <x:c r="O14" s="7" t="str">
        <x:v>ME2-MQ-LONG-WALK</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ME2-VFX-HAESTROM</x:v>
      </x:c>
      <x:c r="B15" s="9" t="str">
        <x:v>Radiation solaire</x:v>
      </x:c>
      <x:c r="C15" s="15" t="str">
        <x:v>Défini</x:v>
      </x:c>
      <x:c r="D15" s="16" t="str">
        <x:v>Extrapolation</x:v>
      </x:c>
      <x:c r="E15" s="16" t="str">
        <x:v>P1</x:v>
      </x:c>
      <x:c r="F15" s="9" t="str">
        <x:v>Livrable original proposé : Radiation solaire.</x:v>
      </x:c>
      <x:c r="G15" s="9" t="str">
        <x:v>Liseré chaud sur personnage exposé et icône de bouclier en baisse ; ombre reste une forme stable.</x:v>
      </x:c>
      <x:c r="H15" s="9" t="str">
        <x:v>Liseré chaud sur personnage exposé et icône de bouclier en baisse ; ombre reste une forme stable.</x:v>
      </x:c>
      <x:c r="I15" s="9" t="str">
        <x:v>Orange discret et pictogramme soleil.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me2/vfx/haestrom ; rattacher les ressources et états cités à cet identifiant. Aucun fichier de jeu créé par ce catalogue.</x:v>
      </x:c>
      <x:c r="M15" s="9" t="str"/>
      <x:c r="N15" s="9" t="str">
        <x:v>Le livrable « Radiation solaire » possède une scène ou un scénario de contrôle ; ses règles proposées, ses conditions et ses retours visuels sont vérifiables séparément.</x:v>
      </x:c>
      <x:c r="O15" s="9" t="str">
        <x:v>ME2-WRL-HAESTROM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ME2-VFX-HAGALAZ</x:v>
      </x:c>
      <x:c r="B16" s="7" t="str">
        <x:v>Éclairs d’Hagalaz</x:v>
      </x:c>
      <x:c r="C16" s="15" t="str">
        <x:v>Défini</x:v>
      </x:c>
      <x:c r="D16" s="17" t="str">
        <x:v>Extrapolation</x:v>
      </x:c>
      <x:c r="E16" s="17" t="str">
        <x:v>P1</x:v>
      </x:c>
      <x:c r="F16" s="7" t="str">
        <x:v>Livrable original proposé : Éclairs d’Hagalaz.</x:v>
      </x:c>
      <x:c r="G16" s="7" t="str">
        <x:v>Impulsions météo séparées des attaques ; mode sans flash garde les repères de condensateurs.</x:v>
      </x:c>
      <x:c r="H16" s="7" t="str">
        <x:v>Impulsions météo séparées des attaques ; mode sans flash garde les repères de condensateurs.</x:v>
      </x:c>
      <x:c r="I16" s="7" t="str">
        <x:v>Éclair en arrière-plan et halo de charge.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me2/vfx/hagalaz ; rattacher les ressources et états cités à cet identifiant. Aucun fichier de jeu créé par ce catalogue.</x:v>
      </x:c>
      <x:c r="M16" s="7" t="str"/>
      <x:c r="N16" s="7" t="str">
        <x:v>Le livrable « Éclairs d’Hagalaz » possède une scène ou un scénario de contrôle ; ses règles proposées, ses conditions et ses retours visuels sont vérifiables séparément.</x:v>
      </x:c>
      <x:c r="O16" s="7" t="str">
        <x:v>ME2-WRL-HAGALAZ</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ME2-VFX-OVERLORD</x:v>
      </x:c>
      <x:c r="B17" s="9" t="str">
        <x:v>Interférence verte Overlord</x:v>
      </x:c>
      <x:c r="C17" s="15" t="str">
        <x:v>Défini</x:v>
      </x:c>
      <x:c r="D17" s="16" t="str">
        <x:v>Extrapolation</x:v>
      </x:c>
      <x:c r="E17" s="16" t="str">
        <x:v>P1</x:v>
      </x:c>
      <x:c r="F17" s="9" t="str">
        <x:v>Livrable original proposé : Interférence verte Overlord.</x:v>
      </x:c>
      <x:c r="G17" s="9" t="str">
        <x:v>Déformation d’écran limitée à certaines surfaces ; informations essentielles restent nettes.</x:v>
      </x:c>
      <x:c r="H17" s="9" t="str">
        <x:v>Déformation d’écran limitée à certaines surfaces ; informations essentielles restent nettes.</x:v>
      </x:c>
      <x:c r="I17" s="9" t="str">
        <x:v>Grille et visage morcelé.</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me2/vfx/overlord ; rattacher les ressources et états cités à cet identifiant. Aucun fichier de jeu créé par ce catalogue.</x:v>
      </x:c>
      <x:c r="M17" s="9" t="str"/>
      <x:c r="N17" s="9" t="str">
        <x:v>Le livrable « Interférence verte Overlord » possède une scène ou un scénario de contrôle ; ses règles proposées, ses conditions et ses retours visuels sont vérifiables séparément.</x:v>
      </x:c>
      <x:c r="O17" s="9" t="str">
        <x:v>ME2-ZON-ATLAS-VR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ME2-VFX-CAIN</x:v>
      </x:c>
      <x:c r="B18" s="7" t="str">
        <x:v>Explosion du Cain</x:v>
      </x:c>
      <x:c r="C18" s="15" t="str">
        <x:v>Défini</x:v>
      </x:c>
      <x:c r="D18" s="17" t="str">
        <x:v>Extrapolation</x:v>
      </x:c>
      <x:c r="E18" s="17" t="str">
        <x:v>P1</x:v>
      </x:c>
      <x:c r="F18" s="7" t="str">
        <x:v>Livrable original proposé : Explosion du Cain.</x:v>
      </x:c>
      <x:c r="G18" s="7" t="str">
        <x:v>Zone prévisualisée puis choc en couches ; intensité et secousse réglables.</x:v>
      </x:c>
      <x:c r="H18" s="7" t="str">
        <x:v>Zone prévisualisée puis choc en couches ; intensité et secousse réglables.</x:v>
      </x:c>
      <x:c r="I18" s="7" t="str">
        <x:v>Onde blanche/orange avec noyau atténué.</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me2/vfx/cain ; rattacher les ressources et états cités à cet identifiant. Aucun fichier de jeu créé par ce catalogue.</x:v>
      </x:c>
      <x:c r="M18" s="7" t="str"/>
      <x:c r="N18" s="7" t="str">
        <x:v>Le livrable « Explosion du Cain » possède une scène ou un scénario de contrôle ; ses règles proposées, ses conditions et ses retours visuels sont vérifiables séparément.</x:v>
      </x:c>
      <x:c r="O18" s="7" t="str">
        <x:v>ME2-WPN-CAIN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ME2-VFX-BLACKSTORM</x:v>
      </x:c>
      <x:c r="B19" s="9" t="str">
        <x:v>Implosion Blackstorm</x:v>
      </x:c>
      <x:c r="C19" s="15" t="str">
        <x:v>Défini</x:v>
      </x:c>
      <x:c r="D19" s="16" t="str">
        <x:v>Extrapolation</x:v>
      </x:c>
      <x:c r="E19" s="16" t="str">
        <x:v>P1</x:v>
      </x:c>
      <x:c r="F19" s="9" t="str">
        <x:v>Livrable original proposé : Implosion Blackstorm.</x:v>
      </x:c>
      <x:c r="G19" s="9" t="str">
        <x:v>Noyau lent et flèches d’attraction ; la fin est annoncée par anneau, pas seulement par couleur.</x:v>
      </x:c>
      <x:c r="H19" s="9" t="str">
        <x:v>Noyau lent et flèches d’attraction ; la fin est annoncée par anneau, pas seulement par couleur.</x:v>
      </x:c>
      <x:c r="I19" s="9" t="str">
        <x:v>Noir-violet et déformation locale.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me2/vfx/blackstorm ; rattacher les ressources et états cités à cet identifiant. Aucun fichier de jeu créé par ce catalogue.</x:v>
      </x:c>
      <x:c r="M19" s="9" t="str"/>
      <x:c r="N19" s="9" t="str">
        <x:v>Le livrable « Implosion Blackstorm » possède une scène ou un scénario de contrôle ; ses règles proposées, ses conditions et ses retours visuels sont vérifiables séparément.</x:v>
      </x:c>
      <x:c r="O19" s="9" t="str">
        <x:v>ME2-WPN-BLACKSTORM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ME2-VFX-ARRIVAL</x:v>
      </x:c>
      <x:c r="B20" s="7" t="str">
        <x:v>Destruction du relais</x:v>
      </x:c>
      <x:c r="C20" s="15" t="str">
        <x:v>Défini</x:v>
      </x:c>
      <x:c r="D20" s="17" t="str">
        <x:v>Extrapolation</x:v>
      </x:c>
      <x:c r="E20" s="17" t="str">
        <x:v>P1</x:v>
      </x:c>
      <x:c r="F20" s="7" t="str">
        <x:v>Livrable original proposé : Destruction du relais.</x:v>
      </x:c>
      <x:c r="G20" s="7" t="str">
        <x:v>Effet spatial de fin de scène indépendant des systèmes de dégâts de l’arène.</x:v>
      </x:c>
      <x:c r="H20" s="7" t="str">
        <x:v>Effet spatial de fin de scène indépendant des systèmes de dégâts de l’arène.</x:v>
      </x:c>
      <x:c r="I20" s="7" t="str">
        <x:v>Anneau de lumière et coupure au noir graduée.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me2/vfx/arrival ; rattacher les ressources et états cités à cet identifiant. Aucun fichier de jeu créé par ce catalogue.</x:v>
      </x:c>
      <x:c r="M20" s="7" t="str"/>
      <x:c r="N20" s="7" t="str">
        <x:v>Le livrable « Destruction du relais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ME2-VFX-LOYALTY</x:v>
      </x:c>
      <x:c r="B21" s="9" t="str">
        <x:v>Gain ou perte de loyauté</x:v>
      </x:c>
      <x:c r="C21" s="15" t="str">
        <x:v>Défini</x:v>
      </x:c>
      <x:c r="D21" s="16" t="str">
        <x:v>Extrapolation</x:v>
      </x:c>
      <x:c r="E21" s="16" t="str">
        <x:v>P1</x:v>
      </x:c>
      <x:c r="F21" s="9" t="str">
        <x:v>Livrable original proposé : Gain ou perte de loyauté.</x:v>
      </x:c>
      <x:c r="G21" s="9" t="str">
        <x:v>Notification discrète avec nom et conséquence système ; pas de pluie de particules durant une scène sensible.</x:v>
      </x:c>
      <x:c r="H21" s="9" t="str">
        <x:v>Notification discrète avec nom et conséquence système ; pas de pluie de particules durant une scène sensible.</x:v>
      </x:c>
      <x:c r="I21" s="9" t="str">
        <x:v>Portrait, mot et trait de statut.</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me2/vfx/loyalty ; rattacher les ressources et états cités à cet identifiant. Aucun fichier de jeu créé par ce catalogue.</x:v>
      </x:c>
      <x:c r="M21" s="9" t="str"/>
      <x:c r="N21" s="9" t="str">
        <x:v>Le livrable « Gain ou perte de loyauté » possède une scène ou un scénario de contrôle ; ses règles proposées, ses conditions et ses retours visuels sont vérifiables séparément.</x:v>
      </x:c>
      <x:c r="O21" s="9" t="str">
        <x:v>ME2-SYS-LOYALTY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264cb79a3b27401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2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ME2-AUD-OMEGA</x:v>
      </x:c>
      <x:c r="B7" s="9" t="str">
        <x:v>Ambiance d’Omega</x:v>
      </x:c>
      <x:c r="C7" s="15" t="str">
        <x:v>Défini</x:v>
      </x:c>
      <x:c r="D7" s="16" t="str">
        <x:v>Extrapolation</x:v>
      </x:c>
      <x:c r="E7" s="16" t="str">
        <x:v>P1</x:v>
      </x:c>
      <x:c r="F7" s="9" t="str">
        <x:v>Livrable original proposé : Ambiance d’Omega.</x:v>
      </x:c>
      <x:c r="G7" s="9" t="str">
        <x:v>Composer nappes industrielles, ventilation et club lointain ; ducking sur parole, variante calme pour accès au journal.</x:v>
      </x:c>
      <x:c r="H7" s="9" t="str">
        <x:v>Composer nappes industrielles, ventilation et club lointain ; ducking sur parole, variante calme pour accès au journal.</x:v>
      </x:c>
      <x:c r="I7" s="9" t="str">
        <x:v>Repères sonores de portes et foule de provenances variées.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me2/audio/omega ; rattacher les ressources et états cités à cet identifiant. Aucun fichier de jeu créé par ce catalogue.</x:v>
      </x:c>
      <x:c r="M7" s="9" t="str"/>
      <x:c r="N7" s="9" t="str">
        <x:v>Le livrable « Ambiance d’Omega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ME2-AUD-ILLIUM</x:v>
      </x:c>
      <x:c r="B8" s="7" t="str">
        <x:v>Ambiance de Nos Astra</x:v>
      </x:c>
      <x:c r="C8" s="15" t="str">
        <x:v>Défini</x:v>
      </x:c>
      <x:c r="D8" s="17" t="str">
        <x:v>Extrapolation</x:v>
      </x:c>
      <x:c r="E8" s="17" t="str">
        <x:v>P1</x:v>
      </x:c>
      <x:c r="F8" s="7" t="str">
        <x:v>Livrable original proposé : Ambiance de Nos Astra.</x:v>
      </x:c>
      <x:c r="G8" s="7" t="str">
        <x:v>Transports aériens, talons et fontaines ; annonces originales brèves plutôt qu’une radio envahissante.</x:v>
      </x:c>
      <x:c r="H8" s="7" t="str">
        <x:v>Transports aériens, talons et fontaines ; annonces originales brèves plutôt qu’une radio envahissante.</x:v>
      </x:c>
      <x:c r="I8" s="7" t="str">
        <x:v>Espace aérien ample et zone commerciale nette.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me2/audio/illium ; rattacher les ressources et états cités à cet identifiant. Aucun fichier de jeu créé par ce catalogue.</x:v>
      </x:c>
      <x:c r="M8" s="7" t="str"/>
      <x:c r="N8" s="7" t="str">
        <x:v>Le livrable « Ambiance de Nos Astra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ME2-AUD-TUCHANKA</x:v>
      </x:c>
      <x:c r="B9" s="9" t="str">
        <x:v>Ambiance de Tuchanka</x:v>
      </x:c>
      <x:c r="C9" s="15" t="str">
        <x:v>Défini</x:v>
      </x:c>
      <x:c r="D9" s="16" t="str">
        <x:v>Extrapolation</x:v>
      </x:c>
      <x:c r="E9" s="16" t="str">
        <x:v>P1</x:v>
      </x:c>
      <x:c r="F9" s="9" t="str">
        <x:v>Livrable original proposé : Ambiance de Tuchanka.</x:v>
      </x:c>
      <x:c r="G9" s="9" t="str">
        <x:v>Vent sec, métal et marteaux distants ; le rite reçoit une percussion originale distincte de l’hôpital.</x:v>
      </x:c>
      <x:c r="H9" s="9" t="str">
        <x:v>Vent sec, métal et marteaux distants ; le rite reçoit une percussion originale distincte de l’hôpital.</x:v>
      </x:c>
      <x:c r="I9" s="9" t="str">
        <x:v>Spatialisation par cour et couloir.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me2/audio/tuchanka ; rattacher les ressources et états cités à cet identifiant. Aucun fichier de jeu créé par ce catalogue.</x:v>
      </x:c>
      <x:c r="M9" s="9" t="str"/>
      <x:c r="N9" s="9" t="str">
        <x:v>Le livrable « Ambiance de Tuchanka » possède une scène ou un scénario de contrôle ; ses règles proposées, ses conditions et ses retours visuels sont vérifiables séparément.</x:v>
      </x:c>
      <x:c r="O9" s="9" t="str">
        <x:v>ME2-WRL-TUCHANKA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ME2-AUD-NORMANDY</x:v>
      </x:c>
      <x:c r="B10" s="7" t="str">
        <x:v>Vie du Normandy</x:v>
      </x:c>
      <x:c r="C10" s="15" t="str">
        <x:v>Défini</x:v>
      </x:c>
      <x:c r="D10" s="17" t="str">
        <x:v>Extrapolation</x:v>
      </x:c>
      <x:c r="E10" s="17" t="str">
        <x:v>P1</x:v>
      </x:c>
      <x:c r="F10" s="7" t="str">
        <x:v>Livrable original proposé : Vie du Normandy.</x:v>
      </x:c>
      <x:c r="G10" s="7" t="str">
        <x:v>Moteur grave, électroniques discrètes et proximité des voix ; changer l’ambiance après l’enlèvement.</x:v>
      </x:c>
      <x:c r="H10" s="7" t="str">
        <x:v>Moteur grave, électroniques discrètes et proximité des voix ; changer l’ambiance après l’enlèvement.</x:v>
      </x:c>
      <x:c r="I10" s="7" t="str">
        <x:v>Résonance différente entre CIC, cabine et ingénierie.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me2/audio/normandy ; rattacher les ressources et états cités à cet identifiant. Aucun fichier de jeu créé par ce catalogue.</x:v>
      </x:c>
      <x:c r="M10" s="7" t="str"/>
      <x:c r="N10" s="7" t="str">
        <x:v>Le livrable « Vie du Normandy » possède une scène ou un scénario de contrôle ; ses règles proposées, ses conditions et ses retours visuels sont vérifiables séparément.</x:v>
      </x:c>
      <x:c r="O10" s="7" t="str">
        <x:v>ME2-ZON-NORMANDY-CIC, ME2-MQ-ABDUCTION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ME2-AUD-QUARIAN</x:v>
      </x:c>
      <x:c r="B11" s="9" t="str">
        <x:v>Ambiance de la Flotte</x:v>
      </x:c>
      <x:c r="C11" s="15" t="str">
        <x:v>Défini</x:v>
      </x:c>
      <x:c r="D11" s="16" t="str">
        <x:v>Extrapolation</x:v>
      </x:c>
      <x:c r="E11" s="16" t="str">
        <x:v>P1</x:v>
      </x:c>
      <x:c r="F11" s="9" t="str">
        <x:v>Livrable original proposé : Ambiance de la Flotte.</x:v>
      </x:c>
      <x:c r="G11" s="9" t="str">
        <x:v>Ventilation dense et filtres de masque ; sous-titres identifiant les amiraux même hors champ.</x:v>
      </x:c>
      <x:c r="H11" s="9" t="str">
        <x:v>Ventilation dense et filtres de masque ; sous-titres identifiant les amiraux même hors champ.</x:v>
      </x:c>
      <x:c r="I11" s="9" t="str">
        <x:v>Bips de vaisseau et voix filtrées avec intelligibilité prioritaire.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me2/audio/quarian ; rattacher les ressources et états cités à cet identifiant. Aucun fichier de jeu créé par ce catalogue.</x:v>
      </x:c>
      <x:c r="M11" s="9" t="str"/>
      <x:c r="N11" s="9" t="str">
        <x:v>Le livrable « Ambiance de la Flotte » possède une scène ou un scénario de contrôle ; ses règles proposées, ses conditions et ses retours visuels sont vérifiables séparément.</x:v>
      </x:c>
      <x:c r="O11" s="9" t="str">
        <x:v>ME2-MQ-LOY-TALI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ME2-AUD-COLLECTOR</x:v>
      </x:c>
      <x:c r="B12" s="7" t="str">
        <x:v>Ambiance Collecteur</x:v>
      </x:c>
      <x:c r="C12" s="15" t="str">
        <x:v>Défini</x:v>
      </x:c>
      <x:c r="D12" s="17" t="str">
        <x:v>Extrapolation</x:v>
      </x:c>
      <x:c r="E12" s="17" t="str">
        <x:v>P1</x:v>
      </x:c>
      <x:c r="F12" s="7" t="str">
        <x:v>Livrable original proposé : Ambiance Collecteur.</x:v>
      </x:c>
      <x:c r="G12" s="7" t="str">
        <x:v>Organique sec, ailes et grondements ; séparer les appels de renfort des textures de décor.</x:v>
      </x:c>
      <x:c r="H12" s="7" t="str">
        <x:v>Organique sec, ailes et grondements ; séparer les appels de renfort des textures de décor.</x:v>
      </x:c>
      <x:c r="I12" s="7" t="str">
        <x:v>Sons de chitine et bruit spatial étouffé.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me2/audio/collector ; rattacher les ressources et états cités à cet identifiant. Aucun fichier de jeu créé par ce catalogue.</x:v>
      </x:c>
      <x:c r="M12" s="7" t="str"/>
      <x:c r="N12" s="7" t="str">
        <x:v>Le livrable « Ambiance Collecteur » possède une scène ou un scénario de contrôle ; ses règles proposées, ses conditions et ses retours visuels sont vérifiables séparément.</x:v>
      </x:c>
      <x:c r="O12" s="7" t="str">
        <x:v>ME2-WRL-COLLECTOR-BASE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ME2-AUD-HARBINGER</x:v>
      </x:c>
      <x:c r="B13" s="9" t="str">
        <x:v>Signature de possession</x:v>
      </x:c>
      <x:c r="C13" s="15" t="str">
        <x:v>Défini</x:v>
      </x:c>
      <x:c r="D13" s="16" t="str">
        <x:v>Extrapolation</x:v>
      </x:c>
      <x:c r="E13" s="16" t="str">
        <x:v>P1</x:v>
      </x:c>
      <x:c r="F13" s="9" t="str">
        <x:v>Livrable original proposé : Signature de possession.</x:v>
      </x:c>
      <x:c r="G13" s="9" t="str">
        <x:v>Créer une signature vocale originale et un signal de transfert ; aucune imitation d’acteur ni réplique extraite.</x:v>
      </x:c>
      <x:c r="H13" s="9" t="str">
        <x:v>Créer une signature vocale originale et un signal de transfert ; aucune imitation d’acteur ni réplique extraite.</x:v>
      </x:c>
      <x:c r="I13" s="9" t="str">
        <x:v>Grave traité, attaque lumineuse sous-titrée.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me2/audio/harbinger ; rattacher les ressources et états cités à cet identifiant. Aucun fichier de jeu créé par ce catalogue.</x:v>
      </x:c>
      <x:c r="M13" s="9" t="str"/>
      <x:c r="N13" s="9" t="str">
        <x:v>Le livrable « Signature de possession » possède une scène ou un scénario de contrôle ; ses règles proposées, ses conditions et ses retours visuels sont vérifiables séparément.</x:v>
      </x:c>
      <x:c r="O13" s="9" t="str">
        <x:v>ME2-ENM-HARBINGER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ME2-AUD-PRAETORIAN</x:v>
      </x:c>
      <x:c r="B14" s="7" t="str">
        <x:v>Signal du Praetorian</x:v>
      </x:c>
      <x:c r="C14" s="15" t="str">
        <x:v>Défini</x:v>
      </x:c>
      <x:c r="D14" s="17" t="str">
        <x:v>Extrapolation</x:v>
      </x:c>
      <x:c r="E14" s="17" t="str">
        <x:v>P1</x:v>
      </x:c>
      <x:c r="F14" s="7" t="str">
        <x:v>Livrable original proposé : Signal du Praetorian.</x:v>
      </x:c>
      <x:c r="G14" s="7" t="str">
        <x:v>Montée de fréquence avant atterrissage, pulsation de rayon ; option de texte tactique pour joueurs sans son.</x:v>
      </x:c>
      <x:c r="H14" s="7" t="str">
        <x:v>Montée de fréquence avant atterrissage, pulsation de rayon ; option de texte tactique pour joueurs sans son.</x:v>
      </x:c>
      <x:c r="I14" s="7" t="str">
        <x:v>Deux motifs incompatibles entre 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me2/audio/praetorian ; rattacher les ressources et états cités à cet identifiant. Aucun fichier de jeu créé par ce catalogue.</x:v>
      </x:c>
      <x:c r="M14" s="7" t="str"/>
      <x:c r="N14" s="7" t="str">
        <x:v>Le livrable « Signal du Praetorian » possède une scène ou un scénario de contrôle ; ses règles proposées, ses conditions et ses retours visuels sont vérifiables séparément.</x:v>
      </x:c>
      <x:c r="O14" s="7" t="str">
        <x:v>ME2-ENM-PRAETORIAN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ME2-AUD-GUNS</x:v>
      </x:c>
      <x:c r="B15" s="9" t="str">
        <x:v>Familles d’armes ME2</x:v>
      </x:c>
      <x:c r="C15" s="15" t="str">
        <x:v>Défini</x:v>
      </x:c>
      <x:c r="D15" s="16" t="str">
        <x:v>Extrapolation</x:v>
      </x:c>
      <x:c r="E15" s="16" t="str">
        <x:v>P1</x:v>
      </x:c>
      <x:c r="F15" s="9" t="str">
        <x:v>Livrable original proposé : Familles d’armes ME2.</x:v>
      </x:c>
      <x:c r="G15" s="9" t="str">
        <x:v>Bibliothèque originale distinguant pistolet, rafale, pompe, sniper et arme lourde ; limiter les collisions de voix.</x:v>
      </x:c>
      <x:c r="H15" s="9" t="str">
        <x:v>Bibliothèque originale distinguant pistolet, rafale, pompe, sniper et arme lourde ; limiter les collisions de voix.</x:v>
      </x:c>
      <x:c r="I15" s="9" t="str">
        <x:v>Matériaux métalliques pour humain, organiques pour Collecteur.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me2/audio/guns ; rattacher les ressources et états cités à cet identifiant. Aucun fichier de jeu créé par ce catalogue.</x:v>
      </x:c>
      <x:c r="M15" s="9" t="str"/>
      <x:c r="N15" s="9" t="str">
        <x:v>Le livrable « Familles d’armes ME2 » possède une scène ou un scénario de contrôle ; ses règles proposées, ses conditions et ses retours visuels sont vérifiables séparément.</x:v>
      </x:c>
      <x:c r="O15" s="9" t="str">
        <x:v>ME2-WPN-AVENGER, ME2-WPN-PARTICLE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ME2-AUD-HAMMERHEAD</x:v>
      </x:c>
      <x:c r="B16" s="7" t="str">
        <x:v>Hammerhead : moteurs et récolte</x:v>
      </x:c>
      <x:c r="C16" s="15" t="str">
        <x:v>Défini</x:v>
      </x:c>
      <x:c r="D16" s="17" t="str">
        <x:v>Extrapolation</x:v>
      </x:c>
      <x:c r="E16" s="17" t="str">
        <x:v>P1</x:v>
      </x:c>
      <x:c r="F16" s="7" t="str">
        <x:v>Livrable original proposé : Hammerhead : moteurs et récolte.</x:v>
      </x:c>
      <x:c r="G16" s="7" t="str">
        <x:v>Jets différenciés montée/sustentation, boucle de gel de moteur et son de capture de sonde.</x:v>
      </x:c>
      <x:c r="H16" s="7" t="str">
        <x:v>Jets différenciés montée/sustentation, boucle de gel de moteur et son de capture de sonde.</x:v>
      </x:c>
      <x:c r="I16" s="7" t="str">
        <x:v>Avertissement thermique également écrit.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me2/audio/hammerhead ; rattacher les ressources et états cités à cet identifiant. Aucun fichier de jeu créé par ce catalogue.</x:v>
      </x:c>
      <x:c r="M16" s="7" t="str"/>
      <x:c r="N16" s="7" t="str">
        <x:v>Le livrable « Hammerhead : moteurs et récolte » possède une scène ou un scénario de contrôle ; ses règles proposées, ses conditions et ses retours visuels sont vérifiables séparément.</x:v>
      </x:c>
      <x:c r="O16" s="7" t="str">
        <x:v>ME2-EQP-HAMMERHEAD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ME2-AUD-SHADOW</x:v>
      </x:c>
      <x:c r="B17" s="9" t="str">
        <x:v>Musique originale du cambriolage au Courtier</x:v>
      </x:c>
      <x:c r="C17" s="15" t="str">
        <x:v>Défini</x:v>
      </x:c>
      <x:c r="D17" s="16" t="str">
        <x:v>Extrapolation</x:v>
      </x:c>
      <x:c r="E17" s="16" t="str">
        <x:v>P1</x:v>
      </x:c>
      <x:c r="F17" s="9" t="str">
        <x:v>Livrable original proposé : Musique originale du cambriolage au Courtier.</x:v>
      </x:c>
      <x:c r="G17" s="9" t="str">
        <x:v>Composer deux arcs séparés : enquête tendue puis tempête et duel ; transitions selon états de mission.</x:v>
      </x:c>
      <x:c r="H17" s="9" t="str">
        <x:v>Composer deux arcs séparés : enquête tendue puis tempête et duel ; transitions selon états de mission.</x:v>
      </x:c>
      <x:c r="I17" s="9" t="str">
        <x:v>Pulsations discrètes et percussions métalliques.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me2/audio/shadow ; rattacher les ressources et états cités à cet identifiant. Aucun fichier de jeu créé par ce catalogue.</x:v>
      </x:c>
      <x:c r="M17" s="9" t="str"/>
      <x:c r="N17" s="9" t="str">
        <x:v>Le livrable « Musique originale du cambriolage au Courtier » possède une scène ou un scénario de contrôle ; ses règles proposées, ses conditions et ses retours visuels sont vérifiables séparément.</x:v>
      </x:c>
      <x:c r="O17" s="9" t="str">
        <x:v>ME2-MQ-SHADOW</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ME2-AUD-KASUMI</x:v>
      </x:c>
      <x:c r="B18" s="7" t="str">
        <x:v>Musique originale de l’infiltration</x:v>
      </x:c>
      <x:c r="C18" s="15" t="str">
        <x:v>Défini</x:v>
      </x:c>
      <x:c r="D18" s="17" t="str">
        <x:v>Extrapolation</x:v>
      </x:c>
      <x:c r="E18" s="17" t="str">
        <x:v>P1</x:v>
      </x:c>
      <x:c r="F18" s="7" t="str">
        <x:v>Livrable original proposé : Musique originale de l’infiltration.</x:v>
      </x:c>
      <x:c r="G18" s="7" t="str">
        <x:v>Motif social posé puis variation rythmique de fuite ; pas de morceau officiel copié.</x:v>
      </x:c>
      <x:c r="H18" s="7" t="str">
        <x:v>Motif social posé puis variation rythmique de fuite ; pas de morceau officiel copié.</x:v>
      </x:c>
      <x:c r="I18" s="7" t="str">
        <x:v>Instruments légers et basse contrôlée.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me2/audio/kasumi ; rattacher les ressources et états cités à cet identifiant. Aucun fichier de jeu créé par ce catalogue.</x:v>
      </x:c>
      <x:c r="M18" s="7" t="str"/>
      <x:c r="N18" s="7" t="str">
        <x:v>Le livrable « Musique originale de l’infiltration » possède une scène ou un scénario de contrôle ; ses règles proposées, ses conditions et ses retours visuels sont vérifiables séparément.</x:v>
      </x:c>
      <x:c r="O18" s="7" t="str">
        <x:v>ME2-MQ-KASUMI-HEIST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ME2-AUD-OVERLORD</x:v>
      </x:c>
      <x:c r="B19" s="9" t="str">
        <x:v>Audio de détresse d’Overlord</x:v>
      </x:c>
      <x:c r="C19" s="15" t="str">
        <x:v>Défini</x:v>
      </x:c>
      <x:c r="D19" s="16" t="str">
        <x:v>Extrapolation</x:v>
      </x:c>
      <x:c r="E19" s="16" t="str">
        <x:v>P1</x:v>
      </x:c>
      <x:c r="F19" s="9" t="str">
        <x:v>Livrable original proposé : Audio de détresse d’Overlord.</x:v>
      </x:c>
      <x:c r="G19" s="9" t="str">
        <x:v>Traitement abstrait avec intensité réduite possible ; message narratif compréhensible sans hurlement prolongé.</x:v>
      </x:c>
      <x:c r="H19" s="9" t="str">
        <x:v>Traitement abstrait avec intensité réduite possible ; message narratif compréhensible sans hurlement prolongé.</x:v>
      </x:c>
      <x:c r="I19" s="9" t="str">
        <x:v>Signal fragmenté, silence et ambiance électrique.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me2/audio/overlord ; rattacher les ressources et états cités à cet identifiant. Aucun fichier de jeu créé par ce catalogue.</x:v>
      </x:c>
      <x:c r="M19" s="9" t="str"/>
      <x:c r="N19" s="9" t="str">
        <x:v>Le livrable « Audio de détresse d’Overlord » possède une scène ou un scénario de contrôle ; ses règles proposées, ses conditions et ses retours visuels sont vérifiables séparément.</x:v>
      </x:c>
      <x:c r="O19" s="9" t="str">
        <x:v>ME2-MQ-OV-ATLAS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ME2-AUD-ARRIVAL</x:v>
      </x:c>
      <x:c r="B20" s="7" t="str">
        <x:v>Audio d’urgence Arrival</x:v>
      </x:c>
      <x:c r="C20" s="15" t="str">
        <x:v>Défini</x:v>
      </x:c>
      <x:c r="D20" s="17" t="str">
        <x:v>Extrapolation</x:v>
      </x:c>
      <x:c r="E20" s="17" t="str">
        <x:v>P1</x:v>
      </x:c>
      <x:c r="F20" s="7" t="str">
        <x:v>Livrable original proposé : Audio d’urgence Arrival.</x:v>
      </x:c>
      <x:c r="G20" s="7" t="str">
        <x:v>Compteur et alarme non continus ; messages de progression prioritaires et sous-titres complets.</x:v>
      </x:c>
      <x:c r="H20" s="7" t="str">
        <x:v>Compteur et alarme non continus ; messages de progression prioritaires et sous-titres complets.</x:v>
      </x:c>
      <x:c r="I20" s="7" t="str">
        <x:v>Pulsation de délai et bruit de propulseurs.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me2/audio/arrival ; rattacher les ressources et états cités à cet identifiant. Aucun fichier de jeu créé par ce catalogue.</x:v>
      </x:c>
      <x:c r="M20" s="7" t="str"/>
      <x:c r="N20" s="7" t="str">
        <x:v>Le livrable « Audio d’urgence 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ME2-AUD-MEMORIAL</x:v>
      </x:c>
      <x:c r="B21" s="9" t="str">
        <x:v>Silence du site du Normandy</x:v>
      </x:c>
      <x:c r="C21" s="15" t="str">
        <x:v>Défini</x:v>
      </x:c>
      <x:c r="D21" s="16" t="str">
        <x:v>Extrapolation</x:v>
      </x:c>
      <x:c r="E21" s="16" t="str">
        <x:v>P1</x:v>
      </x:c>
      <x:c r="F21" s="9" t="str">
        <x:v>Livrable original proposé : Silence du site du Normandy.</x:v>
      </x:c>
      <x:c r="G21" s="9" t="str">
        <x:v>Vent, neige et quelques notes originales espacées ; découverte d’une trace reçoit un son discret.</x:v>
      </x:c>
      <x:c r="H21" s="9" t="str">
        <x:v>Vent, neige et quelques notes originales espacées ; découverte d’une trace reçoit un son discret.</x:v>
      </x:c>
      <x:c r="I21" s="9" t="str">
        <x:v>Réverbération ouverte et peu de basses.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me2/audio/memorial ; rattacher les ressources et états cités à cet identifiant. Aucun fichier de jeu créé par ce catalogue.</x:v>
      </x:c>
      <x:c r="M21" s="9" t="str"/>
      <x:c r="N21" s="9" t="str">
        <x:v>Le livrable « Silence du site du Normandy » possède une scène ou un scénario de contrôle ; ses règles proposées, ses conditions et ses retours visuels sont vérifiables séparément.</x:v>
      </x:c>
      <x:c r="O21" s="9" t="str">
        <x:v>ME2-SQ-CRASH-SITE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8" priority="1" operator="equal">
      <x:formula>"À vérifier"</x:formula>
    </x:cfRule>
    <x:cfRule type="cellIs" dxfId="89" priority="2" operator="equal">
      <x:formula>"Extrapolation"</x:formula>
    </x:cfRule>
  </x:conditionalFormatting>
  <x:conditionalFormatting sqref="C7:C21">
    <x:cfRule type="cellIs" dxfId="90" priority="3" operator="equal">
      <x:formula>"Validé"</x:formula>
    </x:cfRule>
  </x:conditionalFormatting>
  <x:conditionalFormatting sqref="E7:E21">
    <x:cfRule type="cellIs" dxfId="9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1e26ca56d34e488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2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ME2-SYS-ATB</x:v>
      </x:c>
      <x:c r="B7" s="9" t="str">
        <x:v>Noyau de combat ATB ME2</x:v>
      </x:c>
      <x:c r="C7" s="15" t="str">
        <x:v>Défini</x:v>
      </x:c>
      <x:c r="D7" s="16" t="str">
        <x:v>Extrapolation</x:v>
      </x:c>
      <x:c r="E7" s="16" t="str">
        <x:v>P0</x:v>
      </x:c>
      <x:c r="F7" s="9" t="str">
        <x:v>Livrable original proposé : Noyau de combat ATB ME2.</x:v>
      </x:c>
      <x:c r="G7" s="9" t="str">
        <x:v>Proposer jauges individuelles et pause de sélection ; résolution déterministe avec réservation de cible, coût et interruption.</x:v>
      </x:c>
      <x:c r="H7" s="9" t="str">
        <x:v>Proposer jauges individuelles et pause de sélection ; résolution déterministe avec réservation de cible, coût et interruption.</x:v>
      </x:c>
      <x:c r="I7" s="9" t="str">
        <x:v>Trois portraits, jauges et timeline des attaques lourdes.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me2/systems/atb ; rattacher les ressources et états cités à cet identifiant. Aucun fichier de jeu créé par ce catalogue.</x:v>
      </x:c>
      <x:c r="M7" s="9" t="str"/>
      <x:c r="N7" s="9" t="str">
        <x:v>Le livrable « Noyau de combat ATB ME2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ME2-SYS-PROTECTIONS</x:v>
      </x:c>
      <x:c r="B8" s="7" t="str">
        <x:v>Santé, bouclier, barrière, armure</x:v>
      </x:c>
      <x:c r="C8" s="15" t="str">
        <x:v>Défini</x:v>
      </x:c>
      <x:c r="D8" s="17" t="str">
        <x:v>Extrapolation</x:v>
      </x:c>
      <x:c r="E8" s="17" t="str">
        <x:v>P0</x:v>
      </x:c>
      <x:c r="F8" s="7" t="str">
        <x:v>Livrable original proposé : Santé, bouclier, barrière, armure.</x:v>
      </x:c>
      <x:c r="G8" s="7" t="str">
        <x:v>Quatre couches lisibles ; chaque pouvoir affiche son efficacité sans dépendre uniquement de couleur.</x:v>
      </x:c>
      <x:c r="H8" s="7" t="str">
        <x:v>Quatre couches lisibles ; chaque pouvoir affiche son efficacité sans dépendre uniquement de couleur.</x:v>
      </x:c>
      <x:c r="I8" s="7" t="str">
        <x:v>Icônes cœur, grille, onde et plaque.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me2/systems/protections ; rattacher les ressources et états cités à cet identifiant. Aucun fichier de jeu créé par ce catalogue.</x:v>
      </x:c>
      <x:c r="M8" s="7" t="str"/>
      <x:c r="N8" s="7" t="str">
        <x:v>Le livrable « Santé, bouclier, barrière, armure » possède une scène ou un scénario de contrôle ; ses règles proposées, ses conditions et ses retours visuels sont vérifiables séparément.</x:v>
      </x:c>
      <x:c r="O8" s="7" t="str">
        <x:v>ME2-POW-OVERLOAD, ME2-POW-WARP, ME2-POW-INCINERATE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ME2-SYS-LOYALTY</x:v>
      </x:c>
      <x:c r="B9" s="9" t="str">
        <x:v>Loyauté par équipier</x:v>
      </x:c>
      <x:c r="C9" s="15" t="str">
        <x:v>Défini</x:v>
      </x:c>
      <x:c r="D9" s="16" t="str">
        <x:v>Extrapolation</x:v>
      </x:c>
      <x:c r="E9" s="16" t="str">
        <x:v>P0</x:v>
      </x:c>
      <x:c r="F9" s="9" t="str">
        <x:v>Livrable original proposé : Loyauté par équipier.</x:v>
      </x:c>
      <x:c r="G9" s="9" t="str">
        <x:v>Garder recrutement, mission accomplie et loyauté comme états distincts ; disputes et réconciliation écrivent des événements auditables.</x:v>
      </x:c>
      <x:c r="H9" s="9" t="str">
        <x:v>Garder recrutement, mission accomplie et loyauté comme états distincts ; disputes et réconciliation écrivent des événements auditables.</x:v>
      </x:c>
      <x:c r="I9" s="9" t="str">
        <x:v>Portraits avec état explicite et historique concis.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me2/systems/loyalty ; rattacher les ressources et états cités à cet identifiant. Aucun fichier de jeu créé par ce catalogue.</x:v>
      </x:c>
      <x:c r="M9" s="9" t="str"/>
      <x:c r="N9" s="9" t="str">
        <x:v>Le livrable « Loyauté par équipier » possède une scène ou un scénario de contrôle ; ses règles proposées, ses conditions et ses retours visuels sont vérifiables séparément.</x:v>
      </x:c>
      <x:c r="O9" s="9" t="str">
        <x:v>ME2-CHO-TALI-LEGION, ME2-CHO-JACK-MIRANDA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ME2-SYS-SQUAD</x:v>
      </x:c>
      <x:c r="B10" s="7" t="str">
        <x:v>Sélection du groupe et exclusivités</x:v>
      </x:c>
      <x:c r="C10" s="15" t="str">
        <x:v>Défini</x:v>
      </x:c>
      <x:c r="D10" s="17" t="str">
        <x:v>Extrapolation</x:v>
      </x:c>
      <x:c r="E10" s="17" t="str">
        <x:v>P0</x:v>
      </x:c>
      <x:c r="F10" s="7" t="str">
        <x:v>Livrable original proposé : Sélection du groupe et exclusivités.</x:v>
      </x:c>
      <x:c r="G10" s="7" t="str">
        <x:v>Shepard plus deux équipiers ; contraintes de mission et personnages temporaires annoncés avant embarquement.</x:v>
      </x:c>
      <x:c r="H10" s="7" t="str">
        <x:v>Shepard plus deux équipiers ; contraintes de mission et personnages temporaires annoncés avant embarquement.</x:v>
      </x:c>
      <x:c r="I10" s="7" t="str">
        <x:v>Grille avec tags temporaire, requis et indisponible.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me2/systems/squad ; rattacher les ressources et états cités à cet identifiant. Aucun fichier de jeu créé par ce catalogue.</x:v>
      </x:c>
      <x:c r="M10" s="7" t="str"/>
      <x:c r="N10" s="7" t="str">
        <x:v>Le livrable « Sélection du groupe et exclusivités » possède une scène ou un scénario de contrôle ; ses règles proposées, ses conditions et ses retours visuels sont vérifiables séparément.</x:v>
      </x:c>
      <x:c r="O10" s="7" t="str">
        <x:v>ME2-CHR-SAMARA, ME2-CHR-MORINTH, ME2-CHR-LIARA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ME2-SYS-SUICIDE</x:v>
      </x:c>
      <x:c r="B11" s="9" t="str">
        <x:v>Résolveur de mission suicide</x:v>
      </x:c>
      <x:c r="C11" s="15" t="str">
        <x:v>Défini</x:v>
      </x:c>
      <x:c r="D11" s="16" t="str">
        <x:v>Extrapolation</x:v>
      </x:c>
      <x:c r="E11" s="16" t="str">
        <x:v>P0</x:v>
      </x:c>
      <x:c r="F11" s="9" t="str">
        <x:v>Livrable original proposé : Résolveur de mission suicide.</x:v>
      </x:c>
      <x:c r="G11" s="9" t="str">
        <x:v>États du vaisseau, rôles, loyauté, escorte, défense arrière et dernier groupe sont évalués séparément puis dans l’ordre.</x:v>
      </x:c>
      <x:c r="H11" s="9" t="str">
        <x:v>États du vaisseau, rôles, loyauté, escorte, défense arrière et dernier groupe sont évalués séparément puis dans l’ordre.</x:v>
      </x:c>
      <x:c r="I11" s="9" t="str">
        <x:v>Table de préparation avec vérification des affectations.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me2/systems/suicide ; rattacher les ressources et états cités à cet identifiant. Aucun fichier de jeu créé par ce catalogue.</x:v>
      </x:c>
      <x:c r="M11" s="9" t="str"/>
      <x:c r="N11" s="9" t="str">
        <x:v>Le livrable « Résolveur de mission suicide » possède une scène ou un scénario de contrôle ; ses règles proposées, ses conditions et ses retours visuels sont vérifiables séparément.</x:v>
      </x:c>
      <x:c r="O11" s="9" t="str">
        <x:v>ME2-MQ-INFILTRATION, ME2-MQ-LONG-WALK, ME2-MQ-FINAL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ME2-SYS-IFF-CLOCK</x:v>
      </x:c>
      <x:c r="B12" s="7" t="str">
        <x:v>Compteur IFF et enlèvement</x:v>
      </x:c>
      <x:c r="C12" s="15" t="str">
        <x:v>Défini</x:v>
      </x:c>
      <x:c r="D12" s="17" t="str">
        <x:v>Extrapolation</x:v>
      </x:c>
      <x:c r="E12" s="17" t="str">
        <x:v>P0</x:v>
      </x:c>
      <x:c r="F12" s="7" t="str">
        <x:v>Livrable original proposé : Compteur IFF et enlèvement.</x:v>
      </x:c>
      <x:c r="G12" s="7" t="str">
        <x:v>Compter les événements admissibles de mission ; aucune progression pendant menus, dialogues ou temps réel d’inactivité.</x:v>
      </x:c>
      <x:c r="H12" s="7" t="str">
        <x:v>Compter les événements admissibles de mission ; aucune progression pendant menus, dialogues ou temps réel d’inactivité.</x:v>
      </x:c>
      <x:c r="I12" s="7" t="str">
        <x:v>Journal de missions et signal d’urgence.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me2/systems/iff-clock ; rattacher les ressources et états cités à cet identifiant. Aucun fichier de jeu créé par ce catalogue.</x:v>
      </x:c>
      <x:c r="M12" s="7" t="str"/>
      <x:c r="N12" s="7" t="str">
        <x:v>Le livrable « Compteur IFF et enlèvement » possède une scène ou un scénario de contrôle ; ses règles proposées, ses conditions et ses retours visuels sont vérifiables séparément.</x:v>
      </x:c>
      <x:c r="O12" s="7" t="str">
        <x:v>ME2-MQ-IFF, ME2-MQ-ABDUCTION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ME2-SYS-MORALITY</x:v>
      </x:c>
      <x:c r="B13" s="9" t="str">
        <x:v>Dialogue et moralité par édition</x:v>
      </x:c>
      <x:c r="C13" s="15" t="str">
        <x:v>Défini</x:v>
      </x:c>
      <x:c r="D13" s="16" t="str">
        <x:v>Extrapolation</x:v>
      </x:c>
      <x:c r="E13" s="16" t="str">
        <x:v>P0</x:v>
      </x:c>
      <x:c r="F13" s="9" t="str">
        <x:v>Livrable original proposé : Dialogue et moralité par édition.</x:v>
      </x:c>
      <x:c r="G13" s="9" t="str">
        <x:v>Modèle d’adaptation explicite, sans recopier un seuil numérique non vérifié ; éviter d’afficher une option faisable qui échoue silencieusement.</x:v>
      </x:c>
      <x:c r="H13" s="9" t="str">
        <x:v>Modèle d’adaptation explicite, sans recopier un seuil numérique non vérifié ; éviter d’afficher une option faisable qui échoue silencieusement.</x:v>
      </x:c>
      <x:c r="I13" s="9" t="str">
        <x:v>Roue lisible et raison de verrouillage facultative.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me2/systems/morality ; rattacher les ressources et états cités à cet identifiant. Aucun fichier de jeu créé par ce catalogue.</x:v>
      </x:c>
      <x:c r="M13" s="9" t="str"/>
      <x:c r="N13" s="9" t="str">
        <x:v>Le livrable « Dialogue et moralité par édition » possède une scène ou un scénario de contrôle ; ses règles proposées, ses conditions et ses retours visuels sont vérifiables séparément.</x:v>
      </x:c>
      <x:c r="O13" s="9" t="str">
        <x:v>ME2-CHO-SAMARA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ME2-SYS-INTERRUPTS</x:v>
      </x:c>
      <x:c r="B14" s="7" t="str">
        <x:v>Interruptions contextuelles accessibles</x:v>
      </x:c>
      <x:c r="C14" s="15" t="str">
        <x:v>Défini</x:v>
      </x:c>
      <x:c r="D14" s="17" t="str">
        <x:v>Extrapolation</x:v>
      </x:c>
      <x:c r="E14" s="17" t="str">
        <x:v>P0</x:v>
      </x:c>
      <x:c r="F14" s="7" t="str">
        <x:v>Livrable original proposé : Interruptions contextuelles accessibles.</x:v>
      </x:c>
      <x:c r="G14" s="7" t="str">
        <x:v>Fenêtre de temps réglable, pause ou sélection textuelle équivalente ; résultat narratif identique pour chaque mode.</x:v>
      </x:c>
      <x:c r="H14" s="7" t="str">
        <x:v>Fenêtre de temps réglable, pause ou sélection textuelle équivalente ; résultat narratif identique pour chaque mode.</x:v>
      </x:c>
      <x:c r="I14" s="7" t="str">
        <x:v>Bouton et phrase d’action avant pression.</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me2/systems/interrupts ; rattacher les ressources et états cités à cet identifiant. Aucun fichier de jeu créé par ce catalogue.</x:v>
      </x:c>
      <x:c r="M14" s="7" t="str"/>
      <x:c r="N14" s="7" t="str">
        <x:v>Le livrable « Interruptions contextuelles accessibles » possède une scène ou un scénario de contrôle ; ses règles proposées, ses conditions et ses retours visuels sont vérifiables séparément.</x:v>
      </x:c>
      <x:c r="O14" s="7" t="str">
        <x:v>ME2-CHO-ARESH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ME2-SYS-SCANNING</x:v>
      </x:c>
      <x:c r="B15" s="9" t="str">
        <x:v>Scan planétaire et ressources</x:v>
      </x:c>
      <x:c r="C15" s="15" t="str">
        <x:v>Défini</x:v>
      </x:c>
      <x:c r="D15" s="16" t="str">
        <x:v>Extrapolation</x:v>
      </x:c>
      <x:c r="E15" s="16" t="str">
        <x:v>P0</x:v>
      </x:c>
      <x:c r="F15" s="9" t="str">
        <x:v>Livrable original proposé : Scan planétaire et ressources.</x:v>
      </x:c>
      <x:c r="G15" s="9" t="str">
        <x:v>Mini-jeu de sondage facultatif avec balayage automatique proposé ; toute ressource a un coût et une destination de recherche visibles.</x:v>
      </x:c>
      <x:c r="H15" s="9" t="str">
        <x:v>Mini-jeu de sondage facultatif avec balayage automatique proposé ; toute ressource a un coût et une destination de recherche visibles.</x:v>
      </x:c>
      <x:c r="I15" s="9" t="str">
        <x:v>Globe, courbe de scanner et stocks nommés.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me2/systems/scanning ; rattacher les ressources et états cités à cet identifiant. Aucun fichier de jeu créé par ce catalogue.</x:v>
      </x:c>
      <x:c r="M15" s="9" t="str"/>
      <x:c r="N15" s="9" t="str">
        <x:v>Le livrable « Scan planétaire et ressources » possède une scène ou un scénario de contrôle ; ses règles proposées, ses conditions et ses retours visuels sont vérifiables séparément.</x:v>
      </x:c>
      <x:c r="O15" s="9" t="str">
        <x:v>ME2-EQP-NORMANDY-ARMOR</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ME2-SYS-RESEARCH</x:v>
      </x:c>
      <x:c r="B16" s="7" t="str">
        <x:v>Recherche de laboratoire</x:v>
      </x:c>
      <x:c r="C16" s="15" t="str">
        <x:v>Défini</x:v>
      </x:c>
      <x:c r="D16" s="17" t="str">
        <x:v>Extrapolation</x:v>
      </x:c>
      <x:c r="E16" s="17" t="str">
        <x:v>P0</x:v>
      </x:c>
      <x:c r="F16" s="7" t="str">
        <x:v>Livrable original proposé : Recherche de laboratoire.</x:v>
      </x:c>
      <x:c r="G16" s="7" t="str">
        <x:v>Séparer découverte de schéma, ressources et achat ; prévisualiser bénéfice avant validation et sauvegarder transaction atomique.</x:v>
      </x:c>
      <x:c r="H16" s="7" t="str">
        <x:v>Séparer découverte de schéma, ressources et achat ; prévisualiser bénéfice avant validation et sauvegarder transaction atomique.</x:v>
      </x:c>
      <x:c r="I16" s="7" t="str">
        <x:v>Table de recherche du Normandy.</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me2/systems/research ; rattacher les ressources et états cités à cet identifiant. Aucun fichier de jeu créé par ce catalogue.</x:v>
      </x:c>
      <x:c r="M16" s="7" t="str"/>
      <x:c r="N16" s="7" t="str">
        <x:v>Le livrable « Recherche de laboratoire » possède une scène ou un scénario de contrôle ; ses règles proposées, ses conditions et ses retours visuels sont vérifiables séparément.</x:v>
      </x:c>
      <x:c r="O16" s="7" t="str">
        <x:v>ME2-EQP-NORMANDY-SHIELD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ME2-SYS-MERCHANTS</x:v>
      </x:c>
      <x:c r="B17" s="9" t="str">
        <x:v>Boutiques et remises</x:v>
      </x:c>
      <x:c r="C17" s="15" t="str">
        <x:v>Défini</x:v>
      </x:c>
      <x:c r="D17" s="16" t="str">
        <x:v>Extrapolation</x:v>
      </x:c>
      <x:c r="E17" s="16" t="str">
        <x:v>P0</x:v>
      </x:c>
      <x:c r="F17" s="9" t="str">
        <x:v>Livrable original proposé : Boutiques et remises.</x:v>
      </x:c>
      <x:c r="G17" s="9" t="str">
        <x:v>Chaque boutique expose ses catégories, crédit disponible et remise ; ne pas appliquer une remise deux fois.</x:v>
      </x:c>
      <x:c r="H17" s="9" t="str">
        <x:v>Chaque boutique expose ses catégories, crédit disponible et remise ; ne pas appliquer une remise deux fois.</x:v>
      </x:c>
      <x:c r="I17" s="9" t="str">
        <x:v>Liste avec comparaison de prix et confirmation.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me2/systems/merchants ; rattacher les ressources et états cités à cet identifiant. Aucun fichier de jeu créé par ce catalogue.</x:v>
      </x:c>
      <x:c r="M17" s="9" t="str"/>
      <x:c r="N17" s="9" t="str">
        <x:v>Le livrable « Boutiques et remises » possède une scène ou un scénario de contrôle ; ses règles proposées, ses conditions et ses retours visuels sont vérifiables séparément.</x:v>
      </x:c>
      <x:c r="O17" s="9" t="str">
        <x:v>ME2-ZON-OMEGA-MARKET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ME2-SYS-LOADOUT</x:v>
      </x:c>
      <x:c r="B18" s="7" t="str">
        <x:v>Armes, armures et classes</x:v>
      </x:c>
      <x:c r="C18" s="15" t="str">
        <x:v>Défini</x:v>
      </x:c>
      <x:c r="D18" s="17" t="str">
        <x:v>Extrapolation</x:v>
      </x:c>
      <x:c r="E18" s="17" t="str">
        <x:v>P0</x:v>
      </x:c>
      <x:c r="F18" s="7" t="str">
        <x:v>Livrable original proposé : Armes, armures et classes.</x:v>
      </x:c>
      <x:c r="G18" s="7" t="str">
        <x:v>Tables par classe et édition ; les restrictions de Shepard et celles des équipiers ne partagent pas le même filtre.</x:v>
      </x:c>
      <x:c r="H18" s="7" t="str">
        <x:v>Tables par classe et édition ; les restrictions de Shepard et celles des équipiers ne partagent pas le même filtre.</x:v>
      </x:c>
      <x:c r="I18" s="7" t="str">
        <x:v>Emplacements avec raison d’incompatibilité.</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me2/systems/loadout ; rattacher les ressources et états cités à cet identifiant. Aucun fichier de jeu créé par ce catalogue.</x:v>
      </x:c>
      <x:c r="M18" s="7" t="str"/>
      <x:c r="N18" s="7" t="str">
        <x:v>Le livrable « Armes, armures et classes » possède une scène ou un scénario de contrôle ; ses règles proposées, ses conditions et ses retours visuels sont vérifiables séparément.</x:v>
      </x:c>
      <x:c r="O18" s="7" t="str">
        <x:v>ME2-EQP-N7, ME2-WPN-WIDOW</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ME2-SYS-HEAVY</x:v>
      </x:c>
      <x:c r="B19" s="9" t="str">
        <x:v>Réserve d’armes lourdes</x:v>
      </x:c>
      <x:c r="C19" s="15" t="str">
        <x:v>Défini</x:v>
      </x:c>
      <x:c r="D19" s="16" t="str">
        <x:v>Extrapolation</x:v>
      </x:c>
      <x:c r="E19" s="16" t="str">
        <x:v>P0</x:v>
      </x:c>
      <x:c r="F19" s="9" t="str">
        <x:v>Livrable original proposé : Réserve d’armes lourdes.</x:v>
      </x:c>
      <x:c r="G19" s="9" t="str">
        <x:v>Cellules partagées, changement d’arme et capacité avec règle documentée ; aucune recharge gratuite involontaire au menu.</x:v>
      </x:c>
      <x:c r="H19" s="9" t="str">
        <x:v>Cellules partagées, changement d’arme et capacité avec règle documentée ; aucune recharge gratuite involontaire au menu.</x:v>
      </x:c>
      <x:c r="I19" s="9" t="str">
        <x:v>Barre lourde distincte des clips.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me2/systems/heavy ; rattacher les ressources et états cités à cet identifiant. Aucun fichier de jeu créé par ce catalogue.</x:v>
      </x:c>
      <x:c r="M19" s="9" t="str"/>
      <x:c r="N19" s="9" t="str">
        <x:v>Le livrable « Réserve d’armes lourdes » possède une scène ou un scénario de contrôle ; ses règles proposées, ses conditions et ses retours visuels sont vérifiables séparément.</x:v>
      </x:c>
      <x:c r="O19" s="9" t="str">
        <x:v>ME2-EQP-CELLS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ME2-SYS-HACKING</x:v>
      </x:c>
      <x:c r="B20" s="7" t="str">
        <x:v>Piratage et contournement</x:v>
      </x:c>
      <x:c r="C20" s="15" t="str">
        <x:v>Défini</x:v>
      </x:c>
      <x:c r="D20" s="17" t="str">
        <x:v>Extrapolation</x:v>
      </x:c>
      <x:c r="E20" s="17" t="str">
        <x:v>P0</x:v>
      </x:c>
      <x:c r="F20" s="7" t="str">
        <x:v>Livrable original proposé : Piratage et contournement.</x:v>
      </x:c>
      <x:c r="G20" s="7" t="str">
        <x:v>Deux puzzles courts distincts avec option accessible ; le succès signale l’état de porte et l’objet reçu séparément.</x:v>
      </x:c>
      <x:c r="H20" s="7" t="str">
        <x:v>Deux puzzles courts distincts avec option accessible ; le succès signale l’état de porte et l’objet reçu séparément.</x:v>
      </x:c>
      <x:c r="I20" s="7" t="str">
        <x:v>Circuits et segments de code abstraits.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me2/systems/hacking ; rattacher les ressources et états cités à cet identifiant. Aucun fichier de jeu créé par ce catalogue.</x:v>
      </x:c>
      <x:c r="M20" s="7" t="str"/>
      <x:c r="N20" s="7" t="str">
        <x:v>Le livrable « Piratage et contournement » possède une scène ou un scénario de contrôle ; ses règles proposées, ses conditions et ses retours visuels sont vérifiables séparément.</x:v>
      </x:c>
      <x:c r="O20" s="7" t="str">
        <x:v>ME2-PRP-HOCK-SECURITY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ME2-SYS-HAMMERHEAD</x:v>
      </x:c>
      <x:c r="B21" s="9" t="str">
        <x:v>Pilotage Hammerhead</x:v>
      </x:c>
      <x:c r="C21" s="15" t="str">
        <x:v>Défini</x:v>
      </x:c>
      <x:c r="D21" s="16" t="str">
        <x:v>Extrapolation</x:v>
      </x:c>
      <x:c r="E21" s="16" t="str">
        <x:v>P0</x:v>
      </x:c>
      <x:c r="F21" s="9" t="str">
        <x:v>Livrable original proposé : Pilotage Hammerhead.</x:v>
      </x:c>
      <x:c r="G21" s="9" t="str">
        <x:v>Sous-mode véhicule avec chemins, boost et prélèvement ; caméra empêche de cacher le prochain point d’appui.</x:v>
      </x:c>
      <x:c r="H21" s="9" t="str">
        <x:v>Sous-mode véhicule avec chemins, boost et prélèvement ; caméra empêche de cacher le prochain point d’appui.</x:v>
      </x:c>
      <x:c r="I21" s="9" t="str">
        <x:v>Ombre du véhicule et prédiction d’atterrissage.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me2/systems/hammerhead ; rattacher les ressources et états cités à cet identifiant. Aucun fichier de jeu créé par ce catalogue.</x:v>
      </x:c>
      <x:c r="M21" s="9" t="str"/>
      <x:c r="N21" s="9" t="str">
        <x:v>Le livrable « Pilotage Hammerhead » possède une scène ou un scénario de contrôle ; ses règles proposées, ses conditions et ses retours visuels sont vérifiables séparément.</x:v>
      </x:c>
      <x:c r="O21" s="9" t="str">
        <x:v>ME2-EQP-HAMMERHEAD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ME2-SYS-JOURNAL</x:v>
      </x:c>
      <x:c r="B22" s="7" t="str">
        <x:v>Journal par mission et alias</x:v>
      </x:c>
      <x:c r="C22" s="15" t="str">
        <x:v>Défini</x:v>
      </x:c>
      <x:c r="D22" s="17" t="str">
        <x:v>Extrapolation</x:v>
      </x:c>
      <x:c r="E22" s="17" t="str">
        <x:v>P0</x:v>
      </x:c>
      <x:c r="F22" s="7" t="str">
        <x:v>Livrable original proposé : Journal par mission et alias.</x:v>
      </x:c>
      <x:c r="G22" s="7" t="str">
        <x:v>Un identifiant de quête pour les variantes de titre ; journal distingue piste, action et retour au donneur.</x:v>
      </x:c>
      <x:c r="H22" s="7" t="str">
        <x:v>Un identifiant de quête pour les variantes de titre ; journal distingue piste, action et retour au donneur.</x:v>
      </x:c>
      <x:c r="I22" s="7" t="str">
        <x:v>Filtres campagne, loyauté, affectation et DLC.</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me2/systems/journal ; rattacher les ressources et états cités à cet identifiant. Aucun fichier de jeu créé par ce catalogue.</x:v>
      </x:c>
      <x:c r="M22" s="7" t="str"/>
      <x:c r="N22" s="7" t="str">
        <x:v>Le livrable « Journal par mission et alias » possède une scène ou un scénario de contrôle ; ses règles proposées, ses conditions et ses retours visuels sont vérifiables séparément.</x:v>
      </x:c>
      <x:c r="O22" s="7" t="str">
        <x:v>ME2-SQ-CIT-ID</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ME2-SYS-ROMANCE</x:v>
      </x:c>
      <x:c r="B23" s="9" t="str">
        <x:v>Relations et consentement narratif</x:v>
      </x:c>
      <x:c r="C23" s="15" t="str">
        <x:v>Défini</x:v>
      </x:c>
      <x:c r="D23" s="16" t="str">
        <x:v>Extrapolation</x:v>
      </x:c>
      <x:c r="E23" s="16" t="str">
        <x:v>P0</x:v>
      </x:c>
      <x:c r="F23" s="9" t="str">
        <x:v>Livrable original proposé : Relations et consentement narratif.</x:v>
      </x:c>
      <x:c r="G23" s="9" t="str">
        <x:v>Drapeaux propres à chaque relation ; choix amoureux explicites et contrôle des conflits importés ; aucun flirt forcé par amabilité.</x:v>
      </x:c>
      <x:c r="H23" s="9" t="str">
        <x:v>Drapeaux propres à chaque relation ; choix amoureux explicites et contrôle des conflits importés ; aucun flirt forcé par amabilité.</x:v>
      </x:c>
      <x:c r="I23" s="9" t="str">
        <x:v>Portrait, intention et résumé d’engagement.</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me2/systems/romance ; rattacher les ressources et états cités à cet identifiant. Aucun fichier de jeu créé par ce catalogue.</x:v>
      </x:c>
      <x:c r="M23" s="9" t="str"/>
      <x:c r="N23" s="9" t="str">
        <x:v>Le livrable « Relations et consentement narratif » possède une scène ou un scénario de contrôle ; ses règles proposées, ses conditions et ses retours visuels sont vérifiables séparément.</x:v>
      </x:c>
      <x:c r="O23" s="9" t="str">
        <x:v>ME2-CHR-SHEPARD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ME2-SYS-PHOTO</x:v>
      </x:c>
      <x:c r="B24" s="7" t="str">
        <x:v>Caméra de production hybride</x:v>
      </x:c>
      <x:c r="C24" s="15" t="str">
        <x:v>Défini</x:v>
      </x:c>
      <x:c r="D24" s="17" t="str">
        <x:v>Extrapolation</x:v>
      </x:c>
      <x:c r="E24" s="17" t="str">
        <x:v>P0</x:v>
      </x:c>
      <x:c r="F24" s="7" t="str">
        <x:v>Livrable original proposé : Caméra de production hybride.</x:v>
      </x:c>
      <x:c r="G24" s="7" t="str">
        <x:v>Sprites à huit directions proposées, décors 3D et masques d’occlusion ; priorité de visibilité au groupe et aux télégraphes.</x:v>
      </x:c>
      <x:c r="H24" s="7" t="str">
        <x:v>Sprites à huit directions proposées, décors 3D et masques d’occlusion ; priorité de visibilité au groupe et aux télégraphes.</x:v>
      </x:c>
      <x:c r="I24" s="7" t="str">
        <x:v>Plan d’ombres et contours sélectionnables.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me2/systems/photo ; rattacher les ressources et états cités à cet identifiant. Aucun fichier de jeu créé par ce catalogue.</x:v>
      </x:c>
      <x:c r="M24" s="7" t="str"/>
      <x:c r="N24" s="7" t="str">
        <x:v>Le livrable « Caméra de production hybride » possède une scène ou un scénario de contrôle ; ses règles proposées, ses conditions et ses retours visuels sont vérifiables séparément.</x:v>
      </x:c>
      <x:c r="O24" s="7" t="str">
        <x:v>ME2-ZON-DANTIUS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ME2-SYS-SAVE</x:v>
      </x:c>
      <x:c r="B25" s="9" t="str">
        <x:v>Sauvegarde d’états de mission</x:v>
      </x:c>
      <x:c r="C25" s="15" t="str">
        <x:v>Défini</x:v>
      </x:c>
      <x:c r="D25" s="16" t="str">
        <x:v>Extrapolation</x:v>
      </x:c>
      <x:c r="E25" s="16" t="str">
        <x:v>P0</x:v>
      </x:c>
      <x:c r="F25" s="9" t="str">
        <x:v>Livrable original proposé : Sauvegarde d’états de mission.</x:v>
      </x:c>
      <x:c r="G25" s="9" t="str">
        <x:v>Écrire inventaire, équipe et choix dans une transaction ; reprise interdit de rejouer les récompenses déjà confirmées.</x:v>
      </x:c>
      <x:c r="H25" s="9" t="str">
        <x:v>Écrire inventaire, équipe et choix dans une transaction ; reprise interdit de rejouer les récompenses déjà confirmées.</x:v>
      </x:c>
      <x:c r="I25" s="9" t="str">
        <x:v>Journal de sauvegarde daté et miniature de zone.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me2/systems/save ; rattacher les ressources et états cités à cet identifiant. Aucun fichier de jeu créé par ce catalogue.</x:v>
      </x:c>
      <x:c r="M25" s="9" t="str"/>
      <x:c r="N25" s="9" t="str">
        <x:v>Le livrable « Sauvegarde d’états de mission » possède une scène ou un scénario de contrôle ; ses règles proposées, ses conditions et ses retours visuels sont vérifiables séparément.</x:v>
      </x:c>
      <x:c r="O25" s="9" t="str">
        <x:v>ME2-MQ-FINAL</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ME2-SYS-EDITION</x:v>
      </x:c>
      <x:c r="B26" s="7" t="str">
        <x:v>Profils Original / Legendary</x:v>
      </x:c>
      <x:c r="C26" s="15" t="str">
        <x:v>Défini</x:v>
      </x:c>
      <x:c r="D26" s="17" t="str">
        <x:v>Extrapolation</x:v>
      </x:c>
      <x:c r="E26" s="17" t="str">
        <x:v>P0</x:v>
      </x:c>
      <x:c r="F26" s="7" t="str">
        <x:v>Livrable original proposé : Profils Original / Legendary.</x:v>
      </x:c>
      <x:c r="G26" s="7" t="str">
        <x:v>Distinguer disponibilité des DLC, acquisition d’équipement et ajustements officiels ; aucune dépendance au réseau Cerberus simulée requise pour jouer le fan game.</x:v>
      </x:c>
      <x:c r="H26" s="7" t="str">
        <x:v>Distinguer disponibilité des DLC, acquisition d’équipement et ajustements officiels ; aucune dépendance au réseau Cerberus simulée requise pour jouer le fan game.</x:v>
      </x:c>
      <x:c r="I26" s="7" t="str">
        <x:v>Étiquette d’édition dans options et fiches.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me2/systems/edition ; rattacher les ressources et états cités à cet identifiant. Aucun fichier de jeu créé par ce catalogue.</x:v>
      </x:c>
      <x:c r="M26" s="7" t="str"/>
      <x:c r="N26" s="7" t="str">
        <x:v>Le livrable « Profils Original / Legendary » possède une scène ou un scénario de contrôle ; ses règles proposées, ses conditions et ses retours visuels sont vérifiables séparément.</x:v>
      </x:c>
      <x:c r="O26" s="7" t="str">
        <x:v>ME2-EQP-RECON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2" priority="1" operator="equal">
      <x:formula>"À vérifier"</x:formula>
    </x:cfRule>
    <x:cfRule type="cellIs" dxfId="93" priority="2" operator="equal">
      <x:formula>"Extrapolation"</x:formula>
    </x:cfRule>
  </x:conditionalFormatting>
  <x:conditionalFormatting sqref="C7:C26">
    <x:cfRule type="cellIs" dxfId="94" priority="3" operator="equal">
      <x:formula>"Validé"</x:formula>
    </x:cfRule>
  </x:conditionalFormatting>
  <x:conditionalFormatting sqref="E7:E26">
    <x:cfRule type="cellIs" dxfId="9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9ec2208b17a8407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2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ME2-QA-SQUAD-MORINTH</x:v>
      </x:c>
      <x:c r="B7" s="9" t="str">
        <x:v>QA — exclusivité Samara / Morinth</x:v>
      </x:c>
      <x:c r="C7" s="15" t="str">
        <x:v>Défini</x:v>
      </x:c>
      <x:c r="D7" s="16" t="str">
        <x:v>Extrapolation</x:v>
      </x:c>
      <x:c r="E7" s="16" t="str">
        <x:v>P1</x:v>
      </x:c>
      <x:c r="F7" s="9" t="str">
        <x:v>Livrable original proposé : QA — exclusivité Samara / Morinth.</x:v>
      </x:c>
      <x:c r="G7" s="9" t="str">
        <x:v>Charger chaque issue de loyauté ; vérifier qu’un seul emplacement est sélectionnable et que les dialogues reflètent l’identité connue.</x:v>
      </x:c>
      <x:c r="H7" s="9" t="str">
        <x:v>Charger chaque issue de loyauté ; vérifier qu’un seul emplacement est sélectionnable et que les dialogues reflètent l’identité connue.</x:v>
      </x:c>
      <x:c r="I7" s="9" t="str">
        <x:v>Captures avant/après choix et grille d’équipe.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me2/qa/squad-morinth ; rattacher les ressources et états cités à cet identifiant. Aucun fichier de jeu créé par ce catalogue.</x:v>
      </x:c>
      <x:c r="M7" s="9" t="str"/>
      <x:c r="N7" s="9" t="str">
        <x:v>Le livrable « QA — exclusivité Samara / Morinth » possède une scène ou un scénario de contrôle ; ses règles proposées, ses conditions et ses retours visuels sont vérifiables séparément.</x:v>
      </x:c>
      <x:c r="O7" s="9" t="str">
        <x:v>ME2-CHO-SAMARA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ME2-QA-TALI-PROOF</x:v>
      </x:c>
      <x:c r="B8" s="7" t="str">
        <x:v>QA — procès de Tali</x:v>
      </x:c>
      <x:c r="C8" s="15" t="str">
        <x:v>Défini</x:v>
      </x:c>
      <x:c r="D8" s="17" t="str">
        <x:v>Extrapolation</x:v>
      </x:c>
      <x:c r="E8" s="17" t="str">
        <x:v>P1</x:v>
      </x:c>
      <x:c r="F8" s="7" t="str">
        <x:v>Livrable original proposé : QA — procès de Tali.</x:v>
      </x:c>
      <x:c r="G8" s="7" t="str">
        <x:v>Tester acquittement, exil et usage/refus de preuve ; vérifier verdict, loyauté et nom sans confondre les états.</x:v>
      </x:c>
      <x:c r="H8" s="7" t="str">
        <x:v>Tester acquittement, exil et usage/refus de preuve ; vérifier verdict, loyauté et nom sans confondre les états.</x:v>
      </x:c>
      <x:c r="I8" s="7" t="str">
        <x:v>Table de vérité narrative.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me2/qa/tali-proof ; rattacher les ressources et états cités à cet identifiant. Aucun fichier de jeu créé par ce catalogue.</x:v>
      </x:c>
      <x:c r="M8" s="7" t="str"/>
      <x:c r="N8" s="7" t="str">
        <x:v>Le livrable « QA — procès de Tali » possède une scène ou un scénario de contrôle ; ses règles proposées, ses conditions et ses retours visuels sont vérifiables séparément.</x:v>
      </x:c>
      <x:c r="O8" s="7" t="str">
        <x:v>ME2-CHO-TALI-PROOF</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ME2-QA-IFF</x:v>
      </x:c>
      <x:c r="B9" s="9" t="str">
        <x:v>QA — compteur de missions IFF</x:v>
      </x:c>
      <x:c r="C9" s="15" t="str">
        <x:v>Défini</x:v>
      </x:c>
      <x:c r="D9" s="16" t="str">
        <x:v>Extrapolation</x:v>
      </x:c>
      <x:c r="E9" s="16" t="str">
        <x:v>P1</x:v>
      </x:c>
      <x:c r="F9" s="9" t="str">
        <x:v>Livrable original proposé : QA — compteur de missions IFF.</x:v>
      </x:c>
      <x:c r="G9" s="9" t="str">
        <x:v>Rejouer un parcours avec missions restantes puis un parcours achevé ; les menus et achats n’ajoutent aucune unité de délai.</x:v>
      </x:c>
      <x:c r="H9" s="9" t="str">
        <x:v>Rejouer un parcours avec missions restantes puis un parcours achevé ; les menus et achats n’ajoutent aucune unité de délai.</x:v>
      </x:c>
      <x:c r="I9" s="9" t="str">
        <x:v>Chronologie d’événements.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me2/qa/iff ; rattacher les ressources et états cités à cet identifiant. Aucun fichier de jeu créé par ce catalogue.</x:v>
      </x:c>
      <x:c r="M9" s="9" t="str"/>
      <x:c r="N9" s="9" t="str">
        <x:v>Le livrable « QA — compteur de missions IFF » possède une scène ou un scénario de contrôle ; ses règles proposées, ses conditions et ses retours visuels sont vérifiables séparément.</x:v>
      </x:c>
      <x:c r="O9" s="9" t="str">
        <x:v>ME2-SYS-IFF-CLOCK</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ME2-QA-CREW</x:v>
      </x:c>
      <x:c r="B10" s="7" t="str">
        <x:v>QA — délais après enlèvement</x:v>
      </x:c>
      <x:c r="C10" s="15" t="str">
        <x:v>Défini</x:v>
      </x:c>
      <x:c r="D10" s="17" t="str">
        <x:v>Extrapolation</x:v>
      </x:c>
      <x:c r="E10" s="17" t="str">
        <x:v>P1</x:v>
      </x:c>
      <x:c r="F10" s="7" t="str">
        <x:v>Livrable original proposé : QA — délais après enlèvement.</x:v>
      </x:c>
      <x:c r="G10" s="7" t="str">
        <x:v>Comparer départ immédiat et départ retardé ; vérifier les captifs, l’escorte et les scènes sans duplication de survivants.</x:v>
      </x:c>
      <x:c r="H10" s="7" t="str">
        <x:v>Comparer départ immédiat et départ retardé ; vérifier les captifs, l’escorte et les scènes sans duplication de survivants.</x:v>
      </x:c>
      <x:c r="I10" s="7" t="str">
        <x:v>Liste de PNJ attendus par branche.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me2/qa/crew ; rattacher les ressources et états cités à cet identifiant. Aucun fichier de jeu créé par ce catalogue.</x:v>
      </x:c>
      <x:c r="M10" s="7" t="str"/>
      <x:c r="N10" s="7" t="str">
        <x:v>Le livrable « QA — délais après enlèvement » possède une scène ou un scénario de contrôle ; ses règles proposées, ses conditions et ses retours visuels sont vérifiables séparément.</x:v>
      </x:c>
      <x:c r="O10" s="7" t="str">
        <x:v>ME2-CHO-DELAY</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ME2-QA-SHIP</x:v>
      </x:c>
      <x:c r="B11" s="9" t="str">
        <x:v>QA — améliorations du Normandy</x:v>
      </x:c>
      <x:c r="C11" s="15" t="str">
        <x:v>Défini</x:v>
      </x:c>
      <x:c r="D11" s="16" t="str">
        <x:v>Extrapolation</x:v>
      </x:c>
      <x:c r="E11" s="16" t="str">
        <x:v>P1</x:v>
      </x:c>
      <x:c r="F11" s="9" t="str">
        <x:v>Livrable original proposé : QA — améliorations du Normandy.</x:v>
      </x:c>
      <x:c r="G11" s="9" t="str">
        <x:v>Tester absence puis présence des trois améliorations critiques ; chaque conséquence survient à la bonne étape de l’approche.</x:v>
      </x:c>
      <x:c r="H11" s="9" t="str">
        <x:v>Tester absence puis présence des trois améliorations critiques ; chaque conséquence survient à la bonne étape de l’approche.</x:v>
      </x:c>
      <x:c r="I11" s="9" t="str">
        <x:v>Journal de scène et identité des victimes conditionnelles.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me2/qa/ship ; rattacher les ressources et états cités à cet identifiant. Aucun fichier de jeu créé par ce catalogue.</x:v>
      </x:c>
      <x:c r="M11" s="9" t="str"/>
      <x:c r="N11" s="9" t="str">
        <x:v>Le livrable « QA — améliorations du Normandy » possède une scène ou un scénario de contrôle ; ses règles proposées, ses conditions et ses retours visuels sont vérifiables séparément.</x:v>
      </x:c>
      <x:c r="O11" s="9" t="str">
        <x:v>ME2-SYS-SUICIDE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ME2-QA-TECH</x:v>
      </x:c>
      <x:c r="B12" s="7" t="str">
        <x:v>QA — technicien et chef de diversion</x:v>
      </x:c>
      <x:c r="C12" s="15" t="str">
        <x:v>Défini</x:v>
      </x:c>
      <x:c r="D12" s="17" t="str">
        <x:v>Extrapolation</x:v>
      </x:c>
      <x:c r="E12" s="17" t="str">
        <x:v>P1</x:v>
      </x:c>
      <x:c r="F12" s="7" t="str">
        <x:v>Livrable original proposé : QA — technicien et chef de diversion.</x:v>
      </x:c>
      <x:c r="G12" s="7" t="str">
        <x:v>Tester candidat adapté loyal, adapté non loyal et inadapté ; un bon technicien ne compense pas automatiquement un chef incorrect.</x:v>
      </x:c>
      <x:c r="H12" s="7" t="str">
        <x:v>Tester candidat adapté loyal, adapté non loyal et inadapté ; un bon technicien ne compense pas automatiquement un chef incorrect.</x:v>
      </x:c>
      <x:c r="I12" s="7" t="str">
        <x:v>Table de rôles et résultat du sas.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me2/qa/tech ; rattacher les ressources et états cités à cet identifiant. Aucun fichier de jeu créé par ce catalogue.</x:v>
      </x:c>
      <x:c r="M12" s="7" t="str"/>
      <x:c r="N12" s="7" t="str">
        <x:v>Le livrable « QA — technicien et chef de diversion » possède une scène ou un scénario de contrôle ; ses règles proposées, ses conditions et ses retours visuels sont vérifiables séparément.</x:v>
      </x:c>
      <x:c r="O12" s="7" t="str">
        <x:v>ME2-CHO-SPECIALIST, ME2-CHO-FIRETEAM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ME2-QA-BIOTIC</x:v>
      </x:c>
      <x:c r="B13" s="9" t="str">
        <x:v>QA — barrière et escorte</x:v>
      </x:c>
      <x:c r="C13" s="15" t="str">
        <x:v>Défini</x:v>
      </x:c>
      <x:c r="D13" s="16" t="str">
        <x:v>Extrapolation</x:v>
      </x:c>
      <x:c r="E13" s="16" t="str">
        <x:v>P1</x:v>
      </x:c>
      <x:c r="F13" s="9" t="str">
        <x:v>Livrable original proposé : QA — barrière et escorte.</x:v>
      </x:c>
      <x:c r="G13" s="9" t="str">
        <x:v>Comparer biotique approprié et autre candidat ; vérifier que l’escorte quitte bien la liste du groupe final.</x:v>
      </x:c>
      <x:c r="H13" s="9" t="str">
        <x:v>Comparer biotique approprié et autre candidat ; vérifier que l’escorte quitte bien la liste du groupe final.</x:v>
      </x:c>
      <x:c r="I13" s="9" t="str">
        <x:v>Jauge de barrière et registre d’affectation.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me2/qa/biotic ; rattacher les ressources et états cités à cet identifiant. Aucun fichier de jeu créé par ce catalogue.</x:v>
      </x:c>
      <x:c r="M13" s="9" t="str"/>
      <x:c r="N13" s="9" t="str">
        <x:v>Le livrable « QA — barrière et escorte » possède une scène ou un scénario de contrôle ; ses règles proposées, ses conditions et ses retours visuels sont vérifiables séparément.</x:v>
      </x:c>
      <x:c r="O13" s="9" t="str">
        <x:v>ME2-CHO-BIOTIC, ME2-CHO-ESCORT</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ME2-QA-HOLDLINE</x:v>
      </x:c>
      <x:c r="B14" s="7" t="str">
        <x:v>QA — défense arrière</x:v>
      </x:c>
      <x:c r="C14" s="15" t="str">
        <x:v>Défini</x:v>
      </x:c>
      <x:c r="D14" s="17" t="str">
        <x:v>Extrapolation</x:v>
      </x:c>
      <x:c r="E14" s="17" t="str">
        <x:v>P1</x:v>
      </x:c>
      <x:c r="F14" s="7" t="str">
        <x:v>Livrable original proposé : QA — défense arrière.</x:v>
      </x:c>
      <x:c r="G14" s="7" t="str">
        <x:v>Tester plusieurs répartitions de survivants, loyautés et membres emmenés au boss ; aucun membre ne défend en deux lieux.</x:v>
      </x:c>
      <x:c r="H14" s="7" t="str">
        <x:v>Tester plusieurs répartitions de survivants, loyautés et membres emmenés au boss ; aucun membre ne défend en deux lieux.</x:v>
      </x:c>
      <x:c r="I14" s="7" t="str">
        <x:v>Journal d’évaluation et bilan final.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me2/qa/holdline ; rattacher les ressources et états cités à cet identifiant. Aucun fichier de jeu créé par ce catalogue.</x:v>
      </x:c>
      <x:c r="M14" s="7" t="str"/>
      <x:c r="N14" s="7" t="str">
        <x:v>Le livrable « QA — défense arrière » possède une scène ou un scénario de contrôle ; ses règles proposées, ses conditions et ses retours visuels sont vérifiables séparément.</x:v>
      </x:c>
      <x:c r="O14" s="7" t="str">
        <x:v>ME2-SYS-SUICIDE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ME2-QA-SHEPARD-DEATH</x:v>
      </x:c>
      <x:c r="B15" s="9" t="str">
        <x:v>QA — issue sans survie de Shepard</x:v>
      </x:c>
      <x:c r="C15" s="15" t="str">
        <x:v>Défini</x:v>
      </x:c>
      <x:c r="D15" s="16" t="str">
        <x:v>Extrapolation</x:v>
      </x:c>
      <x:c r="E15" s="16" t="str">
        <x:v>P1</x:v>
      </x:c>
      <x:c r="F15" s="9" t="str">
        <x:v>Livrable original proposé : QA — issue sans survie de Shepard.</x:v>
      </x:c>
      <x:c r="G15" s="9" t="str">
        <x:v>Déclencher l’issue d’échec final admissible ; pas de retour libre ni d’import de héros vivant généré par défaut.</x:v>
      </x:c>
      <x:c r="H15" s="9" t="str">
        <x:v>Déclencher l’issue d’échec final admissible ; pas de retour libre ni d’import de héros vivant généré par défaut.</x:v>
      </x:c>
      <x:c r="I15" s="9" t="str">
        <x:v>Écran de fin et métadonnées de partie.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me2/qa/shepard-death ; rattacher les ressources et états cités à cet identifiant. Aucun fichier de jeu créé par ce catalogue.</x:v>
      </x:c>
      <x:c r="M15" s="9" t="str"/>
      <x:c r="N15" s="9" t="str">
        <x:v>Le livrable « QA — issue sans survie de Shepard » possède une scène ou un scénario de contrôle ; ses règles proposées, ses conditions et ses retours visuels sont vérifiables séparément.</x:v>
      </x:c>
      <x:c r="O15" s="9" t="str">
        <x:v>ME2-MQ-FINAL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ME2-QA-HAESTROM</x:v>
      </x:c>
      <x:c r="B16" s="7" t="str">
        <x:v>QA — soleil et ombre</x:v>
      </x:c>
      <x:c r="C16" s="15" t="str">
        <x:v>Défini</x:v>
      </x:c>
      <x:c r="D16" s="17" t="str">
        <x:v>Extrapolation</x:v>
      </x:c>
      <x:c r="E16" s="17" t="str">
        <x:v>P1</x:v>
      </x:c>
      <x:c r="F16" s="7" t="str">
        <x:v>Livrable original proposé : QA — soleil et ombre.</x:v>
      </x:c>
      <x:c r="G16" s="7" t="str">
        <x:v>Tracer les limites d’exposition sur les parcours ; ombre visuelle et protection réelle restent alignées après rotation caméra.</x:v>
      </x:c>
      <x:c r="H16" s="7" t="str">
        <x:v>Tracer les limites d’exposition sur les parcours ; ombre visuelle et protection réelle restent alignées après rotation caméra.</x:v>
      </x:c>
      <x:c r="I16" s="7" t="str">
        <x:v>Carte thermique de zone.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me2/qa/haestrom ; rattacher les ressources et états cités à cet identifiant. Aucun fichier de jeu créé par ce catalogue.</x:v>
      </x:c>
      <x:c r="M16" s="7" t="str"/>
      <x:c r="N16" s="7" t="str">
        <x:v>Le livrable « QA — soleil et ombre » possède une scène ou un scénario de contrôle ; ses règles proposées, ses conditions et ses retours visuels sont vérifiables séparément.</x:v>
      </x:c>
      <x:c r="O16" s="7" t="str">
        <x:v>ME2-WRL-HAESTROM</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ME2-QA-JOKER</x:v>
      </x:c>
      <x:c r="B17" s="9" t="str">
        <x:v>QA — chemin Joker</x:v>
      </x:c>
      <x:c r="C17" s="15" t="str">
        <x:v>Défini</x:v>
      </x:c>
      <x:c r="D17" s="16" t="str">
        <x:v>Extrapolation</x:v>
      </x:c>
      <x:c r="E17" s="16" t="str">
        <x:v>P1</x:v>
      </x:c>
      <x:c r="F17" s="9" t="str">
        <x:v>Livrable original proposé : QA — chemin Joker.</x:v>
      </x:c>
      <x:c r="G17" s="9" t="str">
        <x:v>Rejouer la séquence à vitesse minimale et avec aide ; vérifier qu’un personnage sans sprint combat peut atteindre chaque abri prévu.</x:v>
      </x:c>
      <x:c r="H17" s="9" t="str">
        <x:v>Rejouer la séquence à vitesse minimale et avec aide ; vérifier qu’un personnage sans sprint combat peut atteindre chaque abri prévu.</x:v>
      </x:c>
      <x:c r="I17" s="9" t="str">
        <x:v>Trajets annotés et temps d’événements proposés.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me2/qa/joker ; rattacher les ressources et états cités à cet identifiant. Aucun fichier de jeu créé par ce catalogue.</x:v>
      </x:c>
      <x:c r="M17" s="9" t="str"/>
      <x:c r="N17" s="9" t="str">
        <x:v>Le livrable « QA — chemin Joker » possède une scène ou un scénario de contrôle ; ses règles proposées, ses conditions et ses retours visuels sont vérifiables séparément.</x:v>
      </x:c>
      <x:c r="O17" s="9" t="str">
        <x:v>ME2-MQ-ABDUCTION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ME2-QA-THANE</x:v>
      </x:c>
      <x:c r="B18" s="7" t="str">
        <x:v>QA — filature sans combat</x:v>
      </x:c>
      <x:c r="C18" s="15" t="str">
        <x:v>Défini</x:v>
      </x:c>
      <x:c r="D18" s="17" t="str">
        <x:v>Extrapolation</x:v>
      </x:c>
      <x:c r="E18" s="17" t="str">
        <x:v>P1</x:v>
      </x:c>
      <x:c r="F18" s="7" t="str">
        <x:v>Livrable original proposé : QA — filature sans combat.</x:v>
      </x:c>
      <x:c r="G18" s="7" t="str">
        <x:v>Tester perte de cible, reprise et rapport dans chaque fenêtre ; aucune attaque indispensable n’est ajoutée.</x:v>
      </x:c>
      <x:c r="H18" s="7" t="str">
        <x:v>Tester perte de cible, reprise et rapport dans chaque fenêtre ; aucune attaque indispensable n’est ajoutée.</x:v>
      </x:c>
      <x:c r="I18" s="7" t="str">
        <x:v>Trace du suivi de Talid.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me2/qa/thane ; rattacher les ressources et états cités à cet identifiant. Aucun fichier de jeu créé par ce catalogue.</x:v>
      </x:c>
      <x:c r="M18" s="7" t="str"/>
      <x:c r="N18" s="7" t="str">
        <x:v>Le livrable « QA — filature sans combat » possède une scène ou un scénario de contrôle ; ses règles proposées, ses conditions et ses retours visuels sont vérifiables séparément.</x:v>
      </x:c>
      <x:c r="O18" s="7" t="str">
        <x:v>ME2-MQ-LOY-THANE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ME2-QA-ZAEED</x:v>
      </x:c>
      <x:c r="B19" s="9" t="str">
        <x:v>QA — routes de raffinerie</x:v>
      </x:c>
      <x:c r="C19" s="15" t="str">
        <x:v>Défini</x:v>
      </x:c>
      <x:c r="D19" s="16" t="str">
        <x:v>Extrapolation</x:v>
      </x:c>
      <x:c r="E19" s="16" t="str">
        <x:v>P1</x:v>
      </x:c>
      <x:c r="F19" s="9" t="str">
        <x:v>Livrable original proposé : QA — routes de raffinerie.</x:v>
      </x:c>
      <x:c r="G19" s="9" t="str">
        <x:v>Comparer secours et poursuite ; vérifier état de travailleurs, Vido et loyauté séparés ; aucun loot inaccessible requis pour sortir.</x:v>
      </x:c>
      <x:c r="H19" s="9" t="str">
        <x:v>Comparer secours et poursuite ; vérifier état de travailleurs, Vido et loyauté séparés ; aucun loot inaccessible requis pour sortir.</x:v>
      </x:c>
      <x:c r="I19" s="9" t="str">
        <x:v>Graphe de mission annoté.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me2/qa/zaeed ; rattacher les ressources et états cités à cet identifiant. Aucun fichier de jeu créé par ce catalogue.</x:v>
      </x:c>
      <x:c r="M19" s="9" t="str"/>
      <x:c r="N19" s="9" t="str">
        <x:v>Le livrable « QA — routes de raffinerie » possède une scène ou un scénario de contrôle ; ses règles proposées, ses conditions et ses retours visuels sont vérifiables séparément.</x:v>
      </x:c>
      <x:c r="O19" s="9" t="str">
        <x:v>ME2-MQ-ZAEED-LOY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ME2-QA-SHADOW</x:v>
      </x:c>
      <x:c r="B20" s="7" t="str">
        <x:v>QA — Liara et Shadow Broker</x:v>
      </x:c>
      <x:c r="C20" s="15" t="str">
        <x:v>Défini</x:v>
      </x:c>
      <x:c r="D20" s="17" t="str">
        <x:v>Extrapolation</x:v>
      </x:c>
      <x:c r="E20" s="17" t="str">
        <x:v>P1</x:v>
      </x:c>
      <x:c r="F20" s="7" t="str">
        <x:v>Livrable original proposé : QA — Liara et Shadow Broker.</x:v>
      </x:c>
      <x:c r="G20" s="7" t="str">
        <x:v>Passer du duo DLC à l’équipe permanente ; Liara ne reste pas sélectionnable hors périmètre par accident.</x:v>
      </x:c>
      <x:c r="H20" s="7" t="str">
        <x:v>Passer du duo DLC à l’équipe permanente ; Liara ne reste pas sélectionnable hors périmètre par accident.</x:v>
      </x:c>
      <x:c r="I20" s="7" t="str">
        <x:v>Roster avant, pendant et après DLC.</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me2/qa/shadow ; rattacher les ressources et états cités à cet identifiant. Aucun fichier de jeu créé par ce catalogue.</x:v>
      </x:c>
      <x:c r="M20" s="7" t="str"/>
      <x:c r="N20" s="7" t="str">
        <x:v>Le livrable « QA — Liara et Shadow Broker » possède une scène ou un scénario de contrôle ; ses règles proposées, ses conditions et ses retours visuels sont vérifiables séparément.</x:v>
      </x:c>
      <x:c r="O20" s="7" t="str">
        <x:v>ME2-CHR-LIARA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ME2-QA-OVERLORD</x:v>
      </x:c>
      <x:c r="B21" s="9" t="str">
        <x:v>QA — verrous d’Aite</x:v>
      </x:c>
      <x:c r="C21" s="15" t="str">
        <x:v>Défini</x:v>
      </x:c>
      <x:c r="D21" s="16" t="str">
        <x:v>Extrapolation</x:v>
      </x:c>
      <x:c r="E21" s="16" t="str">
        <x:v>P1</x:v>
      </x:c>
      <x:c r="F21" s="9" t="str">
        <x:v>Livrable original proposé : QA — verrous d’Aite.</x:v>
      </x:c>
      <x:c r="G21" s="9" t="str">
        <x:v>Faire Vulcan puis Prometheus et l’ordre inverse ; Atlas s’ouvre une fois et conserve les collectibles déjà pris.</x:v>
      </x:c>
      <x:c r="H21" s="9" t="str">
        <x:v>Faire Vulcan puis Prometheus et l’ordre inverse ; Atlas s’ouvre une fois et conserve les collectibles déjà pris.</x:v>
      </x:c>
      <x:c r="I21" s="9" t="str">
        <x:v>Table d’états des stations.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me2/qa/overlord ; rattacher les ressources et états cités à cet identifiant. Aucun fichier de jeu créé par ce catalogue.</x:v>
      </x:c>
      <x:c r="M21" s="9" t="str"/>
      <x:c r="N21" s="9" t="str">
        <x:v>Le livrable « QA — verrous d’Aite » possède une scène ou un scénario de contrôle ; ses règles proposées, ses conditions et ses retours visuels sont vérifiables séparément.</x:v>
      </x:c>
      <x:c r="O21" s="9" t="str">
        <x:v>ME2-MQ-OVERLORD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ME2-QA-ARRIVAL</x:v>
      </x:c>
      <x:c r="B22" s="7" t="str">
        <x:v>QA — mission solo et variant Harbinger</x:v>
      </x:c>
      <x:c r="C22" s="15" t="str">
        <x:v>Défini</x:v>
      </x:c>
      <x:c r="D22" s="17" t="str">
        <x:v>Extrapolation</x:v>
      </x:c>
      <x:c r="E22" s="17" t="str">
        <x:v>P1</x:v>
      </x:c>
      <x:c r="F22" s="7" t="str">
        <x:v>Livrable original proposé : QA — mission solo et variant Harbinger.</x:v>
      </x:c>
      <x:c r="G22" s="7" t="str">
        <x:v>Lancer Arrival avant et après le final ME2 ; groupe temporaire et scène de communication suivent le bon état.</x:v>
      </x:c>
      <x:c r="H22" s="7" t="str">
        <x:v>Lancer Arrival avant et après le final ME2 ; groupe temporaire et scène de communication suivent le bon état.</x:v>
      </x:c>
      <x:c r="I22" s="7" t="str">
        <x:v>Comparaison de dialogues et roster.</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me2/qa/arrival ; rattacher les ressources et états cités à cet identifiant. Aucun fichier de jeu créé par ce catalogue.</x:v>
      </x:c>
      <x:c r="M22" s="7" t="str"/>
      <x:c r="N22" s="7" t="str">
        <x:v>Le livrable « QA — mission solo et variant Harbinger » possède une scène ou un scénario de contrôle ; ses règles proposées, ses conditions et ses retours visuels sont vérifiables séparément.</x:v>
      </x:c>
      <x:c r="O22" s="7" t="str">
        <x:v>ME2-MQ-ARRIVAL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ME2-QA-FIRE-COLD</x:v>
      </x:c>
      <x:c r="B23" s="9" t="str">
        <x:v>QA — panne de froid Firewalker</x:v>
      </x:c>
      <x:c r="C23" s="15" t="str">
        <x:v>Défini</x:v>
      </x:c>
      <x:c r="D23" s="16" t="str">
        <x:v>Extrapolation</x:v>
      </x:c>
      <x:c r="E23" s="16" t="str">
        <x:v>P1</x:v>
      </x:c>
      <x:c r="F23" s="9" t="str">
        <x:v>Livrable original proposé : QA — panne de froid Firewalker.</x:v>
      </x:c>
      <x:c r="G23" s="9" t="str">
        <x:v>Laisser le moteur geler puis réussir toutes les sondes ; résultat partiel sans écran de mort inventé.</x:v>
      </x:c>
      <x:c r="H23" s="9" t="str">
        <x:v>Laisser le moteur geler puis réussir toutes les sondes ; résultat partiel sans écran de mort inventé.</x:v>
      </x:c>
      <x:c r="I23" s="9" t="str">
        <x:v>Bilan de ressources et retour Normandy.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me2/qa/fire-cold ; rattacher les ressources et états cités à cet identifiant. Aucun fichier de jeu créé par ce catalogue.</x:v>
      </x:c>
      <x:c r="M23" s="9" t="str"/>
      <x:c r="N23" s="9" t="str">
        <x:v>Le livrable « QA — panne de froid Firewalker » possède une scène ou un scénario de contrôle ; ses règles proposées, ses conditions et ses retours visuels sont vérifiables séparément.</x:v>
      </x:c>
      <x:c r="O23" s="9" t="str">
        <x:v>ME2-SQ-FIRE-COLD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ME2-QA-SOURCES</x:v>
      </x:c>
      <x:c r="B24" s="7" t="str">
        <x:v>QA — titres et provenance</x:v>
      </x:c>
      <x:c r="C24" s="15" t="str">
        <x:v>Défini</x:v>
      </x:c>
      <x:c r="D24" s="17" t="str">
        <x:v>Extrapolation</x:v>
      </x:c>
      <x:c r="E24" s="17" t="str">
        <x:v>P1</x:v>
      </x:c>
      <x:c r="F24" s="7" t="str">
        <x:v>Livrable original proposé : QA — titres et provenance.</x:v>
      </x:c>
      <x:c r="G24" s="7" t="str">
        <x:v>Pour chaque fait dépassant le simple index, vérifier une page spécifique ou une capture en jeu avant validation du canon ; corriger la traduction française indépendamment.</x:v>
      </x:c>
      <x:c r="H24" s="7" t="str">
        <x:v>Pour chaque fait dépassant le simple index, vérifier une page spécifique ou une capture en jeu avant validation du canon ; corriger la traduction française indépendamment.</x:v>
      </x:c>
      <x:c r="I24" s="7" t="str">
        <x:v>Registre source, date et édition.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me2/qa/sources ; rattacher les ressources et états cités à cet identifiant. Aucun fichier de jeu créé par ce catalogue.</x:v>
      </x:c>
      <x:c r="M24" s="7" t="str"/>
      <x:c r="N24" s="7" t="str">
        <x:v>Le livrable « QA — titres et provenance » possède une scène ou un scénario de contrôle ; ses règles proposées, ses conditions et ses retours visuels sont vérifiables séparément.</x:v>
      </x:c>
      <x:c r="O24" s="7" t="str">
        <x:v>ME2-SYS-EDITION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ME2-QA-VISUAL</x:v>
      </x:c>
      <x:c r="B25" s="9" t="str">
        <x:v>QA — sprites sur décors 3D</x:v>
      </x:c>
      <x:c r="C25" s="15" t="str">
        <x:v>Défini</x:v>
      </x:c>
      <x:c r="D25" s="16" t="str">
        <x:v>Extrapolation</x:v>
      </x:c>
      <x:c r="E25" s="16" t="str">
        <x:v>P1</x:v>
      </x:c>
      <x:c r="F25" s="9" t="str">
        <x:v>Livrable original proposé : QA — sprites sur décors 3D.</x:v>
      </x:c>
      <x:c r="G25" s="9" t="str">
        <x:v>Tester les huit directions proposées, couverts translucides et grands ennemis ; aucun masque ne cache un télégraphe essentiel.</x:v>
      </x:c>
      <x:c r="H25" s="9" t="str">
        <x:v>Tester les huit directions proposées, couverts translucides et grands ennemis ; aucun masque ne cache un télégraphe essentiel.</x:v>
      </x:c>
      <x:c r="I25" s="9" t="str">
        <x:v>Mosaïque de scènes de lisibilité.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me2/qa/visual ; rattacher les ressources et états cités à cet identifiant. Aucun fichier de jeu créé par ce catalogue.</x:v>
      </x:c>
      <x:c r="M25" s="9" t="str"/>
      <x:c r="N25" s="9" t="str">
        <x:v>Le livrable « QA — sprites sur décors 3D » possède une scène ou un scénario de contrôle ; ses règles proposées, ses conditions et ses retours visuels sont vérifiables séparément.</x:v>
      </x:c>
      <x:c r="O25" s="9" t="str">
        <x:v>ME2-SYS-PHOTO</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ME2-QA-ACCESS</x:v>
      </x:c>
      <x:c r="B26" s="7" t="str">
        <x:v>QA — sans son et effets réduits</x:v>
      </x:c>
      <x:c r="C26" s="15" t="str">
        <x:v>Défini</x:v>
      </x:c>
      <x:c r="D26" s="17" t="str">
        <x:v>Extrapolation</x:v>
      </x:c>
      <x:c r="E26" s="17" t="str">
        <x:v>P1</x:v>
      </x:c>
      <x:c r="F26" s="7" t="str">
        <x:v>Livrable original proposé : QA — sans son et effets réduits.</x:v>
      </x:c>
      <x:c r="G26" s="7" t="str">
        <x:v>Terminer un duel Praetorian, une poursuite et une interruption avec son coupé et flash réduit ; toutes les informations tactiques restent disponibles.</x:v>
      </x:c>
      <x:c r="H26" s="7" t="str">
        <x:v>Terminer un duel Praetorian, une poursuite et une interruption avec son coupé et flash réduit ; toutes les informations tactiques restent disponibles.</x:v>
      </x:c>
      <x:c r="I26" s="7" t="str">
        <x:v>Icônes, sous-titres et réglages.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me2/qa/access ; rattacher les ressources et états cités à cet identifiant. Aucun fichier de jeu créé par ce catalogue.</x:v>
      </x:c>
      <x:c r="M26" s="7" t="str"/>
      <x:c r="N26" s="7" t="str">
        <x:v>Le livrable « QA — sans son et effets réduits » possède une scène ou un scénario de contrôle ; ses règles proposées, ses conditions et ses retours visuels sont vérifiables séparément.</x:v>
      </x:c>
      <x:c r="O26" s="7" t="str">
        <x:v>ME2-VFX-HAGALAZ, ME2-AUD-PRAETORIAN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6" priority="1" operator="equal">
      <x:formula>"À vérifier"</x:formula>
    </x:cfRule>
    <x:cfRule type="cellIs" dxfId="97" priority="2" operator="equal">
      <x:formula>"Extrapolation"</x:formula>
    </x:cfRule>
  </x:conditionalFormatting>
  <x:conditionalFormatting sqref="C7:C26">
    <x:cfRule type="cellIs" dxfId="98" priority="3" operator="equal">
      <x:formula>"Validé"</x:formula>
    </x:cfRule>
  </x:conditionalFormatting>
  <x:conditionalFormatting sqref="E7:E26">
    <x:cfRule type="cellIs" dxfId="9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41c85be1e7344fe2"/>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2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ME2-CON-IMPORT-ME1</x:v>
      </x:c>
      <x:c r="B7" s="9" t="str">
        <x:v>Import ME1 : Virmire, Conseil, relations</x:v>
      </x:c>
      <x:c r="C7" s="15" t="str">
        <x:v>Défini</x:v>
      </x:c>
      <x:c r="D7" s="16" t="str">
        <x:v>Établi</x:v>
      </x:c>
      <x:c r="E7" s="16" t="str">
        <x:v>P1</x:v>
      </x:c>
      <x:c r="F7" s="9" t="str">
        <x:v>Des choix précédents sont importés.</x:v>
      </x:c>
      <x:c r="G7" s="9" t="str">
        <x:v>Schéma de sauvegarde sans défaut silencieux ; trois groupes de variables et origine de chaque valeur.</x:v>
      </x:c>
      <x:c r="H7" s="9" t="str">
        <x:v>Schéma de sauvegarde sans défaut silencieux ; trois groupes de variables et origine de chaque valeur.</x:v>
      </x:c>
      <x:c r="I7" s="9" t="str">
        <x:v>Table d’import lisible.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me2/continuity/import-me1 ; rattacher les ressources et états cités à cet identifiant. Aucun fichier de jeu créé par ce catalogue.</x:v>
      </x:c>
      <x:c r="M7" s="9" t="str">
        <x:v>Parties sans import utilisent un profil explicite.</x:v>
      </x:c>
      <x:c r="N7" s="9" t="str">
        <x:v>Le livrable « Import ME1 : Virmire, Conseil, relations » possède une scène ou un scénario de contrôle ; ses règles proposées, ses conditions et ses retours visuels sont vérifiables séparément.</x:v>
      </x:c>
      <x:c r="O7" s="9" t="str"/>
      <x:c r="P7" s="9" t="str">
        <x:v>Import ME1 : Virmire, Conseil, relations</x:v>
      </x:c>
      <x:c r="Q7" s="9" t="str">
        <x:v>ME2-SRC-SAVE</x:v>
      </x:c>
      <x:c r="R7" s="9" t="str">
        <x:v>https://masseffect.fandom.com/wiki/Save_File_Transfer</x:v>
      </x:c>
      <x:c r="S7" s="9" t="str">
        <x:v>Spécification à réaliser. Les champs adaptation, gameplay, visual, animation, audio et implementation décrivent le fan game ; ils ne donnent pas des caractéristiques officielles de l’œuvre.</x:v>
      </x:c>
    </x:row>
    <x:row r="8" ht="68" customHeight="1">
      <x:c r="A8" s="19" t="str">
        <x:v>ME2-CON-SHEPARD</x:v>
      </x:c>
      <x:c r="B8" s="7" t="str">
        <x:v>Shepard : identité conservée</x:v>
      </x:c>
      <x:c r="C8" s="15" t="str">
        <x:v>Défini</x:v>
      </x:c>
      <x:c r="D8" s="17" t="str">
        <x:v>Établi</x:v>
      </x:c>
      <x:c r="E8" s="17" t="str">
        <x:v>P1</x:v>
      </x:c>
      <x:c r="F8" s="7" t="str">
        <x:v>La personnalisation traverse la trilogie.</x:v>
      </x:c>
      <x:c r="G8" s="7" t="str">
        <x:v>Conserver nom, genre joué et visage ; cicatrices ME2 comme calque et non remplacement d’identité.</x:v>
      </x:c>
      <x:c r="H8" s="7" t="str">
        <x:v>Conserver nom, genre joué et visage ; cicatrices ME2 comme calque et non remplacement d’identité.</x:v>
      </x:c>
      <x:c r="I8" s="7" t="str">
        <x:v>Portraits cohérents entre scènes.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me2/continuity/shepard ; rattacher les ressources et états cités à cet identifiant. Aucun fichier de jeu créé par ce catalogue.</x:v>
      </x:c>
      <x:c r="M8" s="7" t="str"/>
      <x:c r="N8" s="7" t="str">
        <x:v>Le livrable « Shepard : identité conservée » possède une scène ou un scénario de contrôle ; ses règles proposées, ses conditions et ses retours visuels sont vérifiables séparément.</x:v>
      </x:c>
      <x:c r="O8" s="7" t="str"/>
      <x:c r="P8" s="7" t="str">
        <x:v>Shepard : identité conservée</x:v>
      </x:c>
      <x:c r="Q8" s="7" t="str">
        <x:v>ME2-SRC-EA-LE, ME2-SRC-EA-CAL</x:v>
      </x:c>
      <x:c r="R8" s="7" t="str">
        <x:v>https://www.ea.com/fr/games/mass-effect/mass-effect-legendary-edition
https://www.ea.com/ea-play/news/gameplay-calibrations</x:v>
      </x:c>
      <x:c r="S8" s="7" t="str">
        <x:v>Spécification à réaliser. Les champs adaptation, gameplay, visual, animation, audio et implementation décrivent le fan game ; ils ne donnent pas des caractéristiques officielles de l’œuvre.</x:v>
      </x:c>
    </x:row>
    <x:row r="9" ht="68" customHeight="1">
      <x:c r="A9" s="18" t="str">
        <x:v>ME2-CON-SURVIVORS</x:v>
      </x:c>
      <x:c r="B9" s="9" t="str">
        <x:v>Survivants exportés vers ME3</x:v>
      </x:c>
      <x:c r="C9" s="15" t="str">
        <x:v>Défini</x:v>
      </x:c>
      <x:c r="D9" s="16" t="str">
        <x:v>Établi</x:v>
      </x:c>
      <x:c r="E9" s="16" t="str">
        <x:v>P1</x:v>
      </x:c>
      <x:c r="F9" s="9" t="str">
        <x:v>La mission suicide peut coûter des équipiers.</x:v>
      </x:c>
      <x:c r="G9" s="9" t="str">
        <x:v>Exporter chaque mort et chaque absence séparément ; ne pas ressusciter un personnage pour une scène de fan game.</x:v>
      </x:c>
      <x:c r="H9" s="9" t="str">
        <x:v>Exporter chaque mort et chaque absence séparément ; ne pas ressusciter un personnage pour une scène de fan game.</x:v>
      </x:c>
      <x:c r="I9" s="9" t="str">
        <x:v>Table par personne et cause.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me2/continuity/survivors ; rattacher les ressources et états cités à cet identifiant. Aucun fichier de jeu créé par ce catalogue.</x:v>
      </x:c>
      <x:c r="M9" s="9" t="str">
        <x:v>Validation narrative ME3 nécessaire.</x:v>
      </x:c>
      <x:c r="N9" s="9" t="str">
        <x:v>Le livrable « Survivants exportés vers ME3 » possède une scène ou un scénario de contrôle ; ses règles proposées, ses conditions et ses retours visuels sont vérifiables séparément.</x:v>
      </x:c>
      <x:c r="O9" s="9" t="str"/>
      <x:c r="P9" s="9" t="str">
        <x:v>Survivants exportés vers ME3</x:v>
      </x:c>
      <x:c r="Q9" s="9" t="str">
        <x:v>ME2-SRC-SAVE</x:v>
      </x:c>
      <x:c r="R9" s="9" t="str">
        <x:v>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ME2-CON-MORDIN</x:v>
      </x:c>
      <x:c r="B10" s="7" t="str">
        <x:v>Données de Maelon vers ME3</x:v>
      </x:c>
      <x:c r="C10" s="15" t="str">
        <x:v>Défini</x:v>
      </x:c>
      <x:c r="D10" s="17" t="str">
        <x:v>Établi</x:v>
      </x:c>
      <x:c r="E10" s="17" t="str">
        <x:v>P1</x:v>
      </x:c>
      <x:c r="F10" s="7" t="str">
        <x:v>La recherche fait partie des décisions suivies.</x:v>
      </x:c>
      <x:c r="G10" s="7" t="str">
        <x:v>Transmettre état de données distinct de survie de Maelon, Mordin et loyauté.</x:v>
      </x:c>
      <x:c r="H10" s="7" t="str">
        <x:v>Transmettre état de données distinct de survie de Maelon, Mordin et loyauté.</x:v>
      </x:c>
      <x:c r="I10" s="7" t="str">
        <x:v>Dossier médical scellé.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me2/continuity/mordin ; rattacher les ressources et états cités à cet identifiant. Aucun fichier de jeu créé par ce catalogue.</x:v>
      </x:c>
      <x:c r="M10" s="7" t="str"/>
      <x:c r="N10" s="7" t="str">
        <x:v>Le livrable « Données de Maelon vers ME3 » possède une scène ou un scénario de contrôle ; ses règles proposées, ses conditions et ses retours visuels sont vérifiables séparément.</x:v>
      </x:c>
      <x:c r="O10" s="7" t="str"/>
      <x:c r="P10" s="7" t="str">
        <x:v>Données de Maelon vers ME3</x:v>
      </x:c>
      <x:c r="Q10" s="7" t="str">
        <x:v>ME2-SRC-MORDIN, ME2-SRC-SAVE</x:v>
      </x:c>
      <x:c r="R10" s="7" t="str">
        <x:v>https://masseffect.fandom.com/wiki/Mordin%3A_Old_Blood
https://masseffect.fandom.com/wiki/Save_File_Transfer</x:v>
      </x:c>
      <x:c r="S10" s="7" t="str">
        <x:v>Spécification à réaliser. Les champs adaptation, gameplay, visual, animation, audio et implementation décrivent le fan game ; ils ne donnent pas des caractéristiques officielles de l’œuvre.</x:v>
      </x:c>
    </x:row>
    <x:row r="11" ht="68" customHeight="1">
      <x:c r="A11" s="18" t="str">
        <x:v>ME2-CON-GETH</x:v>
      </x:c>
      <x:c r="B11" s="9" t="str">
        <x:v>Hérétiques et relation Tali/Legion</x:v>
      </x:c>
      <x:c r="C11" s="15" t="str">
        <x:v>Défini</x:v>
      </x:c>
      <x:c r="D11" s="16" t="str">
        <x:v>Établi</x:v>
      </x:c>
      <x:c r="E11" s="16" t="str">
        <x:v>P1</x:v>
      </x:c>
      <x:c r="F11" s="9" t="str">
        <x:v>Les choix participent à la continuité geth.</x:v>
      </x:c>
      <x:c r="G11" s="9" t="str">
        <x:v>Exporter réécriture/destruction, survie et médiation sous clés séparées ; aucun score de paix inventé.</x:v>
      </x:c>
      <x:c r="H11" s="9" t="str">
        <x:v>Exporter réécriture/destruction, survie et médiation sous clés séparées ; aucun score de paix inventé.</x:v>
      </x:c>
      <x:c r="I11" s="9" t="str">
        <x:v>Schéma de trois sources d’état.</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me2/continuity/geth ; rattacher les ressources et états cités à cet identifiant. Aucun fichier de jeu créé par ce catalogue.</x:v>
      </x:c>
      <x:c r="M11" s="9" t="str"/>
      <x:c r="N11" s="9" t="str">
        <x:v>Le livrable « Hérétiques et relation Tali/Legion » possède une scène ou un scénario de contrôle ; ses règles proposées, ses conditions et ses retours visuels sont vérifiables séparément.</x:v>
      </x:c>
      <x:c r="O11" s="9" t="str"/>
      <x:c r="P11" s="9" t="str">
        <x:v>Hérétiques et relation Tali/Legion</x:v>
      </x:c>
      <x:c r="Q11" s="9" t="str">
        <x:v>ME2-SRC-LEGION, ME2-SRC-SAVE</x:v>
      </x:c>
      <x:c r="R11" s="9" t="str">
        <x:v>https://masseffect.fandom.com/wiki/Legion%3A_A_House_Divided
https://masseffect.fandom.com/wiki/Save_File_Transfer</x:v>
      </x:c>
      <x:c r="S11" s="9" t="str">
        <x:v>Spécification à réaliser. Les champs adaptation, gameplay, visual, animation, audio et implementation décrivent le fan game ; ils ne donnent pas des caractéristiques officielles de l’œuvre.</x:v>
      </x:c>
    </x:row>
    <x:row r="12" ht="68" customHeight="1">
      <x:c r="A12" s="19" t="str">
        <x:v>ME2-CON-BROKER</x:v>
      </x:c>
      <x:c r="B12" s="7" t="str">
        <x:v>Liara après Shadow Broker</x:v>
      </x:c>
      <x:c r="C12" s="15" t="str">
        <x:v>Défini</x:v>
      </x:c>
      <x:c r="D12" s="17" t="str">
        <x:v>Établi</x:v>
      </x:c>
      <x:c r="E12" s="17" t="str">
        <x:v>P1</x:v>
      </x:c>
      <x:c r="F12" s="7" t="str">
        <x:v>Liara prend le rôle du Courtier.</x:v>
      </x:c>
      <x:c r="G12" s="7" t="str">
        <x:v>Après l’extension, changer le rôle et le lieu de contact sans rendre tous les dossiers publics.</x:v>
      </x:c>
      <x:c r="H12" s="7" t="str">
        <x:v>Après l’extension, changer le rôle et le lieu de contact sans rendre tous les dossiers publics.</x:v>
      </x:c>
      <x:c r="I12" s="7" t="str">
        <x:v>Portrait et titre actualisés.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me2/continuity/broker ; rattacher les ressources et états cités à cet identifiant. Aucun fichier de jeu créé par ce catalogue.</x:v>
      </x:c>
      <x:c r="M12" s="7" t="str"/>
      <x:c r="N12" s="7" t="str">
        <x:v>Le livrable « Liara après Shadow Broker » possède une scène ou un scénario de contrôle ; ses règles proposées, ses conditions et ses retours visuels sont vérifiables séparément.</x:v>
      </x:c>
      <x:c r="O12" s="7" t="str"/>
      <x:c r="P12" s="7" t="str">
        <x:v>Liara après Shadow Broker</x:v>
      </x:c>
      <x:c r="Q12" s="7" t="str">
        <x:v>ME2-SRC-SHADOW</x:v>
      </x:c>
      <x:c r="R12" s="7" t="str">
        <x:v>https://masseffect.fandom.com/wiki/Lair_of_the_Shadow_Broker_%28mission%29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ME2-CON-DAVID</x:v>
      </x:c>
      <x:c r="B13" s="9" t="str">
        <x:v>David après Overlord</x:v>
      </x:c>
      <x:c r="C13" s="15" t="str">
        <x:v>Défini</x:v>
      </x:c>
      <x:c r="D13" s="16" t="str">
        <x:v>Établi</x:v>
      </x:c>
      <x:c r="E13" s="16" t="str">
        <x:v>P1</x:v>
      </x:c>
      <x:c r="F13" s="9" t="str">
        <x:v>Son sort peut changer.</x:v>
      </x:c>
      <x:c r="G13" s="9" t="str">
        <x:v>Exporter décision de protection et réalisation de la mission ; ne pas supposer une même situation dans tous les futurs.</x:v>
      </x:c>
      <x:c r="H13" s="9" t="str">
        <x:v>Exporter décision de protection et réalisation de la mission ; ne pas supposer une même situation dans tous les futurs.</x:v>
      </x:c>
      <x:c r="I13" s="9" t="str">
        <x:v>Dossier personnel à état discret.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me2/continuity/david ; rattacher les ressources et états cités à cet identifiant. Aucun fichier de jeu créé par ce catalogue.</x:v>
      </x:c>
      <x:c r="M13" s="9" t="str"/>
      <x:c r="N13" s="9" t="str">
        <x:v>Le livrable « David après Overlord » possède une scène ou un scénario de contrôle ; ses règles proposées, ses conditions et ses retours visuels sont vérifiables séparément.</x:v>
      </x:c>
      <x:c r="O13" s="9" t="str"/>
      <x:c r="P13" s="9" t="str">
        <x:v>David après Overlord</x:v>
      </x:c>
      <x:c r="Q13" s="9" t="str">
        <x:v>ME2-SRC-ATLAS</x:v>
      </x:c>
      <x:c r="R13" s="9" t="str">
        <x:v>https://masseffect.fandom.com/wiki/Atlas_Station</x:v>
      </x:c>
      <x:c r="S13" s="9" t="str">
        <x:v>Spécification à réaliser. Les champs adaptation, gameplay, visual, animation, audio et implementation décrivent le fan game ; ils ne donnent pas des caractéristiques officielles de l’œuvre.</x:v>
      </x:c>
    </x:row>
    <x:row r="14" ht="68" customHeight="1">
      <x:c r="A14" s="19" t="str">
        <x:v>ME2-CON-ARRIVAL</x:v>
      </x:c>
      <x:c r="B14" s="7" t="str">
        <x:v>Conséquence du relais Alpha</x:v>
      </x:c>
      <x:c r="C14" s="15" t="str">
        <x:v>Défini</x:v>
      </x:c>
      <x:c r="D14" s="17" t="str">
        <x:v>Établi</x:v>
      </x:c>
      <x:c r="E14" s="17" t="str">
        <x:v>P1</x:v>
      </x:c>
      <x:c r="F14" s="7" t="str">
        <x:v>Bahak est détruit dans Arrival.</x:v>
      </x:c>
      <x:c r="G14" s="7" t="str">
        <x:v>Enregistrer mission faite et conséquence ; ne pas imposer la présence du DLC à une partie originale qui ne l’avait pas.</x:v>
      </x:c>
      <x:c r="H14" s="7" t="str">
        <x:v>Enregistrer mission faite et conséquence ; ne pas imposer la présence du DLC à une partie originale qui ne l’avait pas.</x:v>
      </x:c>
      <x:c r="I14" s="7" t="str">
        <x:v>Carte barrée et compte rendu.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me2/continuity/arrival ; rattacher les ressources et états cités à cet identifiant. Aucun fichier de jeu créé par ce catalogue.</x:v>
      </x:c>
      <x:c r="M14" s="7" t="str">
        <x:v>Le raccord sans DLC doit être vérifié dans ME3.</x:v>
      </x:c>
      <x:c r="N14" s="7" t="str">
        <x:v>Le livrable « Conséquence du relais Alpha » possède une scène ou un scénario de contrôle ; ses règles proposées, ses conditions et ses retours visuels sont vérifiables séparément.</x:v>
      </x:c>
      <x:c r="O14" s="7" t="str"/>
      <x:c r="P14" s="7" t="str">
        <x:v>Conséquence du relais Alpha</x:v>
      </x:c>
      <x:c r="Q14" s="7" t="str">
        <x:v>ME2-SRC-ARRIVAL</x:v>
      </x:c>
      <x:c r="R14" s="7" t="str">
        <x:v>https://masseffect.fandom.com/wiki/Arrival_%28assignment%29</x:v>
      </x:c>
      <x:c r="S14" s="7" t="str">
        <x:v>Spécification à réaliser. Les champs adaptation, gameplay, visual, animation, audio et implementation décrivent le fan game ; ils ne donnent pas des caractéristiques officielles de l’œuvre.</x:v>
      </x:c>
    </x:row>
    <x:row r="15" ht="68" customHeight="1">
      <x:c r="A15" s="18" t="str">
        <x:v>ME2-CON-KASUMI</x:v>
      </x:c>
      <x:c r="B15" s="9" t="str">
        <x:v>Graybox et mémoire de Kasumi</x:v>
      </x:c>
      <x:c r="C15" s="15" t="str">
        <x:v>Défini</x:v>
      </x:c>
      <x:c r="D15" s="16" t="str">
        <x:v>Établi</x:v>
      </x:c>
      <x:c r="E15" s="16" t="str">
        <x:v>P1</x:v>
      </x:c>
      <x:c r="F15" s="9" t="str">
        <x:v>Conserver ou effacer donne deux états.</x:v>
      </x:c>
      <x:c r="G15" s="9" t="str">
        <x:v>Exporter choix sans fabriquer un partenaire vivant ; dialogues ultérieurs respectent le souvenir.</x:v>
      </x:c>
      <x:c r="H15" s="9" t="str">
        <x:v>Exporter choix sans fabriquer un partenaire vivant ; dialogues ultérieurs respectent le souvenir.</x:v>
      </x:c>
      <x:c r="I15" s="9" t="str">
        <x:v>Icône graybox intact/effacé.</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me2/continuity/kasumi ; rattacher les ressources et états cités à cet identifiant. Aucun fichier de jeu créé par ce catalogue.</x:v>
      </x:c>
      <x:c r="M15" s="9" t="str"/>
      <x:c r="N15" s="9" t="str">
        <x:v>Le livrable « Graybox et mémoire de Kasumi » possède une scène ou un scénario de contrôle ; ses règles proposées, ses conditions et ses retours visuels sont vérifiables séparément.</x:v>
      </x:c>
      <x:c r="O15" s="9" t="str"/>
      <x:c r="P15" s="9" t="str">
        <x:v>Graybox et mémoire de Kasumi</x:v>
      </x:c>
      <x:c r="Q15" s="9" t="str">
        <x:v>ME2-SRC-KASUMI</x:v>
      </x:c>
      <x:c r="R15" s="9" t="str">
        <x:v>https://masseffect.fandom.com/wiki/Kasumi%3A_Stealing_Memory</x:v>
      </x:c>
      <x:c r="S15" s="9" t="str">
        <x:v>Spécification à réaliser. Les champs adaptation, gameplay, visual, animation, audio et implementation décrivent le fan game ; ils ne donnent pas des caractéristiques officielles de l’œuvre.</x:v>
      </x:c>
    </x:row>
    <x:row r="16" ht="68" customHeight="1">
      <x:c r="A16" s="19" t="str">
        <x:v>ME2-CON-ZAEED</x:v>
      </x:c>
      <x:c r="B16" s="7" t="str">
        <x:v>Loyauté et sort de Zaeed</x:v>
      </x:c>
      <x:c r="C16" s="15" t="str">
        <x:v>Défini</x:v>
      </x:c>
      <x:c r="D16" s="17" t="str">
        <x:v>Établi</x:v>
      </x:c>
      <x:c r="E16" s="17" t="str">
        <x:v>P1</x:v>
      </x:c>
      <x:c r="F16" s="7" t="str">
        <x:v>L’arc comporte des variantes.</x:v>
      </x:c>
      <x:c r="G16" s="7" t="str">
        <x:v>Dissocier recrutement, loyauté, Vido et survie finale ; chaque absence a une cause propre.</x:v>
      </x:c>
      <x:c r="H16" s="7" t="str">
        <x:v>Dissocier recrutement, loyauté, Vido et survie finale ; chaque absence a une cause propre.</x:v>
      </x:c>
      <x:c r="I16" s="7" t="str">
        <x:v>Table d’états mercenaire.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me2/continuity/zaeed ; rattacher les ressources et états cités à cet identifiant. Aucun fichier de jeu créé par ce catalogue.</x:v>
      </x:c>
      <x:c r="M16" s="7" t="str"/>
      <x:c r="N16" s="7" t="str">
        <x:v>Le livrable « Loyauté et sort de Zaeed » possède une scène ou un scénario de contrôle ; ses règles proposées, ses conditions et ses retours visuels sont vérifiables séparément.</x:v>
      </x:c>
      <x:c r="O16" s="7" t="str"/>
      <x:c r="P16" s="7" t="str">
        <x:v>Loyauté et sort de Zaeed</x:v>
      </x:c>
      <x:c r="Q16" s="7" t="str">
        <x:v>ME2-SRC-ZAEED</x:v>
      </x:c>
      <x:c r="R16" s="7" t="str">
        <x:v>https://masseffect.fandom.com/wiki/Zaeed%3A_The_Price_of_Revenge</x:v>
      </x:c>
      <x:c r="S16" s="7" t="str">
        <x:v>Spécification à réaliser. Les champs adaptation, gameplay, visual, animation, audio et implementation décrivent le fan game ; ils ne donnent pas des caractéristiques officielles de l’œuvre.</x:v>
      </x:c>
    </x:row>
    <x:row r="17" ht="68" customHeight="1">
      <x:c r="A17" s="18" t="str">
        <x:v>ME2-CON-LEGENDARY</x:v>
      </x:c>
      <x:c r="B17" s="9" t="str">
        <x:v>Différences de distribution DLC</x:v>
      </x:c>
      <x:c r="C17" s="15" t="str">
        <x:v>Défini</x:v>
      </x:c>
      <x:c r="D17" s="16" t="str">
        <x:v>Établi</x:v>
      </x:c>
      <x:c r="E17" s="16" t="str">
        <x:v>P1</x:v>
      </x:c>
      <x:c r="F17" s="9" t="str">
        <x:v>Legendary intègre les équipements différemment.</x:v>
      </x:c>
      <x:c r="G17" s="9" t="str">
        <x:v>Maintenir deux profils d’acquisition ; ne pas recopier le cadeau immédiat de l’original dans toutes les boutiques.</x:v>
      </x:c>
      <x:c r="H17" s="9" t="str">
        <x:v>Maintenir deux profils d’acquisition ; ne pas recopier le cadeau immédiat de l’original dans toutes les boutiques.</x:v>
      </x:c>
      <x:c r="I17" s="9" t="str">
        <x:v>Étiquette d’édition visible.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me2/continuity/legendary ; rattacher les ressources et états cités à cet identifiant. Aucun fichier de jeu créé par ce catalogue.</x:v>
      </x:c>
      <x:c r="M17" s="9" t="str"/>
      <x:c r="N17" s="9" t="str">
        <x:v>Le livrable « Différences de distribution DLC » possède une scène ou un scénario de contrôle ; ses règles proposées, ses conditions et ses retours visuels sont vérifiables séparément.</x:v>
      </x:c>
      <x:c r="O17" s="9" t="str"/>
      <x:c r="P17" s="9" t="str">
        <x:v>Différences de distribution DLC</x:v>
      </x:c>
      <x:c r="Q17" s="9" t="str">
        <x:v>ME2-SRC-EA-CAL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ME2-CON-GENESIS</x:v>
      </x:c>
      <x:c r="B18" s="7" t="str">
        <x:v>Genesis comme récapitulatif</x:v>
      </x:c>
      <x:c r="C18" s="15" t="str">
        <x:v>Défini</x:v>
      </x:c>
      <x:c r="D18" s="17" t="str">
        <x:v>Établi</x:v>
      </x:c>
      <x:c r="E18" s="17" t="str">
        <x:v>P1</x:v>
      </x:c>
      <x:c r="F18" s="7" t="str">
        <x:v>Legendary intègre les comics interactifs Genesis.</x:v>
      </x:c>
      <x:c r="G18" s="7" t="str">
        <x:v>Séparer ce récapitulatif d’une mission jouable nouvelle ; profil d’import couvre uniquement les choix réellement proposés.</x:v>
      </x:c>
      <x:c r="H18" s="7" t="str">
        <x:v>Séparer ce récapitulatif d’une mission jouable nouvelle ; profil d’import couvre uniquement les choix réellement proposés.</x:v>
      </x:c>
      <x:c r="I18" s="7" t="str">
        <x:v>Frise d’images et choix résumés.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me2/continuity/genesis ; rattacher les ressources et états cités à cet identifiant. Aucun fichier de jeu créé par ce catalogue.</x:v>
      </x:c>
      <x:c r="M18" s="7" t="str"/>
      <x:c r="N18" s="7" t="str">
        <x:v>Le livrable « Genesis comme récapitulatif » possède une scène ou un scénario de contrôle ; ses règles proposées, ses conditions et ses retours visuels sont vérifiables séparément.</x:v>
      </x:c>
      <x:c r="O18" s="7" t="str"/>
      <x:c r="P18" s="7" t="str">
        <x:v>Genesis comme récapitulatif</x:v>
      </x:c>
      <x:c r="Q18" s="7" t="str">
        <x:v>ME2-SRC-EA-CAL</x:v>
      </x:c>
      <x:c r="R18" s="7" t="str">
        <x:v>https://www.ea.com/ea-play/news/gameplay-calibrations</x:v>
      </x:c>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100" priority="1" operator="equal">
      <x:formula>"À vérifier"</x:formula>
    </x:cfRule>
    <x:cfRule type="cellIs" dxfId="101" priority="2" operator="equal">
      <x:formula>"Extrapolation"</x:formula>
    </x:cfRule>
  </x:conditionalFormatting>
  <x:conditionalFormatting sqref="C7:C18">
    <x:cfRule type="cellIs" dxfId="102" priority="3" operator="equal">
      <x:formula>"Validé"</x:formula>
    </x:cfRule>
  </x:conditionalFormatting>
  <x:conditionalFormatting sqref="E7:E18">
    <x:cfRule type="cellIs" dxfId="103"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7cd874875c447e9"/>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2</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2</x:v>
      </x:c>
      <x:c r="C7" s="2"/>
      <x:c r="D7" s="2"/>
      <x:c r="E7" s="2"/>
      <x:c r="F7" s="2"/>
    </x:row>
    <x:row r="8" ht="30" customHeight="1">
      <x:c r="A8" s="7" t="str">
        <x:v>Support</x:v>
      </x:c>
      <x:c r="B8" s="7" t="str">
        <x:v>Jeu vidéo</x:v>
      </x:c>
      <x:c r="C8" s="2"/>
      <x:c r="D8" s="2"/>
      <x:c r="E8" s="2"/>
      <x:c r="F8" s="2"/>
    </x:row>
    <x:row r="9" ht="82" customHeight="1">
      <x:c r="A9" s="7" t="str">
        <x:v>Périmètre</x:v>
      </x:c>
      <x:c r="B9" s="7" t="str">
        <x:v>Campagne solo ME2 et Legendary Edition ; recrutements, loyautés, affectations N7 et hubs ; Kasumi, Zaeed, Normandy Crash Site, Firewalker, Overlord, Lair of the Shadow Broker et Arrival. Genesis est identifié comme récapitulatif interactif ; aucun mode multijoueur ME2 ajouté au canon.</x:v>
      </x:c>
      <x:c r="C9" s="2"/>
      <x:c r="D9" s="2"/>
      <x:c r="E9" s="2"/>
      <x:c r="F9" s="2"/>
    </x:row>
    <x:row r="10" ht="54" customHeight="1">
      <x:c r="A10" s="7" t="str">
        <x:v>Projet</x:v>
      </x:c>
      <x:c r="B10" s="7" t="str">
        <x:v>670 fiches de production ; 43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ME2-SRC-EA-LE</x:v>
      </x:c>
      <x:c r="B27" s="6" t="str">
        <x:v>Mass Effect Legendary Edition — EA</x:v>
      </x:c>
      <x:c r="C27" s="6" t="str">
        <x:v>source officielle</x:v>
      </x:c>
      <x:c r="D27" s="6" t="str">
        <x:v>https://www.ea.com/fr/games/mass-effect/mass-effect-legendary-edition</x:v>
      </x:c>
      <x:c r="E27" s="6" t="str">
        <x:v>Périmètre de la collection solo et DLC</x:v>
      </x:c>
      <x:c r="F27" s="6" t="str">
        <x:v>Source officielle consultée le 22 octobre 2026 ; portée limitée au sujet annoncé.</x:v>
      </x:c>
    </x:row>
    <x:row r="28" ht="42" customHeight="1">
      <x:c r="A28" s="6" t="str">
        <x:v>ME2-SRC-EA-CAL</x:v>
      </x:c>
      <x:c r="B28" s="6" t="str">
        <x:v>Gameplay Calibrations — BioWare / EA</x:v>
      </x:c>
      <x:c r="C28" s="6" t="str">
        <x:v>source officielle</x:v>
      </x:c>
      <x:c r="D28" s="6" t="str">
        <x:v>https://www.ea.com/ea-play/news/gameplay-calibrations</x:v>
      </x:c>
      <x:c r="E28" s="6" t="str">
        <x:v>Différences Legendary : clips, moralité, intégration des équipements DLC</x:v>
      </x:c>
      <x:c r="F28" s="6" t="str">
        <x:v>Source officielle consultée le 22 octobre 2026 ; portée limitée au sujet annoncé.</x:v>
      </x:c>
    </x:row>
    <x:row r="29" ht="42" customHeight="1">
      <x:c r="A29" s="6" t="str">
        <x:v>ME2-SRC-EA-DLC</x:v>
      </x:c>
      <x:c r="B29" s="6" t="str">
        <x:v>How to download and buy DLC for classic EA games</x:v>
      </x:c>
      <x:c r="C29" s="6" t="str">
        <x:v>source officielle</x:v>
      </x:c>
      <x:c r="D29" s="6" t="str">
        <x:v>https://help.ea.com/en//articles/orders-and-rewards/dlc-for-classic-games/</x:v>
      </x:c>
      <x:c r="E29" s="6" t="str">
        <x:v>Noms des packs et distribution historique</x:v>
      </x:c>
      <x:c r="F29" s="6" t="str">
        <x:v>Source officielle consultée le 22 octobre 2026 ; portée limitée au sujet annoncé.</x:v>
      </x:c>
    </x:row>
    <x:row r="30" ht="54" customHeight="1">
      <x:c r="A30" s="6" t="str">
        <x:v>ME2-SRC-EA-SHADOW</x:v>
      </x:c>
      <x:c r="B30" s="6" t="str">
        <x:v>The Battles Rage On — EA, 7 septembre 2010</x:v>
      </x:c>
      <x:c r="C30" s="6" t="str">
        <x:v>source officielle</x:v>
      </x:c>
      <x:c r="D30" s="6" t="str">
        <x:v>https://news.ea.com/press-releases/press-releases-details/2010/The-Battles-Rage-On-in-New-Downloadable-Content-for-BioWares-Dragon-Age-Origins-and-Mass-Effect-2/default.aspx</x:v>
      </x:c>
      <x:c r="E30" s="6" t="str">
        <x:v>Liara, le Courtier et le centre de renseignements</x:v>
      </x:c>
      <x:c r="F30" s="6" t="str">
        <x:v>Source officielle consultée le 22 octobre 2026 ; portée limitée au sujet annoncé.</x:v>
      </x:c>
    </x:row>
    <x:row r="31" ht="82" customHeight="1">
      <x:c r="A31" s="6" t="str">
        <x:v>ME2-SRC-GUIDE</x:v>
      </x:c>
      <x:c r="B31" s="6" t="str">
        <x:v>Mass Effect 2 Guide</x:v>
      </x:c>
      <x:c r="C31" s="6" t="str">
        <x:v>wiki</x:v>
      </x:c>
      <x:c r="D31" s="6" t="str">
        <x:v>https://masseffect.fandom.com/wiki/Mass_Effect_2_Guide</x:v>
      </x:c>
      <x:c r="E31" s="6" t="str">
        <x:v>Ordre de campagne et disponibilités</x:v>
      </x:c>
      <x:c r="F31" s="6" t="str">
        <x:v>Consulté le 22 octobre 2026 via les résultats indexés du moteur de recherche ; index communautaire secondaire, ouverture directe Fandom limitée par robots/402. Titres et faits brefs paraphrasés ; aucune capture ni validation exhaustive en jeu.</x:v>
      </x:c>
    </x:row>
    <x:row r="32" ht="82" customHeight="1">
      <x:c r="A32" s="6" t="str">
        <x:v>ME2-SRC-MISSIONS</x:v>
      </x:c>
      <x:c r="B32" s="6" t="str">
        <x:v>Missions</x:v>
      </x:c>
      <x:c r="C32" s="6" t="str">
        <x:v>wiki</x:v>
      </x:c>
      <x:c r="D32" s="6" t="str">
        <x:v>https://masseffect.fandom.com/wiki/Missions</x:v>
      </x:c>
      <x:c r="E32" s="6" t="str">
        <x:v>Intitulés des missions ME2</x:v>
      </x:c>
      <x:c r="F32" s="6" t="str">
        <x:v>Consulté le 22 octobre 2026 via les résultats indexés du moteur de recherche ; index communautaire secondaire, ouverture directe Fandom limitée par robots/402. Titres et faits brefs paraphrasés ; aucune capture ni validation exhaustive en jeu.</x:v>
      </x:c>
    </x:row>
    <x:row r="33" ht="82" customHeight="1">
      <x:c r="A33" s="6" t="str">
        <x:v>ME2-SRC-ASSIGN</x:v>
      </x:c>
      <x:c r="B33" s="6" t="str">
        <x:v>Assignments</x:v>
      </x:c>
      <x:c r="C33" s="6" t="str">
        <x:v>wiki</x:v>
      </x:c>
      <x:c r="D33" s="6" t="str">
        <x:v>https://masseffect.fandom.com/wiki/Assignments</x:v>
      </x:c>
      <x:c r="E33" s="6" t="str">
        <x:v>Index des affectations ME2 ; pas les missions coupées</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ME2-SRC-CHAR</x:v>
      </x:c>
      <x:c r="B34" s="6" t="str">
        <x:v>Characters/Mass Effect 2</x:v>
      </x:c>
      <x:c r="C34" s="6" t="str">
        <x:v>wiki</x:v>
      </x:c>
      <x:c r="D34" s="6" t="str">
        <x:v>https://masseffect.fandom.com/wiki/Characters/Mass_Effect_2</x:v>
      </x:c>
      <x:c r="E34" s="6" t="str">
        <x:v>Liste des équipiers et rôles temporaires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ME2-SRC-SQUAD</x:v>
      </x:c>
      <x:c r="B35" s="6" t="str">
        <x:v>Squad Members Guide (Mass Effect 2)</x:v>
      </x:c>
      <x:c r="C35" s="6" t="str">
        <x:v>wiki</x:v>
      </x:c>
      <x:c r="D35" s="6" t="str">
        <x:v>https://masseffect.fandom.com/wiki/Squad_Members_Guide_%28Mass_Effect_2%29</x:v>
      </x:c>
      <x:c r="E35" s="6" t="str">
        <x:v>Armes et capacités des équipiers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ME2-SRC-POWERS</x:v>
      </x:c>
      <x:c r="B36" s="6" t="str">
        <x:v>Powers</x:v>
      </x:c>
      <x:c r="C36" s="6" t="str">
        <x:v>wiki</x:v>
      </x:c>
      <x:c r="D36" s="6" t="str">
        <x:v>https://masseffect.fandom.com/wiki/Powers</x:v>
      </x:c>
      <x:c r="E36" s="6" t="str">
        <x:v>Pouvoirs de ME2 et pouvoirs de loyauté</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ME2-SRC-WEAPONS</x:v>
      </x:c>
      <x:c r="B37" s="6" t="str">
        <x:v>Weapons</x:v>
      </x:c>
      <x:c r="C37" s="6" t="str">
        <x:v>wiki</x:v>
      </x:c>
      <x:c r="D37" s="6" t="str">
        <x:v>https://masseffect.fandom.com/wiki/Weapons</x:v>
      </x:c>
      <x:c r="E37" s="6" t="str">
        <x:v>Familles et recharge par clips thermiques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ME2-SRC-HEAVY</x:v>
      </x:c>
      <x:c r="B38" s="6" t="str">
        <x:v>Heavy Weapons</x:v>
      </x:c>
      <x:c r="C38" s="6" t="str">
        <x:v>wiki</x:v>
      </x:c>
      <x:c r="D38" s="6" t="str">
        <x:v>https://masseffect.fandom.com/wiki/Heavy_Weapons</x:v>
      </x:c>
      <x:c r="E38" s="6" t="str">
        <x:v>Armes lourdes ME2</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ME2-SRC-ARMOR</x:v>
      </x:c>
      <x:c r="B39" s="6" t="str">
        <x:v>Armor Customization</x:v>
      </x:c>
      <x:c r="C39" s="6" t="str">
        <x:v>wiki</x:v>
      </x:c>
      <x:c r="D39" s="6" t="str">
        <x:v>https://masseffect.fandom.com/wiki/Armor_Customization</x:v>
      </x:c>
      <x:c r="E39" s="6" t="str">
        <x:v>Pièces et ensembles ME2</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ME2-SRC-UPGRADE</x:v>
      </x:c>
      <x:c r="B40" s="6" t="str">
        <x:v>Upgrade Guide</x:v>
      </x:c>
      <x:c r="C40" s="6" t="str">
        <x:v>wiki</x:v>
      </x:c>
      <x:c r="D40" s="6" t="str">
        <x:v>https://masseffect.fandom.com/wiki/Upgrade_Guide</x:v>
      </x:c>
      <x:c r="E40" s="6" t="str">
        <x:v>Recherche et améliorations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ME2-SRC-COMBAT</x:v>
      </x:c>
      <x:c r="B41" s="6" t="str">
        <x:v>Combat (Mass Effect 2)</x:v>
      </x:c>
      <x:c r="C41" s="6" t="str">
        <x:v>wiki</x:v>
      </x:c>
      <x:c r="D41" s="6" t="str">
        <x:v>https://masseffect.fandom.com/wiki/Combat_%28Mass_Effect_2%29</x:v>
      </x:c>
      <x:c r="E41" s="6" t="str">
        <x:v>Base du combat et ordre d’escouade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ME2-SRC-COLLECTOR</x:v>
      </x:c>
      <x:c r="B42" s="6" t="str">
        <x:v>Collector</x:v>
      </x:c>
      <x:c r="C42" s="6" t="str">
        <x:v>wiki</x:v>
      </x:c>
      <x:c r="D42" s="6" t="str">
        <x:v>https://masseffect.fandom.com/wiki/Collector</x:v>
      </x:c>
      <x:c r="E42" s="6" t="str">
        <x:v>Collecteurs et principaux types</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ME2-SRC-ENEMIES</x:v>
      </x:c>
      <x:c r="B43" s="6" t="str">
        <x:v>Prison Guard — index de bestiaire ME2</x:v>
      </x:c>
      <x:c r="C43" s="6" t="str">
        <x:v>wiki</x:v>
      </x:c>
      <x:c r="D43" s="6" t="str">
        <x:v>https://masseffect.fandom.com/wiki/Prison_Guard</x:v>
      </x:c>
      <x:c r="E43" s="6" t="str">
        <x:v>Index des unités de factions en pied de page</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ME2-SRC-PROF</x:v>
      </x:c>
      <x:c r="B44" s="6" t="str">
        <x:v>Dossier: The Professor</x:v>
      </x:c>
      <x:c r="C44" s="6" t="str">
        <x:v>wiki</x:v>
      </x:c>
      <x:c r="D44" s="6" t="str">
        <x:v>https://masseffect.fandom.com/wiki/Dossier%3A_The_Professor</x:v>
      </x:c>
      <x:c r="E44" s="6" t="str">
        <x:v>Peste d’Omega, ventilation et Mordin</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ME2-SRC-WARLORD</x:v>
      </x:c>
      <x:c r="B45" s="6" t="str">
        <x:v>Dossier: The Warlord</x:v>
      </x:c>
      <x:c r="C45" s="6" t="str">
        <x:v>wiki</x:v>
      </x:c>
      <x:c r="D45" s="6" t="str">
        <x:v>https://masseffect.fandom.com/wiki/Dossier%3A_The_Warlord</x:v>
      </x:c>
      <x:c r="E45" s="6" t="str">
        <x:v>Korlus, Okeer et Grunt</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ME2-SRC-CONVICT</x:v>
      </x:c>
      <x:c r="B46" s="6" t="str">
        <x:v>Dossier: The Convict</x:v>
      </x:c>
      <x:c r="C46" s="6" t="str">
        <x:v>wiki</x:v>
      </x:c>
      <x:c r="D46" s="6" t="str">
        <x:v>https://masseffect.fandom.com/wiki/Dossier%3A_The_Convict</x:v>
      </x:c>
      <x:c r="E46" s="6" t="str">
        <x:v>Purgatory et libération de Jack</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ME2-SRC-ARCHANGEL</x:v>
      </x:c>
      <x:c r="B47" s="6" t="str">
        <x:v>Dossier: Archangel</x:v>
      </x:c>
      <x:c r="C47" s="6" t="str">
        <x:v>wiki</x:v>
      </x:c>
      <x:c r="D47" s="6" t="str">
        <x:v>https://masseffect.fandom.com/wiki/Dossier%3A_Archangel</x:v>
      </x:c>
      <x:c r="E47" s="6" t="str">
        <x:v>Siège de Garrus à Omega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ME2-SRC-TALI</x:v>
      </x:c>
      <x:c r="B48" s="6" t="str">
        <x:v>Dossier: Tali</x:v>
      </x:c>
      <x:c r="C48" s="6" t="str">
        <x:v>wiki</x:v>
      </x:c>
      <x:c r="D48" s="6" t="str">
        <x:v>https://masseffect.fandom.com/wiki/Dossier%3A_Tali</x:v>
      </x:c>
      <x:c r="E48" s="6" t="str">
        <x:v>Haestrom et radiation solaire</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ME2-SRC-ASSASSIN</x:v>
      </x:c>
      <x:c r="B49" s="6" t="str">
        <x:v>Dossier: The Assassin</x:v>
      </x:c>
      <x:c r="C49" s="6" t="str">
        <x:v>wiki</x:v>
      </x:c>
      <x:c r="D49" s="6" t="str">
        <x:v>https://masseffect.fandom.com/wiki/Dossier%3A_The_Assassin</x:v>
      </x:c>
      <x:c r="E49" s="6" t="str">
        <x:v>Thane et tours Dantius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ME2-SRC-JUSTICAR</x:v>
      </x:c>
      <x:c r="B50" s="6" t="str">
        <x:v>Dossier: The Justicar</x:v>
      </x:c>
      <x:c r="C50" s="6" t="str">
        <x:v>wiki</x:v>
      </x:c>
      <x:c r="D50" s="6" t="str">
        <x:v>https://masseffect.fandom.com/wiki/Dossier%3A_The_Justicar</x:v>
      </x:c>
      <x:c r="E50" s="6" t="str">
        <x:v>Samara, Illium et enquête</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ME2-SRC-GARRUS</x:v>
      </x:c>
      <x:c r="B51" s="6" t="str">
        <x:v>Garrus: Eye for an Eye</x:v>
      </x:c>
      <x:c r="C51" s="6" t="str">
        <x:v>wiki</x:v>
      </x:c>
      <x:c r="D51" s="6" t="str">
        <x:v>https://masseffect.fandom.com/wiki/Garrus%3A_Eye_for_an_Eye</x:v>
      </x:c>
      <x:c r="E51" s="6" t="str">
        <x:v>Sidonis, Fade et Citadelle</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ME2-SRC-JACK</x:v>
      </x:c>
      <x:c r="B52" s="6" t="str">
        <x:v>Jack: Subject Zero</x:v>
      </x:c>
      <x:c r="C52" s="6" t="str">
        <x:v>wiki</x:v>
      </x:c>
      <x:c r="D52" s="6" t="str">
        <x:v>https://masseffect.fandom.com/wiki/Jack%3A_Subject_Zero</x:v>
      </x:c>
      <x:c r="E52" s="6" t="str">
        <x:v>Retour à Pragia</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ME2-SRC-JACOB</x:v>
      </x:c>
      <x:c r="B53" s="6" t="str">
        <x:v>Jacob: The Gift of Greatness</x:v>
      </x:c>
      <x:c r="C53" s="6" t="str">
        <x:v>wiki</x:v>
      </x:c>
      <x:c r="D53" s="6" t="str">
        <x:v>https://masseffect.fandom.com/wiki/Jacob%3A_The_Gift_of_Greatness</x:v>
      </x:c>
      <x:c r="E53" s="6" t="str">
        <x:v>Hugo Gernsback et Aeia</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ME2-SRC-MIRANDA</x:v>
      </x:c>
      <x:c r="B54" s="6" t="str">
        <x:v>Miranda: The Prodigal</x:v>
      </x:c>
      <x:c r="C54" s="6" t="str">
        <x:v>wiki</x:v>
      </x:c>
      <x:c r="D54" s="6" t="str">
        <x:v>https://masseffect.fandom.com/wiki/Miranda%3A_The_Prodigal</x:v>
      </x:c>
      <x:c r="E54" s="6" t="str">
        <x:v>Niket et Oriana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ME2-SRC-MORDIN</x:v>
      </x:c>
      <x:c r="B55" s="6" t="str">
        <x:v>Mordin: Old Blood</x:v>
      </x:c>
      <x:c r="C55" s="6" t="str">
        <x:v>wiki</x:v>
      </x:c>
      <x:c r="D55" s="6" t="str">
        <x:v>https://masseffect.fandom.com/wiki/Mordin%3A_Old_Blood</x:v>
      </x:c>
      <x:c r="E55" s="6" t="str">
        <x:v>Maelon et recherches sur le génophage</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ME2-SRC-SAMARA</x:v>
      </x:c>
      <x:c r="B56" s="6" t="str">
        <x:v>Samara: The Ardat-Yakshi</x:v>
      </x:c>
      <x:c r="C56" s="6" t="str">
        <x:v>wiki</x:v>
      </x:c>
      <x:c r="D56" s="6" t="str">
        <x:v>https://masseffect.fandom.com/wiki/Samara%3A_The_Ardat-Yakshi</x:v>
      </x:c>
      <x:c r="E56" s="6" t="str">
        <x:v>Morinth, enquête et substitution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ME2-SRC-THANE</x:v>
      </x:c>
      <x:c r="B57" s="6" t="str">
        <x:v>Thane: Sins of the Father</x:v>
      </x:c>
      <x:c r="C57" s="6" t="str">
        <x:v>wiki</x:v>
      </x:c>
      <x:c r="D57" s="6" t="str">
        <x:v>https://masseffect.fandom.com/wiki/Thane%3A_Sins_of_the_Father</x:v>
      </x:c>
      <x:c r="E57" s="6" t="str">
        <x:v>Kolyat et filature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ME2-SRC-TREASON</x:v>
      </x:c>
      <x:c r="B58" s="6" t="str">
        <x:v>Tali: Treason</x:v>
      </x:c>
      <x:c r="C58" s="6" t="str">
        <x:v>wiki</x:v>
      </x:c>
      <x:c r="D58" s="6" t="str">
        <x:v>https://masseffect.fandom.com/wiki/Tali%3A_Treason</x:v>
      </x:c>
      <x:c r="E58" s="6" t="str">
        <x:v>Procès de Tali et amiraux</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ME2-SRC-LEGION</x:v>
      </x:c>
      <x:c r="B59" s="6" t="str">
        <x:v>Legion: A House Divided</x:v>
      </x:c>
      <x:c r="C59" s="6" t="str">
        <x:v>wiki</x:v>
      </x:c>
      <x:c r="D59" s="6" t="str">
        <x:v>https://masseffect.fandom.com/wiki/Legion%3A_A_House_Divided</x:v>
      </x:c>
      <x:c r="E59" s="6" t="str">
        <x:v>Station hérétique et choix des geth</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ME2-SRC-GRUNT</x:v>
      </x:c>
      <x:c r="B60" s="6" t="str">
        <x:v>Grunt: Rite of Passage</x:v>
      </x:c>
      <x:c r="C60" s="6" t="str">
        <x:v>wiki</x:v>
      </x:c>
      <x:c r="D60" s="6" t="str">
        <x:v>https://masseffect.fandom.com/wiki/Grunt%3A_Rite_of_Passage</x:v>
      </x:c>
      <x:c r="E60" s="6" t="str">
        <x:v>Rite krogan et conséquences</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ME2-SRC-KASUMI</x:v>
      </x:c>
      <x:c r="B61" s="6" t="str">
        <x:v>Kasumi: Stealing Memory</x:v>
      </x:c>
      <x:c r="C61" s="6" t="str">
        <x:v>wiki</x:v>
      </x:c>
      <x:c r="D61" s="6" t="str">
        <x:v>https://masseffect.fandom.com/wiki/Kasumi%3A_Stealing_Memory</x:v>
      </x:c>
      <x:c r="E61" s="6" t="str">
        <x:v>Bekenstein et graybox</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ME2-SRC-ZAEED</x:v>
      </x:c>
      <x:c r="B62" s="6" t="str">
        <x:v>Zaeed: The Price of Revenge</x:v>
      </x:c>
      <x:c r="C62" s="6" t="str">
        <x:v>wiki</x:v>
      </x:c>
      <x:c r="D62" s="6" t="str">
        <x:v>https://masseffect.fandom.com/wiki/Zaeed%3A_The_Price_of_Revenge</x:v>
      </x:c>
      <x:c r="E62" s="6" t="str">
        <x:v>Raffinerie et revanche</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ME2-SRC-SHADOW</x:v>
      </x:c>
      <x:c r="B63" s="6" t="str">
        <x:v>Lair of the Shadow Broker (mission)</x:v>
      </x:c>
      <x:c r="C63" s="6" t="str">
        <x:v>wiki</x:v>
      </x:c>
      <x:c r="D63" s="6" t="str">
        <x:v>https://masseffect.fandom.com/wiki/Lair_of_the_Shadow_Broker_%28mission%29</x:v>
      </x:c>
      <x:c r="E63" s="6" t="str">
        <x:v>Illium, Vasir, Hagalaz et yahg</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ME2-SRC-OVERLORD</x:v>
      </x:c>
      <x:c r="B64" s="6" t="str">
        <x:v>Overlord</x:v>
      </x:c>
      <x:c r="C64" s="6" t="str">
        <x:v>wiki</x:v>
      </x:c>
      <x:c r="D64" s="6" t="str">
        <x:v>https://masseffect.fandom.com/wiki/Overlord</x:v>
      </x:c>
      <x:c r="E64" s="6" t="str">
        <x:v>Périmètre de Project Overlord</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ME2-SRC-ATLAS</x:v>
      </x:c>
      <x:c r="B65" s="6" t="str">
        <x:v>Atlas Station</x:v>
      </x:c>
      <x:c r="C65" s="6" t="str">
        <x:v>wiki</x:v>
      </x:c>
      <x:c r="D65" s="6" t="str">
        <x:v>https://masseffect.fandom.com/wiki/Atlas_Station</x:v>
      </x:c>
      <x:c r="E65" s="6" t="str">
        <x:v>David Archer et installations d’Aite</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ME2-SRC-ARRIVAL</x:v>
      </x:c>
      <x:c r="B66" s="6" t="str">
        <x:v>Arrival (assignment)</x:v>
      </x:c>
      <x:c r="C66" s="6" t="str">
        <x:v>wiki</x:v>
      </x:c>
      <x:c r="D66" s="6" t="str">
        <x:v>https://masseffect.fandom.com/wiki/Arrival_%28assignment%29</x:v>
      </x:c>
      <x:c r="E66" s="6" t="str">
        <x:v>Kenson, Aratoht, projet et relais Alpha</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ME2-SRC-FIRE</x:v>
      </x:c>
      <x:c r="B67" s="6" t="str">
        <x:v>Firewalker Pack</x:v>
      </x:c>
      <x:c r="C67" s="6" t="str">
        <x:v>wiki</x:v>
      </x:c>
      <x:c r="D67" s="6" t="str">
        <x:v>https://masseffect.fandom.com/wiki/Firewalker_Pack</x:v>
      </x:c>
      <x:c r="E67" s="6" t="str">
        <x:v>Cinq affectations Hammerhead</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ME2-SRC-FIRE-COLD</x:v>
      </x:c>
      <x:c r="B68" s="6" t="str">
        <x:v>Project Firewalker: Geth Incursion</x:v>
      </x:c>
      <x:c r="C68" s="6" t="str">
        <x:v>wiki</x:v>
      </x:c>
      <x:c r="D68" s="6" t="str">
        <x:v>https://masseffect.fandom.com/wiki/Project_Firewalker%3A_Geth_Incursion</x:v>
      </x:c>
      <x:c r="E68" s="6" t="str">
        <x:v>Lattesh, sondes et gel du moteur</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ME2-SRC-FIRE-START</x:v>
      </x:c>
      <x:c r="B69" s="6" t="str">
        <x:v>Project Firewalker: Rosalie Lost</x:v>
      </x:c>
      <x:c r="C69" s="6" t="str">
        <x:v>wiki</x:v>
      </x:c>
      <x:c r="D69" s="6" t="str">
        <x:v>https://masseffect.fandom.com/wiki/Project_Firewalker%3A_Rosalie_Lost</x:v>
      </x:c>
      <x:c r="E69" s="6" t="str">
        <x:v>Récupération du Hammerhead</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ME2-SRC-INFIL</x:v>
      </x:c>
      <x:c r="B70" s="6" t="str">
        <x:v>Collector Base: Infiltration</x:v>
      </x:c>
      <x:c r="C70" s="6" t="str">
        <x:v>wiki</x:v>
      </x:c>
      <x:c r="D70" s="6" t="str">
        <x:v>https://masseffect.fandom.com/wiki/Collector_Base%3A_Infiltration</x:v>
      </x:c>
      <x:c r="E70" s="6" t="str">
        <x:v>Spécialiste technique et chefs d’équipe</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ME2-SRC-WALK</x:v>
      </x:c>
      <x:c r="B71" s="6" t="str">
        <x:v>Collector Base: The Long Walk</x:v>
      </x:c>
      <x:c r="C71" s="6" t="str">
        <x:v>wiki</x:v>
      </x:c>
      <x:c r="D71" s="6" t="str">
        <x:v>https://masseffect.fandom.com/wiki/Collector_Base%3A_The_Long_Walk</x:v>
      </x:c>
      <x:c r="E71" s="6" t="str">
        <x:v>Bulle biotique et équipage captif</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ME2-SRC-FINAL</x:v>
      </x:c>
      <x:c r="B72" s="6" t="str">
        <x:v>Collector Base: Final Battle</x:v>
      </x:c>
      <x:c r="C72" s="6" t="str">
        <x:v>wiki</x:v>
      </x:c>
      <x:c r="D72" s="6" t="str">
        <x:v>https://masseffect.fandom.com/wiki/Collector_Base%3A_Final_Battle</x:v>
      </x:c>
      <x:c r="E72" s="6" t="str">
        <x:v>Dernière partie de la mission suicide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ME2-SRC-STORY</x:v>
      </x:c>
      <x:c r="B73" s="6" t="str">
        <x:v>Storyline II</x:v>
      </x:c>
      <x:c r="C73" s="6" t="str">
        <x:v>wiki</x:v>
      </x:c>
      <x:c r="D73" s="6" t="str">
        <x:v>https://masseffect.fandom.com/wiki/Storyline_II</x:v>
      </x:c>
      <x:c r="E73" s="6" t="str">
        <x:v>Chronologie principale et enlèvement de l’équipage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ME2-SRC-STOP</x:v>
      </x:c>
      <x:c r="B74" s="6" t="str">
        <x:v>Stop the Collectors</x:v>
      </x:c>
      <x:c r="C74" s="6" t="str">
        <x:v>wiki</x:v>
      </x:c>
      <x:c r="D74" s="6" t="str">
        <x:v>https://masseffect.fandom.com/wiki/Stop_the_Collectors</x:v>
      </x:c>
      <x:c r="E74" s="6" t="str">
        <x:v>IFF et point de bascule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ME2-SRC-FREEDOM</x:v>
      </x:c>
      <x:c r="B75" s="6" t="str">
        <x:v>Freedom’s Progress (mission)</x:v>
      </x:c>
      <x:c r="C75" s="6" t="str">
        <x:v>wiki</x:v>
      </x:c>
      <x:c r="D75" s="6" t="str">
        <x:v>https://masseffect.fandom.com/wiki/Freedom%27s_Progress_%28mission%29</x:v>
      </x:c>
      <x:c r="E75" s="6" t="str">
        <x:v>Veetor et colonie disparue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ME2-SRC-INTERRUPT</x:v>
      </x:c>
      <x:c r="B76" s="6" t="str">
        <x:v>Interrupt</x:v>
      </x:c>
      <x:c r="C76" s="6" t="str">
        <x:v>wiki</x:v>
      </x:c>
      <x:c r="D76" s="6" t="str">
        <x:v>https://masseffect.fandom.com/wiki/Interrupt</x:v>
      </x:c>
      <x:c r="E76" s="6" t="str">
        <x:v>Interruptions contextuelles ME2</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ME2-SRC-SAVE</x:v>
      </x:c>
      <x:c r="B77" s="6" t="str">
        <x:v>Save File Transfer</x:v>
      </x:c>
      <x:c r="C77" s="6" t="str">
        <x:v>wiki</x:v>
      </x:c>
      <x:c r="D77" s="6" t="str">
        <x:v>https://masseffect.fandom.com/wiki/Save_File_Transfer</x:v>
      </x:c>
      <x:c r="E77" s="6" t="str">
        <x:v>Choix importés et exportables</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ME2-SRC-MERCHANTS</x:v>
      </x:c>
      <x:c r="B78" s="6" t="str">
        <x:v>Merchants Guide</x:v>
      </x:c>
      <x:c r="C78" s="6" t="str">
        <x:v>wiki</x:v>
      </x:c>
      <x:c r="D78" s="6" t="str">
        <x:v>https://masseffect.fandom.com/wiki/Merchants_Guide</x:v>
      </x:c>
      <x:c r="E78" s="6" t="str">
        <x:v>Marchands, remises et hubs</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ME2-SRC-OMEGA</x:v>
      </x:c>
      <x:c r="B79" s="6" t="str">
        <x:v>Omega</x:v>
      </x:c>
      <x:c r="C79" s="6" t="str">
        <x:v>wiki</x:v>
      </x:c>
      <x:c r="D79" s="6" t="str">
        <x:v>https://masseffect.fandom.com/wiki/Omega</x:v>
      </x:c>
      <x:c r="E79" s="6" t="str">
        <x:v>Station et peste</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ME2-SRC-NOSASTRA</x:v>
      </x:c>
      <x:c r="B80" s="6" t="str">
        <x:v>Nos Astra</x:v>
      </x:c>
      <x:c r="C80" s="6" t="str">
        <x:v>wiki</x:v>
      </x:c>
      <x:c r="D80" s="6" t="str">
        <x:v>https://masseffect.fandom.com/wiki/Nos_Astra</x:v>
      </x:c>
      <x:c r="E80" s="6" t="str">
        <x:v>Hub d’Illium et personnages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ME2-SRC-PRAETORIAN</x:v>
      </x:c>
      <x:c r="B81" s="6" t="str">
        <x:v>Praetorian</x:v>
      </x:c>
      <x:c r="C81" s="6" t="str">
        <x:v>wiki</x:v>
      </x:c>
      <x:c r="D81" s="6" t="str">
        <x:v>https://masseffect.fandom.com/wiki/Praetorian</x:v>
      </x:c>
      <x:c r="E81" s="6" t="str">
        <x:v>Archetype de boss, barrières et poursuite</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ME2-SRC-HORIZON</x:v>
      </x:c>
      <x:c r="B82" s="6" t="str">
        <x:v>Horizon (mission)</x:v>
      </x:c>
      <x:c r="C82" s="6" t="str">
        <x:v>wiki</x:v>
      </x:c>
      <x:c r="D82" s="6" t="str">
        <x:v>https://masseffect.fandom.com/wiki/Horizon_%28mission%29</x:v>
      </x:c>
      <x:c r="E82" s="6" t="str">
        <x:v>Défense coloniale et Praetorian</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ME2-SRC-SHIP</x:v>
      </x:c>
      <x:c r="B83" s="6" t="str">
        <x:v>Collector Ship (mission)</x:v>
      </x:c>
      <x:c r="C83" s="6" t="str">
        <x:v>wiki</x:v>
      </x:c>
      <x:c r="D83" s="6" t="str">
        <x:v>https://masseffect.fandom.com/wiki/Collector_Ship_%28mission%29</x:v>
      </x:c>
      <x:c r="E83" s="6" t="str">
        <x:v>Embuscade et plateformes</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ME2-SRC-CAIN</x:v>
      </x:c>
      <x:c r="B84" s="6" t="str">
        <x:v>M-920 Cain</x:v>
      </x:c>
      <x:c r="C84" s="6" t="str">
        <x:v>wiki</x:v>
      </x:c>
      <x:c r="D84" s="6" t="str">
        <x:v>https://masseffect.fandom.com/wiki/M-920_Cain</x:v>
      </x:c>
      <x:c r="E84" s="6" t="str">
        <x:v>Arme lourde chargée</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ME2-SRC-LOCUST</x:v>
      </x:c>
      <x:c r="B85" s="6" t="str">
        <x:v>M-12 Locust</x:v>
      </x:c>
      <x:c r="C85" s="6" t="str">
        <x:v>wiki</x:v>
      </x:c>
      <x:c r="D85" s="6" t="str">
        <x:v>https://masseffect.fandom.com/wiki/M-12_Locust</x:v>
      </x:c>
      <x:c r="E85" s="6" t="str">
        <x:v>Arme de Kasumi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ME2-SRC-VINDICATOR</x:v>
      </x:c>
      <x:c r="B86" s="6" t="str">
        <x:v>M-15 Vindicator</x:v>
      </x:c>
      <x:c r="C86" s="6" t="str">
        <x:v>wiki</x:v>
      </x:c>
      <x:c r="D86" s="6" t="str">
        <x:v>https://masseffect.fandom.com/wiki/M-15_Vindicator</x:v>
      </x:c>
      <x:c r="E86" s="6" t="str">
        <x:v>Arme à rafales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ME2-SRC-GETH-SG</x:v>
      </x:c>
      <x:c r="B87" s="6" t="str">
        <x:v>Geth Plasma Shotgun</x:v>
      </x:c>
      <x:c r="C87" s="6" t="str">
        <x:v>wiki</x:v>
      </x:c>
      <x:c r="D87" s="6" t="str">
        <x:v>https://masseffect.fandom.com/wiki/Geth_Plasma_Shotgun</x:v>
      </x:c>
      <x:c r="E87" s="6" t="str">
        <x:v>Arme geth</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ME2-SRC-N7</x:v>
      </x:c>
      <x:c r="B88" s="6" t="str">
        <x:v>N7 Armor</x:v>
      </x:c>
      <x:c r="C88" s="6" t="str">
        <x:v>wiki</x:v>
      </x:c>
      <x:c r="D88" s="6" t="str">
        <x:v>https://masseffect.fandom.com/wiki/N7_Armor</x:v>
      </x:c>
      <x:c r="E88" s="6" t="str">
        <x:v>Ensemble de base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ME2-SRC-KESTREL</x:v>
      </x:c>
      <x:c r="B89" s="6" t="str">
        <x:v>Kestrel Armor</x:v>
      </x:c>
      <x:c r="C89" s="6" t="str">
        <x:v>wiki</x:v>
      </x:c>
      <x:c r="D89" s="6" t="str">
        <x:v>https://masseffect.fandom.com/wiki/Kestrel_Armor</x:v>
      </x:c>
      <x:c r="E89" s="6" t="str">
        <x:v>Ensemble personnalisable</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110" customHeight="1">
      <x:c r="A90" s="6" t="str">
        <x:v>ME2-SRC-MANUAL-FR</x:v>
      </x:c>
      <x:c r="B90" s="6" t="str">
        <x:v>Mass Effect 2 — manuel PC français, EA</x:v>
      </x:c>
      <x:c r="C90" s="6" t="str">
        <x:v>source officielle</x:v>
      </x:c>
      <x:c r="D90" s="6" t="str">
        <x:v>https://eaassets-a.akamaihd.net/eahelp/manuals/mass-effect-2-manuals_PC_fr.pdf</x:v>
      </x:c>
      <x:c r="E90" s="6" t="str">
        <x:v>Cartouches thermiques : dissipateurs amovibles, éjection/remplacement et compteur de tirs, pages imprimées 16–17. Annexe 2, pages imprimées 22–24 : six classes, familles d’armes et pouvoirs.</x:v>
      </x:c>
      <x:c r="F90" s="6" t="str">
        <x:v>PDF réellement téléchargé le 23 octobre 2026, HTTP 200, 18 pages, SHA-256 c4d5edbe68f36fc261e6efe9e445711ec6214e38b74b61b3c89edc34ef2965e1. Cette source établit le principe ; capacités par famille et recharge en une action ATB sont des adaptations. Relecture locale le 24 octobre 2026 de l’annexe des classes ; les variantes chiffrées et kits complets des compagnons ne sont pas établis par ce manuel.</x:v>
      </x:c>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34" customHeight="1">
      <x:c r="A94" s="28" t="str">
        <x:v>Domaine</x:v>
      </x:c>
      <x:c r="B94" s="29" t="str">
        <x:v>Couverture actuelle</x:v>
      </x:c>
      <x:c r="C94" s="30" t="str">
        <x:v>Travail restant</x:v>
      </x:c>
      <x:c r="D94" s="2"/>
      <x:c r="E94" s="2"/>
      <x:c r="F94" s="2"/>
    </x:row>
    <x:row r="95" ht="68" customHeight="1">
      <x:c r="A95" s="6" t="str">
        <x:v>Campagne et loyautés</x:v>
      </x:c>
      <x:c r="B95" s="6" t="str">
        <x:v>Tous les recrutements majeurs, les douze arcs de loyauté, les étapes du chemin Collecteur et les principaux choix sont détaillés.</x:v>
      </x:c>
      <x:c r="C95" s="6" t="str">
        <x:v>Tables exactes de délais IFF, défense arrière et seuils moraux à rejouer sur versions Original et Legendary ; aucun chiffre canon reconstitué.</x:v>
      </x:c>
      <x:c r="D95" s="2"/>
      <x:c r="E95" s="2"/>
      <x:c r="F95" s="2"/>
    </x:row>
    <x:row r="96" ht="82" customHeight="1">
      <x:c r="A96" s="6" t="str">
        <x:v>Affectations et DLC</x:v>
      </x:c>
      <x:c r="B96" s="6" t="str">
        <x:v>Affectations N7 et hubs ; Kasumi, Zaeed, Crash Site, cinq Firewalker, Overlord, Shadow Broker et Arrival sont couverts. Les alias de journal sont regroupés.</x:v>
      </x:c>
      <x:c r="C96" s="6" t="str">
        <x:v>Recensement en jeu des micro-dialogues, objets secondaires, nouvelles et variantes de visite ; titres français officiels à harmoniser. Aucune exhaustivité de tous les textes revendiquée.</x:v>
      </x:c>
      <x:c r="D96" s="2"/>
      <x:c r="E96" s="2"/>
      <x:c r="F96" s="2"/>
    </x:row>
    <x:row r="97" ht="68" customHeight="1">
      <x:c r="A97" s="6" t="str">
        <x:v>Personnages, ennemis et mouvements</x:v>
      </x:c>
      <x:c r="B97" s="6" t="str">
        <x:v>Équipiers permanents et temporaires, principaux PNJ, factions et archétypes ennemis possèdent des spécifications ; attaques d’adaptation et planches de sprites sont séparées.</x:v>
      </x:c>
      <x:c r="C97" s="6" t="str">
        <x:v>Sous-variantes de chaque mercenaire nommé, animations de toutes les orientations et visages à contrôler sur références visuelles ; spécifications non réalisées.</x:v>
      </x:c>
      <x:c r="D97" s="2"/>
      <x:c r="E97" s="2"/>
      <x:c r="F97" s="2"/>
    </x:row>
    <x:row r="98" ht="68" customHeight="1">
      <x:c r="A98" s="6" t="str">
        <x:v>Armes, équipements et pouvoirs</x:v>
      </x:c>
      <x:c r="B98" s="6" t="str">
        <x:v>Arsenal principal et DLC, ensembles et pièces représentatives, réserves et pouvoirs jouables sont couverts sans statistiques copiées.</x:v>
      </x:c>
      <x:c r="C98" s="6" t="str">
        <x:v>Liste intégrale des petites pièces, apparences alternatives et emplacements de recherche à recouper par édition ; réglages ATB à équilibrer en prototype.</x:v>
      </x:c>
      <x:c r="D98" s="2"/>
      <x:c r="E98" s="2"/>
      <x:c r="F98" s="2"/>
    </x:row>
    <x:row r="99" ht="68" customHeight="1">
      <x:c r="A99" s="6" t="str">
        <x:v>Décors, audio, UI et QA</x:v>
      </x:c>
      <x:c r="B99" s="6" t="str">
        <x:v>Mondes et zones clés, connexions, kits de décor, objets de quête, interfaces, effets, audio original et scénarios de non-régression sont décrits.</x:v>
      </x:c>
      <x:c r="C99" s="6" t="str">
        <x:v>Ni sprite, animation, niveau, son ni test du jeu final produit par ces fiches ; captures visuelles et exécution des scénarios restent à faire.</x:v>
      </x:c>
      <x:c r="D99" s="2"/>
      <x:c r="E99" s="2"/>
      <x:c r="F99" s="2"/>
    </x:row>
    <x:row r="100" ht="82" customHeight="1">
      <x:c r="A100" s="6" t="str">
        <x:v>Sources et périmètre</x:v>
      </x:c>
      <x:c r="B100" s="6" t="str">
        <x:v>Confirmations EA/BioWare pour éditions et DLC ; index et pages spécifiques Fandom pour le détail. Les créations originales sont marquées Extrapolation.</x:v>
      </x:c>
      <x:c r="C100" s="6" t="str">
        <x:v>L’accès direct Fandom a été limité ; les pages ont été consultées sous forme indexée. Les index ne constituent pas une validation primaire de chaque détail. Aucun contenu coupé ni rumeur promu en canon.</x:v>
      </x:c>
      <x:c r="D100" s="2"/>
      <x:c r="E100" s="2"/>
      <x:c r="F100" s="2"/>
    </x:row>
    <x:row r="101" ht="96" customHeight="1">
      <x:c r="A101" s="6" t="str">
        <x:v>Prototype Chroniques indépendant</x:v>
      </x:c>
      <x:c r="B101" s="6" t="str">
        <x:v>15 personnages sélectionnables, 11 équipements utilisables sous restrictions d’œuvre, segment, scène et porteur ; preuves dans implementationPaths et evidence des seules lignes Prototype.</x:v>
      </x:c>
      <x:c r="C101" s="6" t="str">
        <x:v>Campagne complète, dialogues, acquisition canonique, sprites, costumes, animations et statistiques originales à réaliser ou vérifier. Les ateliers sont des essais de préparation ATB, sans progression canonique ni transfert ME1.</x:v>
      </x:c>
      <x:c r="D101" s="2"/>
      <x:c r="E101" s="2"/>
      <x:c r="F101" s="2"/>
    </x:row>
    <x:row r="102" ht="96" customHeight="1">
      <x:c r="A102" s="6" t="str">
        <x:v>Complément pouvoirs, modules et lectures</x:v>
      </x:c>
      <x:c r="B102" s="6" t="str">
        <x:v>17 fiches de pouvoirs effectivement utilisées, 0 familles de modules préparables et 0 références au stade Prototype consultables dans des lectures documentaires. Les chemins et preuves sont inscrits sur les seules lignes Prototype.</x:v>
      </x:c>
      <x:c r="C102" s="6" t="str">
        <x:v>Arbres et progression complets, modèles et rangs exacts, campagnes et dialogues intégraux, niveaux et ressources visuelles propres à l’œuvre restent à réaliser ou vérifier. Les références lues ne rendent pas leurs personnages jouables.</x:v>
      </x:c>
      <x:c r="D102" s="2"/>
      <x:c r="E102" s="2"/>
      <x:c r="F102" s="2"/>
    </x:row>
    <x:row r="103" ht="110" customHeight="1">
      <x:c r="A103" s="6" t="str">
        <x:v>Complément spécialistes contextualisés</x:v>
      </x:c>
      <x:c r="B103" s="6" t="str">
        <x:v>3 profils supplémentaires limités aux bancs de spécialistes, 0 profils d’armes spéciales et 1 fiches de pouvoirs supplémentaires effectivement exposées. Vérification fonctionnelle liée au rapport docs/qa/chronicle-specialists-browser-report.json.</x:v>
      </x:c>
      <x:c r="C103"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sheetData>
  <x:pageMargins left="0.7" right="0.7" top="0.75" bottom="0.75" header="0.3" footer="0.3"/>
</x:worksheet>
</file>